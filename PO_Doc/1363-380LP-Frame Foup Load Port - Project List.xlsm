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Dept\Engineering\Project\2024\1363 - 380LP-Frame Foup Load Port\"/>
    </mc:Choice>
  </mc:AlternateContent>
  <bookViews>
    <workbookView xWindow="-120" yWindow="-120" windowWidth="19425" windowHeight="10305" tabRatio="893" activeTab="6"/>
  </bookViews>
  <sheets>
    <sheet name="Module List" sheetId="1" r:id="rId1"/>
    <sheet name="Part Tracking" sheetId="2" r:id="rId2"/>
    <sheet name="Gantt Chart" sheetId="33" r:id="rId3"/>
    <sheet name="Progress" sheetId="35" r:id="rId4"/>
    <sheet name="ETL" sheetId="36" r:id="rId5"/>
    <sheet name="Fab_Parts" sheetId="3" r:id="rId6"/>
    <sheet name="Std_Parts" sheetId="31" r:id="rId7"/>
    <sheet name="EE_Parts" sheetId="18" r:id="rId8"/>
    <sheet name="Layout" sheetId="37" r:id="rId9"/>
    <sheet name="DAILY- Progress" sheetId="38" r:id="rId10"/>
    <sheet name="Others" sheetId="19" r:id="rId11"/>
    <sheet name="On Time Delivery Report" sheetId="23" r:id="rId12"/>
    <sheet name="Supplier List" sheetId="20" r:id="rId13"/>
    <sheet name="Error_List" sheetId="39" r:id="rId14"/>
  </sheets>
  <functionGroups builtInGroupCount="18"/>
  <definedNames>
    <definedName name="_xlnm._FilterDatabase" localSheetId="6" hidden="1">Std_Parts!$W$2:$W$5</definedName>
    <definedName name="_xlnm.Print_Area" localSheetId="7">EE_Parts!$A$9:$Z$78</definedName>
    <definedName name="_xlnm.Print_Area" localSheetId="5">Fab_Parts!$A$9:$S$152</definedName>
    <definedName name="_xlnm.Print_Area" localSheetId="1">'Part Tracking'!$B$22:$G$46</definedName>
    <definedName name="_xlnm.Print_Area" localSheetId="6">Std_Parts!$A$9:$R$9</definedName>
    <definedName name="vDateTime" localSheetId="6">#REF!</definedName>
    <definedName name="vDateTime">#REF!</definedName>
    <definedName name="vDiastolic" localSheetId="6">#REF!</definedName>
    <definedName name="vDiastolic">#REF!</definedName>
    <definedName name="vHeartRate" localSheetId="6">#REF!</definedName>
    <definedName name="vHeartRate">#REF!</definedName>
    <definedName name="vSystolic" localSheetId="6">#REF!</definedName>
    <definedName name="vSystolic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8" i="18" l="1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145" i="31"/>
  <c r="G144" i="31"/>
  <c r="G143" i="31"/>
  <c r="G142" i="31"/>
  <c r="G141" i="31"/>
  <c r="G140" i="31"/>
  <c r="G139" i="31"/>
  <c r="G138" i="31"/>
  <c r="G137" i="31"/>
  <c r="G136" i="31"/>
  <c r="G135" i="31"/>
  <c r="G134" i="31"/>
  <c r="G133" i="31"/>
  <c r="G132" i="31"/>
  <c r="G131" i="31"/>
  <c r="G130" i="31"/>
  <c r="G129" i="31"/>
  <c r="G128" i="31"/>
  <c r="G127" i="31"/>
  <c r="G126" i="31"/>
  <c r="G125" i="31"/>
  <c r="G124" i="31"/>
  <c r="G123" i="31"/>
  <c r="G122" i="31"/>
  <c r="G121" i="31"/>
  <c r="G120" i="31"/>
  <c r="G119" i="31"/>
  <c r="G118" i="31"/>
  <c r="G117" i="31"/>
  <c r="G116" i="31"/>
  <c r="G115" i="31"/>
  <c r="G114" i="31"/>
  <c r="G113" i="31"/>
  <c r="G112" i="31"/>
  <c r="G111" i="31"/>
  <c r="G110" i="31"/>
  <c r="G109" i="31"/>
  <c r="G108" i="31"/>
  <c r="G107" i="31"/>
  <c r="G106" i="31"/>
  <c r="G105" i="31"/>
  <c r="G104" i="31"/>
  <c r="G103" i="31"/>
  <c r="G102" i="31"/>
  <c r="G101" i="31"/>
  <c r="G100" i="31"/>
  <c r="G99" i="31"/>
  <c r="G98" i="31"/>
  <c r="G97" i="31"/>
  <c r="G96" i="31"/>
  <c r="G95" i="31"/>
  <c r="G94" i="31"/>
  <c r="G93" i="31"/>
  <c r="G92" i="31"/>
  <c r="G91" i="31"/>
  <c r="G90" i="31"/>
  <c r="G89" i="31"/>
  <c r="G88" i="31"/>
  <c r="G87" i="31"/>
  <c r="G86" i="31"/>
  <c r="G85" i="31"/>
  <c r="G84" i="31"/>
  <c r="G83" i="31"/>
  <c r="G82" i="31"/>
  <c r="G81" i="31"/>
  <c r="G80" i="31"/>
  <c r="G79" i="31"/>
  <c r="G78" i="31"/>
  <c r="G77" i="31"/>
  <c r="G76" i="31"/>
  <c r="G75" i="31"/>
  <c r="G74" i="31"/>
  <c r="G73" i="31"/>
  <c r="G72" i="31"/>
  <c r="G71" i="31"/>
  <c r="G70" i="31"/>
  <c r="G69" i="31"/>
  <c r="G68" i="31"/>
  <c r="G67" i="31"/>
  <c r="G66" i="31"/>
  <c r="G65" i="31"/>
  <c r="G64" i="31"/>
  <c r="G63" i="31"/>
  <c r="G62" i="31"/>
  <c r="G61" i="31"/>
  <c r="G60" i="31"/>
  <c r="G59" i="31"/>
  <c r="G58" i="31"/>
  <c r="G57" i="31"/>
  <c r="G56" i="31"/>
  <c r="G55" i="31"/>
  <c r="G54" i="31"/>
  <c r="G53" i="31"/>
  <c r="G52" i="31"/>
  <c r="G51" i="31"/>
  <c r="G50" i="31"/>
  <c r="G49" i="31"/>
  <c r="G48" i="31"/>
  <c r="G47" i="31"/>
  <c r="G46" i="31"/>
  <c r="G45" i="31"/>
  <c r="G44" i="31"/>
  <c r="G43" i="31"/>
  <c r="G42" i="31"/>
  <c r="G41" i="31"/>
  <c r="G40" i="31"/>
  <c r="G39" i="31"/>
  <c r="G38" i="31"/>
  <c r="G37" i="31"/>
  <c r="G36" i="31"/>
  <c r="G35" i="31"/>
  <c r="G34" i="31"/>
  <c r="G33" i="31"/>
  <c r="G32" i="31"/>
  <c r="G31" i="31"/>
  <c r="G30" i="31"/>
  <c r="G29" i="31"/>
  <c r="G28" i="31"/>
  <c r="G27" i="31"/>
  <c r="G26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D46" i="2"/>
  <c r="C46" i="2"/>
  <c r="F45" i="2"/>
  <c r="E45" i="2"/>
  <c r="F43" i="2"/>
  <c r="E43" i="2"/>
  <c r="F42" i="2"/>
  <c r="F46" i="2" s="1"/>
  <c r="E42" i="2"/>
  <c r="D38" i="2"/>
  <c r="C38" i="2"/>
  <c r="F37" i="2"/>
  <c r="E37" i="2"/>
  <c r="F35" i="2"/>
  <c r="E35" i="2"/>
  <c r="F34" i="2"/>
  <c r="E34" i="2"/>
  <c r="F33" i="2"/>
  <c r="E33" i="2"/>
  <c r="D29" i="2"/>
  <c r="C29" i="2"/>
  <c r="F28" i="2"/>
  <c r="E28" i="2"/>
  <c r="F26" i="2"/>
  <c r="E26" i="2"/>
  <c r="F25" i="2"/>
  <c r="E25" i="2"/>
  <c r="F24" i="2"/>
  <c r="E24" i="2"/>
  <c r="E38" i="2" l="1"/>
  <c r="E46" i="2"/>
  <c r="F38" i="2"/>
  <c r="F29" i="2"/>
  <c r="E29" i="2"/>
</calcChain>
</file>

<file path=xl/sharedStrings.xml><?xml version="1.0" encoding="utf-8"?>
<sst xmlns="http://schemas.openxmlformats.org/spreadsheetml/2006/main" count="4035" uniqueCount="982">
  <si>
    <t>Project Name : 380LP</t>
  </si>
  <si>
    <t>Project Code : 1363</t>
  </si>
  <si>
    <t>Document Title :</t>
  </si>
  <si>
    <t>CUSTOMER BUY OFF DATE :</t>
  </si>
  <si>
    <t>COMMIT DELIVERY DATE :</t>
  </si>
  <si>
    <t xml:space="preserve">Updated On : </t>
  </si>
  <si>
    <t>Meeting attendee :</t>
  </si>
  <si>
    <t>#</t>
  </si>
  <si>
    <t>Module</t>
  </si>
  <si>
    <t>WW</t>
  </si>
  <si>
    <t>Date</t>
  </si>
  <si>
    <t xml:space="preserve">Design
</t>
  </si>
  <si>
    <t>Std BOM/
FAB Drawing Release</t>
  </si>
  <si>
    <t>IO List</t>
  </si>
  <si>
    <t>EE</t>
  </si>
  <si>
    <t>Material
(Parts received)</t>
  </si>
  <si>
    <t>Assembly</t>
  </si>
  <si>
    <t>Panel</t>
  </si>
  <si>
    <t xml:space="preserve">Wire 
Routing
</t>
  </si>
  <si>
    <t>Power On / Address setting / 
IO Test / Alignment</t>
  </si>
  <si>
    <t>Software 
Readiness</t>
  </si>
  <si>
    <t>Software Offline Test</t>
  </si>
  <si>
    <t>Software
Test</t>
  </si>
  <si>
    <t>Remarks</t>
  </si>
  <si>
    <t>Fab</t>
  </si>
  <si>
    <t>Std</t>
  </si>
  <si>
    <t>HX / LW</t>
  </si>
  <si>
    <t>HX</t>
  </si>
  <si>
    <t>KC Teoh</t>
  </si>
  <si>
    <t>Lay Peng</t>
  </si>
  <si>
    <t>Ragu</t>
  </si>
  <si>
    <t>Joe</t>
  </si>
  <si>
    <t>Subcon</t>
  </si>
  <si>
    <t>Sub Con</t>
  </si>
  <si>
    <t>Joe / Azhar</t>
  </si>
  <si>
    <t>Azhar</t>
  </si>
  <si>
    <t>0% / 0%</t>
  </si>
  <si>
    <t>0% / 0% / 0% / 0%</t>
  </si>
  <si>
    <t>Project Name :</t>
  </si>
  <si>
    <t>380LP</t>
  </si>
  <si>
    <t>Last Update:</t>
  </si>
  <si>
    <t>Project Code:</t>
  </si>
  <si>
    <t>1363</t>
  </si>
  <si>
    <t xml:space="preserve">Project Leader:  </t>
  </si>
  <si>
    <t>No</t>
  </si>
  <si>
    <t>Description</t>
  </si>
  <si>
    <t>PRODUCTION PIC</t>
  </si>
  <si>
    <t>MECH DESIGNER</t>
  </si>
  <si>
    <t>UPDATE MODULE</t>
  </si>
  <si>
    <t>LAST UPDATE</t>
  </si>
  <si>
    <t>Mech BOM Path :</t>
  </si>
  <si>
    <t>Z:\Dept\Engineering\Production\2024</t>
  </si>
  <si>
    <t>1363.1</t>
  </si>
  <si>
    <t>DEFECT COST</t>
  </si>
  <si>
    <t>EE BOM Path :</t>
  </si>
  <si>
    <t>1363.3</t>
  </si>
  <si>
    <t>380LP-Frame Foup Load Port (Mech)</t>
  </si>
  <si>
    <t>ERP Report Path :</t>
  </si>
  <si>
    <t>1363.5</t>
  </si>
  <si>
    <t>MISC</t>
  </si>
  <si>
    <t>EE DESIGNER</t>
  </si>
  <si>
    <t>1363.2</t>
  </si>
  <si>
    <t>380LP-Frame Foup Load Port (EE)</t>
  </si>
  <si>
    <t>1363.4</t>
  </si>
  <si>
    <t>FASTENER</t>
  </si>
  <si>
    <t>Document Title : Project Gantt Chart</t>
  </si>
  <si>
    <t>Plan</t>
  </si>
  <si>
    <t>Actual</t>
  </si>
  <si>
    <t xml:space="preserve">Updated By : </t>
  </si>
  <si>
    <t>Holiday</t>
  </si>
  <si>
    <t>Extend</t>
  </si>
  <si>
    <t>Revise</t>
  </si>
  <si>
    <t>Month</t>
  </si>
  <si>
    <t xml:space="preserve">Description </t>
  </si>
  <si>
    <t>Calendar Week</t>
  </si>
  <si>
    <t>Work Week</t>
  </si>
  <si>
    <t xml:space="preserve">Project Kick Start </t>
  </si>
  <si>
    <t>Mechanical Design</t>
  </si>
  <si>
    <t>Electrical Design</t>
  </si>
  <si>
    <t>Software Development</t>
  </si>
  <si>
    <t>Material Procurement</t>
  </si>
  <si>
    <t>Mechanical &amp; Electrical Assembly</t>
  </si>
  <si>
    <t>Power On / IO Test &amp; Alignment</t>
  </si>
  <si>
    <t>Software test</t>
  </si>
  <si>
    <t>Cycle Run &amp; Internal Buy off</t>
  </si>
  <si>
    <t>Customer Buy Off</t>
  </si>
  <si>
    <t xml:space="preserve">Shipment </t>
  </si>
  <si>
    <t>Acknowlegement by Project Manager</t>
  </si>
  <si>
    <t>Acknowledgement by Mechanical Manager</t>
  </si>
  <si>
    <t>Acknowlegement by Software Manager</t>
  </si>
  <si>
    <t>Acknowledgement by Purchasing Dept</t>
  </si>
  <si>
    <t>Acknowledgement by Prod Manager</t>
  </si>
  <si>
    <t>Document Title : Part Tracking List</t>
  </si>
  <si>
    <t>Date :</t>
  </si>
  <si>
    <t>Rev :</t>
  </si>
  <si>
    <t>FABRICATION PARTS</t>
  </si>
  <si>
    <t>Total No. Of Parts</t>
  </si>
  <si>
    <t>Received Parts</t>
  </si>
  <si>
    <t>% Parts Received</t>
  </si>
  <si>
    <r>
      <t>Balan</t>
    </r>
    <r>
      <rPr>
        <b/>
        <sz val="11"/>
        <color theme="0"/>
        <rFont val="Calibri"/>
        <family val="2"/>
      </rPr>
      <t>ce Parts</t>
    </r>
  </si>
  <si>
    <t>Remark</t>
  </si>
  <si>
    <t>Cost</t>
  </si>
  <si>
    <t>1363.1 DEFECT COST</t>
  </si>
  <si>
    <t>1363.3 380LP-Frame Foup Load Port (Mech)</t>
  </si>
  <si>
    <t>1363.5 MISC</t>
  </si>
  <si>
    <t>Total</t>
  </si>
  <si>
    <t>Standard Parts</t>
  </si>
  <si>
    <t>EE PARTS</t>
  </si>
  <si>
    <t>1363.2 380LP-Frame Foup Load Port (EE)</t>
  </si>
  <si>
    <t>1363.4 FASTENER</t>
  </si>
  <si>
    <t>SUPPLIER LIST:</t>
  </si>
  <si>
    <t>ITEM</t>
  </si>
  <si>
    <t>SUPPLIER</t>
  </si>
  <si>
    <t>SHORT FORM</t>
  </si>
  <si>
    <t>CONTACT</t>
  </si>
  <si>
    <t>Exclusive Magnitude (M) Sdn Bhd</t>
  </si>
  <si>
    <t xml:space="preserve">Exclusive Magnitude </t>
  </si>
  <si>
    <t>AXIOMTEK (M ) SDN BHD</t>
  </si>
  <si>
    <t>AXIOMTEK</t>
  </si>
  <si>
    <t>Xyreon Technology Sdn Bhd</t>
  </si>
  <si>
    <t>Xyreon Technology</t>
  </si>
  <si>
    <t>HTT HIGH TECH TRADE GmbH</t>
  </si>
  <si>
    <t>HTT</t>
  </si>
  <si>
    <t>ExcelNex Integrated Sdn Bhd</t>
  </si>
  <si>
    <t>ExcelNex</t>
  </si>
  <si>
    <t>Fast Real Technology Sdn Bhd</t>
  </si>
  <si>
    <t>Fast Real</t>
  </si>
  <si>
    <t>SMW Engineering Sdn Bhd</t>
  </si>
  <si>
    <t>SMW</t>
  </si>
  <si>
    <t>Soon Teck Engineering Works Sdn Bhd</t>
  </si>
  <si>
    <t>Soon Teck</t>
  </si>
  <si>
    <t>Keyence (Malaysia) Sdn Bhd</t>
  </si>
  <si>
    <t>Keyence</t>
  </si>
  <si>
    <t>VK KINETIC ENGINEERING</t>
  </si>
  <si>
    <t>VK</t>
  </si>
  <si>
    <t>Teico Automation Suzhouco Limited</t>
  </si>
  <si>
    <t>Teico Suzhouco</t>
  </si>
  <si>
    <t>KENT ART TECHNICAL SDN BHD</t>
  </si>
  <si>
    <t>Kent Art</t>
  </si>
  <si>
    <t>Alpha Master Sdn. Bhd.</t>
  </si>
  <si>
    <t>Alpha Master</t>
  </si>
  <si>
    <t>Entech Industrial Supplies</t>
  </si>
  <si>
    <t>Entech</t>
  </si>
  <si>
    <t>Misumi Malaysia Sdn Bhd</t>
  </si>
  <si>
    <t>Misumi</t>
  </si>
  <si>
    <t>Aims Motion Technology Sdn Bhd</t>
  </si>
  <si>
    <t>Aims</t>
  </si>
  <si>
    <t>Panamech (Penang) Sdn Bhd</t>
  </si>
  <si>
    <t>Panamech</t>
  </si>
  <si>
    <t>APLUS TOOLS ENGINEERING</t>
  </si>
  <si>
    <t>Aplus</t>
  </si>
  <si>
    <t>Wention Technology Sdn Bhd</t>
  </si>
  <si>
    <t>Wention</t>
  </si>
  <si>
    <t>Grands Technologies</t>
  </si>
  <si>
    <t>Grand Tech</t>
  </si>
  <si>
    <t>PBA LEADER MOTION SDN BHD</t>
  </si>
  <si>
    <t>Leader Motion</t>
  </si>
  <si>
    <t>Teico Automation Supplies Sdn Bhd</t>
  </si>
  <si>
    <t>Teico</t>
  </si>
  <si>
    <t>I-LINEAR AUTOMATION (PG ) SDN BHD</t>
  </si>
  <si>
    <t>I-Linear</t>
  </si>
  <si>
    <t>INTERNATIONAL OEM SDN BHD</t>
  </si>
  <si>
    <t>International OEM</t>
  </si>
  <si>
    <t>Elcomp Trading Sdn Bhd</t>
  </si>
  <si>
    <t>Elcomp</t>
  </si>
  <si>
    <t>Dynaseiki Industrial Supplies Sdn. Bhd.</t>
  </si>
  <si>
    <t>Dynaseiki</t>
  </si>
  <si>
    <t>RS Components Sdn Bhd</t>
  </si>
  <si>
    <t>RS</t>
  </si>
  <si>
    <t>Servo Dynamics Sdn Bhd</t>
  </si>
  <si>
    <t>Servo Dynamics</t>
  </si>
  <si>
    <t>FESTO SDN BERHAD</t>
  </si>
  <si>
    <t>Festo</t>
  </si>
  <si>
    <t>CASTOR &amp; WHEEL (M) SDN.BHD.</t>
  </si>
  <si>
    <t>Castor &amp; Wheel</t>
  </si>
  <si>
    <t>Qualimatic Technologies Sdn Bhd</t>
  </si>
  <si>
    <t>Qualimatic</t>
  </si>
  <si>
    <t>DNT Sales &amp; Service</t>
  </si>
  <si>
    <t>DNT</t>
  </si>
  <si>
    <t>Chi-Tak Electrical Sdn Bhd</t>
  </si>
  <si>
    <t>Chi-Tak</t>
  </si>
  <si>
    <t>IG AUTOMATION SDN. BHD.</t>
  </si>
  <si>
    <t>IG</t>
  </si>
  <si>
    <t>LOW SON TRADING</t>
  </si>
  <si>
    <t>Low Son</t>
  </si>
  <si>
    <t>A.I.S. Industrial Supply Sdn Bhd</t>
  </si>
  <si>
    <t>AIS</t>
  </si>
  <si>
    <t>Plant &amp; Mill Motion Control Sdn Bhd</t>
  </si>
  <si>
    <t>Plant &amp; Mill</t>
  </si>
  <si>
    <t>Gmax Engineering Sdn Bhd</t>
  </si>
  <si>
    <t>Gmax</t>
  </si>
  <si>
    <t>Flexible Automation System Sdn Bhd</t>
  </si>
  <si>
    <t>Flexible</t>
  </si>
  <si>
    <t>Letromec Industries (M) Sdn Bhd</t>
  </si>
  <si>
    <t>Letromec</t>
  </si>
  <si>
    <t>PBA INDUSTRIES (PG) SDN BHD</t>
  </si>
  <si>
    <t>PBA</t>
  </si>
  <si>
    <t>T-SUMMIT TECHNOLOGY (M) SDN BHD</t>
  </si>
  <si>
    <t>T-Summit</t>
  </si>
  <si>
    <t>Precise Talent Sdn Bhd</t>
  </si>
  <si>
    <t>Precise Talent</t>
  </si>
  <si>
    <t>Notion Tech Engineering Sdn Bhd</t>
  </si>
  <si>
    <t>Notion Tech</t>
  </si>
  <si>
    <t>CSB SPRING &amp; HARDWARE SDN BHD</t>
  </si>
  <si>
    <t>CSB</t>
  </si>
  <si>
    <t>ASIA AUTOMATION PARTS SUPPLY (PG ) SDN BHD</t>
  </si>
  <si>
    <t>Asia Automation</t>
  </si>
  <si>
    <t>Updated By :</t>
  </si>
  <si>
    <t>Supplier</t>
  </si>
  <si>
    <t>Outsource</t>
  </si>
  <si>
    <t>Additional Resources are required</t>
  </si>
  <si>
    <t>Complete</t>
  </si>
  <si>
    <t>Machine # &amp; Description</t>
  </si>
  <si>
    <t xml:space="preserve">Design Available? </t>
  </si>
  <si>
    <t>Designer</t>
  </si>
  <si>
    <t>NOTE:</t>
  </si>
  <si>
    <t>URGENT &amp; IMPORTANT</t>
  </si>
  <si>
    <t>URGENT BUT NOT IMPORTANT</t>
  </si>
  <si>
    <t>IMPORTANT BUT NOT URGENT</t>
  </si>
  <si>
    <t>NOT IMPORTANT AND NOT URGENT</t>
  </si>
  <si>
    <t>Item</t>
  </si>
  <si>
    <t>Action Plan</t>
  </si>
  <si>
    <t>PIC</t>
  </si>
  <si>
    <t>ETA</t>
  </si>
  <si>
    <t>Status</t>
  </si>
  <si>
    <t>Priority</t>
  </si>
  <si>
    <t>Open</t>
  </si>
  <si>
    <t xml:space="preserve">OVER DUE DATE </t>
  </si>
  <si>
    <t>PENDING AND WAITING FOR THE PART</t>
  </si>
  <si>
    <t xml:space="preserve"> PART RECEIVED</t>
  </si>
  <si>
    <t>STANDARD PART</t>
  </si>
  <si>
    <t>PART MODIFIED OR REWORK</t>
  </si>
  <si>
    <t>GOT PROBLEM NEED TO ASK PURCHASER</t>
  </si>
  <si>
    <t>CANCEL THE PART</t>
  </si>
  <si>
    <t xml:space="preserve"> </t>
  </si>
  <si>
    <t>PARTIALY DELIVERY</t>
  </si>
  <si>
    <t>WAFTECH PART DESCRIPTION</t>
  </si>
  <si>
    <t>MODULE</t>
  </si>
  <si>
    <t>WAFTECH 
PART NUMBER</t>
  </si>
  <si>
    <t>QTY</t>
  </si>
  <si>
    <t>COST / 
UNIT</t>
  </si>
  <si>
    <t>TOTAL COST</t>
  </si>
  <si>
    <t>MR Request Date</t>
  </si>
  <si>
    <t>MR</t>
  </si>
  <si>
    <t>MR APPROVAL DATE</t>
  </si>
  <si>
    <t>PR</t>
  </si>
  <si>
    <t>PR APPROVAL DATE</t>
  </si>
  <si>
    <t>PO</t>
  </si>
  <si>
    <t>DOCUMENT DATE</t>
  </si>
  <si>
    <t>BOM SUBMISSION DATE</t>
  </si>
  <si>
    <t>PO Approval Date</t>
  </si>
  <si>
    <t>PO STATUS</t>
  </si>
  <si>
    <t>VENDOR</t>
  </si>
  <si>
    <t>REVISE DATE</t>
  </si>
  <si>
    <t>RECEIVED BY</t>
  </si>
  <si>
    <t>RECEIVED DATE</t>
  </si>
  <si>
    <t>TAKEN BY</t>
  </si>
  <si>
    <t>TAKEN DATE</t>
  </si>
  <si>
    <t>OBSOLETE</t>
  </si>
  <si>
    <t>REMARKS</t>
  </si>
  <si>
    <t>1363.1 - DEFECT COST</t>
  </si>
  <si>
    <t>1363.1 - Defect Cost</t>
  </si>
  <si>
    <t>1363.3 - 380LP-Frame Foup Load Port (Mech)</t>
  </si>
  <si>
    <t>BALL SCREW; ROLLED (FULL THREAD), MORIMOTO, MV1210-600L</t>
  </si>
  <si>
    <t>560-0210-00</t>
  </si>
  <si>
    <t>TAKEN</t>
  </si>
  <si>
    <t>RAJA</t>
  </si>
  <si>
    <t>N</t>
  </si>
  <si>
    <t>CYLINDER; FREE MOUNT, SMC, CDU20-40D-A93L</t>
  </si>
  <si>
    <t>441-0247-00</t>
  </si>
  <si>
    <t>PR2410000089</t>
  </si>
  <si>
    <t>10/15/2024</t>
  </si>
  <si>
    <t>PO2410000323</t>
  </si>
  <si>
    <t>2024-10-16</t>
  </si>
  <si>
    <t>11/01/2024</t>
  </si>
  <si>
    <t>SUPPORT UNIT; ROUND; FIX SIDE ECONOMY, MISUMI, BRWE10S</t>
  </si>
  <si>
    <t>560-0134-00</t>
  </si>
  <si>
    <t>PR2410000205</t>
  </si>
  <si>
    <t>10/28/2024</t>
  </si>
  <si>
    <t>PO2410000600</t>
  </si>
  <si>
    <t>2024-10-30</t>
  </si>
  <si>
    <t>11/08/2024</t>
  </si>
  <si>
    <t>LINEAR GUIDE, MISUMI, SSX2R24G-580</t>
  </si>
  <si>
    <t>500-0127-00</t>
  </si>
  <si>
    <t>PO2410000322</t>
  </si>
  <si>
    <t>11/04/2024</t>
  </si>
  <si>
    <t>LINEAR GUIDE, MISUMI, SSE2BWMZ16G-190-MC</t>
  </si>
  <si>
    <t>500-0167-00</t>
  </si>
  <si>
    <t>CYLINDER; PEN, CKD, SCPD3-CB-16C-45</t>
  </si>
  <si>
    <t>440-0206-01</t>
  </si>
  <si>
    <t>MOTOR; SERVO; 400W; A6; WITH ABSOLUTE ENCODER; WITH BRAKE, PANASONIC, MSMF042L1V2</t>
  </si>
  <si>
    <t xml:space="preserve"> 120-0495-00</t>
  </si>
  <si>
    <t>PO2410000321</t>
  </si>
  <si>
    <t>APPROVED</t>
  </si>
  <si>
    <t>GOLDLINK INDUSTRIES CO.,LTD</t>
  </si>
  <si>
    <t>DRIVER; SERVO MOTOR; 400W; A6, PANASONIC, MBDLT25SF</t>
  </si>
  <si>
    <t>120-0496-00</t>
  </si>
  <si>
    <t>PR2410000099</t>
  </si>
  <si>
    <t>10/16/2024</t>
  </si>
  <si>
    <t>PO2410000324</t>
  </si>
  <si>
    <t>2024-10-28</t>
  </si>
  <si>
    <t xml:space="preserve">ENCODER CABLE; A6 SERVO MOTOR; FLEXI; 1 METER; PURCHASE FROM CHINA, PANASONIC, MFECA0010EAD-S
</t>
  </si>
  <si>
    <t>150-0840-00</t>
  </si>
  <si>
    <t>11/06/2024</t>
  </si>
  <si>
    <t>Y</t>
  </si>
  <si>
    <t>MOTOR CABLE; A6 SERVO MOTOR; FLEXI; 1 METER; PURCHASE FROM CHINA, PANASONIC, MFMCA0010EED</t>
  </si>
  <si>
    <t>150-0844-00</t>
  </si>
  <si>
    <t>BRAKE CABLE; A6 SERVO MOTOR; FLEXI; 1 METER; PURCHASE FROM CHINA, PANASONIC, MFMCB0010GET</t>
  </si>
  <si>
    <t>150-0836-00</t>
  </si>
  <si>
    <t>LINEAR GUIDE, MISUMI, SSE2BM20-340</t>
  </si>
  <si>
    <t xml:space="preserve"> 500-0420-00</t>
  </si>
  <si>
    <t>BALLSCREW; ROLLED, MISUMI, C-BSSC1004-270</t>
  </si>
  <si>
    <t>560-0304-00</t>
  </si>
  <si>
    <t>BALLSCREW SUPPORT UNIT SET, MISUMI, C-BSW8-SET</t>
  </si>
  <si>
    <t>560-0306-00</t>
  </si>
  <si>
    <t>ROTARY CLAMP CYLINDER, SMC, MKB16-10LZ-A93L</t>
  </si>
  <si>
    <t>440-0361-00</t>
  </si>
  <si>
    <t>MOTOR; SERVO; A6; WITH ABSOLUTE ENCODER, PANASONIC, MSMF012L1U2</t>
  </si>
  <si>
    <t>120-0526-00</t>
  </si>
  <si>
    <t>DRIVER; SERVO MOTOR; 100W; A6, PANASONIC, MADLT05SF</t>
  </si>
  <si>
    <t>120-0504-00</t>
  </si>
  <si>
    <t>LQ-SERIES; INTERFACE CONNECTOR, PANASONIC, DVOP0770</t>
  </si>
  <si>
    <t>160-0391-00</t>
  </si>
  <si>
    <t/>
  </si>
  <si>
    <t>PO PFA</t>
  </si>
  <si>
    <t>MOTOR CABLE; A6 SERVO MOTOR; FLEXI; 1 METER; PURCHASE FROM CHINA, PANASONIC, MFMCA0010EED-S</t>
  </si>
  <si>
    <t>BRAKE CABLE; A6 SERVO MOTOR; FLEXI; 1 METER; PURCHASE FROM CHINA, PANASONIC, MFMCB0010GET-S</t>
  </si>
  <si>
    <t>ENCODER CABLE; A6 SERVO MOTOR; FLEXI; 1 METER; PURCHASE FROM CHINA, PANASONIC, MFECA0010EAD-S</t>
  </si>
  <si>
    <t>CASTER, MISUMI, CNGJ50-R</t>
  </si>
  <si>
    <t>510-0120-00</t>
  </si>
  <si>
    <t>PO2410000329</t>
  </si>
  <si>
    <t>JY</t>
  </si>
  <si>
    <t>ADJUSTABLE PADS, MISUMI, FJGM16-100-D</t>
  </si>
  <si>
    <t>510-0042-00</t>
  </si>
  <si>
    <t>MAGNETIC SENSOR, OMRON, GLS-01 (FULL SET)</t>
  </si>
  <si>
    <t>100-0209-00</t>
  </si>
  <si>
    <t>EMBEDDED PULLS (BLACK), TAKIGEN, AP-197-1-2</t>
  </si>
  <si>
    <t>590-0491-00</t>
  </si>
  <si>
    <t>MECHALOCK PULLEY, MISUMI, HTLA44S3M150-E-8</t>
  </si>
  <si>
    <t>460-0668-00</t>
  </si>
  <si>
    <t>BALL BEARING, MISUMI, SBC6000ZZ</t>
  </si>
  <si>
    <t>480-0105-00</t>
  </si>
  <si>
    <t>MECHALOCK PULLEY, MISUMI, HTLA44S3M150-E-14</t>
  </si>
  <si>
    <t>460-0667-00</t>
  </si>
  <si>
    <t>BELT; TIMING, MISUMI, HTBN318S3M-150</t>
  </si>
  <si>
    <t>460-0965-00</t>
  </si>
  <si>
    <t>LOCK NUT, MISUMI, BNG4</t>
  </si>
  <si>
    <t>480-0318-00</t>
  </si>
  <si>
    <t>LOCK NUT, MISUMI, BNG6</t>
  </si>
  <si>
    <t>480-0274-00</t>
  </si>
  <si>
    <t>PARALLEL KEY, MISUMI, KEGF3-7</t>
  </si>
  <si>
    <t>590-0656-00</t>
  </si>
  <si>
    <t>BEARING; STAINLESS STEEL, MISUMI, SBC694ZZ</t>
  </si>
  <si>
    <t>480-0316-00</t>
  </si>
  <si>
    <t>BALL BEARING, MISUMI, SBC696ZZ</t>
  </si>
  <si>
    <t>480-0120-00</t>
  </si>
  <si>
    <t>COMPRESSION SPRING, MISUMI, UY6-10</t>
  </si>
  <si>
    <t>490-0072-00</t>
  </si>
  <si>
    <t>ROD END BEARING, MISUMI, PHSCM5</t>
  </si>
  <si>
    <t>540-0040-00</t>
  </si>
  <si>
    <t>VACUUM VALVE; 3/2 WAY; 24VDC, CKD, 3PA110-M5-3</t>
  </si>
  <si>
    <t>430-0143-00</t>
  </si>
  <si>
    <t>PO2410000331</t>
  </si>
  <si>
    <t>SOLENOID VALVE; 5/3 WAY; CENTER CLOSED, CKD, 4GA130R-C4-E2-3</t>
  </si>
  <si>
    <t>430-0244-00</t>
  </si>
  <si>
    <t>CABLE CHAIN, HANSHIN, HSP0450-1BN-R50</t>
  </si>
  <si>
    <t>520-0023-00</t>
  </si>
  <si>
    <t>PO2410000325</t>
  </si>
  <si>
    <t>10/25/2024</t>
  </si>
  <si>
    <t>CABLE CHAIN END BRACKET, HANSHIN, HSP0450-1BN-EB</t>
  </si>
  <si>
    <t>520-0086-00</t>
  </si>
  <si>
    <t>PUMP; VACUUM, VTEC, VC202P</t>
  </si>
  <si>
    <t>400-0176-00</t>
  </si>
  <si>
    <t>PO2410000328</t>
  </si>
  <si>
    <t>MAXPELL SDN BHD</t>
  </si>
  <si>
    <t>10/24/2024</t>
  </si>
  <si>
    <t>MUFFLER; PLASTIC, KGN, KM-11-KGN</t>
  </si>
  <si>
    <t>410-0328-00</t>
  </si>
  <si>
    <t>PO2410000327</t>
  </si>
  <si>
    <t>KGN Corporation Sdn Bhd</t>
  </si>
  <si>
    <t>10/30/2024</t>
  </si>
  <si>
    <t>QUICK FITTING ELBOW, KGN, KTL6-01M</t>
  </si>
  <si>
    <t>590-0730-00</t>
  </si>
  <si>
    <t>AMPLIFIER; PHOTOELECTRIC SENSOR, KEYENCE, FS-N11N</t>
  </si>
  <si>
    <t>100-0171-00</t>
  </si>
  <si>
    <t>PO2410000326</t>
  </si>
  <si>
    <t>10/21/2024</t>
  </si>
  <si>
    <t>COUPLING, R+W, BKL-2-6-8</t>
  </si>
  <si>
    <t>560-0478-00</t>
  </si>
  <si>
    <t>PO2410000330</t>
  </si>
  <si>
    <t>PBA SYSTEMS (PG) SDN BHD</t>
  </si>
  <si>
    <t>10/22/2024</t>
  </si>
  <si>
    <t>REFLECTIVE FIBER UNIT, KEYENCE, FU-10</t>
  </si>
  <si>
    <t>100-0456-00</t>
  </si>
  <si>
    <t>MANIFOLD; 5 PORTS, CKD, M4GA1R-00-5</t>
  </si>
  <si>
    <t>430-0258-00</t>
  </si>
  <si>
    <t>SOLENOID VALVE; 5/3 WAY; CENTER CLOSE; 24VDC, CKD, 4GA139R-C6-E2-3</t>
  </si>
  <si>
    <t>430-0149-01</t>
  </si>
  <si>
    <t>VALVE; SINGLE SOLENOID; 5/2 WAY, CKD, 4GA119R-C4-E2H-3</t>
  </si>
  <si>
    <t>430-0254-00</t>
  </si>
  <si>
    <t>ESD PLUG; BANANA JACK, EST-MARUSHIN, MK-628, RED</t>
  </si>
  <si>
    <t>290-0487-00</t>
  </si>
  <si>
    <t>AMPLIFIER BRACKET, KEYENCE, OP-73880</t>
  </si>
  <si>
    <t>100-0255-00</t>
  </si>
  <si>
    <t>taken</t>
  </si>
  <si>
    <t>PRESSURE SENSOR; NEGATIVE PRESSURE, PANASONIC, DP-101</t>
  </si>
  <si>
    <t>100-0115-00</t>
  </si>
  <si>
    <t>PANEL MOUNT FRONT COVER; FOR PRESSURE SENSOR, PANASONIC, MS-DP1-3</t>
  </si>
  <si>
    <t>100-0111-00</t>
  </si>
  <si>
    <t>PANEL MOUNT BRACKET; FOR PRESSURE SENSOR, PANASONIC, MS-DP1-2</t>
  </si>
  <si>
    <t>100-0110-01</t>
  </si>
  <si>
    <t>A5/A6-SERIES INTERFACE CONNECTOR KITS; FOR A5/A6 SERVO DRIVER, PANASONIC, DVOP4350</t>
  </si>
  <si>
    <t>150-0589-00</t>
  </si>
  <si>
    <t>STO CONNECTOR KITS; FOR X3, PANASONIC, DVOPM20103</t>
  </si>
  <si>
    <t>150-0858-00</t>
  </si>
  <si>
    <t>PILOT LIGHT; 16MM; YELLOW; A SERIES; 24VDC, IDEC, AL6M-P4Y</t>
  </si>
  <si>
    <t>110-0120-00</t>
  </si>
  <si>
    <t>PR2411000085</t>
  </si>
  <si>
    <t>PR PFA</t>
  </si>
  <si>
    <t>store</t>
  </si>
  <si>
    <t>SHOULDER SCREW, MISUMI, GMSB8-15</t>
  </si>
  <si>
    <t>550-0378-00</t>
  </si>
  <si>
    <t>PR2410000246</t>
  </si>
  <si>
    <t>PO2411000148</t>
  </si>
  <si>
    <t>2024-11-08</t>
  </si>
  <si>
    <t>11/22/2024</t>
  </si>
  <si>
    <t>HEXAGON POST, MISUMI, PLSBG8-52-M5-N5</t>
  </si>
  <si>
    <t>540-1125-00</t>
  </si>
  <si>
    <t>FLOW CONTROLLER, SMC, AS1201F-M5-06A</t>
  </si>
  <si>
    <t>410-0300-01</t>
  </si>
  <si>
    <t>PR2410000248</t>
  </si>
  <si>
    <t>PO2411000152</t>
  </si>
  <si>
    <t>11/21/2024</t>
  </si>
  <si>
    <t>FLOATING JOINT, SMC, JA15-6-100</t>
  </si>
  <si>
    <t>590-0973-00</t>
  </si>
  <si>
    <t>PO2411000149</t>
  </si>
  <si>
    <t>12/06/2024</t>
  </si>
  <si>
    <t>FITTING, SMC, KQ2S06-01AS</t>
  </si>
  <si>
    <t>410-0714-00</t>
  </si>
  <si>
    <t>SILENCER, SMC, AN120-M5</t>
  </si>
  <si>
    <t>430-0014-00</t>
  </si>
  <si>
    <t>UNION T, SMC, KQ2T06-00A</t>
  </si>
  <si>
    <t>410-0234-00</t>
  </si>
  <si>
    <t>VACUUM CUP, VTEC, VF50WS</t>
  </si>
  <si>
    <t>400-0050-00</t>
  </si>
  <si>
    <t>PO2411000147</t>
  </si>
  <si>
    <t>11/18/2024</t>
  </si>
  <si>
    <t>ELBOW, KGN, KTL6-M5M</t>
  </si>
  <si>
    <t>410-0448-00</t>
  </si>
  <si>
    <t>PO2411000146</t>
  </si>
  <si>
    <t>UNION Y, KGN, KUY6M</t>
  </si>
  <si>
    <t>410-0451-00</t>
  </si>
  <si>
    <t>SENSOR; SLOT, PANASONIC, PM-L25</t>
  </si>
  <si>
    <t>100-0447-00</t>
  </si>
  <si>
    <t>SENSOR; SLOT, PANASONIC, PM-U25</t>
  </si>
  <si>
    <t>100-0438-00</t>
  </si>
  <si>
    <t>LINEAR SHAFT, MISUMI, CPSFJW8-146-M5-N5</t>
  </si>
  <si>
    <t>540-0289-00</t>
  </si>
  <si>
    <t>FITTING, SMC, KQ2W06-M5A</t>
  </si>
  <si>
    <t>410-0766-00</t>
  </si>
  <si>
    <t>SILENCER, SMC, AN10-01</t>
  </si>
  <si>
    <t>410-0614-00</t>
  </si>
  <si>
    <t>FITTING; ELBOW, SMC, KQ2L06-01AS</t>
  </si>
  <si>
    <t>410-0213-00</t>
  </si>
  <si>
    <t>FITTING, SMC, KQ2T04-00A</t>
  </si>
  <si>
    <t>410-0492-00</t>
  </si>
  <si>
    <t>TUBE CONNECTOR, FESTO, L-PK-4</t>
  </si>
  <si>
    <t>410-0056-00</t>
  </si>
  <si>
    <t>MULTI TUBE HOLDER, SMC, TM-06</t>
  </si>
  <si>
    <t>590-1223-00</t>
  </si>
  <si>
    <t>SELECTOR VALVE, MINDMAN, MVHA-3V</t>
  </si>
  <si>
    <t>430-0245-00</t>
  </si>
  <si>
    <t>ELBOW, KGN, KTL4-M5M</t>
  </si>
  <si>
    <t>410-0447-00</t>
  </si>
  <si>
    <t>FITTING; ELBOW, CKD, GWJL4-M5</t>
  </si>
  <si>
    <t>410-1014-00</t>
  </si>
  <si>
    <t>SENSOR AMPLIFIER, KEYENCE, LV-N11N</t>
  </si>
  <si>
    <t>100-0246-00</t>
  </si>
  <si>
    <t>PO2411000145</t>
  </si>
  <si>
    <t>11/12/2024</t>
  </si>
  <si>
    <t>SENSOR; LASER PHOTOELECTRIC, KEYENCE, LV-S62</t>
  </si>
  <si>
    <t>100-0212-00</t>
  </si>
  <si>
    <t>SPEED CONTROLLER, CKD, SC3W-M5-4</t>
  </si>
  <si>
    <t>410-0193-00</t>
  </si>
  <si>
    <t>SET SCREW SOFT TYPE, MISUMI, SBCPS4-6</t>
  </si>
  <si>
    <t>550-0543-00</t>
  </si>
  <si>
    <t>WASHER, MISUMI, WSJM16-6-2</t>
  </si>
  <si>
    <t>550-1231-00</t>
  </si>
  <si>
    <t>FITTING; MINIATURE, SMC, M-5HL-6</t>
  </si>
  <si>
    <t>410-0016-00</t>
  </si>
  <si>
    <t>BUTTON; MOMENTARY; 22mm WITH 24V LED; GREEN, RS, 811-4135</t>
  </si>
  <si>
    <t>110-0178-00</t>
  </si>
  <si>
    <t>JAM NUT; NUT, FON KOK, M12</t>
  </si>
  <si>
    <t>550-1135-00</t>
  </si>
  <si>
    <t>CYLINDER; COMPACT, CKD, SSG-L-12-5-T2V-D</t>
  </si>
  <si>
    <t>440-0970-00</t>
  </si>
  <si>
    <t>PR2411000024</t>
  </si>
  <si>
    <t>11/07/2024</t>
  </si>
  <si>
    <t>PO2411000156</t>
  </si>
  <si>
    <t>12/12/2024</t>
  </si>
  <si>
    <t>SENSOR; PHOTOELECTRIC; DIFFUSE REFLECTIVE TYPE; COMPACT, PANASONIC, CX-421</t>
  </si>
  <si>
    <t>100-0058-00</t>
  </si>
  <si>
    <t>LINEAR SHAFT, MISUMI, E-PSSFJZ8-146-M5-N5-SC70</t>
  </si>
  <si>
    <t>540-1132-00</t>
  </si>
  <si>
    <t>PO2411000155</t>
  </si>
  <si>
    <t>LEVELING SCREW, MISUMI, LVWM12-10</t>
  </si>
  <si>
    <t>550-0572-00</t>
  </si>
  <si>
    <t>SHOULDER SCREW, MISUMI, SMSB8-15</t>
  </si>
  <si>
    <t>550-0574-00</t>
  </si>
  <si>
    <t>FITTING; UNION ELBOW, SMC, KQ2L04-M5A</t>
  </si>
  <si>
    <t>410-0561-00</t>
  </si>
  <si>
    <t>HEXAGON BOLT, MISUMI, RSCB6-25</t>
  </si>
  <si>
    <t>550-0453-00</t>
  </si>
  <si>
    <t>HEX NUT; M6, MISUMI, SKNTR6</t>
  </si>
  <si>
    <t>550-1297-00</t>
  </si>
  <si>
    <t>WASHER; METAL, MISUMI, WSSS25-8-5</t>
  </si>
  <si>
    <t>550-1299-00</t>
  </si>
  <si>
    <t>O-RING; NITRILE; ID=27.0mm; C/S=1.0mm, ERIKS, N/A</t>
  </si>
  <si>
    <t>590-3404-00</t>
  </si>
  <si>
    <t>PO2411000154</t>
  </si>
  <si>
    <t>B-WISCO ENGINEERING &amp; TRADING SDN BHD</t>
  </si>
  <si>
    <t>11/15/2024</t>
  </si>
  <si>
    <t>SPEED CONTROLLER, SMC, AS1201F-M5-04A</t>
  </si>
  <si>
    <t>450-0188-00</t>
  </si>
  <si>
    <t>PT</t>
  </si>
  <si>
    <t>new PR - taken 3</t>
  </si>
  <si>
    <t xml:space="preserve">RECVEICE 3 </t>
  </si>
  <si>
    <t>THICK WASHER, MISUMI, C-WSSA16-6-2</t>
  </si>
  <si>
    <t>550-1305-00</t>
  </si>
  <si>
    <t>MASKING PLATE, CKD, 4G1R-MP</t>
  </si>
  <si>
    <t>450-0176-00</t>
  </si>
  <si>
    <t>HEXAGON POST, MISUMI, C-PLSBWRK6-15</t>
  </si>
  <si>
    <t>540-1124-00</t>
  </si>
  <si>
    <t>REGULATOR GAUGE UNION, PISCO, RVUMP6-6</t>
  </si>
  <si>
    <t>410-1393-00</t>
  </si>
  <si>
    <t>FITTING; MINIATURE, SMC, M-5HL-4</t>
  </si>
  <si>
    <t>410-0366-00</t>
  </si>
  <si>
    <t>PRESSURE SENSOR; POSITIVE PRESSURE, PANASONIC, DP-102</t>
  </si>
  <si>
    <t>100-0117-00</t>
  </si>
  <si>
    <t>VALVE; SINGLE SOLENOID; 5/2 WAY, CKD, 3GA110R-C4-E2N-3</t>
  </si>
  <si>
    <t>430-0327-00</t>
  </si>
  <si>
    <t>FITTING; T-JOINT, SMC, KQ2T04-06A</t>
  </si>
  <si>
    <t>410-0494-00</t>
  </si>
  <si>
    <t>FITTING; PLUG, SMC, KQ2P-04</t>
  </si>
  <si>
    <t>160-0209-00</t>
  </si>
  <si>
    <t>FITTING, SMC, KQ2H10-00A</t>
  </si>
  <si>
    <t>410-0618-00</t>
  </si>
  <si>
    <t>STRAIGHT UNION SAME DIAMETER, SMC, KQ2H06-00A</t>
  </si>
  <si>
    <t>410-0979-00</t>
  </si>
  <si>
    <t>FITTING; ONE TOUCH, SMC, KQ2R04-06A</t>
  </si>
  <si>
    <t>410-0727-00</t>
  </si>
  <si>
    <t>FITTING; MANIFOLD, SMC, KM13-06-08-3</t>
  </si>
  <si>
    <t>410-0821-00</t>
  </si>
  <si>
    <t>VALVE; SOLENOID 5/3 WAY, CKD, 4GA130R-C6-E2-3</t>
  </si>
  <si>
    <t>430-0141-01</t>
  </si>
  <si>
    <t>FITTING, SMC, KQ2L08-01AS</t>
  </si>
  <si>
    <t>410-0762-00</t>
  </si>
  <si>
    <t>FITTING; STRAIGHT, SMC, KQ2S08-01AS</t>
  </si>
  <si>
    <t>410-0737-00</t>
  </si>
  <si>
    <t xml:space="preserve">VALVE; 3/2 WAY; WITH MOUNTING PLATE; 24VDC, CKD, 3PA210-06-P-3
</t>
  </si>
  <si>
    <t>430-0167-00</t>
  </si>
  <si>
    <t>ONE TOUCH FITTING; MALE 3/8"; TUBE OD10; GASKET SEAL, SMC, KQ2S10-03AP</t>
  </si>
  <si>
    <t>410-1461-00</t>
  </si>
  <si>
    <t>SPHERICAL WASHER, MISUMI, BJ742-08201-SUS</t>
  </si>
  <si>
    <t>550-1306-00</t>
  </si>
  <si>
    <t>SPHERICAL WASHER, MISUMI, BJ742-06201-SUS</t>
  </si>
  <si>
    <t>550-1307-00</t>
  </si>
  <si>
    <t>590-3410-00</t>
  </si>
  <si>
    <t>1363.5 - MISC</t>
  </si>
  <si>
    <t>ELECTRICAL PART</t>
  </si>
  <si>
    <t>1363.2 - 380LP-Frame Foup Load Port (EE)</t>
  </si>
  <si>
    <t>3 PIN PLUG, MASTER PLUG UK MAINS CONNECTOR BS1363, 13A, CABLE MOUNT, 250VAC; RS 323-6252</t>
  </si>
  <si>
    <t>290-0524-00</t>
  </si>
  <si>
    <t>2 POLE MCB; 20A; SCHNEIDER; A9F74220</t>
  </si>
  <si>
    <t>707-0003-00</t>
  </si>
  <si>
    <t>PR2410000105</t>
  </si>
  <si>
    <t>PO2410000334</t>
  </si>
  <si>
    <t>SURGE ARRESTER; PF 20; 1P+N, SCHNEIDER, A9L15692</t>
  </si>
  <si>
    <t>290-0187-01</t>
  </si>
  <si>
    <t>SINGLE PHASE FILTER 30A, SCHAFFNER, FN2030-30-08; ELEMENT14 1304849</t>
  </si>
  <si>
    <t>140-0368-00</t>
  </si>
  <si>
    <t>PO2410000333</t>
  </si>
  <si>
    <t>ELSO Technologies Sdn Bhd</t>
  </si>
  <si>
    <t>TERMINAL BLOCK; 4 CONDUCTOR DOUBLE DECK; GREY, WAGO, 2002-2208</t>
  </si>
  <si>
    <t>290-0191-00</t>
  </si>
  <si>
    <t>END PLATE, WAGO, 2002-2292</t>
  </si>
  <si>
    <t>290-0192-00</t>
  </si>
  <si>
    <t>TERMINAL BLOCK; 4 CONDUCTOR DOUBLE DECK; GROUND (EARTH), WAGO, 2002-2207</t>
  </si>
  <si>
    <t>290-0189-00</t>
  </si>
  <si>
    <t>END STOP,10mm WIDE, WAGO, 249-117</t>
  </si>
  <si>
    <t>290-0135-00</t>
  </si>
  <si>
    <t>2-CONDUCTOR THROUGH TERMINAL BLOCK (2.5mmÂ²) 2-WAY JUMPER BARS, WAGO, 2002-402</t>
  </si>
  <si>
    <t>290-0133-00</t>
  </si>
  <si>
    <t>POWER SUPPLY; 100W; 24V, MEANWELL, MDR-100-24</t>
  </si>
  <si>
    <t>707-0007-00</t>
  </si>
  <si>
    <t>PO2410000335</t>
  </si>
  <si>
    <t>FD</t>
  </si>
  <si>
    <t>WENTION CONTROLS SDN BHD</t>
  </si>
  <si>
    <t>POWER SUPPLY; 60W; 24V, MEANWELL, MDR-60-24</t>
  </si>
  <si>
    <t>707-0008-00</t>
  </si>
  <si>
    <t>2-CONDUCTOR THROUGH TERMINAL BLOCK (2.5mmÂ²) 3-WAY JUMPER BARS, WAGO, 2002-403</t>
  </si>
  <si>
    <t>290-0134-00</t>
  </si>
  <si>
    <t>MCB; 10A; 1 POLE, SCHNEIDER, A9F74110</t>
  </si>
  <si>
    <t>140-0315-00</t>
  </si>
  <si>
    <t>RELAY; DOUBLE POLE DOUBLE THROW; 24VDC COIL, C/W RELAY BASE ; SLIM TYPE, OMRON G2R-2-SN DC24(S) BY OMB &amp; SOCKET P2RFZ-08-E BY OMZ</t>
  </si>
  <si>
    <t>140-0410-00</t>
  </si>
  <si>
    <t>PO2410000332</t>
  </si>
  <si>
    <t>11/05/2024</t>
  </si>
  <si>
    <t>CABLE; TWISTED PAIR; COPPER BRAID SCREENING; 2x2x0.14mm2; 1 METER, LAPP KABEL, UNITRONIC LIYCY(TP) 0035131</t>
  </si>
  <si>
    <t>150-0240-00</t>
  </si>
  <si>
    <t>CABLE; TWISTED PAIR; COPPER BRAID SCREENING; 4x2x0.14mm2; 1 METER, LAPP KABEL, UNITRONIC LIYCY(TP) 0035132</t>
  </si>
  <si>
    <t>150-0239-00</t>
  </si>
  <si>
    <t>RESISTOR; 5O OHM; 50 WATT, ARCOL, HS50 50R J;RS STOCK CODE : 160-988</t>
  </si>
  <si>
    <t>140-0279-00</t>
  </si>
  <si>
    <t>SPLIT CORE FERRITE, 13MM, 50MHZ, 500MHZ, 150 Ohm, ZCAT SERIES; ZCAT3035-1330; RS STOCK CODE : 170-3333</t>
  </si>
  <si>
    <t>140-0298-00</t>
  </si>
  <si>
    <t>DSUB 9 WAY CONNECTOR; FEMALE; C/W METAL COVER, N/A, N/A</t>
  </si>
  <si>
    <t>160-0204-00</t>
  </si>
  <si>
    <t>DSUB 9WAY CONNECTOR; MALE; C/W  METAL COVER, N/A, N/A</t>
  </si>
  <si>
    <t>160-0290-00</t>
  </si>
  <si>
    <t>TERMINAL BOARD; 16 WAY; D-SUB 25 MALE RIGHT ANGLE, SF MICRO, D25M16S3-L</t>
  </si>
  <si>
    <t>220-0039-00</t>
  </si>
  <si>
    <t>L177SDB25S -  D Sub Connector, 25 Contacts, Receptacle, DB, SD Series, Steel Body, Solder; Element14 P/N 2401235</t>
  </si>
  <si>
    <t>160-0193-01</t>
  </si>
  <si>
    <t>CONNECTOR;DSUB COVER, 25 WAY, PLASTIC BODY, MHCCOV-25SC-LG, UL94HB Material, ELEMENT14 PN 3938037</t>
  </si>
  <si>
    <t>160-0483-00</t>
  </si>
  <si>
    <t>MOLEX 0050-37-5033 (HOUSING 3 WAY)</t>
  </si>
  <si>
    <t>160-0419-01</t>
  </si>
  <si>
    <t>MOLEX 0008-70-1039 (PINS)</t>
  </si>
  <si>
    <t>160-0420-01</t>
  </si>
  <si>
    <t>AUTONICS 4 WAYS WIRE MOUNT PLUG, AWG 26 TO 24, AUTONICS, CNE-P04-YW</t>
  </si>
  <si>
    <t>160-0525-00</t>
  </si>
  <si>
    <t>AUTONICS 4 WAYS WIRE MOUNT SOCKET, AWG 26 TO 24, AUTONICS, CNE-S04-YW</t>
  </si>
  <si>
    <t>160-0526-00</t>
  </si>
  <si>
    <t>CONNECTOR;POWER;P/N:NAC3MPA,CHASIS,POWER IN, STOCK NO. 246-8290</t>
  </si>
  <si>
    <t>160-0100-00</t>
  </si>
  <si>
    <t>CONNECTOR;POWER;P/N:NAC3FCA,CABLE,POWER IN,STOCK NO. 2468278</t>
  </si>
  <si>
    <t>160-0099-00</t>
  </si>
  <si>
    <t>PLASTIC COVER; P/N SCDR; FOR NAC3MPA; NEUTRIK; RS771-0476</t>
  </si>
  <si>
    <t>160-0563-00</t>
  </si>
  <si>
    <t>PR2410000253</t>
  </si>
  <si>
    <t>PO2411000153</t>
  </si>
  <si>
    <t>11/29/2024</t>
  </si>
  <si>
    <t>High Power Connector, powerCON TRUE1, Plug, 250 VAC, 16 A, Cable Mount, Screw; Neutik NAC3MX-W-TOP, Element14: 3014298</t>
  </si>
  <si>
    <t>707-0010-00</t>
  </si>
  <si>
    <t>PR2411000052</t>
  </si>
  <si>
    <t>High Power Connector, powerCON TRUE1, Receptacle, 250 VAC, 16 A, Cable Mount, Screw; Neutik NAC3FX-W-TOP, Element14 3014297</t>
  </si>
  <si>
    <t>707-0011-00</t>
  </si>
  <si>
    <t>1 week</t>
  </si>
  <si>
    <t>JST VH CONNECTOR HOUSING, 3.96mm, 3 WAYS 1X3W; SD-CN-VHR-3M</t>
  </si>
  <si>
    <t>707-0012-00</t>
  </si>
  <si>
    <t>JST XAD FEMALE CONNECTOR HOUSING, 2.5mm 40W, 2 ROWS; SD-CN-JST-XADRF-40V</t>
  </si>
  <si>
    <t>707-0013-00</t>
  </si>
  <si>
    <t>JST, XHP FEMALE CONNECTOR HOUSING, 2.5mm, 3W, 1 ROW; SD-CN-JST-XHP-3</t>
  </si>
  <si>
    <t>707-0014-00</t>
  </si>
  <si>
    <t>JST, XAD FEMALE CONNECTOR HOUSING, 2.5mm, 3W, 2 ROW; SD-CN-JST-XADRP-32V</t>
  </si>
  <si>
    <t>707-0015-00</t>
  </si>
  <si>
    <t>JST, XHP FEMALE CONNECTOR HOUSING, 2.5mm, 5W, 1 ROW; SD-CN-JST-XHP-5</t>
  </si>
  <si>
    <t>707-0016-00</t>
  </si>
  <si>
    <t>JST, VH SERIES FEMALE CRIMP TERMINAL, 16AWG, SVH-41T-P1.1; SD-CN-SVH-41T-P1.1</t>
  </si>
  <si>
    <t>707-0017-00</t>
  </si>
  <si>
    <t>JST, XAD SERIES FEMALE CRIMP TERMINAL, 20AWG, SXA-01T-P0.1; SD-CN-SXA-01T-P0.6</t>
  </si>
  <si>
    <t>707-0018-00</t>
  </si>
  <si>
    <t>JST, XAD SERIES FEMALE CRIMP TERMINAL, 22AWG, SXH-001T-P0.6; SD-CN-SXH-001T-P0.6</t>
  </si>
  <si>
    <t>707-0019-00</t>
  </si>
  <si>
    <t>1363.4 - FASTENER</t>
  </si>
  <si>
    <t>FABRICATION PART</t>
  </si>
  <si>
    <t>FO-STRUCTURE WIRE SHIELD, N/A, 800-6839-00</t>
  </si>
  <si>
    <t>800-6839-00</t>
  </si>
  <si>
    <t>PR2410000244</t>
  </si>
  <si>
    <t>PO2411000137</t>
  </si>
  <si>
    <t>GSH Metal</t>
  </si>
  <si>
    <t>FO-RO-STRUCTURE BASE HOLDER, N/A, 802-4218-00</t>
  </si>
  <si>
    <t>802-4218-00</t>
  </si>
  <si>
    <t>PO2411000142</t>
  </si>
  <si>
    <t xml:space="preserve">Waftech Tooling </t>
  </si>
  <si>
    <t>Raja</t>
  </si>
  <si>
    <t>FO-RO-STAND STRUCTURE ENCLOSURE HOLDER, N/A, 802-4409-00</t>
  </si>
  <si>
    <t>802-4409-00</t>
  </si>
  <si>
    <t>FO-RO-CASTOR WHEEL MOUNT PLT #1, N/A, 803-0640-00</t>
  </si>
  <si>
    <t>803-0640-00</t>
  </si>
  <si>
    <t>FO-RO-CASTOR WHEEL MOUNT PLT #2, N/A, 803-0641-00</t>
  </si>
  <si>
    <t>803-0641-00</t>
  </si>
  <si>
    <t>FO-PLACEMENT SENSOR SHAFT (947), N/A, 804-5672-00</t>
  </si>
  <si>
    <t>804-5672-00</t>
  </si>
  <si>
    <t>PO2411000143</t>
  </si>
  <si>
    <t>WLS</t>
  </si>
  <si>
    <t>AFP301-FO-DOOR OPENER VAC CUP HOLDER, N/A, 804-7434-00</t>
  </si>
  <si>
    <t>804-7434-00</t>
  </si>
  <si>
    <t>FO-RO-TRANSCEIVER MOUNT BLK, N/A, 804-2118-00</t>
  </si>
  <si>
    <t>804-2118-00</t>
  </si>
  <si>
    <t>FO-MODIFY-MORIMOTO MV1210-600L, N/A, 800-8117-00</t>
  </si>
  <si>
    <t>800-8117-00</t>
  </si>
  <si>
    <t>PO2411000144</t>
  </si>
  <si>
    <t>YK CNC</t>
  </si>
  <si>
    <t>FO-RO-UPPER DAMPER, N/A, 802-4224-00</t>
  </si>
  <si>
    <t>802-4224-00</t>
  </si>
  <si>
    <t>FO-RO-BALL SCREW NUT HOLDER, N/A, 802-4225-00</t>
  </si>
  <si>
    <t>802-4225-00</t>
  </si>
  <si>
    <t>FO-RO-LEAD SCREW END BLOCK, N/A, 802-4226-00</t>
  </si>
  <si>
    <t>802-4226-00</t>
  </si>
  <si>
    <t>FO-RO-END BEARING SUPPORT, N/A, 802-4227-01</t>
  </si>
  <si>
    <t>802-4227-01</t>
  </si>
  <si>
    <t>FO-RO-STRUCTURE DL LM SPACER, N/A, 802-4223-00</t>
  </si>
  <si>
    <t>802-4223-00</t>
  </si>
  <si>
    <t>FO-RO-STRUCTURE DL BASE, N/A, 802-4212-00</t>
  </si>
  <si>
    <t>802-4212-00</t>
  </si>
  <si>
    <t>FO-RO-RIB, N/A, 802-4213-00</t>
  </si>
  <si>
    <t>802-4213-00</t>
  </si>
  <si>
    <t>FO-RO-SLIDE LM BLOCK MOUNTER, N/A, 802-4214-00</t>
  </si>
  <si>
    <t>802-4214-00</t>
  </si>
  <si>
    <t>FO-RO-SLIDE LM BLOCK MOUNTER (M), N/A, 802-4215-00</t>
  </si>
  <si>
    <t>802-4215-00</t>
  </si>
  <si>
    <t>FO-RO-CC BRK, N/A, 802-4216-00</t>
  </si>
  <si>
    <t>802-4216-00</t>
  </si>
  <si>
    <t>FO-RO-FLOATING JOINT PLATE, N/A, 802-4217-00</t>
  </si>
  <si>
    <t>802-4217-00</t>
  </si>
  <si>
    <t>FO-RO-DL SLIDE RAIL BLOCK, N/A, 802-4199-00</t>
  </si>
  <si>
    <t>802-4199-00</t>
  </si>
  <si>
    <t>FO-RO-DL SLIDE RAIL BLOCK (M), N/A, 802-4200-00</t>
  </si>
  <si>
    <t>802-4200-00</t>
  </si>
  <si>
    <t>FO-RO-CABLE HOLD PLT, N/A, 802-4468-00</t>
  </si>
  <si>
    <t>802-4468-00</t>
  </si>
  <si>
    <t>FO-PLACEMENT SENSOR HOLDER, N/A, 800-6871-00</t>
  </si>
  <si>
    <t>800-6871-00</t>
  </si>
  <si>
    <t>FO-DOOR INTERFACE LATCH BEARING SPACER, N/A, 800-6904-00</t>
  </si>
  <si>
    <t>800-6904-00</t>
  </si>
  <si>
    <t>FO-DOOR OPENER LATCH LINKAGE BEARING SHAFT, N/A, 800-6908-00</t>
  </si>
  <si>
    <t>800-6908-00</t>
  </si>
  <si>
    <t>FO-DOOR OPENER LATCH LINKAGE BEARING SPACER, N/A, 800-6910-00</t>
  </si>
  <si>
    <t>800-6910-00</t>
  </si>
  <si>
    <t>FO-DOOR INTERFACE 3-2 WAY VALVE MOUNTING BRACKET, N/A, 800-6912-00</t>
  </si>
  <si>
    <t>800-6912-00</t>
  </si>
  <si>
    <t>FO-DOOR INTERFACE VACUUM CATRIDGE POD, N/A, 800-6913-00</t>
  </si>
  <si>
    <t>800-6913-00</t>
  </si>
  <si>
    <t>FO-RO-MOTOR MOUNT PLT, N/A, 802-4232-00</t>
  </si>
  <si>
    <t>802-4232-00</t>
  </si>
  <si>
    <t>FO-RO-TENSIONER PLT, N/A, 802-4235-00</t>
  </si>
  <si>
    <t>802-4235-00</t>
  </si>
  <si>
    <t>FO-RO-MTR SIDE MOUNT, N/A, 802-4236-00</t>
  </si>
  <si>
    <t>802-4236-00</t>
  </si>
  <si>
    <t>AFP301-FO-DOOR INTERFACE HOLD PLATE, N/A, 804-7431-00</t>
  </si>
  <si>
    <t>804-7431-00</t>
  </si>
  <si>
    <t xml:space="preserve">waftech Tooling </t>
  </si>
  <si>
    <t>AFP301-FO-DOOR OPENER LATCH CYL CLEVIS BRK, N/A, 804-7435-00</t>
  </si>
  <si>
    <t>804-7435-00</t>
  </si>
  <si>
    <t>PO2411000136</t>
  </si>
  <si>
    <t>2024-11-13</t>
  </si>
  <si>
    <t>AFP301-FO-DOOR OPENER LATCH CYL JOINT SHAFT, N/A, 804-7436-00</t>
  </si>
  <si>
    <t>804-7436-00</t>
  </si>
  <si>
    <t>AFP301-FO-DOOR OPENER LATCH CYLINDER ROD CLEVIS, N/A, 804-7437-00</t>
  </si>
  <si>
    <t>804-7437-00</t>
  </si>
  <si>
    <t>AFP301-FO-DOOR OPENER LATCH LINKAGE BAR, N/A, 804-7438-00</t>
  </si>
  <si>
    <t>804-7438-00</t>
  </si>
  <si>
    <t>FO-RO-DOOR OPENER LATCH KEY (RADIUS), N/A, 804-4607-00</t>
  </si>
  <si>
    <t>804-4607-00</t>
  </si>
  <si>
    <t>PO2411000138</t>
  </si>
  <si>
    <t xml:space="preserve">GSH Tech </t>
  </si>
  <si>
    <t>AFP301-FO-DOOR OPENER LATCH SENSOR FLAG, N/A, 804-7439-00</t>
  </si>
  <si>
    <t>804-7439-00</t>
  </si>
  <si>
    <t>PO2411000141</t>
  </si>
  <si>
    <t>Stay Motions</t>
  </si>
  <si>
    <t>AFP301-FO-DOOR OPENER LATCH LINK, N/A, 804-7440-00</t>
  </si>
  <si>
    <t>804-7440-00</t>
  </si>
  <si>
    <t>PO2411000140</t>
  </si>
  <si>
    <t>Micron</t>
  </si>
  <si>
    <t>AFP301-FO-DOOR OPENER LATCH HOUSING, N/A, 804-7441-00</t>
  </si>
  <si>
    <t>804-7441-00</t>
  </si>
  <si>
    <t>FO-RO-REST PORT MOUNTING BLOCK, N/A, 802-4172-00</t>
  </si>
  <si>
    <t>802-4172-00</t>
  </si>
  <si>
    <t>FO-RO-STRIP SUPPORT, N/A, 802-4175-00</t>
  </si>
  <si>
    <t>802-4175-00</t>
  </si>
  <si>
    <t>FO-RO-RESTPORT DRIVE BS BRK #1, N/A, 802-4179-00</t>
  </si>
  <si>
    <t>802-4179-00</t>
  </si>
  <si>
    <t>FO-RO-RESTPORT DRIVE BS BRK #2, N/A, 802-4180-00</t>
  </si>
  <si>
    <t>802-4180-00</t>
  </si>
  <si>
    <t>FO-RO-RESTPORT SENSOR PLT, N/A, 802-4181-00</t>
  </si>
  <si>
    <t>802-4181-00</t>
  </si>
  <si>
    <t>FO-RO-SENSOR ADAPTER, N/A, 802-4182-00</t>
  </si>
  <si>
    <t>802-4182-00</t>
  </si>
  <si>
    <t>FO-RO-BASE SLOT COVER, N/A, 802-4183-06</t>
  </si>
  <si>
    <t>802-4183-06</t>
  </si>
  <si>
    <t>FO-RO-COVER PULL PLATE, N/A, 802-4184-00</t>
  </si>
  <si>
    <t>802-4184-00</t>
  </si>
  <si>
    <t>FO-RO-CABLE PIPE, N/A, 802-4420-00</t>
  </si>
  <si>
    <t>802-4420-00</t>
  </si>
  <si>
    <t>FO-RO-BEARING HOUSING PLATE, N/A, 802-4169-00</t>
  </si>
  <si>
    <t>802-4169-00</t>
  </si>
  <si>
    <t>AFP301-FO-SHAFT HOUSING BLOCK, N/A, 804-7443-00</t>
  </si>
  <si>
    <t>804-7443-00</t>
  </si>
  <si>
    <t>AFP301-FO-ROTARY SHAFT, N/A, 804-7444-00</t>
  </si>
  <si>
    <t>804-7444-00</t>
  </si>
  <si>
    <t>AFP301-FO-RO-TILTED HANG PLATE (M), N/A, 804-7445-00</t>
  </si>
  <si>
    <t>804-7445-00</t>
  </si>
  <si>
    <t>AFP301-FO-RO-TILTED HANG PLATE, N/A, 804-7446-00</t>
  </si>
  <si>
    <t>804-7446-00</t>
  </si>
  <si>
    <t>AFP301-FO-MAPPING SENSOR BRK, N/A, 804-7433-00</t>
  </si>
  <si>
    <t>804-7433-00</t>
  </si>
  <si>
    <t>AWS300CBUP-FO-RP-SHIPPING JIG, N/A, 803-5716-00</t>
  </si>
  <si>
    <t>803-5716-00</t>
  </si>
  <si>
    <t>AFP301-FO-PROTRUSION SENS BRK, N/A, 804-8057-00</t>
  </si>
  <si>
    <t>804-8057-00</t>
  </si>
  <si>
    <t>AFP301-FO-PROTR SENS REFLECTOR PLT, N/A, 804-8058-00</t>
  </si>
  <si>
    <t>804-8058-00</t>
  </si>
  <si>
    <t>AFP301-FO-SHAFT HOLDER, N/A, 804-8060-00</t>
  </si>
  <si>
    <t>804-8060-00</t>
  </si>
  <si>
    <t>AFP301-FO-RESTPORT DRIVE IN STOPPER, N/A, 804-8059-00</t>
  </si>
  <si>
    <t>804-8059-00</t>
  </si>
  <si>
    <t>PR2411000023</t>
  </si>
  <si>
    <t>AFP301-FO-INDICATOR COVER, N/A, 804-8055-00</t>
  </si>
  <si>
    <t>804-8055-00</t>
  </si>
  <si>
    <t>AFP301-FO-LATCH CYL STOPPER, N/A, 804-8129-00</t>
  </si>
  <si>
    <t>804-8129-00</t>
  </si>
  <si>
    <t>AFP301-FO-LATCH CYL NUT (L), N/A, 804-8130-00</t>
  </si>
  <si>
    <t>804-8130-00</t>
  </si>
  <si>
    <t>AFP301-FO-DO SENSOR FLAG, N/A, 804-8822-00</t>
  </si>
  <si>
    <t>804-8822-00</t>
  </si>
  <si>
    <t>AFP301-FO-DOOR OPENER Z-AXIS DAMPER, N/A, 804-8823-00</t>
  </si>
  <si>
    <t>804-8823-00</t>
  </si>
  <si>
    <t>FO-RO-BASE RAIL MOUNTING BLOCK (M), N/A, 802-4174-01</t>
  </si>
  <si>
    <t>802-4174-01</t>
  </si>
  <si>
    <t>FO-ESD BRACKET, N/A, 804-3542-00</t>
  </si>
  <si>
    <t>804-3542-00</t>
  </si>
  <si>
    <t>AFP301-FO-DOOR OPENER VACUUM FITTING, N/A, 804-8772-00</t>
  </si>
  <si>
    <t>804-8772-00</t>
  </si>
  <si>
    <t>FO-RO-DOOR SWITCH PLATE, N/A, 802-4360-00</t>
  </si>
  <si>
    <t>802-4360-00</t>
  </si>
  <si>
    <t>FO-RO-PARALLEL IO WINDOW, N/A, 802-4410-00</t>
  </si>
  <si>
    <t>802-4410-00</t>
  </si>
  <si>
    <t>PO2411000139</t>
  </si>
  <si>
    <t>FO-DOOR INTERFACE VACUUM CATRIDGE POD, N/A, 800-6913-01</t>
  </si>
  <si>
    <t>800-6913-01</t>
  </si>
  <si>
    <t>AWS300CBUP-FO-RP-SHIPPING JIG, N/A, 803-5716-01</t>
  </si>
  <si>
    <t>803-5716-01</t>
  </si>
  <si>
    <t>380LP- STRUCTURE BASE SIDE HOLDER (L), N/A, 805-0990-00</t>
  </si>
  <si>
    <t>805-0990-00</t>
  </si>
  <si>
    <t>PR2410000267</t>
  </si>
  <si>
    <t>PO2411000321</t>
  </si>
  <si>
    <t>380LP- STRUCTURE BASE SIDE HOLDER (R), N/A, 805-0991-00</t>
  </si>
  <si>
    <t>805-0991-00</t>
  </si>
  <si>
    <t>380LP- STAND BASE PLATE, N/A, 805-0992-00</t>
  </si>
  <si>
    <t>805-0992-00</t>
  </si>
  <si>
    <t>380LP- WALL PLATE, N/A, 805-0996-00</t>
  </si>
  <si>
    <t>805-0996-00</t>
  </si>
  <si>
    <t>PO2411000319</t>
  </si>
  <si>
    <t>380LP- DOOR OPENER PNEUMATIC PANEL, N/A, 805-1004-00</t>
  </si>
  <si>
    <t>805-1004-00</t>
  </si>
  <si>
    <t>PO2411000320</t>
  </si>
  <si>
    <t>380LP- DOOR OPENER COVER, N/A, 805-0997-00</t>
  </si>
  <si>
    <t>805-0997-00</t>
  </si>
  <si>
    <t>380LP- FO-RO-DOOR INTERFACE PLATE, N/A, 805-1237-00</t>
  </si>
  <si>
    <t>805-1237-00</t>
  </si>
  <si>
    <t>LCS- FO-RO-RESTPORT DRIVE MTR BRK, N/A, 805-1165-00</t>
  </si>
  <si>
    <t>805-1165-00</t>
  </si>
  <si>
    <t>PO2411000322</t>
  </si>
  <si>
    <t>380LP- PROT SENS AMPLIFIER BRK, N/A, 805-0978-00</t>
  </si>
  <si>
    <t>805-0978-00</t>
  </si>
  <si>
    <t>380LP- POTRD SENS AMP CVR, N/A, 805-0972-00</t>
  </si>
  <si>
    <t>805-0972-00</t>
  </si>
  <si>
    <t>PO2411000318</t>
  </si>
  <si>
    <t>380LP-FO-RESTPORT TRAVEL PLT, N/A, 805-1246-00</t>
  </si>
  <si>
    <t>805-1246-00</t>
  </si>
  <si>
    <t>380LP-AMPLIFIER BRK, N/A, 805-1003-00</t>
  </si>
  <si>
    <t>805-1003-00</t>
  </si>
  <si>
    <t>380LP-ALIGNMENT- BTM FIX REST PLT, N/A, 805-0931-00</t>
  </si>
  <si>
    <t>805-0931-00</t>
  </si>
  <si>
    <t>380LP-ALIGNMENT- BTM MOV REST PLT #1, N/A, 805-0932-00</t>
  </si>
  <si>
    <t>805-0932-00</t>
  </si>
  <si>
    <t>380LP-ALIGNMENT- BASE PLT, N/A, 805-0933-00</t>
  </si>
  <si>
    <t>805-0933-00</t>
  </si>
  <si>
    <t>380LP-ALIGNMENT- BTM MOV REST PLT, N/A, 805-0934-00</t>
  </si>
  <si>
    <t>805-0934-00</t>
  </si>
  <si>
    <t>380LP-STOPPER BLK, N/A, 805-1249-00</t>
  </si>
  <si>
    <t>805-1249-00</t>
  </si>
  <si>
    <t>380LP-FO-NOZZLE PUSH PLT, N/A, 805-1270-00</t>
  </si>
  <si>
    <t>805-1270-00</t>
  </si>
  <si>
    <t>Energy</t>
  </si>
  <si>
    <t>380LP- DOOR OPENER BTM COVER, N/A, 805-1001-00</t>
  </si>
  <si>
    <t>805-1001-00</t>
  </si>
  <si>
    <t>RC</t>
  </si>
  <si>
    <t>380LP- FO-RO-BASE RAIL MOUNTING BLOCK, N/A, 805-1250-00</t>
  </si>
  <si>
    <t>805-1250-00</t>
  </si>
  <si>
    <t>380LP-ALIGNMENT- INCLINE DRV PLT, N/A, 805-0935-00</t>
  </si>
  <si>
    <t>805-0935-00</t>
  </si>
  <si>
    <t>380LP-ALIGNMENT-CENTER KNURL SHAFT, N/A, 805-0936-00</t>
  </si>
  <si>
    <t>805-0936-00</t>
  </si>
  <si>
    <t>380LP-ALIGNMENT- FULCRUM SCREW, N/A, 805-0937-00</t>
  </si>
  <si>
    <t>805-0937-00</t>
  </si>
  <si>
    <t>380LP-ALIGNMENT- ROLLER SHAFT, N/A, 805-0965-00</t>
  </si>
  <si>
    <t>805-0965-00</t>
  </si>
  <si>
    <t>380LP-ALIGNMENT- POSITIONING ROLLER, N/A, 805-0963-00</t>
  </si>
  <si>
    <t>805-0963-00</t>
  </si>
  <si>
    <t>380LP- FS-LVL SCREW, N/A, 805-1115-00</t>
  </si>
  <si>
    <t>805-1115-00</t>
  </si>
  <si>
    <t>380LP- FS-LVL SCREW BUSH, N/A, 805-1116-00</t>
  </si>
  <si>
    <t>805-1116-00</t>
  </si>
  <si>
    <t>380LP-FO-RESTPORT BASE PLT, N/A, 805-1264-00</t>
  </si>
  <si>
    <t>805-1264-00</t>
  </si>
  <si>
    <t>380LP-FO-RESTPORT TOP COVER, N/A, 805-1263-00</t>
  </si>
  <si>
    <t>805-1263-00</t>
  </si>
  <si>
    <t>380LP-FO-RFID COVER PLT, N/A, 805-1266-00</t>
  </si>
  <si>
    <t>805-1266-00</t>
  </si>
  <si>
    <t>380LP-FO-FRAME FOUP GUIDE MOUNT PLT, N/A, 805-1265-00</t>
  </si>
  <si>
    <t>805-1265-00</t>
  </si>
  <si>
    <t>380LP-FO-NOZZLE HEAD, N/A, 805-1269-00</t>
  </si>
  <si>
    <t>805-1269-00</t>
  </si>
  <si>
    <t>380LP-FO-PURGE CYL LINK BAR, N/A, 805-1271-00</t>
  </si>
  <si>
    <t>805-1271-00</t>
  </si>
  <si>
    <t>380LP-FO-NOZZLE HEAD CLAMPER BODY, N/A, 805-1267-00</t>
  </si>
  <si>
    <t>805-1267-00</t>
  </si>
  <si>
    <t>380LP-FO-NOZZLE HEAD CLAMPER, N/A, 805-1268-00</t>
  </si>
  <si>
    <t>805-1268-00</t>
  </si>
  <si>
    <t>380LP-FO-NOZZLE CYL HOLDER, N/A, 805-1272-00</t>
  </si>
  <si>
    <t>805-1272-00</t>
  </si>
  <si>
    <t>380LP-FO-RESTPORT BTM COVER (R), N/A, 805-1274-00</t>
  </si>
  <si>
    <t>805-1274-00</t>
  </si>
  <si>
    <t>380LP-FO-RESTPORT BTM COVER (L), N/A, 805-1273-00</t>
  </si>
  <si>
    <t>805-1273-00</t>
  </si>
  <si>
    <t>FO-LOADPORT CARRIER GUIDE PIN, N/A, 803-8455-01</t>
  </si>
  <si>
    <t>803-8455-01</t>
  </si>
  <si>
    <t>FO-RESTPORT PRESENT SENSOR MOUNTING PLATE, N/A, 800-6885-02</t>
  </si>
  <si>
    <t>800-6885-02</t>
  </si>
  <si>
    <t>FO-RO-SENSOR BLOCK, N/A, 802-4256-01</t>
  </si>
  <si>
    <t>802-4256-01</t>
  </si>
  <si>
    <t>FO-SENSOR STOPPER PLATE, N/A, 801-0970-00</t>
  </si>
  <si>
    <t>801-0970-00</t>
  </si>
  <si>
    <t>AFP301-FO-SENSOR SHAFT, N/A, 804-8175-00</t>
  </si>
  <si>
    <t>804-8175-00</t>
  </si>
  <si>
    <t>FO-RO-CLAMP CYLINDER BASE, N/A, 802-4240-01</t>
  </si>
  <si>
    <t>802-4240-01</t>
  </si>
  <si>
    <t>FO-PRESSED FINGER, N/A, 802-1004-01</t>
  </si>
  <si>
    <t>802-1004-01</t>
  </si>
  <si>
    <t>AFP301-FO-RESTPORT IO SPACER, N/A, 804-8188-00</t>
  </si>
  <si>
    <t>804-8188-00</t>
  </si>
  <si>
    <t>AFP301-FO-FRAME FOUP SIDE GUIDE BLK, N/A, 805-0077-00</t>
  </si>
  <si>
    <t>805-0077-00</t>
  </si>
  <si>
    <t>AFP301-FO-FRAME FOUP GUIDE EXTEND PLT, N/A, 805-0075-00</t>
  </si>
  <si>
    <t>805-0075-00</t>
  </si>
  <si>
    <t>AFP301-FO-FRAME FOUP FRT GUIDE BLK, N/A, 805-0079-00</t>
  </si>
  <si>
    <t>805-0079-00</t>
  </si>
  <si>
    <t>FO-TAC HOLDER, N/A, 800-8229-00</t>
  </si>
  <si>
    <t>800-8229-00</t>
  </si>
  <si>
    <t>PR2411000084</t>
  </si>
  <si>
    <t>380LP-FO-FRONT COVER, NA, 805-1287-00</t>
  </si>
  <si>
    <t>805-1287-00</t>
  </si>
  <si>
    <t>380LP- SIDE COVER, N/A, 805-0999-00</t>
  </si>
  <si>
    <t>805-0999-00</t>
  </si>
  <si>
    <t>PR2411000044</t>
  </si>
  <si>
    <t>380LP- SIDE COVER (M), N/A, 805-1000-00</t>
  </si>
  <si>
    <t>805-1000-00</t>
  </si>
  <si>
    <t>380LP-BTM EE PANEL, N/A, 805-0994-00</t>
  </si>
  <si>
    <t>805-0994-00</t>
  </si>
  <si>
    <t>380LP- AUXILLARY EE-PANEL, N/A, 805-0995-00</t>
  </si>
  <si>
    <t>805-0995-00</t>
  </si>
  <si>
    <t>highly importance</t>
  </si>
  <si>
    <t>380LP- LOADPORT INDICATOR PLATE, N/A, 805-1002-00</t>
  </si>
  <si>
    <t>805-1002-00</t>
  </si>
  <si>
    <t>380LP - EE PANEL #1, N/A, 805-1281-00</t>
  </si>
  <si>
    <t>805-1281-00</t>
  </si>
  <si>
    <t>380LP - LOTO VALVE BRK, N/A, 805-1277-00</t>
  </si>
  <si>
    <t>805-1277-00</t>
  </si>
  <si>
    <t>380LP - HUMIDITY SENS BRK, N/A, 805-1278-00</t>
  </si>
  <si>
    <t>805-1278-00</t>
  </si>
  <si>
    <t>380LP - FLOW METER BRK, N/A, 805-1280-00</t>
  </si>
  <si>
    <t>805-1280-00</t>
  </si>
  <si>
    <t>380LP-FILTER MOUNT BRK, N/A, 805-1286-00</t>
  </si>
  <si>
    <t>805-1286-00</t>
  </si>
  <si>
    <t>380LP-NC VALVE MOUNT BRK, N/A, 805-1285-00</t>
  </si>
  <si>
    <t>805-1285-00</t>
  </si>
  <si>
    <t>380LP- MOTOR DRIVER BRK, N/A, 805-0993-00</t>
  </si>
  <si>
    <t>805-0993-00</t>
  </si>
  <si>
    <t>380LP-EXHAUST VAC EJT BLK, N/A, 805-1288-00</t>
  </si>
  <si>
    <t>805-1288-00</t>
  </si>
  <si>
    <t>380LP-EXHAUST VAC BLK, N/A, 805-1289-00</t>
  </si>
  <si>
    <t>805-1289-00</t>
  </si>
  <si>
    <t>Taken</t>
  </si>
  <si>
    <t>Expect LT 4 weeks
12/Dec</t>
  </si>
  <si>
    <t>Expect to Loan from Other project (3Weeks LT)</t>
  </si>
  <si>
    <t>PO2411000346</t>
  </si>
  <si>
    <t>PR2411000095</t>
  </si>
  <si>
    <t>PR2411000097</t>
  </si>
  <si>
    <t>O-RING; NITRILE; ID=53.0mm; C/S=2.0mm, ERIKS,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</si>
</sst>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(* #,##0.00_);_(* \(#,##0.00\);_(* &quot;-&quot;??_);_(@_)"/>
    <numFmt numFmtId="165" formatCode="&quot;MYR&quot;#,##0.00"/>
    <numFmt numFmtId="166" formatCode="[$-409]d/mmm;@"/>
    <numFmt numFmtId="167" formatCode="_(&quot;MYR&quot;* #,##0.00_);_(&quot;MYR&quot;* \(#,##0.00\);_(&quot;MYR&quot;* &quot;-&quot;??_);_(@_)"/>
    <numFmt numFmtId="168" formatCode="&quot;RM&quot;#,##0.00"/>
    <numFmt numFmtId="169" formatCode="[$-409]d/mmm/yy;@"/>
    <numFmt numFmtId="170" formatCode="[$RM-43E]#,##0.00"/>
    <numFmt numFmtId="171" formatCode="mm/dd/yy;@"/>
    <numFmt numFmtId="172" formatCode="dd\-mm\-yyyy"/>
    <numFmt numFmtId="173" formatCode="[$-409]d\-mmm\-yy;@"/>
    <numFmt numFmtId="174" formatCode="d\-mmm\-yy;@"/>
    <numFmt numFmtId="175" formatCode="[$-409]mmmm\-yy;@"/>
    <numFmt numFmtId="176" formatCode="[$-409]d\-mmm;@"/>
    <numFmt numFmtId="177" formatCode="[$-14409]dd/mm/yyyy;@"/>
  </numFmts>
  <fonts count="8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u/>
      <sz val="7.7"/>
      <color theme="10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2"/>
      <charset val="134"/>
    </font>
    <font>
      <sz val="10"/>
      <name val="SimSun"/>
    </font>
    <font>
      <sz val="14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14"/>
      <name val="Calibri"/>
      <family val="2"/>
      <scheme val="minor"/>
    </font>
    <font>
      <b/>
      <sz val="14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b/>
      <u/>
      <sz val="14"/>
      <color indexed="8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Arial Rounded MT Bold"/>
      <family val="2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Ari"/>
    </font>
    <font>
      <u/>
      <sz val="7.5"/>
      <color rgb="FF0000FF"/>
      <name val="Calibri"/>
      <family val="2"/>
      <scheme val="minor"/>
    </font>
    <font>
      <sz val="9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b/>
      <sz val="9"/>
      <name val="Arial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trike/>
      <sz val="11"/>
      <color theme="1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4"/>
      <color theme="1"/>
      <name val="Arial"/>
      <family val="2"/>
    </font>
    <font>
      <b/>
      <sz val="14"/>
      <name val="Arial"/>
      <family val="2"/>
    </font>
    <font>
      <b/>
      <u/>
      <sz val="14"/>
      <color theme="1"/>
      <name val="Arial"/>
      <family val="2"/>
    </font>
    <font>
      <b/>
      <sz val="14"/>
      <color rgb="FFFF0000"/>
      <name val="Arial"/>
      <family val="2"/>
    </font>
    <font>
      <sz val="14"/>
      <color rgb="FFFF0000"/>
      <name val="Calibri"/>
      <family val="2"/>
      <scheme val="minor"/>
    </font>
    <font>
      <b/>
      <strike/>
      <sz val="14"/>
      <color rgb="FFFF0000"/>
      <name val="Arial"/>
      <family val="2"/>
    </font>
    <font>
      <sz val="14"/>
      <color rgb="FFFF000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1"/>
      <name val="Arial"/>
      <family val="2"/>
    </font>
    <font>
      <sz val="11"/>
      <name val="Calibri"/>
      <family val="2"/>
    </font>
    <font>
      <strike/>
      <sz val="14"/>
      <color rgb="FFFF0000"/>
      <name val="Calibri"/>
      <family val="2"/>
      <scheme val="minor"/>
    </font>
    <font>
      <strike/>
      <sz val="14"/>
      <color rgb="FFFF0000"/>
      <name val="Ari"/>
    </font>
    <font>
      <sz val="14"/>
      <color rgb="FF000000"/>
      <name val="Calibri"/>
      <family val="2"/>
    </font>
    <font>
      <strike/>
      <sz val="14"/>
      <color rgb="FFFF000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28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theme="4"/>
      </patternFill>
    </fill>
    <fill>
      <patternFill patternType="solid">
        <fgColor rgb="FF47E5E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3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0">
    <xf numFmtId="0" fontId="0" fillId="0" borderId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31" borderId="0" applyNumberFormat="0" applyBorder="0" applyAlignment="0" applyProtection="0"/>
    <xf numFmtId="0" fontId="15" fillId="15" borderId="0" applyNumberFormat="0" applyBorder="0" applyAlignment="0" applyProtection="0"/>
    <xf numFmtId="0" fontId="16" fillId="32" borderId="7" applyNumberFormat="0" applyAlignment="0" applyProtection="0"/>
    <xf numFmtId="0" fontId="17" fillId="33" borderId="8" applyNumberFormat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16" borderId="0" applyNumberFormat="0" applyBorder="0" applyAlignment="0" applyProtection="0"/>
    <xf numFmtId="0" fontId="20" fillId="0" borderId="9" applyNumberFormat="0" applyFill="0" applyAlignment="0" applyProtection="0"/>
    <xf numFmtId="0" fontId="21" fillId="0" borderId="10" applyNumberFormat="0" applyFill="0" applyAlignment="0" applyProtection="0"/>
    <xf numFmtId="0" fontId="22" fillId="0" borderId="11" applyNumberFormat="0" applyFill="0" applyAlignment="0" applyProtection="0"/>
    <xf numFmtId="0" fontId="22" fillId="0" borderId="0" applyNumberForma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23" fillId="19" borderId="7" applyNumberFormat="0" applyAlignment="0" applyProtection="0"/>
    <xf numFmtId="0" fontId="24" fillId="0" borderId="12" applyNumberFormat="0" applyFill="0" applyAlignment="0" applyProtection="0"/>
    <xf numFmtId="0" fontId="25" fillId="34" borderId="0" applyNumberFormat="0" applyBorder="0" applyAlignment="0" applyProtection="0"/>
    <xf numFmtId="0" fontId="3" fillId="0" borderId="0"/>
    <xf numFmtId="0" fontId="12" fillId="0" borderId="0"/>
    <xf numFmtId="0" fontId="3" fillId="0" borderId="0"/>
    <xf numFmtId="0" fontId="3" fillId="0" borderId="0"/>
    <xf numFmtId="0" fontId="31" fillId="0" borderId="0"/>
    <xf numFmtId="0" fontId="3" fillId="0" borderId="0"/>
    <xf numFmtId="0" fontId="12" fillId="0" borderId="0"/>
    <xf numFmtId="0" fontId="12" fillId="0" borderId="0"/>
    <xf numFmtId="0" fontId="46" fillId="0" borderId="0"/>
    <xf numFmtId="0" fontId="9" fillId="0" borderId="0"/>
    <xf numFmtId="0" fontId="30" fillId="35" borderId="13" applyNumberFormat="0" applyFont="0" applyAlignment="0" applyProtection="0"/>
    <xf numFmtId="0" fontId="26" fillId="32" borderId="14" applyNumberFormat="0" applyAlignment="0" applyProtection="0"/>
    <xf numFmtId="9" fontId="9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15" applyNumberFormat="0" applyFill="0" applyAlignment="0" applyProtection="0"/>
    <xf numFmtId="0" fontId="29" fillId="0" borderId="0" applyNumberFormat="0" applyFill="0" applyBorder="0" applyAlignment="0" applyProtection="0"/>
  </cellStyleXfs>
  <cellXfs count="519">
    <xf numFmtId="0" fontId="0" fillId="0" borderId="0" xfId="0"/>
    <xf numFmtId="0" fontId="5" fillId="0" borderId="0" xfId="0" applyFont="1" applyAlignment="1">
      <alignment vertical="center"/>
    </xf>
    <xf numFmtId="0" fontId="4" fillId="3" borderId="1" xfId="0" applyFont="1" applyFill="1" applyBorder="1"/>
    <xf numFmtId="0" fontId="0" fillId="0" borderId="1" xfId="0" applyBorder="1"/>
    <xf numFmtId="0" fontId="0" fillId="5" borderId="1" xfId="0" applyFill="1" applyBorder="1"/>
    <xf numFmtId="9" fontId="0" fillId="0" borderId="0" xfId="0" applyNumberFormat="1"/>
    <xf numFmtId="9" fontId="4" fillId="3" borderId="1" xfId="0" applyNumberFormat="1" applyFont="1" applyFill="1" applyBorder="1"/>
    <xf numFmtId="0" fontId="0" fillId="0" borderId="1" xfId="0" applyBorder="1" applyAlignment="1">
      <alignment horizontal="center" vertical="center"/>
    </xf>
    <xf numFmtId="9" fontId="11" fillId="0" borderId="0" xfId="0" applyNumberFormat="1" applyFont="1"/>
    <xf numFmtId="9" fontId="11" fillId="5" borderId="1" xfId="0" applyNumberFormat="1" applyFont="1" applyFill="1" applyBorder="1"/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32" fillId="0" borderId="0" xfId="0" applyFont="1" applyAlignment="1">
      <alignment horizontal="center" vertical="center"/>
    </xf>
    <xf numFmtId="0" fontId="40" fillId="0" borderId="0" xfId="0" applyFont="1"/>
    <xf numFmtId="0" fontId="11" fillId="0" borderId="1" xfId="0" applyFont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44" fillId="37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left"/>
    </xf>
    <xf numFmtId="0" fontId="0" fillId="7" borderId="1" xfId="0" applyFill="1" applyBorder="1"/>
    <xf numFmtId="0" fontId="4" fillId="3" borderId="1" xfId="0" applyFont="1" applyFill="1" applyBorder="1" applyAlignment="1">
      <alignment horizontal="left"/>
    </xf>
    <xf numFmtId="0" fontId="0" fillId="0" borderId="0" xfId="0" applyAlignment="1" applyProtection="1">
      <protection locked="0"/>
    </xf>
    <xf numFmtId="0" fontId="10" fillId="0" borderId="1" xfId="0" applyFont="1" applyBorder="1"/>
    <xf numFmtId="0" fontId="45" fillId="0" borderId="1" xfId="0" applyFont="1" applyBorder="1" applyAlignment="1">
      <alignment horizontal="left" vertical="center"/>
    </xf>
    <xf numFmtId="0" fontId="6" fillId="0" borderId="1" xfId="39" applyFont="1" applyBorder="1" applyAlignment="1" applyProtection="1">
      <alignment horizontal="center" vertical="center"/>
    </xf>
    <xf numFmtId="172" fontId="0" fillId="0" borderId="0" xfId="0" applyNumberFormat="1"/>
    <xf numFmtId="0" fontId="8" fillId="0" borderId="1" xfId="0" applyFont="1" applyBorder="1"/>
    <xf numFmtId="0" fontId="6" fillId="0" borderId="1" xfId="39" applyFont="1" applyFill="1" applyBorder="1" applyAlignment="1" applyProtection="1"/>
    <xf numFmtId="9" fontId="8" fillId="4" borderId="1" xfId="0" applyNumberFormat="1" applyFont="1" applyFill="1" applyBorder="1"/>
    <xf numFmtId="0" fontId="49" fillId="0" borderId="1" xfId="0" applyFont="1" applyBorder="1" applyAlignment="1">
      <alignment horizontal="right"/>
    </xf>
    <xf numFmtId="0" fontId="6" fillId="0" borderId="1" xfId="39" applyFont="1" applyFill="1" applyBorder="1" applyAlignment="1" applyProtection="1">
      <alignment horizontal="left"/>
    </xf>
    <xf numFmtId="165" fontId="34" fillId="8" borderId="0" xfId="0" applyNumberFormat="1" applyFont="1" applyFill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170" fontId="36" fillId="0" borderId="0" xfId="0" applyNumberFormat="1" applyFont="1" applyAlignment="1">
      <alignment horizontal="center" vertical="center" wrapText="1"/>
    </xf>
    <xf numFmtId="168" fontId="36" fillId="0" borderId="0" xfId="0" applyNumberFormat="1" applyFont="1" applyAlignment="1">
      <alignment horizontal="center" vertical="center" wrapText="1"/>
    </xf>
    <xf numFmtId="169" fontId="36" fillId="0" borderId="0" xfId="0" applyNumberFormat="1" applyFont="1" applyAlignment="1">
      <alignment horizontal="center" vertical="center" wrapText="1"/>
    </xf>
    <xf numFmtId="169" fontId="32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2" fontId="36" fillId="0" borderId="0" xfId="0" applyNumberFormat="1" applyFont="1" applyAlignment="1">
      <alignment horizontal="center" vertical="center" wrapText="1"/>
    </xf>
    <xf numFmtId="165" fontId="36" fillId="11" borderId="0" xfId="0" applyNumberFormat="1" applyFont="1" applyFill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165" fontId="36" fillId="9" borderId="0" xfId="0" applyNumberFormat="1" applyFont="1" applyFill="1" applyAlignment="1">
      <alignment horizontal="center" vertical="center"/>
    </xf>
    <xf numFmtId="168" fontId="32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6" fillId="4" borderId="0" xfId="0" applyFont="1" applyFill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6" fillId="5" borderId="0" xfId="0" applyFont="1" applyFill="1" applyAlignment="1">
      <alignment horizontal="center" vertical="center" wrapText="1"/>
    </xf>
    <xf numFmtId="0" fontId="36" fillId="3" borderId="0" xfId="0" applyFont="1" applyFill="1" applyAlignment="1">
      <alignment horizontal="center" vertical="center"/>
    </xf>
    <xf numFmtId="0" fontId="36" fillId="36" borderId="0" xfId="0" applyFont="1" applyFill="1" applyAlignment="1">
      <alignment horizontal="center" vertical="center"/>
    </xf>
    <xf numFmtId="0" fontId="38" fillId="12" borderId="6" xfId="0" applyFont="1" applyFill="1" applyBorder="1" applyAlignment="1">
      <alignment horizontal="center" vertical="center" wrapText="1"/>
    </xf>
    <xf numFmtId="0" fontId="38" fillId="12" borderId="3" xfId="0" applyFont="1" applyFill="1" applyBorder="1" applyAlignment="1">
      <alignment horizontal="center" vertical="center" wrapText="1"/>
    </xf>
    <xf numFmtId="170" fontId="38" fillId="12" borderId="3" xfId="0" applyNumberFormat="1" applyFont="1" applyFill="1" applyBorder="1" applyAlignment="1">
      <alignment horizontal="center" vertical="center" wrapText="1"/>
    </xf>
    <xf numFmtId="168" fontId="38" fillId="12" borderId="3" xfId="0" applyNumberFormat="1" applyFont="1" applyFill="1" applyBorder="1" applyAlignment="1">
      <alignment horizontal="center" vertical="center" wrapText="1"/>
    </xf>
    <xf numFmtId="169" fontId="38" fillId="10" borderId="3" xfId="0" applyNumberFormat="1" applyFont="1" applyFill="1" applyBorder="1" applyAlignment="1">
      <alignment horizontal="center" vertical="center" wrapText="1"/>
    </xf>
    <xf numFmtId="0" fontId="38" fillId="10" borderId="3" xfId="0" applyFont="1" applyFill="1" applyBorder="1" applyAlignment="1">
      <alignment horizontal="center" vertical="center" wrapText="1"/>
    </xf>
    <xf numFmtId="165" fontId="38" fillId="10" borderId="3" xfId="0" applyNumberFormat="1" applyFont="1" applyFill="1" applyBorder="1" applyAlignment="1">
      <alignment horizontal="center" vertical="center" wrapText="1"/>
    </xf>
    <xf numFmtId="49" fontId="42" fillId="13" borderId="1" xfId="0" applyNumberFormat="1" applyFont="1" applyFill="1" applyBorder="1" applyAlignment="1">
      <alignment horizontal="center" vertical="center"/>
    </xf>
    <xf numFmtId="169" fontId="47" fillId="13" borderId="1" xfId="0" applyNumberFormat="1" applyFont="1" applyFill="1" applyBorder="1" applyAlignment="1">
      <alignment horizontal="center" vertical="center" wrapText="1"/>
    </xf>
    <xf numFmtId="169" fontId="42" fillId="13" borderId="1" xfId="0" applyNumberFormat="1" applyFont="1" applyFill="1" applyBorder="1" applyAlignment="1">
      <alignment horizontal="center" vertical="center" wrapText="1"/>
    </xf>
    <xf numFmtId="170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49" fontId="35" fillId="0" borderId="0" xfId="0" applyNumberFormat="1" applyFont="1" applyAlignment="1">
      <alignment horizontal="left" vertical="center"/>
    </xf>
    <xf numFmtId="49" fontId="35" fillId="0" borderId="0" xfId="0" applyNumberFormat="1" applyFont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49" fontId="36" fillId="0" borderId="0" xfId="0" applyNumberFormat="1" applyFont="1" applyAlignment="1">
      <alignment horizontal="center" vertical="center"/>
    </xf>
    <xf numFmtId="49" fontId="38" fillId="12" borderId="6" xfId="0" applyNumberFormat="1" applyFont="1" applyFill="1" applyBorder="1" applyAlignment="1">
      <alignment horizontal="center" vertical="center" wrapText="1"/>
    </xf>
    <xf numFmtId="49" fontId="42" fillId="13" borderId="1" xfId="0" applyNumberFormat="1" applyFont="1" applyFill="1" applyBorder="1" applyAlignment="1">
      <alignment horizontal="center" vertical="center" wrapText="1"/>
    </xf>
    <xf numFmtId="0" fontId="47" fillId="13" borderId="1" xfId="0" applyFont="1" applyFill="1" applyBorder="1" applyAlignment="1">
      <alignment horizontal="center" vertical="center" wrapText="1"/>
    </xf>
    <xf numFmtId="0" fontId="42" fillId="13" borderId="1" xfId="0" applyFont="1" applyFill="1" applyBorder="1" applyAlignment="1">
      <alignment horizontal="center" vertical="center" wrapText="1"/>
    </xf>
    <xf numFmtId="0" fontId="42" fillId="13" borderId="1" xfId="0" applyFont="1" applyFill="1" applyBorder="1" applyAlignment="1">
      <alignment horizontal="center" vertical="center"/>
    </xf>
    <xf numFmtId="170" fontId="42" fillId="13" borderId="1" xfId="0" applyNumberFormat="1" applyFont="1" applyFill="1" applyBorder="1" applyAlignment="1">
      <alignment horizontal="center" vertical="center" wrapText="1"/>
    </xf>
    <xf numFmtId="168" fontId="42" fillId="13" borderId="1" xfId="0" applyNumberFormat="1" applyFont="1" applyFill="1" applyBorder="1" applyAlignment="1">
      <alignment horizontal="center" vertical="center" wrapText="1"/>
    </xf>
    <xf numFmtId="165" fontId="42" fillId="13" borderId="1" xfId="0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horizontal="center" vertical="center"/>
    </xf>
    <xf numFmtId="49" fontId="34" fillId="8" borderId="0" xfId="0" applyNumberFormat="1" applyFont="1" applyFill="1" applyAlignment="1">
      <alignment horizontal="center" vertical="center"/>
    </xf>
    <xf numFmtId="49" fontId="36" fillId="11" borderId="0" xfId="0" applyNumberFormat="1" applyFont="1" applyFill="1" applyAlignment="1">
      <alignment horizontal="center" vertical="center"/>
    </xf>
    <xf numFmtId="0" fontId="36" fillId="0" borderId="0" xfId="0" applyFont="1" applyAlignment="1">
      <alignment horizontal="left" vertical="center" wrapText="1"/>
    </xf>
    <xf numFmtId="49" fontId="36" fillId="9" borderId="0" xfId="0" applyNumberFormat="1" applyFont="1" applyFill="1" applyAlignment="1">
      <alignment horizontal="center" vertical="center"/>
    </xf>
    <xf numFmtId="49" fontId="36" fillId="4" borderId="0" xfId="0" applyNumberFormat="1" applyFont="1" applyFill="1" applyAlignment="1">
      <alignment horizontal="center" vertical="center" wrapText="1"/>
    </xf>
    <xf numFmtId="49" fontId="36" fillId="5" borderId="0" xfId="0" applyNumberFormat="1" applyFont="1" applyFill="1" applyAlignment="1">
      <alignment horizontal="center" vertical="center" wrapText="1"/>
    </xf>
    <xf numFmtId="49" fontId="36" fillId="3" borderId="0" xfId="0" applyNumberFormat="1" applyFont="1" applyFill="1" applyAlignment="1">
      <alignment horizontal="center" vertical="center"/>
    </xf>
    <xf numFmtId="49" fontId="36" fillId="36" borderId="0" xfId="0" applyNumberFormat="1" applyFont="1" applyFill="1" applyAlignment="1">
      <alignment horizontal="center" vertical="center"/>
    </xf>
    <xf numFmtId="49" fontId="38" fillId="12" borderId="3" xfId="0" applyNumberFormat="1" applyFont="1" applyFill="1" applyBorder="1" applyAlignment="1">
      <alignment horizontal="center" vertical="center" wrapText="1"/>
    </xf>
    <xf numFmtId="166" fontId="36" fillId="0" borderId="0" xfId="0" applyNumberFormat="1" applyFont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71" fontId="32" fillId="0" borderId="0" xfId="0" applyNumberFormat="1" applyFont="1" applyAlignment="1" applyProtection="1">
      <alignment horizontal="center" vertical="center"/>
      <protection locked="0"/>
    </xf>
    <xf numFmtId="169" fontId="32" fillId="0" borderId="0" xfId="0" applyNumberFormat="1" applyFont="1" applyAlignment="1" applyProtection="1">
      <alignment horizontal="center" vertical="center"/>
      <protection locked="0"/>
    </xf>
    <xf numFmtId="2" fontId="36" fillId="0" borderId="0" xfId="0" applyNumberFormat="1" applyFont="1" applyAlignment="1" applyProtection="1">
      <alignment horizontal="center" vertical="center" wrapText="1"/>
      <protection locked="0"/>
    </xf>
    <xf numFmtId="169" fontId="36" fillId="0" borderId="0" xfId="0" applyNumberFormat="1" applyFont="1" applyAlignment="1" applyProtection="1">
      <alignment horizontal="center" vertical="center" wrapText="1"/>
      <protection locked="0"/>
    </xf>
    <xf numFmtId="166" fontId="38" fillId="10" borderId="3" xfId="0" applyNumberFormat="1" applyFont="1" applyFill="1" applyBorder="1" applyAlignment="1" applyProtection="1">
      <alignment horizontal="center" vertical="center" wrapText="1"/>
      <protection locked="0"/>
    </xf>
    <xf numFmtId="166" fontId="42" fillId="13" borderId="1" xfId="0" applyNumberFormat="1" applyFont="1" applyFill="1" applyBorder="1" applyAlignment="1" applyProtection="1">
      <alignment horizontal="center" vertical="center" wrapText="1"/>
      <protection locked="0"/>
    </xf>
    <xf numFmtId="171" fontId="42" fillId="13" borderId="1" xfId="0" applyNumberFormat="1" applyFont="1" applyFill="1" applyBorder="1" applyAlignment="1" applyProtection="1">
      <alignment horizontal="center" vertical="center"/>
      <protection locked="0"/>
    </xf>
    <xf numFmtId="171" fontId="48" fillId="13" borderId="1" xfId="0" applyNumberFormat="1" applyFont="1" applyFill="1" applyBorder="1" applyAlignment="1" applyProtection="1">
      <alignment horizontal="center" vertical="center"/>
      <protection locked="0"/>
    </xf>
    <xf numFmtId="166" fontId="32" fillId="0" borderId="0" xfId="0" applyNumberFormat="1" applyFont="1" applyAlignment="1" applyProtection="1">
      <alignment horizontal="center" vertical="center"/>
      <protection locked="0"/>
    </xf>
    <xf numFmtId="173" fontId="32" fillId="0" borderId="0" xfId="0" applyNumberFormat="1" applyFont="1" applyAlignment="1" applyProtection="1">
      <alignment horizontal="center" vertical="center"/>
      <protection locked="0"/>
    </xf>
    <xf numFmtId="0" fontId="42" fillId="13" borderId="1" xfId="0" applyFont="1" applyFill="1" applyBorder="1" applyAlignment="1" applyProtection="1">
      <alignment horizontal="center" vertical="center"/>
      <protection locked="0"/>
    </xf>
    <xf numFmtId="173" fontId="48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42" fillId="13" borderId="1" xfId="0" applyFont="1" applyFill="1" applyBorder="1" applyAlignment="1" applyProtection="1">
      <alignment horizontal="center" vertical="center" wrapText="1"/>
      <protection locked="0"/>
    </xf>
    <xf numFmtId="166" fontId="38" fillId="39" borderId="3" xfId="0" applyNumberFormat="1" applyFont="1" applyFill="1" applyBorder="1" applyAlignment="1" applyProtection="1">
      <alignment horizontal="center" vertical="center" wrapText="1"/>
      <protection locked="0"/>
    </xf>
    <xf numFmtId="0" fontId="38" fillId="40" borderId="3" xfId="0" applyFont="1" applyFill="1" applyBorder="1" applyAlignment="1" applyProtection="1">
      <alignment horizontal="center" vertical="center" wrapText="1"/>
      <protection locked="0"/>
    </xf>
    <xf numFmtId="171" fontId="38" fillId="40" borderId="3" xfId="0" applyNumberFormat="1" applyFont="1" applyFill="1" applyBorder="1" applyAlignment="1" applyProtection="1">
      <alignment horizontal="center" vertical="center" wrapText="1"/>
      <protection locked="0"/>
    </xf>
    <xf numFmtId="169" fontId="38" fillId="40" borderId="3" xfId="0" applyNumberFormat="1" applyFont="1" applyFill="1" applyBorder="1" applyAlignment="1" applyProtection="1">
      <alignment horizontal="center" vertical="center" wrapText="1"/>
      <protection locked="0"/>
    </xf>
    <xf numFmtId="0" fontId="43" fillId="39" borderId="17" xfId="0" applyFont="1" applyFill="1" applyBorder="1" applyAlignment="1" applyProtection="1">
      <alignment horizontal="center" vertical="center"/>
      <protection locked="0"/>
    </xf>
    <xf numFmtId="165" fontId="38" fillId="40" borderId="3" xfId="0" applyNumberFormat="1" applyFont="1" applyFill="1" applyBorder="1" applyAlignment="1" applyProtection="1">
      <alignment horizontal="center" vertical="center" wrapText="1"/>
      <protection locked="0"/>
    </xf>
    <xf numFmtId="173" fontId="38" fillId="40" borderId="3" xfId="0" applyNumberFormat="1" applyFont="1" applyFill="1" applyBorder="1" applyAlignment="1" applyProtection="1">
      <alignment horizontal="center" vertical="center" wrapText="1"/>
      <protection locked="0"/>
    </xf>
    <xf numFmtId="172" fontId="0" fillId="0" borderId="0" xfId="0" applyNumberFormat="1" applyAlignment="1">
      <alignment wrapText="1"/>
    </xf>
    <xf numFmtId="0" fontId="42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top"/>
    </xf>
    <xf numFmtId="0" fontId="52" fillId="0" borderId="0" xfId="0" applyFont="1" applyAlignment="1">
      <alignment vertical="center"/>
    </xf>
    <xf numFmtId="0" fontId="51" fillId="0" borderId="0" xfId="45" applyFont="1"/>
    <xf numFmtId="0" fontId="52" fillId="0" borderId="0" xfId="45" applyFont="1"/>
    <xf numFmtId="0" fontId="51" fillId="0" borderId="0" xfId="0" applyFont="1" applyAlignment="1">
      <alignment vertical="center"/>
    </xf>
    <xf numFmtId="0" fontId="50" fillId="0" borderId="0" xfId="52" applyFont="1"/>
    <xf numFmtId="15" fontId="50" fillId="0" borderId="0" xfId="52" applyNumberFormat="1" applyFont="1" applyAlignment="1">
      <alignment horizontal="left" vertical="center" wrapText="1"/>
    </xf>
    <xf numFmtId="15" fontId="50" fillId="0" borderId="0" xfId="52" applyNumberFormat="1" applyFont="1" applyAlignment="1">
      <alignment horizontal="center" vertical="center" wrapText="1"/>
    </xf>
    <xf numFmtId="0" fontId="50" fillId="0" borderId="0" xfId="52" applyFont="1" applyAlignment="1">
      <alignment horizontal="center" vertical="center"/>
    </xf>
    <xf numFmtId="0" fontId="53" fillId="0" borderId="0" xfId="52" applyFont="1" applyAlignment="1">
      <alignment horizontal="right" vertical="center"/>
    </xf>
    <xf numFmtId="0" fontId="50" fillId="0" borderId="1" xfId="52" applyFont="1" applyBorder="1" applyAlignment="1">
      <alignment horizontal="center" vertical="center" wrapText="1"/>
    </xf>
    <xf numFmtId="0" fontId="53" fillId="0" borderId="1" xfId="52" applyFont="1" applyBorder="1" applyAlignment="1">
      <alignment horizontal="left" vertical="center"/>
    </xf>
    <xf numFmtId="0" fontId="50" fillId="0" borderId="1" xfId="0" applyFont="1" applyBorder="1"/>
    <xf numFmtId="0" fontId="50" fillId="0" borderId="0" xfId="0" applyFont="1"/>
    <xf numFmtId="0" fontId="50" fillId="0" borderId="0" xfId="52" applyFont="1" applyAlignment="1">
      <alignment horizontal="left" vertical="center"/>
    </xf>
    <xf numFmtId="0" fontId="53" fillId="0" borderId="0" xfId="52" applyFont="1" applyAlignment="1">
      <alignment horizontal="right" vertical="center" wrapText="1"/>
    </xf>
    <xf numFmtId="0" fontId="53" fillId="0" borderId="0" xfId="52" applyFont="1" applyAlignment="1">
      <alignment horizontal="left" vertical="center"/>
    </xf>
    <xf numFmtId="0" fontId="53" fillId="0" borderId="0" xfId="52" applyFont="1" applyAlignment="1">
      <alignment horizontal="center" vertical="center"/>
    </xf>
    <xf numFmtId="0" fontId="54" fillId="3" borderId="1" xfId="52" applyFont="1" applyFill="1" applyBorder="1" applyAlignment="1" applyProtection="1">
      <alignment horizontal="center" vertical="top" wrapText="1" shrinkToFit="1"/>
      <protection locked="0"/>
    </xf>
    <xf numFmtId="0" fontId="54" fillId="3" borderId="1" xfId="52" applyFont="1" applyFill="1" applyBorder="1" applyAlignment="1">
      <alignment horizontal="center" vertical="top" wrapText="1"/>
    </xf>
    <xf numFmtId="0" fontId="54" fillId="38" borderId="18" xfId="52" applyFont="1" applyFill="1" applyBorder="1" applyAlignment="1">
      <alignment horizontal="center" vertical="top" wrapText="1"/>
    </xf>
    <xf numFmtId="0" fontId="54" fillId="38" borderId="3" xfId="52" applyFont="1" applyFill="1" applyBorder="1" applyAlignment="1">
      <alignment horizontal="center" vertical="top" wrapText="1"/>
    </xf>
    <xf numFmtId="174" fontId="54" fillId="3" borderId="1" xfId="52" applyNumberFormat="1" applyFont="1" applyFill="1" applyBorder="1" applyAlignment="1" applyProtection="1">
      <alignment horizontal="center" vertical="top" wrapText="1"/>
      <protection locked="0"/>
    </xf>
    <xf numFmtId="0" fontId="54" fillId="3" borderId="3" xfId="52" applyFont="1" applyFill="1" applyBorder="1" applyAlignment="1">
      <alignment horizontal="center" vertical="top" wrapText="1"/>
    </xf>
    <xf numFmtId="0" fontId="54" fillId="3" borderId="3" xfId="52" applyFont="1" applyFill="1" applyBorder="1" applyAlignment="1">
      <alignment horizontal="left" vertical="top" wrapText="1"/>
    </xf>
    <xf numFmtId="0" fontId="50" fillId="0" borderId="0" xfId="0" applyFont="1" applyAlignment="1">
      <alignment vertical="top" wrapText="1"/>
    </xf>
    <xf numFmtId="0" fontId="55" fillId="0" borderId="1" xfId="0" applyFont="1" applyBorder="1" applyAlignment="1">
      <alignment vertical="center" wrapText="1"/>
    </xf>
    <xf numFmtId="0" fontId="55" fillId="0" borderId="1" xfId="0" applyFont="1" applyBorder="1" applyAlignment="1">
      <alignment horizontal="left" vertical="center" wrapText="1"/>
    </xf>
    <xf numFmtId="16" fontId="55" fillId="0" borderId="1" xfId="0" applyNumberFormat="1" applyFont="1" applyBorder="1" applyAlignment="1">
      <alignment horizontal="left" vertical="center"/>
    </xf>
    <xf numFmtId="0" fontId="55" fillId="0" borderId="1" xfId="0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0" fontId="3" fillId="0" borderId="1" xfId="0" applyFont="1" applyBorder="1"/>
    <xf numFmtId="0" fontId="56" fillId="0" borderId="1" xfId="45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56" fillId="0" borderId="0" xfId="0" applyFont="1" applyAlignment="1">
      <alignment vertical="center" wrapText="1"/>
    </xf>
    <xf numFmtId="0" fontId="3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176" fontId="57" fillId="0" borderId="1" xfId="0" applyNumberFormat="1" applyFont="1" applyBorder="1" applyAlignment="1">
      <alignment horizontal="left" vertical="center" wrapText="1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 wrapText="1"/>
    </xf>
    <xf numFmtId="0" fontId="58" fillId="0" borderId="1" xfId="0" applyFont="1" applyBorder="1" applyAlignment="1">
      <alignment vertical="center"/>
    </xf>
    <xf numFmtId="176" fontId="59" fillId="0" borderId="1" xfId="0" applyNumberFormat="1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58" fillId="0" borderId="1" xfId="0" applyFont="1" applyBorder="1" applyAlignment="1">
      <alignment vertical="center" wrapText="1"/>
    </xf>
    <xf numFmtId="16" fontId="59" fillId="0" borderId="1" xfId="0" applyNumberFormat="1" applyFont="1" applyBorder="1" applyAlignment="1">
      <alignment horizontal="left" vertical="center" wrapText="1"/>
    </xf>
    <xf numFmtId="0" fontId="58" fillId="0" borderId="1" xfId="0" applyFont="1" applyBorder="1" applyAlignment="1">
      <alignment horizontal="center" vertical="center"/>
    </xf>
    <xf numFmtId="176" fontId="46" fillId="0" borderId="1" xfId="0" applyNumberFormat="1" applyFont="1" applyBorder="1" applyAlignment="1">
      <alignment horizontal="left" vertical="center"/>
    </xf>
    <xf numFmtId="16" fontId="46" fillId="0" borderId="1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wrapText="1"/>
    </xf>
    <xf numFmtId="16" fontId="3" fillId="0" borderId="1" xfId="0" applyNumberFormat="1" applyFont="1" applyBorder="1" applyAlignment="1">
      <alignment horizontal="left" vertical="center"/>
    </xf>
    <xf numFmtId="16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50" fillId="0" borderId="1" xfId="45" applyFont="1" applyBorder="1" applyAlignment="1">
      <alignment vertical="center" wrapText="1"/>
    </xf>
    <xf numFmtId="176" fontId="0" fillId="0" borderId="1" xfId="0" applyNumberFormat="1" applyBorder="1" applyAlignment="1">
      <alignment horizontal="left" vertical="center"/>
    </xf>
    <xf numFmtId="0" fontId="3" fillId="0" borderId="1" xfId="0" applyFont="1" applyBorder="1" applyAlignment="1">
      <alignment vertical="top" wrapText="1"/>
    </xf>
    <xf numFmtId="176" fontId="3" fillId="0" borderId="1" xfId="0" applyNumberFormat="1" applyFont="1" applyBorder="1" applyAlignment="1">
      <alignment vertical="center" wrapText="1"/>
    </xf>
    <xf numFmtId="176" fontId="3" fillId="0" borderId="1" xfId="0" applyNumberFormat="1" applyFont="1" applyBorder="1" applyAlignment="1">
      <alignment vertical="center"/>
    </xf>
    <xf numFmtId="176" fontId="3" fillId="0" borderId="1" xfId="0" applyNumberFormat="1" applyFont="1" applyBorder="1" applyAlignment="1">
      <alignment horizontal="left" vertical="center" wrapText="1"/>
    </xf>
    <xf numFmtId="0" fontId="10" fillId="0" borderId="1" xfId="45" applyFont="1" applyBorder="1" applyAlignment="1">
      <alignment vertical="center" wrapText="1"/>
    </xf>
    <xf numFmtId="0" fontId="3" fillId="0" borderId="1" xfId="0" applyFont="1" applyBorder="1" applyAlignment="1">
      <alignment horizontal="left" vertical="center" wrapText="1"/>
    </xf>
    <xf numFmtId="16" fontId="3" fillId="0" borderId="1" xfId="0" applyNumberFormat="1" applyFont="1" applyBorder="1" applyAlignment="1">
      <alignment horizontal="left" vertical="center" wrapText="1"/>
    </xf>
    <xf numFmtId="0" fontId="58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16" fontId="3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 wrapText="1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wrapText="1"/>
    </xf>
    <xf numFmtId="0" fontId="0" fillId="0" borderId="1" xfId="0" applyBorder="1" applyAlignment="1">
      <alignment horizontal="left" vertical="center"/>
    </xf>
    <xf numFmtId="0" fontId="13" fillId="0" borderId="0" xfId="45" applyFont="1" applyAlignment="1">
      <alignment vertical="top" wrapText="1"/>
    </xf>
    <xf numFmtId="0" fontId="13" fillId="0" borderId="0" xfId="45" applyFont="1" applyAlignment="1">
      <alignment horizontal="left" vertical="top" wrapText="1"/>
    </xf>
    <xf numFmtId="0" fontId="60" fillId="0" borderId="0" xfId="45" applyFont="1"/>
    <xf numFmtId="0" fontId="60" fillId="0" borderId="0" xfId="45" applyFont="1" applyAlignment="1">
      <alignment horizontal="center"/>
    </xf>
    <xf numFmtId="0" fontId="32" fillId="0" borderId="0" xfId="0" applyFont="1"/>
    <xf numFmtId="0" fontId="32" fillId="0" borderId="0" xfId="49" applyFont="1"/>
    <xf numFmtId="0" fontId="13" fillId="4" borderId="0" xfId="45" applyFont="1" applyFill="1"/>
    <xf numFmtId="0" fontId="13" fillId="0" borderId="0" xfId="45" applyFont="1"/>
    <xf numFmtId="0" fontId="13" fillId="41" borderId="0" xfId="45" applyFont="1" applyFill="1"/>
    <xf numFmtId="0" fontId="13" fillId="0" borderId="0" xfId="45" applyFont="1" applyAlignment="1">
      <alignment horizontal="left"/>
    </xf>
    <xf numFmtId="0" fontId="13" fillId="10" borderId="0" xfId="45" applyFont="1" applyFill="1"/>
    <xf numFmtId="0" fontId="61" fillId="0" borderId="0" xfId="49" applyFont="1"/>
    <xf numFmtId="0" fontId="13" fillId="36" borderId="0" xfId="45" applyFont="1" applyFill="1"/>
    <xf numFmtId="0" fontId="13" fillId="8" borderId="0" xfId="45" applyFont="1" applyFill="1"/>
    <xf numFmtId="0" fontId="13" fillId="5" borderId="0" xfId="45" applyFont="1" applyFill="1"/>
    <xf numFmtId="175" fontId="52" fillId="0" borderId="0" xfId="45" applyNumberFormat="1" applyFont="1" applyAlignment="1">
      <alignment horizontal="center"/>
    </xf>
    <xf numFmtId="175" fontId="52" fillId="0" borderId="0" xfId="45" applyNumberFormat="1" applyFont="1"/>
    <xf numFmtId="175" fontId="52" fillId="0" borderId="19" xfId="45" applyNumberFormat="1" applyFont="1" applyBorder="1" applyAlignment="1">
      <alignment horizontal="center"/>
    </xf>
    <xf numFmtId="176" fontId="52" fillId="0" borderId="0" xfId="45" applyNumberFormat="1" applyFont="1" applyAlignment="1">
      <alignment horizontal="center"/>
    </xf>
    <xf numFmtId="176" fontId="52" fillId="0" borderId="0" xfId="45" applyNumberFormat="1" applyFont="1"/>
    <xf numFmtId="176" fontId="52" fillId="42" borderId="19" xfId="45" applyNumberFormat="1" applyFont="1" applyFill="1" applyBorder="1" applyAlignment="1">
      <alignment horizontal="center"/>
    </xf>
    <xf numFmtId="0" fontId="52" fillId="42" borderId="19" xfId="45" applyFont="1" applyFill="1" applyBorder="1" applyAlignment="1">
      <alignment horizontal="center" vertical="top" wrapText="1"/>
    </xf>
    <xf numFmtId="0" fontId="52" fillId="0" borderId="19" xfId="45" applyFont="1" applyBorder="1" applyAlignment="1">
      <alignment horizontal="center" vertical="top" wrapText="1"/>
    </xf>
    <xf numFmtId="0" fontId="60" fillId="0" borderId="19" xfId="45" applyFont="1" applyBorder="1" applyAlignment="1">
      <alignment horizontal="left" vertical="top" wrapText="1"/>
    </xf>
    <xf numFmtId="0" fontId="52" fillId="6" borderId="19" xfId="45" applyFont="1" applyFill="1" applyBorder="1" applyAlignment="1">
      <alignment horizontal="center" vertical="top" wrapText="1"/>
    </xf>
    <xf numFmtId="0" fontId="63" fillId="0" borderId="19" xfId="45" applyFont="1" applyBorder="1" applyAlignment="1">
      <alignment horizontal="center" vertical="top" wrapText="1"/>
    </xf>
    <xf numFmtId="0" fontId="63" fillId="4" borderId="19" xfId="45" applyFont="1" applyFill="1" applyBorder="1" applyAlignment="1">
      <alignment horizontal="center" vertical="top" wrapText="1"/>
    </xf>
    <xf numFmtId="0" fontId="63" fillId="0" borderId="19" xfId="45" applyFont="1" applyBorder="1" applyAlignment="1">
      <alignment vertical="top" wrapText="1"/>
    </xf>
    <xf numFmtId="0" fontId="52" fillId="0" borderId="19" xfId="45" applyFont="1" applyBorder="1" applyAlignment="1">
      <alignment vertical="top" wrapText="1"/>
    </xf>
    <xf numFmtId="0" fontId="52" fillId="6" borderId="19" xfId="45" applyFont="1" applyFill="1" applyBorder="1" applyAlignment="1">
      <alignment vertical="top" wrapText="1"/>
    </xf>
    <xf numFmtId="0" fontId="63" fillId="41" borderId="19" xfId="45" applyFont="1" applyFill="1" applyBorder="1" applyAlignment="1">
      <alignment horizontal="center" vertical="top" wrapText="1"/>
    </xf>
    <xf numFmtId="0" fontId="60" fillId="0" borderId="19" xfId="45" applyFont="1" applyBorder="1" applyAlignment="1">
      <alignment horizontal="center" vertical="top" wrapText="1"/>
    </xf>
    <xf numFmtId="0" fontId="63" fillId="5" borderId="19" xfId="45" applyFont="1" applyFill="1" applyBorder="1" applyAlignment="1">
      <alignment horizontal="center" vertical="top" wrapText="1"/>
    </xf>
    <xf numFmtId="0" fontId="63" fillId="4" borderId="19" xfId="45" applyFont="1" applyFill="1" applyBorder="1" applyAlignment="1">
      <alignment vertical="top" wrapText="1"/>
    </xf>
    <xf numFmtId="0" fontId="63" fillId="5" borderId="19" xfId="45" applyFont="1" applyFill="1" applyBorder="1" applyAlignment="1">
      <alignment vertical="top" wrapText="1"/>
    </xf>
    <xf numFmtId="0" fontId="64" fillId="4" borderId="0" xfId="0" applyFont="1" applyFill="1"/>
    <xf numFmtId="16" fontId="63" fillId="0" borderId="19" xfId="45" applyNumberFormat="1" applyFont="1" applyBorder="1" applyAlignment="1">
      <alignment horizontal="center" vertical="top" wrapText="1"/>
    </xf>
    <xf numFmtId="16" fontId="41" fillId="4" borderId="19" xfId="0" applyNumberFormat="1" applyFont="1" applyFill="1" applyBorder="1" applyAlignment="1">
      <alignment horizontal="center"/>
    </xf>
    <xf numFmtId="0" fontId="65" fillId="0" borderId="19" xfId="45" applyFont="1" applyBorder="1" applyAlignment="1">
      <alignment horizontal="center" vertical="top" wrapText="1"/>
    </xf>
    <xf numFmtId="1" fontId="60" fillId="0" borderId="24" xfId="45" applyNumberFormat="1" applyFont="1" applyBorder="1" applyAlignment="1">
      <alignment horizontal="center" vertical="top" wrapText="1"/>
    </xf>
    <xf numFmtId="0" fontId="60" fillId="0" borderId="24" xfId="45" applyFont="1" applyBorder="1" applyAlignment="1">
      <alignment horizontal="left" vertical="top" wrapText="1"/>
    </xf>
    <xf numFmtId="0" fontId="60" fillId="0" borderId="19" xfId="45" applyFont="1" applyBorder="1" applyAlignment="1">
      <alignment vertical="top" wrapText="1"/>
    </xf>
    <xf numFmtId="1" fontId="52" fillId="0" borderId="19" xfId="45" applyNumberFormat="1" applyFont="1" applyBorder="1" applyAlignment="1">
      <alignment horizontal="center" vertical="top" wrapText="1"/>
    </xf>
    <xf numFmtId="1" fontId="60" fillId="0" borderId="0" xfId="45" applyNumberFormat="1" applyFont="1" applyAlignment="1">
      <alignment horizontal="center" vertical="top" wrapText="1"/>
    </xf>
    <xf numFmtId="0" fontId="13" fillId="0" borderId="0" xfId="45" applyFont="1" applyAlignment="1">
      <alignment horizontal="center" vertical="top" wrapText="1"/>
    </xf>
    <xf numFmtId="1" fontId="13" fillId="0" borderId="0" xfId="45" applyNumberFormat="1" applyFont="1" applyAlignment="1">
      <alignment vertical="top" wrapText="1"/>
    </xf>
    <xf numFmtId="0" fontId="13" fillId="0" borderId="26" xfId="45" applyFont="1" applyBorder="1" applyAlignment="1">
      <alignment horizontal="left" vertical="top"/>
    </xf>
    <xf numFmtId="0" fontId="13" fillId="0" borderId="0" xfId="45" applyFont="1" applyAlignment="1">
      <alignment horizontal="left" vertical="top"/>
    </xf>
    <xf numFmtId="0" fontId="13" fillId="0" borderId="31" xfId="45" applyFont="1" applyBorder="1" applyAlignment="1">
      <alignment horizontal="left" vertical="top"/>
    </xf>
    <xf numFmtId="0" fontId="13" fillId="0" borderId="0" xfId="45" applyFont="1" applyAlignment="1">
      <alignment horizontal="center" vertical="center" wrapText="1"/>
    </xf>
    <xf numFmtId="0" fontId="13" fillId="0" borderId="31" xfId="52" applyFont="1" applyBorder="1" applyAlignment="1">
      <alignment horizontal="left" vertical="center"/>
    </xf>
    <xf numFmtId="0" fontId="61" fillId="42" borderId="2" xfId="45" applyFont="1" applyFill="1" applyBorder="1" applyAlignment="1">
      <alignment horizontal="center" vertical="top" wrapText="1"/>
    </xf>
    <xf numFmtId="0" fontId="61" fillId="42" borderId="17" xfId="45" applyFont="1" applyFill="1" applyBorder="1" applyAlignment="1">
      <alignment horizontal="center" vertical="top" wrapText="1"/>
    </xf>
    <xf numFmtId="0" fontId="61" fillId="42" borderId="1" xfId="45" applyFont="1" applyFill="1" applyBorder="1" applyAlignment="1">
      <alignment horizontal="center" vertical="top" wrapText="1"/>
    </xf>
    <xf numFmtId="0" fontId="61" fillId="42" borderId="3" xfId="45" applyFont="1" applyFill="1" applyBorder="1" applyAlignment="1">
      <alignment horizontal="center" vertical="top" wrapText="1"/>
    </xf>
    <xf numFmtId="0" fontId="13" fillId="42" borderId="3" xfId="45" applyFont="1" applyFill="1" applyBorder="1" applyAlignment="1">
      <alignment horizontal="center" vertical="top" wrapText="1"/>
    </xf>
    <xf numFmtId="0" fontId="13" fillId="42" borderId="1" xfId="45" applyFont="1" applyFill="1" applyBorder="1" applyAlignment="1">
      <alignment horizontal="center" vertical="top" wrapText="1"/>
    </xf>
    <xf numFmtId="0" fontId="66" fillId="0" borderId="0" xfId="45" applyFont="1"/>
    <xf numFmtId="0" fontId="66" fillId="0" borderId="1" xfId="45" applyFont="1" applyBorder="1" applyAlignment="1">
      <alignment horizontal="center" vertical="top" wrapText="1"/>
    </xf>
    <xf numFmtId="177" fontId="66" fillId="0" borderId="1" xfId="45" applyNumberFormat="1" applyFont="1" applyBorder="1" applyAlignment="1">
      <alignment horizontal="center" vertical="top" wrapText="1"/>
    </xf>
    <xf numFmtId="9" fontId="63" fillId="0" borderId="1" xfId="45" applyNumberFormat="1" applyFont="1" applyBorder="1" applyAlignment="1">
      <alignment horizontal="center" vertical="top" wrapText="1"/>
    </xf>
    <xf numFmtId="0" fontId="66" fillId="0" borderId="1" xfId="45" applyFont="1" applyBorder="1" applyAlignment="1">
      <alignment vertical="top" wrapText="1"/>
    </xf>
    <xf numFmtId="0" fontId="13" fillId="0" borderId="1" xfId="45" applyFont="1" applyBorder="1" applyAlignment="1">
      <alignment horizontal="center" vertical="top" wrapText="1"/>
    </xf>
    <xf numFmtId="177" fontId="13" fillId="0" borderId="1" xfId="45" applyNumberFormat="1" applyFont="1" applyBorder="1" applyAlignment="1">
      <alignment horizontal="center" vertical="top" wrapText="1"/>
    </xf>
    <xf numFmtId="9" fontId="61" fillId="0" borderId="1" xfId="45" applyNumberFormat="1" applyFont="1" applyBorder="1" applyAlignment="1">
      <alignment horizontal="center" vertical="top" wrapText="1"/>
    </xf>
    <xf numFmtId="9" fontId="52" fillId="0" borderId="1" xfId="45" applyNumberFormat="1" applyFont="1" applyBorder="1" applyAlignment="1">
      <alignment horizontal="center" vertical="top" wrapText="1"/>
    </xf>
    <xf numFmtId="0" fontId="13" fillId="0" borderId="1" xfId="45" applyFont="1" applyBorder="1" applyAlignment="1">
      <alignment vertical="top" wrapText="1"/>
    </xf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67" fillId="4" borderId="0" xfId="0" applyFont="1" applyFill="1" applyAlignment="1">
      <alignment horizontal="center"/>
    </xf>
    <xf numFmtId="0" fontId="67" fillId="43" borderId="0" xfId="0" applyFont="1" applyFill="1" applyAlignment="1">
      <alignment horizontal="center"/>
    </xf>
    <xf numFmtId="0" fontId="67" fillId="0" borderId="0" xfId="0" applyFont="1" applyAlignment="1">
      <alignment horizontal="left"/>
    </xf>
    <xf numFmtId="0" fontId="67" fillId="5" borderId="0" xfId="0" applyFont="1" applyFill="1" applyAlignment="1">
      <alignment horizontal="center"/>
    </xf>
    <xf numFmtId="0" fontId="67" fillId="8" borderId="0" xfId="0" applyFont="1" applyFill="1" applyAlignment="1">
      <alignment horizontal="center"/>
    </xf>
    <xf numFmtId="0" fontId="67" fillId="36" borderId="0" xfId="0" applyFont="1" applyFill="1" applyAlignment="1">
      <alignment horizontal="center"/>
    </xf>
    <xf numFmtId="0" fontId="68" fillId="44" borderId="33" xfId="0" applyFont="1" applyFill="1" applyBorder="1" applyAlignment="1">
      <alignment horizontal="center" vertical="center"/>
    </xf>
    <xf numFmtId="0" fontId="67" fillId="44" borderId="36" xfId="0" applyFont="1" applyFill="1" applyBorder="1" applyAlignment="1">
      <alignment horizontal="center" vertical="center"/>
    </xf>
    <xf numFmtId="0" fontId="67" fillId="44" borderId="37" xfId="0" applyFont="1" applyFill="1" applyBorder="1" applyAlignment="1">
      <alignment horizontal="center" vertical="center"/>
    </xf>
    <xf numFmtId="0" fontId="67" fillId="44" borderId="38" xfId="0" applyFont="1" applyFill="1" applyBorder="1" applyAlignment="1">
      <alignment horizontal="center" vertical="center"/>
    </xf>
    <xf numFmtId="0" fontId="67" fillId="44" borderId="39" xfId="0" applyFont="1" applyFill="1" applyBorder="1" applyAlignment="1">
      <alignment horizontal="center" vertical="center"/>
    </xf>
    <xf numFmtId="0" fontId="67" fillId="44" borderId="40" xfId="0" applyFont="1" applyFill="1" applyBorder="1" applyAlignment="1">
      <alignment horizontal="center" vertical="center"/>
    </xf>
    <xf numFmtId="0" fontId="39" fillId="0" borderId="0" xfId="0" applyFont="1"/>
    <xf numFmtId="0" fontId="67" fillId="0" borderId="45" xfId="0" applyFont="1" applyBorder="1" applyAlignment="1">
      <alignment horizontal="center"/>
    </xf>
    <xf numFmtId="0" fontId="67" fillId="0" borderId="51" xfId="0" applyFont="1" applyBorder="1" applyAlignment="1">
      <alignment horizontal="center"/>
    </xf>
    <xf numFmtId="0" fontId="70" fillId="0" borderId="61" xfId="0" applyFont="1" applyBorder="1" applyAlignment="1">
      <alignment horizontal="left" vertical="center" readingOrder="1"/>
    </xf>
    <xf numFmtId="0" fontId="70" fillId="0" borderId="61" xfId="0" applyFont="1" applyBorder="1" applyAlignment="1">
      <alignment horizontal="center" vertical="center" readingOrder="1"/>
    </xf>
    <xf numFmtId="0" fontId="68" fillId="0" borderId="61" xfId="0" applyFont="1" applyBorder="1" applyAlignment="1">
      <alignment horizontal="center"/>
    </xf>
    <xf numFmtId="0" fontId="67" fillId="0" borderId="62" xfId="0" applyFont="1" applyBorder="1" applyAlignment="1">
      <alignment horizontal="center"/>
    </xf>
    <xf numFmtId="0" fontId="67" fillId="0" borderId="63" xfId="0" applyFont="1" applyBorder="1" applyAlignment="1">
      <alignment horizontal="center"/>
    </xf>
    <xf numFmtId="0" fontId="67" fillId="0" borderId="64" xfId="0" applyFont="1" applyBorder="1" applyAlignment="1">
      <alignment horizontal="center"/>
    </xf>
    <xf numFmtId="0" fontId="67" fillId="0" borderId="65" xfId="0" applyFont="1" applyBorder="1" applyAlignment="1">
      <alignment horizontal="center"/>
    </xf>
    <xf numFmtId="0" fontId="67" fillId="0" borderId="66" xfId="0" applyFont="1" applyBorder="1" applyAlignment="1">
      <alignment horizontal="center"/>
    </xf>
    <xf numFmtId="9" fontId="67" fillId="0" borderId="63" xfId="0" applyNumberFormat="1" applyFont="1" applyBorder="1" applyAlignment="1">
      <alignment horizontal="center"/>
    </xf>
    <xf numFmtId="0" fontId="67" fillId="0" borderId="46" xfId="0" applyFont="1" applyBorder="1" applyAlignment="1">
      <alignment horizontal="center"/>
    </xf>
    <xf numFmtId="0" fontId="67" fillId="0" borderId="1" xfId="0" applyFont="1" applyBorder="1" applyAlignment="1">
      <alignment horizontal="center"/>
    </xf>
    <xf numFmtId="0" fontId="67" fillId="0" borderId="4" xfId="0" applyFont="1" applyBorder="1" applyAlignment="1">
      <alignment horizontal="center"/>
    </xf>
    <xf numFmtId="0" fontId="67" fillId="0" borderId="55" xfId="0" applyFont="1" applyBorder="1" applyAlignment="1">
      <alignment horizontal="center"/>
    </xf>
    <xf numFmtId="0" fontId="70" fillId="0" borderId="59" xfId="0" applyFont="1" applyBorder="1" applyAlignment="1">
      <alignment horizontal="left" vertical="center" readingOrder="1"/>
    </xf>
    <xf numFmtId="0" fontId="70" fillId="0" borderId="59" xfId="0" applyFont="1" applyBorder="1" applyAlignment="1">
      <alignment horizontal="center" vertical="center" readingOrder="1"/>
    </xf>
    <xf numFmtId="0" fontId="68" fillId="0" borderId="68" xfId="0" applyFont="1" applyBorder="1" applyAlignment="1">
      <alignment horizontal="center"/>
    </xf>
    <xf numFmtId="0" fontId="67" fillId="0" borderId="2" xfId="0" applyFont="1" applyBorder="1" applyAlignment="1">
      <alignment horizontal="center"/>
    </xf>
    <xf numFmtId="0" fontId="67" fillId="0" borderId="57" xfId="0" applyFont="1" applyBorder="1" applyAlignment="1">
      <alignment horizontal="center"/>
    </xf>
    <xf numFmtId="9" fontId="67" fillId="0" borderId="2" xfId="0" applyNumberFormat="1" applyFont="1" applyBorder="1" applyAlignment="1">
      <alignment horizontal="center"/>
    </xf>
    <xf numFmtId="0" fontId="68" fillId="0" borderId="70" xfId="0" applyFont="1" applyBorder="1" applyAlignment="1">
      <alignment horizontal="center"/>
    </xf>
    <xf numFmtId="0" fontId="67" fillId="0" borderId="3" xfId="0" applyFont="1" applyBorder="1" applyAlignment="1">
      <alignment horizontal="center"/>
    </xf>
    <xf numFmtId="0" fontId="67" fillId="0" borderId="68" xfId="0" applyFont="1" applyBorder="1" applyAlignment="1">
      <alignment horizontal="center"/>
    </xf>
    <xf numFmtId="0" fontId="67" fillId="0" borderId="58" xfId="0" applyFont="1" applyBorder="1" applyAlignment="1">
      <alignment horizontal="center"/>
    </xf>
    <xf numFmtId="0" fontId="67" fillId="0" borderId="60" xfId="0" applyFont="1" applyBorder="1" applyAlignment="1">
      <alignment horizontal="center"/>
    </xf>
    <xf numFmtId="0" fontId="67" fillId="0" borderId="16" xfId="0" applyFont="1" applyBorder="1" applyAlignment="1">
      <alignment horizontal="center"/>
    </xf>
    <xf numFmtId="0" fontId="70" fillId="0" borderId="72" xfId="0" applyFont="1" applyBorder="1" applyAlignment="1">
      <alignment horizontal="left" vertical="center" readingOrder="1"/>
    </xf>
    <xf numFmtId="0" fontId="70" fillId="0" borderId="72" xfId="0" applyFont="1" applyBorder="1" applyAlignment="1">
      <alignment horizontal="center" vertical="center" readingOrder="1"/>
    </xf>
    <xf numFmtId="9" fontId="67" fillId="0" borderId="1" xfId="0" applyNumberFormat="1" applyFont="1" applyBorder="1" applyAlignment="1">
      <alignment horizontal="center"/>
    </xf>
    <xf numFmtId="0" fontId="67" fillId="0" borderId="69" xfId="0" applyFont="1" applyBorder="1" applyAlignment="1">
      <alignment horizontal="center"/>
    </xf>
    <xf numFmtId="9" fontId="67" fillId="0" borderId="1" xfId="0" quotePrefix="1" applyNumberFormat="1" applyFont="1" applyBorder="1" applyAlignment="1">
      <alignment horizontal="center"/>
    </xf>
    <xf numFmtId="0" fontId="70" fillId="0" borderId="0" xfId="0" applyFont="1" applyAlignment="1">
      <alignment horizontal="left" vertical="center" readingOrder="1"/>
    </xf>
    <xf numFmtId="0" fontId="70" fillId="0" borderId="0" xfId="0" applyFont="1" applyAlignment="1">
      <alignment horizontal="center" vertical="center" readingOrder="1"/>
    </xf>
    <xf numFmtId="0" fontId="0" fillId="0" borderId="0" xfId="0" applyAlignment="1">
      <alignment wrapText="1"/>
    </xf>
    <xf numFmtId="22" fontId="0" fillId="0" borderId="0" xfId="0" applyNumberFormat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22" fontId="0" fillId="0" borderId="19" xfId="0" applyNumberFormat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71" fillId="0" borderId="0" xfId="0" applyFont="1" applyAlignment="1">
      <alignment vertical="center"/>
    </xf>
    <xf numFmtId="0" fontId="67" fillId="0" borderId="42" xfId="0" applyFont="1" applyBorder="1" applyAlignment="1">
      <alignment horizontal="center"/>
    </xf>
    <xf numFmtId="0" fontId="67" fillId="0" borderId="17" xfId="0" applyFont="1" applyBorder="1" applyAlignment="1">
      <alignment horizontal="center"/>
    </xf>
    <xf numFmtId="0" fontId="67" fillId="0" borderId="43" xfId="0" applyFont="1" applyBorder="1" applyAlignment="1">
      <alignment horizontal="center"/>
    </xf>
    <xf numFmtId="0" fontId="67" fillId="0" borderId="29" xfId="0" applyFont="1" applyBorder="1" applyAlignment="1">
      <alignment horizontal="center"/>
    </xf>
    <xf numFmtId="0" fontId="67" fillId="0" borderId="28" xfId="0" applyFont="1" applyBorder="1" applyAlignment="1">
      <alignment horizontal="center"/>
    </xf>
    <xf numFmtId="0" fontId="67" fillId="0" borderId="47" xfId="0" applyFont="1" applyBorder="1" applyAlignment="1">
      <alignment horizontal="center"/>
    </xf>
    <xf numFmtId="0" fontId="67" fillId="0" borderId="48" xfId="0" applyFont="1" applyBorder="1" applyAlignment="1">
      <alignment horizontal="center"/>
    </xf>
    <xf numFmtId="0" fontId="67" fillId="0" borderId="49" xfId="0" applyFont="1" applyBorder="1" applyAlignment="1">
      <alignment horizontal="center"/>
    </xf>
    <xf numFmtId="0" fontId="67" fillId="0" borderId="52" xfId="0" applyFont="1" applyBorder="1" applyAlignment="1">
      <alignment horizontal="center"/>
    </xf>
    <xf numFmtId="0" fontId="67" fillId="0" borderId="6" xfId="0" applyFont="1" applyBorder="1" applyAlignment="1">
      <alignment horizontal="center"/>
    </xf>
    <xf numFmtId="0" fontId="67" fillId="0" borderId="53" xfId="0" applyFont="1" applyBorder="1" applyAlignment="1">
      <alignment horizontal="center"/>
    </xf>
    <xf numFmtId="0" fontId="67" fillId="0" borderId="56" xfId="0" applyFont="1" applyBorder="1" applyAlignment="1">
      <alignment horizontal="center"/>
    </xf>
    <xf numFmtId="0" fontId="67" fillId="0" borderId="5" xfId="0" applyFont="1" applyBorder="1" applyAlignment="1">
      <alignment horizontal="center"/>
    </xf>
    <xf numFmtId="0" fontId="67" fillId="0" borderId="2" xfId="0" quotePrefix="1" applyFont="1" applyBorder="1" applyAlignment="1">
      <alignment horizontal="center"/>
    </xf>
    <xf numFmtId="9" fontId="67" fillId="0" borderId="2" xfId="0" quotePrefix="1" applyNumberFormat="1" applyFont="1" applyBorder="1" applyAlignment="1">
      <alignment horizontal="center"/>
    </xf>
    <xf numFmtId="0" fontId="67" fillId="0" borderId="1" xfId="0" quotePrefix="1" applyFont="1" applyBorder="1" applyAlignment="1">
      <alignment horizontal="center"/>
    </xf>
    <xf numFmtId="9" fontId="67" fillId="0" borderId="0" xfId="0" applyNumberFormat="1" applyFont="1" applyAlignment="1">
      <alignment horizontal="center"/>
    </xf>
    <xf numFmtId="9" fontId="67" fillId="0" borderId="3" xfId="0" applyNumberFormat="1" applyFont="1" applyBorder="1" applyAlignment="1">
      <alignment horizontal="center"/>
    </xf>
    <xf numFmtId="0" fontId="69" fillId="0" borderId="41" xfId="0" applyFont="1" applyBorder="1" applyAlignment="1">
      <alignment horizontal="left" vertical="center" readingOrder="1"/>
    </xf>
    <xf numFmtId="0" fontId="69" fillId="0" borderId="41" xfId="0" applyFont="1" applyBorder="1" applyAlignment="1">
      <alignment horizontal="center" vertical="center" readingOrder="1"/>
    </xf>
    <xf numFmtId="0" fontId="68" fillId="0" borderId="41" xfId="0" applyFont="1" applyBorder="1" applyAlignment="1">
      <alignment horizontal="center" vertical="center"/>
    </xf>
    <xf numFmtId="0" fontId="69" fillId="0" borderId="44" xfId="0" applyFont="1" applyBorder="1" applyAlignment="1">
      <alignment horizontal="left" vertical="center" readingOrder="1"/>
    </xf>
    <xf numFmtId="0" fontId="69" fillId="0" borderId="44" xfId="0" applyFont="1" applyBorder="1" applyAlignment="1">
      <alignment horizontal="center" vertical="center" readingOrder="1"/>
    </xf>
    <xf numFmtId="0" fontId="68" fillId="0" borderId="44" xfId="0" applyFont="1" applyBorder="1" applyAlignment="1">
      <alignment horizontal="center"/>
    </xf>
    <xf numFmtId="0" fontId="70" fillId="0" borderId="50" xfId="0" applyFont="1" applyBorder="1" applyAlignment="1">
      <alignment horizontal="left" vertical="center" readingOrder="1"/>
    </xf>
    <xf numFmtId="0" fontId="70" fillId="0" borderId="50" xfId="0" applyFont="1" applyBorder="1" applyAlignment="1">
      <alignment horizontal="center" vertical="center" readingOrder="1"/>
    </xf>
    <xf numFmtId="0" fontId="67" fillId="0" borderId="50" xfId="0" applyFont="1" applyBorder="1" applyAlignment="1">
      <alignment horizontal="center"/>
    </xf>
    <xf numFmtId="0" fontId="70" fillId="0" borderId="54" xfId="0" applyFont="1" applyBorder="1" applyAlignment="1">
      <alignment horizontal="left" vertical="center" readingOrder="1"/>
    </xf>
    <xf numFmtId="0" fontId="70" fillId="0" borderId="54" xfId="0" applyFont="1" applyBorder="1" applyAlignment="1">
      <alignment horizontal="center" vertical="center" readingOrder="1"/>
    </xf>
    <xf numFmtId="0" fontId="67" fillId="0" borderId="54" xfId="0" applyFont="1" applyBorder="1" applyAlignment="1">
      <alignment horizontal="center"/>
    </xf>
    <xf numFmtId="0" fontId="67" fillId="0" borderId="59" xfId="0" applyFont="1" applyBorder="1" applyAlignment="1">
      <alignment horizontal="center"/>
    </xf>
    <xf numFmtId="0" fontId="68" fillId="0" borderId="67" xfId="0" applyFont="1" applyBorder="1" applyAlignment="1">
      <alignment horizontal="center"/>
    </xf>
    <xf numFmtId="0" fontId="69" fillId="0" borderId="50" xfId="0" applyFont="1" applyBorder="1" applyAlignment="1">
      <alignment horizontal="left" vertical="center" readingOrder="1"/>
    </xf>
    <xf numFmtId="0" fontId="69" fillId="0" borderId="50" xfId="0" applyFont="1" applyBorder="1" applyAlignment="1">
      <alignment horizontal="center" vertical="center" readingOrder="1"/>
    </xf>
    <xf numFmtId="0" fontId="68" fillId="0" borderId="71" xfId="0" applyFont="1" applyBorder="1" applyAlignment="1">
      <alignment horizontal="center"/>
    </xf>
    <xf numFmtId="0" fontId="67" fillId="0" borderId="71" xfId="0" applyFont="1" applyBorder="1" applyAlignment="1">
      <alignment horizontal="center"/>
    </xf>
    <xf numFmtId="0" fontId="70" fillId="0" borderId="69" xfId="0" applyFont="1" applyBorder="1" applyAlignment="1">
      <alignment horizontal="left" vertical="center" readingOrder="1"/>
    </xf>
    <xf numFmtId="0" fontId="70" fillId="0" borderId="69" xfId="0" applyFont="1" applyBorder="1" applyAlignment="1">
      <alignment horizontal="center" vertical="center" readingOrder="1"/>
    </xf>
    <xf numFmtId="0" fontId="67" fillId="0" borderId="70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45" fillId="0" borderId="19" xfId="0" applyFont="1" applyBorder="1" applyAlignment="1">
      <alignment horizontal="left" vertical="center"/>
    </xf>
    <xf numFmtId="0" fontId="6" fillId="0" borderId="19" xfId="39" applyFont="1" applyBorder="1" applyAlignment="1" applyProtection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49" fontId="7" fillId="0" borderId="19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19" xfId="0" applyBorder="1" applyAlignment="1">
      <alignment horizontal="left"/>
    </xf>
    <xf numFmtId="0" fontId="72" fillId="0" borderId="19" xfId="39" applyFont="1" applyBorder="1" applyAlignment="1" applyProtection="1">
      <alignment horizontal="left"/>
    </xf>
    <xf numFmtId="0" fontId="0" fillId="0" borderId="19" xfId="0" applyBorder="1"/>
    <xf numFmtId="0" fontId="7" fillId="0" borderId="19" xfId="0" applyFont="1" applyBorder="1" applyAlignment="1">
      <alignment horizontal="left" vertical="center"/>
    </xf>
    <xf numFmtId="0" fontId="4" fillId="3" borderId="19" xfId="0" applyFont="1" applyFill="1" applyBorder="1"/>
    <xf numFmtId="49" fontId="42" fillId="13" borderId="23" xfId="0" applyNumberFormat="1" applyFont="1" applyFill="1" applyBorder="1" applyAlignment="1">
      <alignment horizontal="center" vertical="center" wrapText="1"/>
    </xf>
    <xf numFmtId="0" fontId="47" fillId="13" borderId="23" xfId="0" applyFont="1" applyFill="1" applyBorder="1" applyAlignment="1">
      <alignment horizontal="center" vertical="center" wrapText="1"/>
    </xf>
    <xf numFmtId="49" fontId="42" fillId="13" borderId="23" xfId="0" applyNumberFormat="1" applyFont="1" applyFill="1" applyBorder="1" applyAlignment="1">
      <alignment horizontal="center" vertical="center"/>
    </xf>
    <xf numFmtId="0" fontId="42" fillId="13" borderId="23" xfId="0" applyFont="1" applyFill="1" applyBorder="1" applyAlignment="1">
      <alignment horizontal="center" vertical="center" wrapText="1"/>
    </xf>
    <xf numFmtId="0" fontId="42" fillId="13" borderId="23" xfId="0" applyFont="1" applyFill="1" applyBorder="1" applyAlignment="1">
      <alignment horizontal="center" vertical="center"/>
    </xf>
    <xf numFmtId="170" fontId="42" fillId="13" borderId="23" xfId="0" applyNumberFormat="1" applyFont="1" applyFill="1" applyBorder="1" applyAlignment="1">
      <alignment horizontal="center" vertical="center" wrapText="1"/>
    </xf>
    <xf numFmtId="168" fontId="42" fillId="13" borderId="23" xfId="0" applyNumberFormat="1" applyFont="1" applyFill="1" applyBorder="1" applyAlignment="1">
      <alignment horizontal="center" vertical="center" wrapText="1"/>
    </xf>
    <xf numFmtId="169" fontId="42" fillId="13" borderId="23" xfId="0" applyNumberFormat="1" applyFont="1" applyFill="1" applyBorder="1" applyAlignment="1">
      <alignment horizontal="center" vertical="center"/>
    </xf>
    <xf numFmtId="169" fontId="42" fillId="13" borderId="23" xfId="0" applyNumberFormat="1" applyFont="1" applyFill="1" applyBorder="1" applyAlignment="1">
      <alignment horizontal="center" vertical="center" wrapText="1"/>
    </xf>
    <xf numFmtId="165" fontId="42" fillId="13" borderId="23" xfId="0" applyNumberFormat="1" applyFont="1" applyFill="1" applyBorder="1" applyAlignment="1">
      <alignment horizontal="center" vertical="center" wrapText="1"/>
    </xf>
    <xf numFmtId="166" fontId="42" fillId="13" borderId="23" xfId="0" applyNumberFormat="1" applyFont="1" applyFill="1" applyBorder="1" applyAlignment="1" applyProtection="1">
      <alignment horizontal="center" vertical="center" wrapText="1"/>
      <protection locked="0"/>
    </xf>
    <xf numFmtId="0" fontId="42" fillId="13" borderId="23" xfId="0" applyFont="1" applyFill="1" applyBorder="1" applyAlignment="1" applyProtection="1">
      <alignment horizontal="center" vertical="center"/>
      <protection locked="0"/>
    </xf>
    <xf numFmtId="171" fontId="42" fillId="13" borderId="23" xfId="0" applyNumberFormat="1" applyFont="1" applyFill="1" applyBorder="1" applyAlignment="1" applyProtection="1">
      <alignment horizontal="center" vertical="center"/>
      <protection locked="0"/>
    </xf>
    <xf numFmtId="173" fontId="48" fillId="13" borderId="23" xfId="0" applyNumberFormat="1" applyFont="1" applyFill="1" applyBorder="1" applyAlignment="1" applyProtection="1">
      <alignment horizontal="center" vertical="center" wrapText="1"/>
      <protection locked="0"/>
    </xf>
    <xf numFmtId="171" fontId="48" fillId="13" borderId="23" xfId="0" applyNumberFormat="1" applyFont="1" applyFill="1" applyBorder="1" applyAlignment="1" applyProtection="1">
      <alignment horizontal="center" vertical="center"/>
      <protection locked="0"/>
    </xf>
    <xf numFmtId="0" fontId="42" fillId="13" borderId="23" xfId="0" applyFont="1" applyFill="1" applyBorder="1" applyAlignment="1" applyProtection="1">
      <alignment horizontal="center" vertical="center" wrapText="1"/>
      <protection locked="0"/>
    </xf>
    <xf numFmtId="169" fontId="47" fillId="13" borderId="23" xfId="0" applyNumberFormat="1" applyFont="1" applyFill="1" applyBorder="1" applyAlignment="1">
      <alignment horizontal="center" vertical="center" wrapText="1"/>
    </xf>
    <xf numFmtId="0" fontId="7" fillId="0" borderId="19" xfId="0" applyFont="1" applyBorder="1" applyAlignment="1">
      <alignment horizontal="center" vertical="center"/>
    </xf>
    <xf numFmtId="49" fontId="42" fillId="0" borderId="19" xfId="0" applyNumberFormat="1" applyFont="1" applyBorder="1" applyAlignment="1">
      <alignment horizontal="center" vertical="center" wrapText="1"/>
    </xf>
    <xf numFmtId="49" fontId="42" fillId="0" borderId="19" xfId="0" applyNumberFormat="1" applyFont="1" applyBorder="1" applyAlignment="1">
      <alignment horizontal="center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9" xfId="0" applyFont="1" applyBorder="1" applyAlignment="1">
      <alignment horizontal="center" vertical="center"/>
    </xf>
    <xf numFmtId="170" fontId="42" fillId="0" borderId="19" xfId="0" applyNumberFormat="1" applyFont="1" applyBorder="1" applyAlignment="1">
      <alignment horizontal="center" vertical="center" wrapText="1"/>
    </xf>
    <xf numFmtId="168" fontId="42" fillId="0" borderId="19" xfId="0" applyNumberFormat="1" applyFont="1" applyBorder="1" applyAlignment="1">
      <alignment horizontal="center" vertical="center" wrapText="1"/>
    </xf>
    <xf numFmtId="169" fontId="42" fillId="0" borderId="19" xfId="0" applyNumberFormat="1" applyFont="1" applyBorder="1" applyAlignment="1">
      <alignment horizontal="center" vertical="center"/>
    </xf>
    <xf numFmtId="169" fontId="42" fillId="0" borderId="19" xfId="0" applyNumberFormat="1" applyFont="1" applyBorder="1" applyAlignment="1">
      <alignment horizontal="center" vertical="center" wrapText="1"/>
    </xf>
    <xf numFmtId="165" fontId="42" fillId="0" borderId="19" xfId="0" applyNumberFormat="1" applyFont="1" applyBorder="1" applyAlignment="1">
      <alignment horizontal="center" vertical="center" wrapText="1"/>
    </xf>
    <xf numFmtId="166" fontId="42" fillId="0" borderId="19" xfId="0" applyNumberFormat="1" applyFont="1" applyBorder="1" applyAlignment="1" applyProtection="1">
      <alignment horizontal="center" vertical="center" wrapText="1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171" fontId="42" fillId="0" borderId="19" xfId="0" applyNumberFormat="1" applyFont="1" applyBorder="1" applyAlignment="1" applyProtection="1">
      <alignment horizontal="center" vertical="center"/>
      <protection locked="0"/>
    </xf>
    <xf numFmtId="173" fontId="48" fillId="0" borderId="19" xfId="0" applyNumberFormat="1" applyFont="1" applyBorder="1" applyAlignment="1" applyProtection="1">
      <alignment horizontal="center" vertical="center" wrapText="1"/>
      <protection locked="0"/>
    </xf>
    <xf numFmtId="171" fontId="48" fillId="0" borderId="19" xfId="0" applyNumberFormat="1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 wrapText="1"/>
      <protection locked="0"/>
    </xf>
    <xf numFmtId="49" fontId="73" fillId="0" borderId="19" xfId="0" applyNumberFormat="1" applyFont="1" applyBorder="1" applyAlignment="1">
      <alignment horizontal="center" vertical="center" wrapText="1"/>
    </xf>
    <xf numFmtId="0" fontId="73" fillId="0" borderId="19" xfId="0" applyFont="1" applyBorder="1" applyAlignment="1">
      <alignment horizontal="center" vertical="center" wrapText="1"/>
    </xf>
    <xf numFmtId="49" fontId="73" fillId="0" borderId="19" xfId="0" applyNumberFormat="1" applyFont="1" applyBorder="1" applyAlignment="1">
      <alignment horizontal="center" vertical="center"/>
    </xf>
    <xf numFmtId="0" fontId="73" fillId="0" borderId="19" xfId="0" applyFont="1" applyBorder="1" applyAlignment="1">
      <alignment horizontal="center" vertical="center"/>
    </xf>
    <xf numFmtId="170" fontId="73" fillId="0" borderId="19" xfId="0" applyNumberFormat="1" applyFont="1" applyBorder="1" applyAlignment="1">
      <alignment horizontal="center" vertical="center" wrapText="1"/>
    </xf>
    <xf numFmtId="168" fontId="73" fillId="0" borderId="19" xfId="0" applyNumberFormat="1" applyFont="1" applyBorder="1" applyAlignment="1">
      <alignment horizontal="center" vertical="center" wrapText="1"/>
    </xf>
    <xf numFmtId="169" fontId="73" fillId="0" borderId="19" xfId="0" applyNumberFormat="1" applyFont="1" applyBorder="1" applyAlignment="1">
      <alignment horizontal="center" vertical="center"/>
    </xf>
    <xf numFmtId="169" fontId="73" fillId="0" borderId="19" xfId="0" applyNumberFormat="1" applyFont="1" applyBorder="1" applyAlignment="1">
      <alignment horizontal="center" vertical="center" wrapText="1"/>
    </xf>
    <xf numFmtId="165" fontId="73" fillId="0" borderId="19" xfId="0" applyNumberFormat="1" applyFont="1" applyBorder="1" applyAlignment="1">
      <alignment horizontal="center" vertical="center" wrapText="1"/>
    </xf>
    <xf numFmtId="166" fontId="73" fillId="0" borderId="19" xfId="0" applyNumberFormat="1" applyFont="1" applyBorder="1" applyAlignment="1" applyProtection="1">
      <alignment horizontal="center" vertical="center" wrapText="1"/>
      <protection locked="0"/>
    </xf>
    <xf numFmtId="0" fontId="73" fillId="0" borderId="19" xfId="0" applyFont="1" applyBorder="1" applyAlignment="1" applyProtection="1">
      <alignment horizontal="center" vertical="center"/>
      <protection locked="0"/>
    </xf>
    <xf numFmtId="171" fontId="73" fillId="0" borderId="19" xfId="0" applyNumberFormat="1" applyFont="1" applyBorder="1" applyAlignment="1" applyProtection="1">
      <alignment horizontal="center" vertical="center"/>
      <protection locked="0"/>
    </xf>
    <xf numFmtId="173" fontId="74" fillId="0" borderId="19" xfId="0" applyNumberFormat="1" applyFont="1" applyBorder="1" applyAlignment="1" applyProtection="1">
      <alignment horizontal="center" vertical="center" wrapText="1"/>
      <protection locked="0"/>
    </xf>
    <xf numFmtId="171" fontId="74" fillId="0" borderId="19" xfId="0" applyNumberFormat="1" applyFont="1" applyBorder="1" applyAlignment="1" applyProtection="1">
      <alignment horizontal="center" vertical="center"/>
      <protection locked="0"/>
    </xf>
    <xf numFmtId="0" fontId="73" fillId="0" borderId="19" xfId="0" applyFont="1" applyBorder="1" applyAlignment="1" applyProtection="1">
      <alignment horizontal="center" vertical="center" wrapText="1"/>
      <protection locked="0"/>
    </xf>
    <xf numFmtId="0" fontId="73" fillId="0" borderId="0" xfId="0" applyFont="1" applyAlignment="1">
      <alignment horizontal="center" vertical="center"/>
    </xf>
    <xf numFmtId="0" fontId="6" fillId="0" borderId="19" xfId="39" applyFont="1" applyFill="1" applyBorder="1" applyAlignment="1" applyProtection="1"/>
    <xf numFmtId="0" fontId="8" fillId="0" borderId="19" xfId="0" applyFont="1" applyBorder="1"/>
    <xf numFmtId="9" fontId="8" fillId="4" borderId="19" xfId="0" applyNumberFormat="1" applyFont="1" applyFill="1" applyBorder="1"/>
    <xf numFmtId="0" fontId="49" fillId="0" borderId="19" xfId="0" applyFont="1" applyBorder="1" applyAlignment="1">
      <alignment horizontal="right"/>
    </xf>
    <xf numFmtId="0" fontId="6" fillId="0" borderId="19" xfId="39" applyFont="1" applyFill="1" applyBorder="1" applyAlignment="1" applyProtection="1">
      <alignment horizontal="left"/>
    </xf>
    <xf numFmtId="49" fontId="42" fillId="9" borderId="19" xfId="0" applyNumberFormat="1" applyFont="1" applyFill="1" applyBorder="1" applyAlignment="1">
      <alignment horizontal="center" vertical="center" wrapText="1"/>
    </xf>
    <xf numFmtId="0" fontId="42" fillId="9" borderId="19" xfId="0" applyFont="1" applyFill="1" applyBorder="1" applyAlignment="1">
      <alignment horizontal="center" vertical="center" wrapText="1"/>
    </xf>
    <xf numFmtId="49" fontId="42" fillId="9" borderId="19" xfId="0" applyNumberFormat="1" applyFont="1" applyFill="1" applyBorder="1" applyAlignment="1">
      <alignment horizontal="center" vertical="center"/>
    </xf>
    <xf numFmtId="0" fontId="42" fillId="9" borderId="19" xfId="0" applyFont="1" applyFill="1" applyBorder="1" applyAlignment="1">
      <alignment horizontal="center" vertical="center"/>
    </xf>
    <xf numFmtId="170" fontId="42" fillId="9" borderId="19" xfId="0" applyNumberFormat="1" applyFont="1" applyFill="1" applyBorder="1" applyAlignment="1">
      <alignment horizontal="center" vertical="center" wrapText="1"/>
    </xf>
    <xf numFmtId="168" fontId="42" fillId="9" borderId="19" xfId="0" applyNumberFormat="1" applyFont="1" applyFill="1" applyBorder="1" applyAlignment="1">
      <alignment horizontal="center" vertical="center" wrapText="1"/>
    </xf>
    <xf numFmtId="169" fontId="42" fillId="9" borderId="19" xfId="0" applyNumberFormat="1" applyFont="1" applyFill="1" applyBorder="1" applyAlignment="1">
      <alignment horizontal="center" vertical="center"/>
    </xf>
    <xf numFmtId="169" fontId="42" fillId="9" borderId="19" xfId="0" applyNumberFormat="1" applyFont="1" applyFill="1" applyBorder="1" applyAlignment="1">
      <alignment horizontal="center" vertical="center" wrapText="1"/>
    </xf>
    <xf numFmtId="165" fontId="42" fillId="9" borderId="19" xfId="0" applyNumberFormat="1" applyFont="1" applyFill="1" applyBorder="1" applyAlignment="1">
      <alignment horizontal="center" vertical="center" wrapText="1"/>
    </xf>
    <xf numFmtId="166" fontId="42" fillId="9" borderId="19" xfId="0" applyNumberFormat="1" applyFont="1" applyFill="1" applyBorder="1" applyAlignment="1" applyProtection="1">
      <alignment horizontal="center" vertical="center" wrapText="1"/>
      <protection locked="0"/>
    </xf>
    <xf numFmtId="0" fontId="42" fillId="9" borderId="19" xfId="0" applyFont="1" applyFill="1" applyBorder="1" applyAlignment="1" applyProtection="1">
      <alignment horizontal="center" vertical="center"/>
      <protection locked="0"/>
    </xf>
    <xf numFmtId="171" fontId="42" fillId="9" borderId="19" xfId="0" applyNumberFormat="1" applyFont="1" applyFill="1" applyBorder="1" applyAlignment="1" applyProtection="1">
      <alignment horizontal="center" vertical="center"/>
      <protection locked="0"/>
    </xf>
    <xf numFmtId="173" fontId="48" fillId="9" borderId="19" xfId="0" applyNumberFormat="1" applyFont="1" applyFill="1" applyBorder="1" applyAlignment="1" applyProtection="1">
      <alignment horizontal="center" vertical="center" wrapText="1"/>
      <protection locked="0"/>
    </xf>
    <xf numFmtId="171" fontId="48" fillId="9" borderId="19" xfId="0" applyNumberFormat="1" applyFont="1" applyFill="1" applyBorder="1" applyAlignment="1" applyProtection="1">
      <alignment horizontal="center" vertical="center"/>
      <protection locked="0"/>
    </xf>
    <xf numFmtId="0" fontId="42" fillId="9" borderId="19" xfId="0" applyFont="1" applyFill="1" applyBorder="1" applyAlignment="1" applyProtection="1">
      <alignment horizontal="center" vertical="center" wrapText="1"/>
      <protection locked="0"/>
    </xf>
    <xf numFmtId="0" fontId="75" fillId="0" borderId="19" xfId="0" applyFont="1" applyBorder="1" applyAlignment="1">
      <alignment horizontal="center" vertical="center"/>
    </xf>
    <xf numFmtId="0" fontId="75" fillId="9" borderId="19" xfId="0" applyFont="1" applyFill="1" applyBorder="1" applyAlignment="1">
      <alignment horizontal="center" vertical="center"/>
    </xf>
    <xf numFmtId="0" fontId="76" fillId="0" borderId="19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42" fillId="0" borderId="20" xfId="0" applyFont="1" applyBorder="1" applyAlignment="1" applyProtection="1">
      <alignment horizontal="center" vertical="center" wrapText="1"/>
      <protection locked="0"/>
    </xf>
    <xf numFmtId="0" fontId="73" fillId="0" borderId="20" xfId="0" applyFont="1" applyBorder="1" applyAlignment="1" applyProtection="1">
      <alignment horizontal="center" vertical="center" wrapText="1"/>
      <protection locked="0"/>
    </xf>
    <xf numFmtId="0" fontId="42" fillId="9" borderId="20" xfId="0" applyFont="1" applyFill="1" applyBorder="1" applyAlignment="1" applyProtection="1">
      <alignment horizontal="center" vertical="center" wrapText="1"/>
      <protection locked="0"/>
    </xf>
    <xf numFmtId="49" fontId="42" fillId="9" borderId="23" xfId="0" applyNumberFormat="1" applyFont="1" applyFill="1" applyBorder="1" applyAlignment="1">
      <alignment horizontal="center" vertical="center" wrapText="1"/>
    </xf>
    <xf numFmtId="0" fontId="42" fillId="9" borderId="23" xfId="0" applyFont="1" applyFill="1" applyBorder="1" applyAlignment="1">
      <alignment horizontal="center" vertical="center" wrapText="1"/>
    </xf>
    <xf numFmtId="49" fontId="42" fillId="9" borderId="23" xfId="0" applyNumberFormat="1" applyFont="1" applyFill="1" applyBorder="1" applyAlignment="1">
      <alignment horizontal="center" vertical="center"/>
    </xf>
    <xf numFmtId="0" fontId="42" fillId="9" borderId="23" xfId="0" applyFont="1" applyFill="1" applyBorder="1" applyAlignment="1">
      <alignment horizontal="center" vertical="center"/>
    </xf>
    <xf numFmtId="170" fontId="42" fillId="9" borderId="23" xfId="0" applyNumberFormat="1" applyFont="1" applyFill="1" applyBorder="1" applyAlignment="1">
      <alignment horizontal="center" vertical="center" wrapText="1"/>
    </xf>
    <xf numFmtId="168" fontId="42" fillId="9" borderId="23" xfId="0" applyNumberFormat="1" applyFont="1" applyFill="1" applyBorder="1" applyAlignment="1">
      <alignment horizontal="center" vertical="center" wrapText="1"/>
    </xf>
    <xf numFmtId="169" fontId="42" fillId="9" borderId="23" xfId="0" applyNumberFormat="1" applyFont="1" applyFill="1" applyBorder="1" applyAlignment="1">
      <alignment horizontal="center" vertical="center" wrapText="1"/>
    </xf>
    <xf numFmtId="165" fontId="42" fillId="9" borderId="23" xfId="0" applyNumberFormat="1" applyFont="1" applyFill="1" applyBorder="1" applyAlignment="1">
      <alignment horizontal="center" vertical="center" wrapText="1"/>
    </xf>
    <xf numFmtId="166" fontId="42" fillId="9" borderId="23" xfId="0" applyNumberFormat="1" applyFont="1" applyFill="1" applyBorder="1" applyAlignment="1" applyProtection="1">
      <alignment horizontal="center" vertical="center" wrapText="1"/>
      <protection locked="0"/>
    </xf>
    <xf numFmtId="0" fontId="42" fillId="9" borderId="23" xfId="0" applyFont="1" applyFill="1" applyBorder="1" applyAlignment="1" applyProtection="1">
      <alignment horizontal="center" vertical="center"/>
      <protection locked="0"/>
    </xf>
    <xf numFmtId="171" fontId="42" fillId="9" borderId="23" xfId="0" applyNumberFormat="1" applyFont="1" applyFill="1" applyBorder="1" applyAlignment="1" applyProtection="1">
      <alignment horizontal="center" vertical="center"/>
      <protection locked="0"/>
    </xf>
    <xf numFmtId="173" fontId="48" fillId="9" borderId="23" xfId="0" applyNumberFormat="1" applyFont="1" applyFill="1" applyBorder="1" applyAlignment="1" applyProtection="1">
      <alignment horizontal="center" vertical="center" wrapText="1"/>
      <protection locked="0"/>
    </xf>
    <xf numFmtId="171" fontId="48" fillId="9" borderId="23" xfId="0" applyNumberFormat="1" applyFont="1" applyFill="1" applyBorder="1" applyAlignment="1" applyProtection="1">
      <alignment horizontal="center" vertical="center"/>
      <protection locked="0"/>
    </xf>
    <xf numFmtId="0" fontId="42" fillId="9" borderId="23" xfId="0" applyFont="1" applyFill="1" applyBorder="1" applyAlignment="1" applyProtection="1">
      <alignment horizontal="center" vertical="center" wrapText="1"/>
      <protection locked="0"/>
    </xf>
    <xf numFmtId="0" fontId="42" fillId="0" borderId="19" xfId="0" applyFont="1" applyFill="1" applyBorder="1" applyAlignment="1">
      <alignment horizontal="center" vertical="center"/>
    </xf>
    <xf numFmtId="49" fontId="42" fillId="0" borderId="19" xfId="0" applyNumberFormat="1" applyFont="1" applyFill="1" applyBorder="1" applyAlignment="1" applyProtection="1">
      <alignment horizontal="center" vertical="center" wrapText="1"/>
    </xf>
    <xf numFmtId="49" fontId="42" fillId="0" borderId="19" xfId="0" applyNumberFormat="1" applyFont="1" applyFill="1" applyBorder="1" applyAlignment="1" applyProtection="1">
      <alignment horizontal="center" vertical="center"/>
    </xf>
    <xf numFmtId="0" fontId="42" fillId="0" borderId="19" xfId="0" applyFont="1" applyFill="1" applyBorder="1" applyAlignment="1" applyProtection="1">
      <alignment horizontal="center" vertical="center" wrapText="1"/>
    </xf>
    <xf numFmtId="0" fontId="42" fillId="0" borderId="19" xfId="0" applyFont="1" applyFill="1" applyBorder="1" applyAlignment="1" applyProtection="1">
      <alignment horizontal="center" vertical="center"/>
    </xf>
    <xf numFmtId="170" fontId="42" fillId="0" borderId="19" xfId="0" applyNumberFormat="1" applyFont="1" applyFill="1" applyBorder="1" applyAlignment="1" applyProtection="1">
      <alignment horizontal="center" vertical="center" wrapText="1"/>
    </xf>
    <xf numFmtId="168" fontId="42" fillId="0" borderId="19" xfId="0" applyNumberFormat="1" applyFont="1" applyFill="1" applyBorder="1" applyAlignment="1" applyProtection="1">
      <alignment horizontal="center" vertical="center" wrapText="1"/>
    </xf>
    <xf numFmtId="0" fontId="42" fillId="0" borderId="19" xfId="0" applyNumberFormat="1" applyFont="1" applyFill="1" applyBorder="1" applyAlignment="1" applyProtection="1">
      <alignment horizontal="center" vertical="center" wrapText="1"/>
    </xf>
    <xf numFmtId="169" fontId="42" fillId="0" borderId="19" xfId="0" applyNumberFormat="1" applyFont="1" applyFill="1" applyBorder="1" applyAlignment="1" applyProtection="1">
      <alignment horizontal="center" vertical="center" wrapText="1"/>
    </xf>
    <xf numFmtId="165" fontId="42" fillId="0" borderId="19" xfId="0" applyNumberFormat="1" applyFont="1" applyFill="1" applyBorder="1" applyAlignment="1" applyProtection="1">
      <alignment horizontal="center" vertical="center" wrapText="1"/>
    </xf>
    <xf numFmtId="166" fontId="42" fillId="0" borderId="19" xfId="0" applyNumberFormat="1" applyFont="1" applyFill="1" applyBorder="1" applyAlignment="1" applyProtection="1">
      <alignment horizontal="center" vertical="center" wrapText="1"/>
      <protection locked="0"/>
    </xf>
    <xf numFmtId="0" fontId="42" fillId="0" borderId="19" xfId="0" applyNumberFormat="1" applyFont="1" applyFill="1" applyBorder="1" applyAlignment="1" applyProtection="1">
      <alignment horizontal="center" vertical="center"/>
      <protection locked="0"/>
    </xf>
    <xf numFmtId="171" fontId="42" fillId="0" borderId="19" xfId="0" applyNumberFormat="1" applyFont="1" applyFill="1" applyBorder="1" applyAlignment="1" applyProtection="1">
      <alignment horizontal="center" vertical="center"/>
      <protection locked="0"/>
    </xf>
    <xf numFmtId="173" fontId="48" fillId="0" borderId="19" xfId="0" applyNumberFormat="1" applyFont="1" applyFill="1" applyBorder="1" applyAlignment="1" applyProtection="1">
      <alignment horizontal="center" vertical="center" wrapText="1"/>
      <protection locked="0"/>
    </xf>
    <xf numFmtId="171" fontId="48" fillId="0" borderId="19" xfId="0" applyNumberFormat="1" applyFont="1" applyFill="1" applyBorder="1" applyAlignment="1" applyProtection="1">
      <alignment horizontal="center" vertical="center"/>
      <protection locked="0"/>
    </xf>
    <xf numFmtId="0" fontId="42" fillId="0" borderId="19" xfId="0" applyNumberFormat="1" applyFont="1" applyFill="1" applyBorder="1" applyAlignment="1" applyProtection="1">
      <alignment horizontal="center" vertical="center" wrapText="1"/>
      <protection locked="0"/>
    </xf>
    <xf numFmtId="0" fontId="42" fillId="0" borderId="0" xfId="0" applyFont="1" applyFill="1" applyAlignment="1">
      <alignment horizontal="center" vertical="center"/>
    </xf>
    <xf numFmtId="0" fontId="32" fillId="0" borderId="19" xfId="0" applyFont="1" applyBorder="1" applyAlignment="1" applyProtection="1">
      <alignment horizontal="center" vertical="center"/>
      <protection locked="0"/>
    </xf>
    <xf numFmtId="169" fontId="42" fillId="9" borderId="2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60" fillId="0" borderId="23" xfId="45" applyNumberFormat="1" applyFont="1" applyBorder="1" applyAlignment="1">
      <alignment horizontal="center" vertical="top" wrapText="1"/>
    </xf>
    <xf numFmtId="1" fontId="60" fillId="0" borderId="17" xfId="45" applyNumberFormat="1" applyFont="1" applyBorder="1" applyAlignment="1">
      <alignment horizontal="center" vertical="top" wrapText="1"/>
    </xf>
    <xf numFmtId="1" fontId="60" fillId="0" borderId="24" xfId="45" applyNumberFormat="1" applyFont="1" applyBorder="1" applyAlignment="1">
      <alignment horizontal="center" vertical="top" wrapText="1"/>
    </xf>
    <xf numFmtId="0" fontId="60" fillId="0" borderId="23" xfId="45" applyFont="1" applyBorder="1" applyAlignment="1">
      <alignment horizontal="left" vertical="top" wrapText="1"/>
    </xf>
    <xf numFmtId="0" fontId="60" fillId="0" borderId="17" xfId="45" applyFont="1" applyBorder="1" applyAlignment="1">
      <alignment horizontal="left" vertical="top" wrapText="1"/>
    </xf>
    <xf numFmtId="0" fontId="60" fillId="0" borderId="24" xfId="45" applyFont="1" applyBorder="1" applyAlignment="1">
      <alignment horizontal="left" vertical="top" wrapText="1"/>
    </xf>
    <xf numFmtId="0" fontId="62" fillId="0" borderId="0" xfId="45" applyFont="1" applyAlignment="1">
      <alignment horizontal="left"/>
    </xf>
    <xf numFmtId="175" fontId="52" fillId="0" borderId="20" xfId="45" applyNumberFormat="1" applyFont="1" applyBorder="1" applyAlignment="1">
      <alignment horizontal="center"/>
    </xf>
    <xf numFmtId="175" fontId="52" fillId="0" borderId="21" xfId="45" applyNumberFormat="1" applyFont="1" applyBorder="1" applyAlignment="1">
      <alignment horizontal="center"/>
    </xf>
    <xf numFmtId="175" fontId="52" fillId="0" borderId="22" xfId="45" applyNumberFormat="1" applyFont="1" applyBorder="1" applyAlignment="1">
      <alignment horizontal="center"/>
    </xf>
    <xf numFmtId="175" fontId="52" fillId="0" borderId="19" xfId="45" applyNumberFormat="1" applyFont="1" applyBorder="1" applyAlignment="1">
      <alignment horizontal="center"/>
    </xf>
    <xf numFmtId="175" fontId="52" fillId="0" borderId="20" xfId="45" applyNumberFormat="1" applyFont="1" applyBorder="1" applyAlignment="1">
      <alignment horizontal="center" wrapText="1"/>
    </xf>
    <xf numFmtId="175" fontId="52" fillId="0" borderId="21" xfId="45" applyNumberFormat="1" applyFont="1" applyBorder="1" applyAlignment="1">
      <alignment horizontal="center" wrapText="1"/>
    </xf>
    <xf numFmtId="175" fontId="52" fillId="0" borderId="19" xfId="45" applyNumberFormat="1" applyFont="1" applyBorder="1" applyAlignment="1">
      <alignment horizontal="center" wrapText="1"/>
    </xf>
    <xf numFmtId="1" fontId="52" fillId="42" borderId="23" xfId="45" applyNumberFormat="1" applyFont="1" applyFill="1" applyBorder="1" applyAlignment="1">
      <alignment horizontal="center" vertical="top" wrapText="1"/>
    </xf>
    <xf numFmtId="1" fontId="52" fillId="42" borderId="24" xfId="45" applyNumberFormat="1" applyFont="1" applyFill="1" applyBorder="1" applyAlignment="1">
      <alignment horizontal="center" vertical="top" wrapText="1"/>
    </xf>
    <xf numFmtId="0" fontId="52" fillId="42" borderId="23" xfId="45" applyFont="1" applyFill="1" applyBorder="1" applyAlignment="1">
      <alignment horizontal="center" vertical="top" wrapText="1"/>
    </xf>
    <xf numFmtId="0" fontId="52" fillId="42" borderId="24" xfId="45" applyFont="1" applyFill="1" applyBorder="1" applyAlignment="1">
      <alignment horizontal="center" vertical="top" wrapText="1"/>
    </xf>
    <xf numFmtId="0" fontId="13" fillId="0" borderId="25" xfId="45" applyFont="1" applyBorder="1" applyAlignment="1">
      <alignment horizontal="left" vertical="top"/>
    </xf>
    <xf numFmtId="0" fontId="13" fillId="0" borderId="26" xfId="45" applyFont="1" applyBorder="1" applyAlignment="1">
      <alignment horizontal="left" vertical="top"/>
    </xf>
    <xf numFmtId="0" fontId="13" fillId="0" borderId="27" xfId="45" applyFont="1" applyBorder="1" applyAlignment="1">
      <alignment horizontal="left" vertical="top"/>
    </xf>
    <xf numFmtId="0" fontId="13" fillId="0" borderId="28" xfId="45" applyFont="1" applyBorder="1" applyAlignment="1">
      <alignment horizontal="left" vertical="top"/>
    </xf>
    <xf numFmtId="0" fontId="13" fillId="0" borderId="0" xfId="45" applyFont="1" applyAlignment="1">
      <alignment horizontal="left" vertical="top"/>
    </xf>
    <xf numFmtId="0" fontId="13" fillId="0" borderId="29" xfId="45" applyFont="1" applyBorder="1" applyAlignment="1">
      <alignment horizontal="left" vertical="top"/>
    </xf>
    <xf numFmtId="0" fontId="13" fillId="0" borderId="30" xfId="45" applyFont="1" applyBorder="1" applyAlignment="1">
      <alignment horizontal="left" vertical="top"/>
    </xf>
    <xf numFmtId="0" fontId="13" fillId="0" borderId="31" xfId="45" applyFont="1" applyBorder="1" applyAlignment="1">
      <alignment horizontal="left" vertical="top"/>
    </xf>
    <xf numFmtId="0" fontId="13" fillId="0" borderId="32" xfId="45" applyFont="1" applyBorder="1" applyAlignment="1">
      <alignment horizontal="left" vertical="top"/>
    </xf>
    <xf numFmtId="0" fontId="13" fillId="0" borderId="2" xfId="45" applyFont="1" applyBorder="1" applyAlignment="1">
      <alignment horizontal="center" vertical="center" wrapText="1"/>
    </xf>
    <xf numFmtId="0" fontId="13" fillId="0" borderId="3" xfId="45" applyFont="1" applyBorder="1" applyAlignment="1">
      <alignment horizontal="center" vertical="center" wrapText="1"/>
    </xf>
    <xf numFmtId="0" fontId="13" fillId="0" borderId="2" xfId="45" applyFont="1" applyBorder="1" applyAlignment="1">
      <alignment horizontal="left" vertical="center" wrapText="1"/>
    </xf>
    <xf numFmtId="0" fontId="13" fillId="0" borderId="3" xfId="45" applyFont="1" applyBorder="1" applyAlignment="1">
      <alignment horizontal="left" vertical="center" wrapText="1"/>
    </xf>
    <xf numFmtId="0" fontId="61" fillId="42" borderId="1" xfId="45" applyFont="1" applyFill="1" applyBorder="1" applyAlignment="1">
      <alignment horizontal="center" vertical="top" wrapText="1"/>
    </xf>
    <xf numFmtId="0" fontId="61" fillId="42" borderId="2" xfId="45" applyFont="1" applyFill="1" applyBorder="1" applyAlignment="1">
      <alignment horizontal="center" vertical="top" wrapText="1"/>
    </xf>
    <xf numFmtId="0" fontId="61" fillId="42" borderId="17" xfId="45" applyFont="1" applyFill="1" applyBorder="1" applyAlignment="1">
      <alignment horizontal="center" vertical="top" wrapText="1"/>
    </xf>
    <xf numFmtId="0" fontId="61" fillId="42" borderId="3" xfId="45" applyFont="1" applyFill="1" applyBorder="1" applyAlignment="1">
      <alignment horizontal="center" vertical="top" wrapText="1"/>
    </xf>
    <xf numFmtId="0" fontId="35" fillId="0" borderId="0" xfId="0" applyFont="1" applyAlignment="1">
      <alignment horizontal="left" vertical="center"/>
    </xf>
    <xf numFmtId="49" fontId="37" fillId="0" borderId="0" xfId="0" applyNumberFormat="1" applyFont="1" applyAlignment="1">
      <alignment horizontal="left" vertical="center"/>
    </xf>
    <xf numFmtId="17" fontId="68" fillId="44" borderId="33" xfId="0" applyNumberFormat="1" applyFont="1" applyFill="1" applyBorder="1" applyAlignment="1">
      <alignment horizontal="center" vertical="center"/>
    </xf>
    <xf numFmtId="0" fontId="68" fillId="44" borderId="34" xfId="0" applyFont="1" applyFill="1" applyBorder="1" applyAlignment="1">
      <alignment horizontal="center" vertical="center"/>
    </xf>
    <xf numFmtId="0" fontId="68" fillId="44" borderId="35" xfId="0" applyFont="1" applyFill="1" applyBorder="1" applyAlignment="1">
      <alignment horizontal="center" vertical="center"/>
    </xf>
    <xf numFmtId="17" fontId="68" fillId="44" borderId="34" xfId="0" applyNumberFormat="1" applyFont="1" applyFill="1" applyBorder="1" applyAlignment="1">
      <alignment horizontal="center" vertical="center"/>
    </xf>
    <xf numFmtId="17" fontId="68" fillId="44" borderId="35" xfId="0" applyNumberFormat="1" applyFont="1" applyFill="1" applyBorder="1" applyAlignment="1">
      <alignment horizontal="center" vertical="center"/>
    </xf>
  </cellXfs>
  <cellStyles count="60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omma 2" xfId="28"/>
    <cellStyle name="Comma 3" xfId="29"/>
    <cellStyle name="Comma 3 2" xfId="30"/>
    <cellStyle name="Currency 2" xfId="31"/>
    <cellStyle name="Currency 3" xfId="32"/>
    <cellStyle name="Explanatory Text 2" xfId="33"/>
    <cellStyle name="Good 2" xfId="34"/>
    <cellStyle name="Heading 1 2" xfId="35"/>
    <cellStyle name="Heading 2 2" xfId="36"/>
    <cellStyle name="Heading 3 2" xfId="37"/>
    <cellStyle name="Heading 4 2" xfId="38"/>
    <cellStyle name="Hyperlink" xfId="39" builtinId="8"/>
    <cellStyle name="Hyperlink 2" xfId="40"/>
    <cellStyle name="Input 2" xfId="41"/>
    <cellStyle name="Linked Cell 2" xfId="42"/>
    <cellStyle name="Neutral 2" xfId="43"/>
    <cellStyle name="Normal" xfId="0" builtinId="0"/>
    <cellStyle name="Normal 2" xfId="44"/>
    <cellStyle name="Normal 2 2" xfId="45"/>
    <cellStyle name="Normal 2 2 2" xfId="46"/>
    <cellStyle name="Normal 2 3" xfId="47"/>
    <cellStyle name="Normal 24" xfId="48"/>
    <cellStyle name="Normal 3" xfId="49"/>
    <cellStyle name="Normal 4" xfId="50"/>
    <cellStyle name="Normal 4 2" xfId="51"/>
    <cellStyle name="Normal 5" xfId="52"/>
    <cellStyle name="Normal 6" xfId="53"/>
    <cellStyle name="Note 2" xfId="54"/>
    <cellStyle name="Output 2" xfId="55"/>
    <cellStyle name="Percent 2" xfId="56"/>
    <cellStyle name="Title 2" xfId="57"/>
    <cellStyle name="Total 2" xfId="58"/>
    <cellStyle name="Warning Text 2" xfId="59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1" formatCode="mm/dd/yy;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3" formatCode="[$-409]d\-mmm\-yy;@"/>
      <fill>
        <patternFill patternType="solid">
          <fgColor indexed="64"/>
          <bgColor rgb="FF47E5E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3" formatCode="[$-409]d\-mmm\-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71" formatCode="mm/dd/yy;@"/>
      <fill>
        <patternFill patternType="solid">
          <fgColor indexed="64"/>
          <bgColor rgb="FF47E5E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6" formatCode="[$-409]d/mmm;@"/>
      <fill>
        <patternFill patternType="solid">
          <fgColor indexed="64"/>
          <bgColor rgb="FF47E5E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6" formatCode="[$-409]d/mmm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1" formatCode="mm/dd/yy;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3" formatCode="[$-409]d\-mmm\-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3" formatCode="[$-409]d\-mmm\-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71" formatCode="mm/dd/yy;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6" formatCode="[$-409]d/mmm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6" formatCode="[$-409]d/mmm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5" formatCode="&quot;MYR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5" formatCode="&quot;MYR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&quot;RM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70" formatCode="[$RM-43E]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30" formatCode="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30" formatCode="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47E5E5"/>
        </patternFill>
      </fill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>
          <bgColor rgb="FF0070C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5" formatCode="&quot;MYR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5" formatCode="&quot;MYR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&quot;RM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70" formatCode="[$RM-43E]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30" formatCode="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30" formatCode="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scheme val="none"/>
      </font>
      <fill>
        <patternFill patternType="solid">
          <fgColor indexed="64"/>
          <bgColor rgb="FF47E5E5"/>
        </patternFill>
      </fill>
      <alignment horizontal="center" vertical="center" textRotation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>
          <bgColor rgb="FF0070C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1" formatCode="mm/dd/yy;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3" formatCode="[$-409]d\-mmm\-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3" formatCode="[$-409]d\-mmm\-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71" formatCode="mm/dd/yy;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6" formatCode="[$-409]d/mmm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6" formatCode="[$-409]d/mmm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5" formatCode="&quot;MYR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5" formatCode="&quot;MYR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&quot;RM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70" formatCode="[$RM-43E]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30" formatCode="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30" formatCode="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47E5E5"/>
        </patternFill>
      </fill>
    </dxf>
    <dxf>
      <border outline="0">
        <bottom style="thin">
          <color indexed="64"/>
        </bottom>
      </border>
    </dxf>
  </dxfs>
  <tableStyles count="0" defaultTableStyle="TableStyleMedium9" defaultPivotStyle="PivotStyleLight16"/>
  <colors>
    <mruColors>
      <color rgb="FF000066"/>
      <color rgb="FFD9D9D9"/>
      <color rgb="FF47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1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i="1" u="sng"/>
              <a:t>STANDARD PARTS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 Tracking'!$E$32</c:f>
              <c:strCache>
                <c:ptCount val="1"/>
                <c:pt idx="0">
                  <c:v>% Parts Received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eaVert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'Part Tracking'!$B$37:$B$37</c:f>
              <c:numCache>
                <c:formatCode>General</c:formatCode>
                <c:ptCount val="1"/>
              </c:numCache>
            </c:numRef>
          </c:cat>
          <c:val>
            <c:numRef>
              <c:f>'Part Tracking'!$E$37:$E$37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0-4E07-AC7E-2ECEBAE4C1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0539776"/>
        <c:axId val="96547904"/>
      </c:barChart>
      <c:catAx>
        <c:axId val="70539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sng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u="sng"/>
                  <a:t>MODULES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547904"/>
        <c:crosses val="autoZero"/>
        <c:auto val="1"/>
        <c:lblAlgn val="ctr"/>
        <c:lblOffset val="100"/>
        <c:noMultiLvlLbl val="0"/>
      </c:catAx>
      <c:valAx>
        <c:axId val="9654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PARTS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 rot="0" vert="eaVert"/>
    <a:lstStyle/>
    <a:p>
      <a:pPr>
        <a:defRPr/>
      </a:pPr>
      <a:endParaRPr lang="en-US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MY"/>
              <a:t>FABRICATION PARTS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 Tracking'!$E$23</c:f>
              <c:strCache>
                <c:ptCount val="1"/>
                <c:pt idx="0">
                  <c:v>% Parts Received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spcFirstLastPara="1" vertOverflow="ellipsis" vert="eaVert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'Part Tracking'!$B$28:$B$28</c:f>
              <c:numCache>
                <c:formatCode>General</c:formatCode>
                <c:ptCount val="1"/>
              </c:numCache>
            </c:numRef>
          </c:cat>
          <c:val>
            <c:numRef>
              <c:f>'Part Tracking'!$E$28:$E$28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3-46A8-A5C4-2899FF22AA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0170112"/>
        <c:axId val="96549632"/>
      </c:barChart>
      <c:catAx>
        <c:axId val="11017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MODULES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549632"/>
        <c:crosses val="autoZero"/>
        <c:auto val="1"/>
        <c:lblAlgn val="ctr"/>
        <c:lblOffset val="100"/>
        <c:noMultiLvlLbl val="0"/>
      </c:catAx>
      <c:valAx>
        <c:axId val="9654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PARTS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7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 rot="0" vert="eaVert"/>
    <a:lstStyle/>
    <a:p>
      <a:pPr>
        <a:defRPr/>
      </a:pPr>
      <a:endParaRPr lang="en-US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MY"/>
              <a:t>MECHANICAL PARTS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 Tracking'!$B$22</c:f>
              <c:strCache>
                <c:ptCount val="1"/>
                <c:pt idx="0">
                  <c:v>FABRICATION PARTS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spcFirstLastPara="1" vertOverflow="ellipsis" vert="eaVert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'Part Tracking'!$B$28:$B$28</c:f>
              <c:numCache>
                <c:formatCode>General</c:formatCode>
                <c:ptCount val="1"/>
              </c:numCache>
            </c:numRef>
          </c:cat>
          <c:val>
            <c:numRef>
              <c:f>'Part Tracking'!$E$28:$E$28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BD-4619-B958-9EB5F90D5EA4}"/>
            </c:ext>
          </c:extLst>
        </c:ser>
        <c:ser>
          <c:idx val="1"/>
          <c:order val="1"/>
          <c:tx>
            <c:strRef>
              <c:f>'Part Tracking'!$B$31</c:f>
              <c:strCache>
                <c:ptCount val="1"/>
                <c:pt idx="0">
                  <c:v>Standard Parts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eaVert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'Part Tracking'!$E$37:$E$37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BD-4619-B958-9EB5F90D5E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0171648"/>
        <c:axId val="107668032"/>
      </c:barChart>
      <c:catAx>
        <c:axId val="110171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MODULES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68032"/>
        <c:crosses val="autoZero"/>
        <c:auto val="1"/>
        <c:lblAlgn val="ctr"/>
        <c:lblOffset val="100"/>
        <c:noMultiLvlLbl val="0"/>
      </c:catAx>
      <c:valAx>
        <c:axId val="10766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PARTS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7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 rot="0" vert="horz"/>
    <a:lstStyle/>
    <a:p>
      <a:pPr>
        <a:defRPr/>
      </a:pPr>
      <a:endParaRPr lang="en-US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1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i="1" u="sng"/>
              <a:t>E&amp;E PARTS</a:t>
            </a:r>
          </a:p>
        </c:rich>
      </c:tx>
      <c:layout>
        <c:manualLayout>
          <c:xMode val="edge"/>
          <c:yMode val="edge"/>
          <c:x val="0.3802985564304463"/>
          <c:y val="4.166666666666666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 Tracking'!$E$41</c:f>
              <c:strCache>
                <c:ptCount val="1"/>
                <c:pt idx="0">
                  <c:v>% Parts Received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eaVert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'Part Tracking'!$B$45:$B$45</c:f>
              <c:numCache>
                <c:formatCode>General</c:formatCode>
                <c:ptCount val="1"/>
              </c:numCache>
            </c:numRef>
          </c:cat>
          <c:val>
            <c:numRef>
              <c:f>'Part Tracking'!$E$45:$E$45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06-4048-BC47-FA5DC86F4FA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0173184"/>
        <c:axId val="107670336"/>
      </c:barChart>
      <c:catAx>
        <c:axId val="11017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u="sng"/>
                  <a:t>MODULES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70336"/>
        <c:crosses val="autoZero"/>
        <c:auto val="1"/>
        <c:lblAlgn val="ctr"/>
        <c:lblOffset val="100"/>
        <c:noMultiLvlLbl val="0"/>
      </c:catAx>
      <c:valAx>
        <c:axId val="10767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PARTS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7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7</xdr:row>
          <xdr:rowOff>9525</xdr:rowOff>
        </xdr:from>
        <xdr:to>
          <xdr:col>9</xdr:col>
          <xdr:colOff>666750</xdr:colOff>
          <xdr:row>9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Project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904875</xdr:colOff>
          <xdr:row>7</xdr:row>
          <xdr:rowOff>9525</xdr:rowOff>
        </xdr:from>
        <xdr:to>
          <xdr:col>9</xdr:col>
          <xdr:colOff>3648075</xdr:colOff>
          <xdr:row>9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ERP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495300</xdr:colOff>
          <xdr:row>7</xdr:row>
          <xdr:rowOff>9525</xdr:rowOff>
        </xdr:from>
        <xdr:to>
          <xdr:col>14</xdr:col>
          <xdr:colOff>485775</xdr:colOff>
          <xdr:row>9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390525</xdr:colOff>
          <xdr:row>10</xdr:row>
          <xdr:rowOff>180975</xdr:rowOff>
        </xdr:from>
        <xdr:to>
          <xdr:col>9</xdr:col>
          <xdr:colOff>657225</xdr:colOff>
          <xdr:row>13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16</xdr:row>
      <xdr:rowOff>95250</xdr:rowOff>
    </xdr:from>
    <xdr:to>
      <xdr:col>14</xdr:col>
      <xdr:colOff>476250</xdr:colOff>
      <xdr:row>31</xdr:row>
      <xdr:rowOff>3170</xdr:rowOff>
    </xdr:to>
    <xdr:graphicFrame macro="[0]!STD_PART_ZOOM_Click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2</xdr:row>
      <xdr:rowOff>123825</xdr:rowOff>
    </xdr:from>
    <xdr:to>
      <xdr:col>14</xdr:col>
      <xdr:colOff>476250</xdr:colOff>
      <xdr:row>16</xdr:row>
      <xdr:rowOff>7609</xdr:rowOff>
    </xdr:to>
    <xdr:graphicFrame macro="[0]!FAB_PART_ZOOM_Click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</xdr:row>
      <xdr:rowOff>0</xdr:rowOff>
    </xdr:from>
    <xdr:to>
      <xdr:col>6</xdr:col>
      <xdr:colOff>2736850</xdr:colOff>
      <xdr:row>21</xdr:row>
      <xdr:rowOff>1468</xdr:rowOff>
    </xdr:to>
    <xdr:graphicFrame macro="[0]!Machine_Part_Zoom_Click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6</xdr:row>
      <xdr:rowOff>95250</xdr:rowOff>
    </xdr:from>
    <xdr:to>
      <xdr:col>1</xdr:col>
      <xdr:colOff>2962275</xdr:colOff>
      <xdr:row>20</xdr:row>
      <xdr:rowOff>98416</xdr:rowOff>
    </xdr:to>
    <xdr:graphicFrame macro="[0]!EE_PART_ZOOM_Click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19050</xdr:rowOff>
        </xdr:from>
        <xdr:to>
          <xdr:col>4</xdr:col>
          <xdr:colOff>476250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M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472702</xdr:colOff>
      <xdr:row>12</xdr:row>
      <xdr:rowOff>298388</xdr:rowOff>
    </xdr:from>
    <xdr:to>
      <xdr:col>16</xdr:col>
      <xdr:colOff>494927</xdr:colOff>
      <xdr:row>47</xdr:row>
      <xdr:rowOff>107510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7302127" y="2698688"/>
          <a:ext cx="22225" cy="6600447"/>
        </a:xfrm>
        <a:prstGeom prst="line">
          <a:avLst/>
        </a:prstGeom>
        <a:ln w="2540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131379</xdr:rowOff>
    </xdr:to>
    <xdr:sp macro="" textlink="">
      <xdr:nvSpPr>
        <xdr:cNvPr id="2" name="AutoShape 1" descr="blob:https://web.whatsapp.com/c2c7dff8-a857-444d-8b5a-82a437dec06a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>
        <a:xfrm>
          <a:off x="1047750" y="800100"/>
          <a:ext cx="312420" cy="321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131379</xdr:rowOff>
    </xdr:to>
    <xdr:sp macro="" textlink="">
      <xdr:nvSpPr>
        <xdr:cNvPr id="3" name="AutoShape 2" descr="blob:https://web.whatsapp.com/c2c7dff8-a857-444d-8b5a-82a437dec06a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>
        <a:xfrm>
          <a:off x="1047750" y="800100"/>
          <a:ext cx="312420" cy="321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131379</xdr:rowOff>
    </xdr:to>
    <xdr:sp macro="" textlink="">
      <xdr:nvSpPr>
        <xdr:cNvPr id="4" name="AutoShape 4" descr="blob:https://web.whatsapp.com/c2c7dff8-a857-444d-8b5a-82a437dec06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>
        <a:xfrm>
          <a:off x="1047750" y="800100"/>
          <a:ext cx="312420" cy="321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131379</xdr:rowOff>
    </xdr:to>
    <xdr:sp macro="" textlink="">
      <xdr:nvSpPr>
        <xdr:cNvPr id="5" name="AutoShape 5" descr="blob:https://web.whatsapp.com/c2c7dff8-a857-444d-8b5a-82a437dec06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>
        <a:xfrm>
          <a:off x="1047750" y="800100"/>
          <a:ext cx="312420" cy="321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131379</xdr:rowOff>
    </xdr:to>
    <xdr:sp macro="" textlink="">
      <xdr:nvSpPr>
        <xdr:cNvPr id="6" name="AutoShape 6" descr="blob:https://web.whatsapp.com/c2c7dff8-a857-444d-8b5a-82a437dec06a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>
        <a:xfrm>
          <a:off x="1047750" y="800100"/>
          <a:ext cx="312420" cy="321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885825</xdr:colOff>
          <xdr:row>1</xdr:row>
          <xdr:rowOff>9525</xdr:rowOff>
        </xdr:from>
        <xdr:to>
          <xdr:col>1</xdr:col>
          <xdr:colOff>2314575</xdr:colOff>
          <xdr:row>3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100584" rIns="100584" bIns="100584" anchor="ctr" upright="1"/>
            <a:lstStyle/>
            <a:p>
              <a:pPr algn="ctr" rtl="0">
                <a:defRPr sz="1000"/>
              </a:pPr>
              <a:r>
                <a:rPr lang="en-MY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916781</xdr:colOff>
          <xdr:row>1</xdr:row>
          <xdr:rowOff>0</xdr:rowOff>
        </xdr:from>
        <xdr:to>
          <xdr:col>1</xdr:col>
          <xdr:colOff>2345531</xdr:colOff>
          <xdr:row>3</xdr:row>
          <xdr:rowOff>114300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100584" rIns="100584" bIns="100584" anchor="ctr" upright="1"/>
            <a:lstStyle/>
            <a:p>
              <a:pPr algn="ctr" rtl="0">
                <a:defRPr sz="1000"/>
              </a:pPr>
              <a:r>
                <a:rPr lang="en-MY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771525</xdr:colOff>
          <xdr:row>1</xdr:row>
          <xdr:rowOff>19050</xdr:rowOff>
        </xdr:from>
        <xdr:to>
          <xdr:col>1</xdr:col>
          <xdr:colOff>2200275</xdr:colOff>
          <xdr:row>4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100584" rIns="100584" bIns="100584" anchor="ctr" upright="1"/>
            <a:lstStyle/>
            <a:p>
              <a:pPr algn="ctr" rtl="0">
                <a:defRPr sz="1000"/>
              </a:pPr>
              <a:r>
                <a:rPr lang="en-MY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323" displayName="Table323" ref="A9:AA152" totalsRowShown="0" dataDxfId="97" headerRowBorderDxfId="98" tableBorderDxfId="96" totalsRowBorderDxfId="95">
  <autoFilter ref="A9:AA152"/>
  <tableColumns count="27">
    <tableColumn id="1" name="ITEM" dataDxfId="94"/>
    <tableColumn id="2" name="WAFTECH PART DESCRIPTION" dataDxfId="93"/>
    <tableColumn id="32" name="MODULE" dataDxfId="92"/>
    <tableColumn id="4" name="WAFTECH _x000a_PART NUMBER" dataDxfId="91"/>
    <tableColumn id="10" name="QTY" dataDxfId="90"/>
    <tableColumn id="13" name="COST / _x000a_UNIT" dataDxfId="89"/>
    <tableColumn id="16" name="TOTAL COST" dataDxfId="88">
      <calculatedColumnFormula>E10*F10</calculatedColumnFormula>
    </tableColumn>
    <tableColumn id="30" name="MR Request Date" dataDxfId="87"/>
    <tableColumn id="17" name="MR" dataDxfId="86"/>
    <tableColumn id="27" name="MR APPROVAL DATE" dataDxfId="85"/>
    <tableColumn id="18" name="PR" dataDxfId="84"/>
    <tableColumn id="28" name="PR APPROVAL DATE" dataDxfId="83"/>
    <tableColumn id="19" name="PO" dataDxfId="82"/>
    <tableColumn id="5" name="DOCUMENT DATE" dataDxfId="81"/>
    <tableColumn id="3" name="BOM SUBMISSION DATE" dataDxfId="80"/>
    <tableColumn id="29" name="PO Approval Date" dataDxfId="79"/>
    <tableColumn id="20" name="PO STATUS" dataDxfId="78"/>
    <tableColumn id="21" name="VENDOR" dataDxfId="77"/>
    <tableColumn id="22" name="ETA" dataDxfId="76"/>
    <tableColumn id="6" name="REVISE DATE" dataDxfId="75"/>
    <tableColumn id="23" name="RECEIVED BY" dataDxfId="74"/>
    <tableColumn id="7" name="RECEIVED DATE" dataDxfId="73"/>
    <tableColumn id="8" name="TAKEN BY" dataDxfId="72"/>
    <tableColumn id="9" name="TAKEN DATE" dataDxfId="71"/>
    <tableColumn id="12" name="OBSOLETE" dataDxfId="70"/>
    <tableColumn id="24" name="REMARKS" dataDxfId="69"/>
    <tableColumn id="11" name="Priority" dataDxfId="6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Table32326" displayName="Table32326" ref="A9:AA145" totalsRowShown="0" headerRowDxfId="67" dataDxfId="65" headerRowBorderDxfId="66" tableBorderDxfId="64" totalsRowBorderDxfId="63">
  <autoFilter ref="A9:AA145"/>
  <tableColumns count="27">
    <tableColumn id="1" name="ITEM" dataDxfId="62"/>
    <tableColumn id="2" name="WAFTECH PART DESCRIPTION" dataDxfId="61"/>
    <tableColumn id="32" name="MODULE" dataDxfId="60"/>
    <tableColumn id="4" name="WAFTECH _x000a_PART NUMBER" dataDxfId="59"/>
    <tableColumn id="10" name="QTY" dataDxfId="58"/>
    <tableColumn id="13" name="COST / _x000a_UNIT" dataDxfId="57"/>
    <tableColumn id="16" name="TOTAL COST" dataDxfId="56">
      <calculatedColumnFormula>E10*F10</calculatedColumnFormula>
    </tableColumn>
    <tableColumn id="30" name="MR Request Date" dataDxfId="55"/>
    <tableColumn id="17" name="MR" dataDxfId="54"/>
    <tableColumn id="27" name="MR APPROVAL DATE" dataDxfId="53"/>
    <tableColumn id="18" name="PR" dataDxfId="52"/>
    <tableColumn id="28" name="PR APPROVAL DATE" dataDxfId="51"/>
    <tableColumn id="19" name="PO" dataDxfId="50"/>
    <tableColumn id="5" name="DOCUMENT DATE" dataDxfId="49"/>
    <tableColumn id="3" name="BOM SUBMISSION DATE" dataDxfId="48"/>
    <tableColumn id="29" name="PO Approval Date" dataDxfId="47"/>
    <tableColumn id="20" name="PO STATUS" dataDxfId="46"/>
    <tableColumn id="21" name="VENDOR" dataDxfId="45"/>
    <tableColumn id="22" name="ETA" dataDxfId="7"/>
    <tableColumn id="6" name="REVISE DATE" dataDxfId="6"/>
    <tableColumn id="23" name="RECEIVED BY" dataDxfId="5"/>
    <tableColumn id="7" name="RECEIVED DATE" dataDxfId="4"/>
    <tableColumn id="8" name="TAKEN BY" dataDxfId="3"/>
    <tableColumn id="9" name="TAKEN DATE" dataDxfId="2"/>
    <tableColumn id="12" name="OBSOLETE" dataDxfId="1"/>
    <tableColumn id="24" name="REMARKS" dataDxfId="0"/>
    <tableColumn id="11" name="Priority" dataDxfId="4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3234" displayName="Table3234" ref="A9:AA78" totalsRowShown="0" headerRowDxfId="43" dataDxfId="41" headerRowBorderDxfId="42" tableBorderDxfId="40" totalsRowBorderDxfId="39">
  <autoFilter ref="A9:AA78"/>
  <tableColumns count="27">
    <tableColumn id="1" name="ITEM" dataDxfId="38"/>
    <tableColumn id="2" name="WAFTECH PART DESCRIPTION" dataDxfId="37"/>
    <tableColumn id="32" name="MODULE" dataDxfId="36"/>
    <tableColumn id="4" name="WAFTECH _x000a_PART NUMBER" dataDxfId="35"/>
    <tableColumn id="10" name="QTY" dataDxfId="34"/>
    <tableColumn id="13" name="COST / _x000a_UNIT" dataDxfId="33"/>
    <tableColumn id="16" name="TOTAL COST" dataDxfId="32">
      <calculatedColumnFormula>E10*F10</calculatedColumnFormula>
    </tableColumn>
    <tableColumn id="30" name="MR Request Date" dataDxfId="31"/>
    <tableColumn id="17" name="MR" dataDxfId="30"/>
    <tableColumn id="27" name="MR APPROVAL DATE" dataDxfId="29"/>
    <tableColumn id="18" name="PR" dataDxfId="28"/>
    <tableColumn id="28" name="PR APPROVAL DATE" dataDxfId="27"/>
    <tableColumn id="19" name="PO" dataDxfId="26"/>
    <tableColumn id="5" name="DOCUMENT DATE" dataDxfId="25"/>
    <tableColumn id="3" name="BOM SUBMISSION DATE" dataDxfId="24"/>
    <tableColumn id="29" name="PO Approval Date" dataDxfId="23"/>
    <tableColumn id="20" name="PO STATUS" dataDxfId="22"/>
    <tableColumn id="21" name="VENDOR" dataDxfId="21"/>
    <tableColumn id="22" name="ETA" dataDxfId="20"/>
    <tableColumn id="6" name="REVISE DATE" dataDxfId="19"/>
    <tableColumn id="23" name="RECEIVED BY" dataDxfId="18"/>
    <tableColumn id="7" name="RECEIVED DATE" dataDxfId="17"/>
    <tableColumn id="8" name="TAKEN BY" dataDxfId="16"/>
    <tableColumn id="9" name="TAKEN DATE" dataDxfId="15"/>
    <tableColumn id="11" name="OBSOLETE" dataDxfId="14"/>
    <tableColumn id="24" name="REMARKS" dataDxfId="13"/>
    <tableColumn id="12" name="Priority" dataDxfId="1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2:D82" totalsRowShown="0" headerRowDxfId="11">
  <autoFilter ref="A2:D82"/>
  <tableColumns count="4">
    <tableColumn id="1" name="ITEM" dataDxfId="10"/>
    <tableColumn id="2" name="SUPPLIER"/>
    <tableColumn id="4" name="SHORT FORM" dataDxfId="9"/>
    <tableColumn id="3" name="CONTACT" dataDxfId="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7"/>
  <sheetViews>
    <sheetView showGridLines="0" zoomScaleNormal="100" workbookViewId="0">
      <selection activeCell="I19" sqref="I19"/>
    </sheetView>
  </sheetViews>
  <sheetFormatPr defaultColWidth="9" defaultRowHeight="14.25"/>
  <cols>
    <col min="1" max="1" width="6.73046875" style="12" customWidth="1"/>
    <col min="2" max="2" width="7.86328125" style="12" bestFit="1" customWidth="1"/>
    <col min="3" max="3" width="42" style="12" customWidth="1"/>
    <col min="4" max="4" width="20.265625" style="12" bestFit="1" customWidth="1"/>
    <col min="5" max="5" width="22" style="12" bestFit="1" customWidth="1"/>
    <col min="6" max="6" width="20.59765625" style="12" hidden="1" customWidth="1"/>
    <col min="7" max="7" width="16" style="12" hidden="1" customWidth="1"/>
    <col min="8" max="8" width="9" style="12" customWidth="1"/>
    <col min="9" max="9" width="19" style="12" customWidth="1"/>
    <col min="10" max="10" width="55.265625" style="12" customWidth="1"/>
    <col min="11" max="11" width="9" style="12" customWidth="1"/>
    <col min="12" max="12" width="22.86328125" style="12" hidden="1" customWidth="1"/>
    <col min="13" max="29" width="9" style="12" customWidth="1"/>
    <col min="30" max="16384" width="9" style="12"/>
  </cols>
  <sheetData>
    <row r="1" spans="1:12" ht="15.75">
      <c r="A1" s="476" t="s">
        <v>38</v>
      </c>
      <c r="B1" s="476"/>
      <c r="C1" s="476"/>
      <c r="D1" s="384" t="s">
        <v>39</v>
      </c>
      <c r="E1" s="307" t="s">
        <v>40</v>
      </c>
    </row>
    <row r="2" spans="1:12" ht="15.75">
      <c r="A2" s="476" t="s">
        <v>41</v>
      </c>
      <c r="B2" s="476"/>
      <c r="C2" s="476"/>
      <c r="D2" s="360" t="s">
        <v>42</v>
      </c>
      <c r="E2" s="308">
        <v>45609.335763888892</v>
      </c>
    </row>
    <row r="3" spans="1:12" ht="15">
      <c r="A3" s="476" t="s">
        <v>43</v>
      </c>
      <c r="B3" s="476"/>
      <c r="C3" s="476"/>
      <c r="D3" s="312"/>
      <c r="E3" s="306"/>
    </row>
    <row r="4" spans="1:12">
      <c r="A4" s="313" t="s">
        <v>44</v>
      </c>
      <c r="B4" s="359" t="s">
        <v>8</v>
      </c>
      <c r="C4" s="359" t="s">
        <v>45</v>
      </c>
      <c r="D4" s="313" t="s">
        <v>46</v>
      </c>
      <c r="E4" s="313" t="s">
        <v>47</v>
      </c>
      <c r="F4" s="11" t="s">
        <v>48</v>
      </c>
      <c r="G4" s="11" t="s">
        <v>49</v>
      </c>
      <c r="I4" s="16" t="s">
        <v>50</v>
      </c>
      <c r="J4" s="357" t="s">
        <v>51</v>
      </c>
    </row>
    <row r="5" spans="1:12" ht="15.75">
      <c r="A5" s="309">
        <v>1</v>
      </c>
      <c r="B5" s="310" t="s">
        <v>52</v>
      </c>
      <c r="C5" s="365" t="s">
        <v>53</v>
      </c>
      <c r="D5" s="358"/>
      <c r="E5" s="356"/>
      <c r="F5" s="27"/>
      <c r="G5" s="27"/>
      <c r="I5" s="16" t="s">
        <v>54</v>
      </c>
      <c r="J5" s="357" t="s">
        <v>51</v>
      </c>
    </row>
    <row r="6" spans="1:12" ht="15.75">
      <c r="A6" s="309">
        <v>2</v>
      </c>
      <c r="B6" s="310" t="s">
        <v>55</v>
      </c>
      <c r="C6" s="365" t="s">
        <v>56</v>
      </c>
      <c r="D6" s="358"/>
      <c r="E6" s="355"/>
      <c r="F6" s="7"/>
      <c r="G6" s="7"/>
      <c r="I6" s="16" t="s">
        <v>57</v>
      </c>
      <c r="J6" s="28"/>
    </row>
    <row r="7" spans="1:12">
      <c r="A7" s="309">
        <v>3</v>
      </c>
      <c r="B7" s="310" t="s">
        <v>58</v>
      </c>
      <c r="C7" s="362" t="s">
        <v>59</v>
      </c>
      <c r="D7" s="358"/>
      <c r="E7" s="355"/>
      <c r="F7" s="7"/>
      <c r="G7" s="7"/>
      <c r="L7" s="20"/>
    </row>
    <row r="8" spans="1:12">
      <c r="A8" s="309">
        <v>4</v>
      </c>
      <c r="B8" s="310"/>
      <c r="C8" s="362"/>
      <c r="D8" s="358"/>
      <c r="E8" s="355"/>
      <c r="F8" s="7"/>
      <c r="G8" s="7"/>
    </row>
    <row r="9" spans="1:12">
      <c r="A9" s="309">
        <v>5</v>
      </c>
      <c r="B9" s="310"/>
      <c r="C9" s="362"/>
      <c r="D9" s="358"/>
      <c r="E9" s="355"/>
      <c r="F9" s="7"/>
      <c r="G9" s="7"/>
    </row>
    <row r="10" spans="1:12">
      <c r="A10" s="309">
        <v>6</v>
      </c>
      <c r="B10" s="310"/>
      <c r="C10" s="362"/>
      <c r="D10" s="358"/>
      <c r="E10" s="355"/>
      <c r="F10" s="7"/>
      <c r="G10" s="7"/>
    </row>
    <row r="11" spans="1:12">
      <c r="A11" s="309">
        <v>7</v>
      </c>
      <c r="B11" s="310"/>
      <c r="C11" s="362"/>
      <c r="D11" s="358"/>
      <c r="E11" s="355"/>
      <c r="F11" s="7"/>
      <c r="G11" s="7"/>
      <c r="I11" s="18"/>
    </row>
    <row r="12" spans="1:12">
      <c r="A12" s="309">
        <v>8</v>
      </c>
      <c r="B12" s="310"/>
      <c r="C12" s="362"/>
      <c r="D12" s="355"/>
      <c r="E12" s="355"/>
      <c r="F12" s="355"/>
      <c r="G12" s="355"/>
      <c r="I12" s="18"/>
    </row>
    <row r="13" spans="1:12">
      <c r="A13" s="309">
        <v>9</v>
      </c>
      <c r="B13" s="310"/>
      <c r="C13" s="362"/>
      <c r="D13" s="355"/>
      <c r="E13" s="355"/>
      <c r="F13" s="355"/>
      <c r="G13" s="355"/>
      <c r="I13" s="18"/>
    </row>
    <row r="14" spans="1:12">
      <c r="A14" s="309">
        <v>10</v>
      </c>
      <c r="B14" s="310"/>
      <c r="C14" s="362"/>
      <c r="D14" s="355"/>
      <c r="E14" s="355"/>
      <c r="F14" s="355"/>
      <c r="G14" s="355"/>
      <c r="I14" s="18"/>
    </row>
    <row r="15" spans="1:12">
      <c r="A15" s="309">
        <v>11</v>
      </c>
      <c r="B15" s="310"/>
      <c r="C15" s="361"/>
      <c r="D15" s="355"/>
      <c r="E15" s="355"/>
      <c r="F15" s="355"/>
      <c r="G15" s="355"/>
      <c r="I15" s="18"/>
    </row>
    <row r="16" spans="1:12">
      <c r="A16" s="309">
        <v>12</v>
      </c>
      <c r="B16" s="310"/>
      <c r="C16" s="361"/>
      <c r="D16" s="355"/>
      <c r="E16" s="355"/>
      <c r="F16" s="355"/>
      <c r="G16" s="355"/>
      <c r="I16" s="18"/>
    </row>
    <row r="17" spans="1:9">
      <c r="A17" s="309">
        <v>13</v>
      </c>
      <c r="B17" s="310"/>
      <c r="C17" s="363"/>
      <c r="D17" s="355"/>
      <c r="E17" s="355"/>
      <c r="F17" s="355"/>
      <c r="G17" s="355"/>
      <c r="I17" s="18"/>
    </row>
    <row r="18" spans="1:9">
      <c r="A18" s="309">
        <v>14</v>
      </c>
      <c r="B18" s="310"/>
      <c r="C18" s="364"/>
      <c r="D18" s="355"/>
      <c r="E18" s="355"/>
      <c r="F18" s="355"/>
      <c r="G18" s="355"/>
      <c r="I18" s="18"/>
    </row>
    <row r="19" spans="1:9">
      <c r="A19" s="309">
        <v>15</v>
      </c>
      <c r="B19" s="310"/>
      <c r="C19" s="311"/>
      <c r="D19" s="355"/>
      <c r="E19" s="355"/>
      <c r="F19" s="355"/>
      <c r="G19" s="355"/>
      <c r="I19" s="18"/>
    </row>
    <row r="20" spans="1:9">
      <c r="A20" s="309">
        <v>16</v>
      </c>
      <c r="B20" s="310"/>
      <c r="C20" s="311"/>
      <c r="D20" s="355"/>
      <c r="E20" s="355"/>
      <c r="F20" s="355"/>
      <c r="G20" s="355"/>
      <c r="I20" s="18"/>
    </row>
    <row r="21" spans="1:9">
      <c r="A21" s="313" t="s">
        <v>44</v>
      </c>
      <c r="B21" s="359" t="s">
        <v>8</v>
      </c>
      <c r="C21" s="359" t="s">
        <v>45</v>
      </c>
      <c r="D21" s="313" t="s">
        <v>46</v>
      </c>
      <c r="E21" s="313" t="s">
        <v>60</v>
      </c>
    </row>
    <row r="22" spans="1:9" ht="15.75">
      <c r="A22" s="355">
        <v>1</v>
      </c>
      <c r="B22" s="310" t="s">
        <v>61</v>
      </c>
      <c r="C22" s="365" t="s">
        <v>62</v>
      </c>
      <c r="D22" s="358"/>
      <c r="E22" s="355"/>
    </row>
    <row r="23" spans="1:9">
      <c r="A23" s="355">
        <v>2</v>
      </c>
      <c r="B23" s="310" t="s">
        <v>63</v>
      </c>
      <c r="C23" s="362" t="s">
        <v>64</v>
      </c>
      <c r="D23" s="358"/>
      <c r="E23" s="355"/>
    </row>
    <row r="24" spans="1:9">
      <c r="A24" s="355">
        <v>3</v>
      </c>
      <c r="B24" s="310"/>
      <c r="C24" s="362"/>
      <c r="D24" s="358"/>
      <c r="E24" s="355"/>
    </row>
    <row r="25" spans="1:9">
      <c r="A25" s="355">
        <v>4</v>
      </c>
      <c r="B25" s="310"/>
      <c r="C25" s="362"/>
      <c r="D25" s="358"/>
      <c r="E25" s="355"/>
    </row>
    <row r="26" spans="1:9">
      <c r="A26" s="355">
        <v>5</v>
      </c>
      <c r="B26" s="310"/>
      <c r="C26" s="362"/>
      <c r="D26" s="358"/>
      <c r="E26" s="355"/>
    </row>
    <row r="27" spans="1:9">
      <c r="A27" s="355">
        <v>6</v>
      </c>
      <c r="B27" s="310"/>
      <c r="C27" s="362"/>
      <c r="D27" s="358"/>
      <c r="E27" s="355"/>
    </row>
    <row r="28" spans="1:9">
      <c r="A28" s="355">
        <v>7</v>
      </c>
      <c r="B28" s="310"/>
      <c r="C28" s="362"/>
      <c r="D28" s="355"/>
      <c r="E28" s="355"/>
    </row>
    <row r="29" spans="1:9">
      <c r="A29" s="355">
        <v>8</v>
      </c>
      <c r="B29" s="310"/>
      <c r="C29" s="362"/>
      <c r="D29" s="355"/>
      <c r="E29" s="355"/>
    </row>
    <row r="30" spans="1:9">
      <c r="A30" s="355">
        <v>9</v>
      </c>
      <c r="B30" s="310"/>
      <c r="C30" s="361"/>
      <c r="D30" s="355"/>
      <c r="E30" s="355"/>
    </row>
    <row r="31" spans="1:9">
      <c r="A31" s="355">
        <v>10</v>
      </c>
      <c r="B31" s="310"/>
      <c r="C31" s="361"/>
      <c r="D31" s="355"/>
      <c r="E31" s="355"/>
    </row>
    <row r="32" spans="1:9">
      <c r="A32" s="355">
        <v>11</v>
      </c>
      <c r="B32" s="310"/>
      <c r="C32" s="361"/>
      <c r="D32" s="355"/>
      <c r="E32" s="355"/>
    </row>
    <row r="33" spans="1:5">
      <c r="A33" s="355">
        <v>12</v>
      </c>
      <c r="B33" s="310"/>
      <c r="C33" s="363"/>
      <c r="D33" s="355"/>
      <c r="E33" s="355"/>
    </row>
    <row r="34" spans="1:5">
      <c r="A34" s="355">
        <v>13</v>
      </c>
      <c r="B34" s="310"/>
      <c r="C34" s="364"/>
      <c r="D34" s="355"/>
      <c r="E34" s="355"/>
    </row>
    <row r="35" spans="1:5">
      <c r="A35" s="355">
        <v>14</v>
      </c>
      <c r="B35" s="310"/>
      <c r="C35" s="364"/>
      <c r="D35" s="355"/>
      <c r="E35" s="355"/>
    </row>
    <row r="36" spans="1:5">
      <c r="A36" s="355">
        <v>15</v>
      </c>
      <c r="B36" s="310"/>
      <c r="C36" s="364"/>
      <c r="D36" s="355"/>
      <c r="E36" s="355"/>
    </row>
    <row r="37" spans="1:5">
      <c r="A37" s="355">
        <v>16</v>
      </c>
      <c r="B37" s="310"/>
      <c r="C37" s="311"/>
      <c r="D37" s="355"/>
      <c r="E37" s="355"/>
    </row>
  </sheetData>
  <sheetProtection formatCells="0" formatRows="0" insertColumns="0" insertRows="0" insertHyperlinks="0" deleteColumns="0" deleteRows="0" sort="0" autoFilter="0" pivotTables="0"/>
  <protectedRanges>
    <protectedRange sqref="F5:G5" name="Info_1_1"/>
    <protectedRange sqref="E5" name="Info_1_1_1_1"/>
  </protectedRanges>
  <mergeCells count="3">
    <mergeCell ref="A1:C1"/>
    <mergeCell ref="A2:C2"/>
    <mergeCell ref="A3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LIST_Click">
                <anchor>
                  <from>
                    <xdr:col>8</xdr:col>
                    <xdr:colOff>400050</xdr:colOff>
                    <xdr:row>7</xdr:row>
                    <xdr:rowOff>9525</xdr:rowOff>
                  </from>
                  <to>
                    <xdr:col>9</xdr:col>
                    <xdr:colOff>666750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ve_ERP_File_Click">
                <anchor>
                  <from>
                    <xdr:col>9</xdr:col>
                    <xdr:colOff>904875</xdr:colOff>
                    <xdr:row>7</xdr:row>
                    <xdr:rowOff>9525</xdr:rowOff>
                  </from>
                  <to>
                    <xdr:col>9</xdr:col>
                    <xdr:colOff>3648075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reate_Folder_Click">
                <anchor>
                  <from>
                    <xdr:col>10</xdr:col>
                    <xdr:colOff>495300</xdr:colOff>
                    <xdr:row>7</xdr:row>
                    <xdr:rowOff>9525</xdr:rowOff>
                  </from>
                  <to>
                    <xdr:col>14</xdr:col>
                    <xdr:colOff>485775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ow_Filter_Click">
                <anchor>
                  <from>
                    <xdr:col>8</xdr:col>
                    <xdr:colOff>390525</xdr:colOff>
                    <xdr:row>10</xdr:row>
                    <xdr:rowOff>180975</xdr:rowOff>
                  </from>
                  <to>
                    <xdr:col>9</xdr:col>
                    <xdr:colOff>657225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46"/>
  <sheetViews>
    <sheetView zoomScaleNormal="100" workbookViewId="0">
      <selection activeCell="E40" sqref="E40"/>
    </sheetView>
  </sheetViews>
  <sheetFormatPr defaultRowHeight="14.25"/>
  <cols>
    <col min="1" max="1" width="24" bestFit="1" customWidth="1"/>
    <col min="2" max="2" width="44.86328125" bestFit="1" customWidth="1"/>
    <col min="3" max="4" width="15.73046875" customWidth="1"/>
    <col min="5" max="5" width="17.73046875" style="5" customWidth="1"/>
    <col min="6" max="6" width="23" customWidth="1"/>
    <col min="7" max="7" width="41.265625" customWidth="1"/>
    <col min="8" max="8" width="15.73046875" hidden="1" customWidth="1"/>
    <col min="9" max="9" width="15.73046875" customWidth="1"/>
  </cols>
  <sheetData>
    <row r="1" spans="1:2" ht="17.649999999999999">
      <c r="A1" s="114" t="s">
        <v>0</v>
      </c>
      <c r="B1" s="113"/>
    </row>
    <row r="2" spans="1:2" ht="17.649999999999999">
      <c r="A2" s="114" t="s">
        <v>1</v>
      </c>
      <c r="B2" s="113"/>
    </row>
    <row r="3" spans="1:2" ht="17.649999999999999">
      <c r="A3" s="114" t="s">
        <v>92</v>
      </c>
      <c r="B3" s="15"/>
    </row>
    <row r="4" spans="1:2" ht="17.649999999999999">
      <c r="A4" s="114" t="s">
        <v>93</v>
      </c>
      <c r="B4" s="17"/>
    </row>
    <row r="5" spans="1:2" ht="17.649999999999999">
      <c r="A5" s="114" t="s">
        <v>94</v>
      </c>
    </row>
    <row r="6" spans="1:2" ht="17.649999999999999">
      <c r="A6" s="114" t="s">
        <v>68</v>
      </c>
    </row>
    <row r="7" spans="1:2" ht="15">
      <c r="A7" s="1"/>
    </row>
    <row r="8" spans="1:2" ht="15">
      <c r="A8" s="1"/>
    </row>
    <row r="9" spans="1:2" ht="15">
      <c r="A9" s="1"/>
    </row>
    <row r="10" spans="1:2" ht="15">
      <c r="A10" s="1"/>
    </row>
    <row r="11" spans="1:2" ht="15">
      <c r="A11" s="1"/>
    </row>
    <row r="12" spans="1:2" ht="15">
      <c r="A12" s="1"/>
    </row>
    <row r="13" spans="1:2" ht="15">
      <c r="A13" s="1"/>
    </row>
    <row r="14" spans="1:2" ht="15">
      <c r="A14" s="1"/>
    </row>
    <row r="15" spans="1:2" ht="15">
      <c r="A15" s="1"/>
    </row>
    <row r="16" spans="1:2" ht="15">
      <c r="A16" s="1"/>
    </row>
    <row r="17" spans="1:8" ht="15">
      <c r="A17" s="1"/>
    </row>
    <row r="18" spans="1:8" ht="15">
      <c r="A18" s="1"/>
    </row>
    <row r="19" spans="1:8" ht="15">
      <c r="A19" s="1"/>
    </row>
    <row r="20" spans="1:8" ht="15">
      <c r="A20" s="1"/>
    </row>
    <row r="21" spans="1:8">
      <c r="A21" s="25"/>
    </row>
    <row r="22" spans="1:8">
      <c r="B22" t="s">
        <v>95</v>
      </c>
    </row>
    <row r="23" spans="1:8">
      <c r="B23" s="2" t="s">
        <v>8</v>
      </c>
      <c r="C23" s="2" t="s">
        <v>96</v>
      </c>
      <c r="D23" s="2" t="s">
        <v>97</v>
      </c>
      <c r="E23" s="6" t="s">
        <v>98</v>
      </c>
      <c r="F23" s="21" t="s">
        <v>99</v>
      </c>
      <c r="G23" s="2" t="s">
        <v>100</v>
      </c>
      <c r="H23" s="2" t="s">
        <v>101</v>
      </c>
    </row>
    <row r="24" spans="1:8">
      <c r="B24" s="31" t="s">
        <v>102</v>
      </c>
      <c r="C24" s="30"/>
      <c r="D24" s="30">
        <v>0</v>
      </c>
      <c r="E24" s="32">
        <f>IFERROR((D24/C24),0)*100%</f>
        <v>0</v>
      </c>
      <c r="F24" s="33">
        <f>C24-D24</f>
        <v>0</v>
      </c>
      <c r="G24" s="30"/>
      <c r="H24" s="366"/>
    </row>
    <row r="25" spans="1:8">
      <c r="B25" s="416" t="s">
        <v>103</v>
      </c>
      <c r="C25" s="417">
        <v>137</v>
      </c>
      <c r="D25" s="417">
        <v>44</v>
      </c>
      <c r="E25" s="418">
        <f>IFERROR((D25/C25),0)*100%</f>
        <v>0.32116788321167883</v>
      </c>
      <c r="F25" s="419">
        <f>C25-D25</f>
        <v>93</v>
      </c>
      <c r="G25" s="417"/>
      <c r="H25" s="366"/>
    </row>
    <row r="26" spans="1:8">
      <c r="B26" s="416" t="s">
        <v>104</v>
      </c>
      <c r="C26" s="417">
        <v>0</v>
      </c>
      <c r="D26" s="417">
        <v>0</v>
      </c>
      <c r="E26" s="418">
        <f>IFERROR((D26/C26),0)*100%</f>
        <v>0</v>
      </c>
      <c r="F26" s="419">
        <f>C26-D26</f>
        <v>0</v>
      </c>
      <c r="G26" s="417"/>
      <c r="H26" s="366"/>
    </row>
    <row r="27" spans="1:8">
      <c r="B27" s="416"/>
      <c r="C27" s="417"/>
      <c r="D27" s="417"/>
      <c r="E27" s="418"/>
      <c r="F27" s="419"/>
      <c r="G27" s="417"/>
      <c r="H27" s="366"/>
    </row>
    <row r="28" spans="1:8">
      <c r="B28" s="31"/>
      <c r="C28" s="30"/>
      <c r="D28" s="30"/>
      <c r="E28" s="32" t="e">
        <f>(D28/C28)</f>
        <v>#DIV/0!</v>
      </c>
      <c r="F28" s="33">
        <f>C28-D28</f>
        <v>0</v>
      </c>
      <c r="G28" s="30"/>
      <c r="H28" s="2"/>
    </row>
    <row r="29" spans="1:8">
      <c r="B29" s="22" t="s">
        <v>105</v>
      </c>
      <c r="C29" s="23">
        <f>SUM(C24:C26)</f>
        <v>137</v>
      </c>
      <c r="D29" s="23">
        <f>SUM(D24:D26)</f>
        <v>44</v>
      </c>
      <c r="E29" s="9">
        <f>(D29/C29)</f>
        <v>0.32116788321167883</v>
      </c>
      <c r="F29" s="314">
        <f>SUM(F24:F26)</f>
        <v>93</v>
      </c>
      <c r="G29" s="3"/>
      <c r="H29" s="3"/>
    </row>
    <row r="30" spans="1:8">
      <c r="B30" s="10"/>
    </row>
    <row r="31" spans="1:8">
      <c r="B31" s="10" t="s">
        <v>106</v>
      </c>
    </row>
    <row r="32" spans="1:8">
      <c r="B32" s="24" t="s">
        <v>8</v>
      </c>
      <c r="C32" s="2" t="s">
        <v>96</v>
      </c>
      <c r="D32" s="2" t="s">
        <v>97</v>
      </c>
      <c r="E32" s="6" t="s">
        <v>98</v>
      </c>
      <c r="F32" s="2" t="s">
        <v>99</v>
      </c>
      <c r="G32" s="2" t="s">
        <v>100</v>
      </c>
      <c r="H32" s="2" t="s">
        <v>101</v>
      </c>
    </row>
    <row r="33" spans="2:8">
      <c r="B33" s="34" t="s">
        <v>102</v>
      </c>
      <c r="C33" s="30">
        <v>0</v>
      </c>
      <c r="D33" s="30">
        <v>0</v>
      </c>
      <c r="E33" s="32">
        <f>IFERROR((D33/C33),0)*100%</f>
        <v>0</v>
      </c>
      <c r="F33" s="33">
        <f>C33-D33</f>
        <v>0</v>
      </c>
      <c r="G33" s="30"/>
      <c r="H33" s="366"/>
    </row>
    <row r="34" spans="2:8">
      <c r="B34" s="420" t="s">
        <v>103</v>
      </c>
      <c r="C34" s="417">
        <v>124</v>
      </c>
      <c r="D34" s="417">
        <v>43</v>
      </c>
      <c r="E34" s="418">
        <f>IFERROR((D34/C34),0)*100%</f>
        <v>0.34677419354838712</v>
      </c>
      <c r="F34" s="419">
        <f>C34-D34</f>
        <v>81</v>
      </c>
      <c r="G34" s="417"/>
      <c r="H34" s="366"/>
    </row>
    <row r="35" spans="2:8">
      <c r="B35" s="420" t="s">
        <v>104</v>
      </c>
      <c r="C35" s="417">
        <v>0</v>
      </c>
      <c r="D35" s="417">
        <v>0</v>
      </c>
      <c r="E35" s="418">
        <f>IFERROR((D35/C35),0)*100%</f>
        <v>0</v>
      </c>
      <c r="F35" s="419">
        <f>C35-D35</f>
        <v>0</v>
      </c>
      <c r="G35" s="417"/>
      <c r="H35" s="366"/>
    </row>
    <row r="36" spans="2:8">
      <c r="B36" s="420"/>
      <c r="C36" s="417"/>
      <c r="D36" s="417"/>
      <c r="E36" s="418"/>
      <c r="F36" s="419"/>
      <c r="G36" s="417"/>
      <c r="H36" s="366"/>
    </row>
    <row r="37" spans="2:8">
      <c r="B37" s="34"/>
      <c r="C37" s="30"/>
      <c r="D37" s="30"/>
      <c r="E37" s="32" t="e">
        <f>(D37/C37)</f>
        <v>#DIV/0!</v>
      </c>
      <c r="F37" s="33">
        <f>C37-D37</f>
        <v>0</v>
      </c>
      <c r="G37" s="30"/>
      <c r="H37" s="2"/>
    </row>
    <row r="38" spans="2:8">
      <c r="B38" s="4" t="s">
        <v>105</v>
      </c>
      <c r="C38" s="4">
        <f>SUM(C33:C35)</f>
        <v>124</v>
      </c>
      <c r="D38" s="4">
        <f>SUM(D33:D35)</f>
        <v>43</v>
      </c>
      <c r="E38" s="9">
        <f>(D38/C38)</f>
        <v>0.34677419354838712</v>
      </c>
      <c r="F38" s="314">
        <f>SUM(F33:F35)</f>
        <v>81</v>
      </c>
      <c r="G38" s="3"/>
      <c r="H38" s="26"/>
    </row>
    <row r="39" spans="2:8">
      <c r="E39" s="8"/>
    </row>
    <row r="40" spans="2:8">
      <c r="B40" s="10" t="s">
        <v>107</v>
      </c>
    </row>
    <row r="41" spans="2:8">
      <c r="B41" s="2" t="s">
        <v>8</v>
      </c>
      <c r="C41" s="2" t="s">
        <v>96</v>
      </c>
      <c r="D41" s="2" t="s">
        <v>97</v>
      </c>
      <c r="E41" s="6" t="s">
        <v>98</v>
      </c>
      <c r="F41" s="21" t="s">
        <v>99</v>
      </c>
      <c r="G41" s="2" t="s">
        <v>100</v>
      </c>
      <c r="H41" s="2" t="s">
        <v>101</v>
      </c>
    </row>
    <row r="42" spans="2:8">
      <c r="B42" s="34" t="s">
        <v>108</v>
      </c>
      <c r="C42" s="30">
        <v>67</v>
      </c>
      <c r="D42" s="30">
        <v>45</v>
      </c>
      <c r="E42" s="32">
        <f>IFERROR((D42/C42),0)*100%</f>
        <v>0.67164179104477617</v>
      </c>
      <c r="F42" s="33">
        <f>C42-D42</f>
        <v>22</v>
      </c>
      <c r="G42" s="30"/>
      <c r="H42" s="366"/>
    </row>
    <row r="43" spans="2:8">
      <c r="B43" s="420" t="s">
        <v>109</v>
      </c>
      <c r="C43" s="417">
        <v>0</v>
      </c>
      <c r="D43" s="417">
        <v>0</v>
      </c>
      <c r="E43" s="418">
        <f>IFERROR((D43/C43),0)*100%</f>
        <v>0</v>
      </c>
      <c r="F43" s="419">
        <f>C43-D43</f>
        <v>0</v>
      </c>
      <c r="G43" s="417"/>
      <c r="H43" s="366"/>
    </row>
    <row r="44" spans="2:8">
      <c r="B44" s="362"/>
      <c r="C44" s="417"/>
      <c r="D44" s="417"/>
      <c r="E44" s="418"/>
      <c r="F44" s="419"/>
      <c r="G44" s="364"/>
      <c r="H44" s="366"/>
    </row>
    <row r="45" spans="2:8">
      <c r="B45" s="13"/>
      <c r="C45" s="30"/>
      <c r="D45" s="30"/>
      <c r="E45" s="32" t="e">
        <f>(D45/C45)</f>
        <v>#DIV/0!</v>
      </c>
      <c r="F45" s="33">
        <f>C45-D45</f>
        <v>0</v>
      </c>
      <c r="G45" s="3"/>
      <c r="H45" s="26"/>
    </row>
    <row r="46" spans="2:8">
      <c r="B46" s="22" t="s">
        <v>105</v>
      </c>
      <c r="C46" s="4">
        <f>SUM(C42:C43)</f>
        <v>67</v>
      </c>
      <c r="D46" s="4">
        <f>SUM(D42:D43)</f>
        <v>45</v>
      </c>
      <c r="E46" s="9">
        <f>(D46/C46)</f>
        <v>0.67164179104477617</v>
      </c>
      <c r="F46" s="314">
        <f>SUM(F42:F43)</f>
        <v>22</v>
      </c>
      <c r="G46" s="3"/>
      <c r="H46" s="3"/>
    </row>
  </sheetData>
  <sheetProtection formatCells="0" formatRows="0" insertColumns="0" insertRows="0" insertHyperlinks="0" deleteColumns="0" deleteRows="0" sort="0" autoFilter="0" pivotTables="0"/>
  <protectedRanges>
    <protectedRange sqref="A1:A20" name="Range1_5"/>
  </protectedRanges>
  <hyperlinks>
    <hyperlink ref="B24" display="1363.1 DEFECT COST"/>
    <hyperlink ref="B25" display="1363.3 380LP-Frame Foup Load Port (Mech)"/>
    <hyperlink ref="B26" display="1363.5 MISC"/>
    <hyperlink ref="B33" display="1363.1 DEFECT COST"/>
    <hyperlink ref="B34" display="1363.3 380LP-Frame Foup Load Port (Mech)"/>
    <hyperlink ref="B35" display="1363.5 MISC"/>
    <hyperlink ref="B42" display="1363.2 380LP-Frame Foup Load Port (EE)"/>
    <hyperlink ref="B43" display="1363.4 FASTENER"/>
  </hyperlinks>
  <pageMargins left="0.25" right="0.25" top="0.75" bottom="0.75" header="0.3" footer="0.3"/>
  <pageSetup paperSize="9" scale="62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artTracking_Button1_Click">
                <anchor moveWithCells="1" sizeWithCells="1">
                  <from>
                    <xdr:col>3</xdr:col>
                    <xdr:colOff>19050</xdr:colOff>
                    <xdr:row>1</xdr:row>
                    <xdr:rowOff>19050</xdr:rowOff>
                  </from>
                  <to>
                    <xdr:col>4</xdr:col>
                    <xdr:colOff>476250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"/>
  <sheetViews>
    <sheetView topLeftCell="A4" zoomScale="80" zoomScaleNormal="80" workbookViewId="0">
      <selection activeCell="AA5" sqref="AA5"/>
    </sheetView>
  </sheetViews>
  <sheetFormatPr defaultColWidth="9" defaultRowHeight="18"/>
  <cols>
    <col min="1" max="1" width="9" style="192" bestFit="1" customWidth="1"/>
    <col min="2" max="2" width="18.265625" style="192" customWidth="1"/>
    <col min="3" max="3" width="10.86328125" style="192" customWidth="1"/>
    <col min="4" max="4" width="10" style="192" customWidth="1"/>
    <col min="5" max="10" width="0" style="192" hidden="1" customWidth="1"/>
    <col min="11" max="12" width="9" style="192" bestFit="1" customWidth="1"/>
    <col min="13" max="15" width="10.265625" style="192" bestFit="1" customWidth="1"/>
    <col min="16" max="16" width="9" style="192" bestFit="1" customWidth="1"/>
    <col min="17" max="19" width="10" style="192" bestFit="1" customWidth="1"/>
    <col min="20" max="20" width="9.265625" style="192" bestFit="1" customWidth="1"/>
    <col min="21" max="24" width="10.86328125" style="192" bestFit="1" customWidth="1"/>
    <col min="25" max="25" width="9" style="192" bestFit="1" customWidth="1"/>
    <col min="26" max="26" width="10.265625" style="192" bestFit="1" customWidth="1"/>
    <col min="27" max="27" width="11" style="192" customWidth="1"/>
    <col min="28" max="28" width="10.265625" style="192" bestFit="1" customWidth="1"/>
    <col min="29" max="45" width="9" style="192" customWidth="1"/>
    <col min="46" max="16384" width="9" style="192"/>
  </cols>
  <sheetData>
    <row r="1" spans="1:28">
      <c r="A1" s="114" t="s">
        <v>0</v>
      </c>
      <c r="B1" s="188"/>
      <c r="C1" s="188"/>
      <c r="D1" s="188"/>
      <c r="E1" s="189"/>
      <c r="F1" s="189"/>
      <c r="G1" s="189"/>
      <c r="H1" s="189"/>
      <c r="I1" s="189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1"/>
      <c r="Y1" s="190"/>
      <c r="Z1" s="190"/>
      <c r="AA1" s="190"/>
      <c r="AB1" s="190"/>
    </row>
    <row r="2" spans="1:28">
      <c r="A2" s="114" t="s">
        <v>1</v>
      </c>
      <c r="B2" s="188"/>
      <c r="C2" s="188"/>
      <c r="D2" s="188"/>
      <c r="E2" s="189"/>
      <c r="F2" s="189"/>
      <c r="G2" s="189"/>
      <c r="H2" s="189"/>
      <c r="I2" s="189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1"/>
      <c r="Y2" s="190"/>
      <c r="Z2" s="190"/>
      <c r="AA2" s="190"/>
      <c r="AB2" s="190"/>
    </row>
    <row r="3" spans="1:28">
      <c r="A3" s="114" t="s">
        <v>65</v>
      </c>
      <c r="B3" s="188"/>
      <c r="C3" s="188"/>
      <c r="D3" s="188"/>
      <c r="E3" s="189"/>
      <c r="F3" s="189"/>
      <c r="G3" s="189"/>
      <c r="H3" s="189"/>
      <c r="I3" s="189"/>
      <c r="J3" s="190"/>
      <c r="K3" s="190"/>
      <c r="L3" s="190"/>
      <c r="M3" s="190"/>
      <c r="N3" s="189"/>
      <c r="O3" s="190"/>
      <c r="P3" s="190"/>
      <c r="Q3" s="190"/>
      <c r="R3" s="190"/>
      <c r="S3" s="190"/>
      <c r="T3" s="190"/>
      <c r="U3" s="190"/>
      <c r="V3" s="190"/>
      <c r="W3" s="190"/>
      <c r="X3" s="191"/>
      <c r="Y3" s="190"/>
      <c r="Z3" s="190"/>
      <c r="AA3" s="190"/>
      <c r="AB3" s="190"/>
    </row>
    <row r="4" spans="1:28">
      <c r="A4" s="114" t="s">
        <v>3</v>
      </c>
      <c r="B4" s="193"/>
      <c r="C4" s="193"/>
      <c r="D4" s="193"/>
      <c r="E4" s="193"/>
      <c r="F4" s="193"/>
      <c r="G4" s="193"/>
      <c r="H4" s="193"/>
      <c r="I4" s="193"/>
      <c r="J4" s="194"/>
      <c r="K4" s="195"/>
      <c r="L4" s="195"/>
      <c r="M4" s="195"/>
      <c r="N4" s="193"/>
      <c r="O4" s="194"/>
      <c r="P4" s="195" t="s">
        <v>66</v>
      </c>
      <c r="Q4" s="193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</row>
    <row r="5" spans="1:28">
      <c r="A5" s="114" t="s">
        <v>4</v>
      </c>
      <c r="B5" s="193"/>
      <c r="C5" s="193"/>
      <c r="D5" s="193"/>
      <c r="E5" s="193"/>
      <c r="F5" s="193"/>
      <c r="G5" s="193"/>
      <c r="H5" s="193"/>
      <c r="I5" s="193"/>
      <c r="J5" s="196"/>
      <c r="K5" s="197"/>
      <c r="L5" s="197"/>
      <c r="M5" s="197"/>
      <c r="N5" s="193"/>
      <c r="O5" s="196"/>
      <c r="P5" s="197" t="s">
        <v>67</v>
      </c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</row>
    <row r="6" spans="1:28">
      <c r="A6" s="114" t="s">
        <v>68</v>
      </c>
      <c r="B6" s="193"/>
      <c r="C6" s="193"/>
      <c r="D6" s="193"/>
      <c r="E6" s="193"/>
      <c r="F6" s="193"/>
      <c r="G6" s="193"/>
      <c r="H6" s="193"/>
      <c r="I6" s="193"/>
      <c r="J6" s="198"/>
      <c r="K6" s="195"/>
      <c r="L6" s="195"/>
      <c r="M6" s="195"/>
      <c r="N6" s="193"/>
      <c r="O6" s="198"/>
      <c r="P6" s="195" t="s">
        <v>69</v>
      </c>
      <c r="Q6" s="193"/>
      <c r="R6" s="199"/>
      <c r="S6" s="193"/>
      <c r="T6" s="193"/>
      <c r="U6" s="193"/>
      <c r="V6" s="193"/>
      <c r="W6" s="193"/>
      <c r="X6" s="193"/>
      <c r="Y6" s="193"/>
      <c r="Z6" s="193"/>
      <c r="AA6" s="193"/>
      <c r="AB6" s="193"/>
    </row>
    <row r="7" spans="1:28">
      <c r="A7" s="193"/>
      <c r="B7" s="193"/>
      <c r="C7" s="193"/>
      <c r="D7" s="193"/>
      <c r="E7" s="193"/>
      <c r="F7" s="193"/>
      <c r="G7" s="193"/>
      <c r="H7" s="193"/>
      <c r="I7" s="193"/>
      <c r="J7" s="200"/>
      <c r="K7" s="195"/>
      <c r="L7" s="195"/>
      <c r="M7" s="195"/>
      <c r="N7" s="193"/>
      <c r="O7" s="201"/>
      <c r="P7" s="195" t="s">
        <v>70</v>
      </c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</row>
    <row r="8" spans="1:28">
      <c r="A8" s="193"/>
      <c r="B8" s="193"/>
      <c r="C8" s="193"/>
      <c r="D8" s="193"/>
      <c r="E8" s="193"/>
      <c r="F8" s="193"/>
      <c r="G8" s="193"/>
      <c r="H8" s="193"/>
      <c r="I8" s="193"/>
      <c r="J8" s="202"/>
      <c r="K8" s="195"/>
      <c r="L8" s="195"/>
      <c r="M8" s="195"/>
      <c r="N8" s="193"/>
      <c r="O8" s="202"/>
      <c r="P8" s="195" t="s">
        <v>71</v>
      </c>
      <c r="Q8" s="193"/>
      <c r="R8" s="193"/>
      <c r="S8" s="193"/>
      <c r="T8" s="193"/>
      <c r="U8" s="193"/>
      <c r="V8" s="193"/>
      <c r="W8" s="193"/>
      <c r="X8" s="193"/>
      <c r="Y8" s="193"/>
      <c r="Z8" s="193"/>
      <c r="AA8" s="193"/>
      <c r="AB8" s="193"/>
    </row>
    <row r="9" spans="1:28">
      <c r="A9" s="483"/>
      <c r="B9" s="483"/>
      <c r="C9" s="483"/>
      <c r="D9" s="191"/>
      <c r="E9" s="191"/>
      <c r="F9" s="191"/>
      <c r="G9" s="191"/>
      <c r="H9" s="191"/>
      <c r="I9" s="191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90"/>
      <c r="W9" s="190"/>
      <c r="X9" s="191"/>
      <c r="Y9" s="190"/>
      <c r="Z9" s="190"/>
      <c r="AA9" s="190"/>
      <c r="AB9" s="190"/>
    </row>
    <row r="10" spans="1:28">
      <c r="A10" s="203"/>
      <c r="B10" s="204"/>
      <c r="C10" s="205" t="s">
        <v>72</v>
      </c>
      <c r="D10" s="205"/>
      <c r="E10" s="484">
        <v>44044</v>
      </c>
      <c r="F10" s="485"/>
      <c r="G10" s="485"/>
      <c r="H10" s="485"/>
      <c r="I10" s="486"/>
      <c r="J10" s="487">
        <v>44276</v>
      </c>
      <c r="K10" s="487"/>
      <c r="L10" s="487"/>
      <c r="M10" s="487"/>
      <c r="N10" s="487"/>
      <c r="O10" s="487"/>
      <c r="P10" s="488">
        <v>44307</v>
      </c>
      <c r="Q10" s="489"/>
      <c r="R10" s="489"/>
      <c r="S10" s="489"/>
      <c r="T10" s="487">
        <v>44337</v>
      </c>
      <c r="U10" s="487"/>
      <c r="V10" s="487"/>
      <c r="W10" s="487"/>
      <c r="X10" s="487"/>
      <c r="Y10" s="490">
        <v>44368</v>
      </c>
      <c r="Z10" s="490"/>
      <c r="AA10" s="490"/>
      <c r="AB10" s="490"/>
    </row>
    <row r="11" spans="1:28">
      <c r="A11" s="206"/>
      <c r="B11" s="207"/>
      <c r="C11" s="208" t="s">
        <v>10</v>
      </c>
      <c r="D11" s="208"/>
      <c r="E11" s="208">
        <v>44046</v>
      </c>
      <c r="F11" s="208">
        <v>44053</v>
      </c>
      <c r="G11" s="208">
        <v>44060</v>
      </c>
      <c r="H11" s="208">
        <v>44067</v>
      </c>
      <c r="I11" s="208">
        <v>44074</v>
      </c>
      <c r="J11" s="208"/>
      <c r="K11" s="208">
        <v>44256</v>
      </c>
      <c r="L11" s="208">
        <v>44263</v>
      </c>
      <c r="M11" s="208">
        <v>44270</v>
      </c>
      <c r="N11" s="208">
        <v>44277</v>
      </c>
      <c r="O11" s="208">
        <v>44284</v>
      </c>
      <c r="P11" s="208">
        <v>44291</v>
      </c>
      <c r="Q11" s="208">
        <v>44298</v>
      </c>
      <c r="R11" s="208">
        <v>44305</v>
      </c>
      <c r="S11" s="208">
        <v>44312</v>
      </c>
      <c r="T11" s="208">
        <v>44319</v>
      </c>
      <c r="U11" s="208">
        <v>44326</v>
      </c>
      <c r="V11" s="208">
        <v>44333</v>
      </c>
      <c r="W11" s="208">
        <v>44340</v>
      </c>
      <c r="X11" s="208">
        <v>44347</v>
      </c>
      <c r="Y11" s="208">
        <v>44354</v>
      </c>
      <c r="Z11" s="208">
        <v>44361</v>
      </c>
      <c r="AA11" s="208">
        <v>44368</v>
      </c>
      <c r="AB11" s="208">
        <v>44375</v>
      </c>
    </row>
    <row r="12" spans="1:28" ht="52.9">
      <c r="A12" s="491" t="s">
        <v>7</v>
      </c>
      <c r="B12" s="493" t="s">
        <v>73</v>
      </c>
      <c r="C12" s="209" t="s">
        <v>74</v>
      </c>
      <c r="D12" s="209" t="s">
        <v>74</v>
      </c>
      <c r="E12" s="209">
        <v>32</v>
      </c>
      <c r="F12" s="209">
        <v>33</v>
      </c>
      <c r="G12" s="209">
        <v>34</v>
      </c>
      <c r="H12" s="209">
        <v>35</v>
      </c>
      <c r="I12" s="209">
        <v>36</v>
      </c>
      <c r="J12" s="209"/>
      <c r="K12" s="209">
        <v>9</v>
      </c>
      <c r="L12" s="209">
        <v>10</v>
      </c>
      <c r="M12" s="209">
        <v>11</v>
      </c>
      <c r="N12" s="209">
        <v>12</v>
      </c>
      <c r="O12" s="209">
        <v>13</v>
      </c>
      <c r="P12" s="209">
        <v>14</v>
      </c>
      <c r="Q12" s="209">
        <v>15</v>
      </c>
      <c r="R12" s="209">
        <v>16</v>
      </c>
      <c r="S12" s="209">
        <v>17</v>
      </c>
      <c r="T12" s="209">
        <v>18</v>
      </c>
      <c r="U12" s="209">
        <v>19</v>
      </c>
      <c r="V12" s="209">
        <v>20</v>
      </c>
      <c r="W12" s="209">
        <v>21</v>
      </c>
      <c r="X12" s="209">
        <v>22</v>
      </c>
      <c r="Y12" s="209"/>
      <c r="Z12" s="209"/>
      <c r="AA12" s="209"/>
      <c r="AB12" s="209"/>
    </row>
    <row r="13" spans="1:28" ht="35.25">
      <c r="A13" s="492"/>
      <c r="B13" s="494"/>
      <c r="C13" s="209" t="s">
        <v>75</v>
      </c>
      <c r="D13" s="209" t="s">
        <v>75</v>
      </c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  <c r="AA13" s="209"/>
      <c r="AB13" s="209"/>
    </row>
    <row r="14" spans="1:28">
      <c r="A14" s="477">
        <v>1</v>
      </c>
      <c r="B14" s="480" t="s">
        <v>76</v>
      </c>
      <c r="C14" s="210"/>
      <c r="D14" s="211" t="s">
        <v>66</v>
      </c>
      <c r="E14" s="211"/>
      <c r="F14" s="211"/>
      <c r="G14" s="211"/>
      <c r="H14" s="211"/>
      <c r="I14" s="211"/>
      <c r="J14" s="212"/>
      <c r="K14" s="213"/>
      <c r="L14" s="213"/>
      <c r="M14" s="214"/>
      <c r="N14" s="213"/>
      <c r="O14" s="213"/>
      <c r="P14" s="213"/>
      <c r="Q14" s="213"/>
      <c r="R14" s="213"/>
      <c r="S14" s="213"/>
      <c r="T14" s="215"/>
      <c r="U14" s="215"/>
      <c r="V14" s="215"/>
      <c r="W14" s="215"/>
      <c r="X14" s="215"/>
      <c r="Y14" s="215"/>
      <c r="Z14" s="215"/>
      <c r="AA14" s="215"/>
      <c r="AB14" s="216"/>
    </row>
    <row r="15" spans="1:28">
      <c r="A15" s="478"/>
      <c r="B15" s="481"/>
      <c r="C15" s="210"/>
      <c r="D15" s="211" t="s">
        <v>71</v>
      </c>
      <c r="E15" s="211"/>
      <c r="F15" s="211"/>
      <c r="G15" s="211"/>
      <c r="H15" s="211"/>
      <c r="I15" s="211"/>
      <c r="J15" s="210"/>
      <c r="K15" s="213"/>
      <c r="L15" s="213"/>
      <c r="M15" s="213"/>
      <c r="N15" s="213"/>
      <c r="O15" s="213"/>
      <c r="P15" s="213"/>
      <c r="Q15" s="213"/>
      <c r="R15" s="213"/>
      <c r="S15" s="213"/>
      <c r="T15" s="215"/>
      <c r="U15" s="215"/>
      <c r="V15" s="215"/>
      <c r="W15" s="215"/>
      <c r="X15" s="215"/>
      <c r="Y15" s="215"/>
      <c r="Z15" s="215"/>
      <c r="AA15" s="215"/>
      <c r="AB15" s="217"/>
    </row>
    <row r="16" spans="1:28">
      <c r="A16" s="479"/>
      <c r="B16" s="482"/>
      <c r="C16" s="210"/>
      <c r="D16" s="211" t="s">
        <v>67</v>
      </c>
      <c r="E16" s="211"/>
      <c r="F16" s="211"/>
      <c r="G16" s="211"/>
      <c r="H16" s="211"/>
      <c r="I16" s="211"/>
      <c r="J16" s="212"/>
      <c r="K16" s="213"/>
      <c r="L16" s="213"/>
      <c r="M16" s="218"/>
      <c r="N16" s="213"/>
      <c r="O16" s="213"/>
      <c r="P16" s="213"/>
      <c r="Q16" s="213"/>
      <c r="R16" s="213"/>
      <c r="S16" s="213"/>
      <c r="T16" s="215"/>
      <c r="U16" s="215"/>
      <c r="V16" s="215"/>
      <c r="W16" s="215"/>
      <c r="X16" s="215"/>
      <c r="Y16" s="215"/>
      <c r="Z16" s="215"/>
      <c r="AA16" s="215"/>
      <c r="AB16" s="217"/>
    </row>
    <row r="17" spans="1:28">
      <c r="A17" s="477">
        <v>2</v>
      </c>
      <c r="B17" s="480" t="s">
        <v>77</v>
      </c>
      <c r="C17" s="219"/>
      <c r="D17" s="211" t="s">
        <v>66</v>
      </c>
      <c r="E17" s="211"/>
      <c r="F17" s="211"/>
      <c r="G17" s="211"/>
      <c r="H17" s="211"/>
      <c r="I17" s="211"/>
      <c r="J17" s="212"/>
      <c r="K17" s="213"/>
      <c r="L17" s="213"/>
      <c r="M17" s="214"/>
      <c r="N17" s="214"/>
      <c r="O17" s="214"/>
      <c r="P17" s="214"/>
      <c r="Q17" s="214"/>
      <c r="R17" s="213"/>
      <c r="S17" s="213"/>
      <c r="T17" s="215"/>
      <c r="U17" s="215"/>
      <c r="V17" s="215"/>
      <c r="W17" s="215"/>
      <c r="X17" s="215"/>
      <c r="Y17" s="215"/>
      <c r="Z17" s="215"/>
      <c r="AA17" s="215"/>
      <c r="AB17" s="217"/>
    </row>
    <row r="18" spans="1:28">
      <c r="A18" s="478"/>
      <c r="B18" s="481"/>
      <c r="C18" s="219"/>
      <c r="D18" s="211" t="s">
        <v>71</v>
      </c>
      <c r="E18" s="211"/>
      <c r="F18" s="211"/>
      <c r="G18" s="211"/>
      <c r="H18" s="211"/>
      <c r="I18" s="211"/>
      <c r="J18" s="212"/>
      <c r="K18" s="213"/>
      <c r="L18" s="213"/>
      <c r="M18" s="213"/>
      <c r="N18" s="213"/>
      <c r="O18" s="213"/>
      <c r="P18" s="213"/>
      <c r="Q18" s="213"/>
      <c r="R18" s="220"/>
      <c r="S18" s="220"/>
      <c r="T18" s="215"/>
      <c r="U18" s="215"/>
      <c r="V18" s="215"/>
      <c r="W18" s="215"/>
      <c r="X18" s="215"/>
      <c r="Y18" s="215"/>
      <c r="Z18" s="215"/>
      <c r="AA18" s="215"/>
      <c r="AB18" s="217"/>
    </row>
    <row r="19" spans="1:28">
      <c r="A19" s="479"/>
      <c r="B19" s="482"/>
      <c r="C19" s="219"/>
      <c r="D19" s="211" t="s">
        <v>67</v>
      </c>
      <c r="E19" s="211"/>
      <c r="F19" s="211"/>
      <c r="G19" s="211"/>
      <c r="H19" s="211"/>
      <c r="I19" s="211"/>
      <c r="J19" s="212"/>
      <c r="K19" s="213"/>
      <c r="L19" s="213"/>
      <c r="M19" s="218"/>
      <c r="N19" s="218"/>
      <c r="O19" s="218"/>
      <c r="P19" s="218"/>
      <c r="Q19" s="218"/>
      <c r="R19" s="213"/>
      <c r="S19" s="213"/>
      <c r="T19" s="215"/>
      <c r="U19" s="215"/>
      <c r="V19" s="215"/>
      <c r="W19" s="215"/>
      <c r="X19" s="215"/>
      <c r="Y19" s="215"/>
      <c r="Z19" s="215"/>
      <c r="AA19" s="215"/>
      <c r="AB19" s="217"/>
    </row>
    <row r="20" spans="1:28">
      <c r="A20" s="477">
        <v>3</v>
      </c>
      <c r="B20" s="480" t="s">
        <v>78</v>
      </c>
      <c r="C20" s="219"/>
      <c r="D20" s="211" t="s">
        <v>66</v>
      </c>
      <c r="E20" s="211"/>
      <c r="F20" s="211"/>
      <c r="G20" s="211"/>
      <c r="H20" s="211"/>
      <c r="I20" s="211"/>
      <c r="J20" s="212"/>
      <c r="K20" s="213"/>
      <c r="L20" s="213"/>
      <c r="M20" s="213"/>
      <c r="N20" s="213"/>
      <c r="O20" s="213"/>
      <c r="P20" s="213"/>
      <c r="Q20" s="214"/>
      <c r="R20" s="214"/>
      <c r="S20" s="214"/>
      <c r="T20" s="221"/>
      <c r="U20" s="221"/>
      <c r="V20" s="215"/>
      <c r="W20" s="215"/>
      <c r="X20" s="215"/>
      <c r="Y20" s="215"/>
      <c r="Z20" s="215"/>
      <c r="AA20" s="215"/>
      <c r="AB20" s="217"/>
    </row>
    <row r="21" spans="1:28">
      <c r="A21" s="478"/>
      <c r="B21" s="481"/>
      <c r="C21" s="219"/>
      <c r="D21" s="211" t="s">
        <v>71</v>
      </c>
      <c r="E21" s="211"/>
      <c r="F21" s="211"/>
      <c r="G21" s="211"/>
      <c r="H21" s="211"/>
      <c r="I21" s="211"/>
      <c r="J21" s="212"/>
      <c r="K21" s="213"/>
      <c r="L21" s="213"/>
      <c r="M21" s="213"/>
      <c r="N21" s="213"/>
      <c r="O21" s="213"/>
      <c r="P21" s="213"/>
      <c r="Q21" s="213"/>
      <c r="R21" s="213"/>
      <c r="S21" s="213"/>
      <c r="T21" s="215"/>
      <c r="U21" s="215"/>
      <c r="V21" s="215"/>
      <c r="W21" s="215"/>
      <c r="X21" s="215"/>
      <c r="Y21" s="215"/>
      <c r="Z21" s="215"/>
      <c r="AA21" s="215"/>
      <c r="AB21" s="217"/>
    </row>
    <row r="22" spans="1:28">
      <c r="A22" s="479"/>
      <c r="B22" s="482"/>
      <c r="C22" s="219"/>
      <c r="D22" s="211" t="s">
        <v>67</v>
      </c>
      <c r="E22" s="211"/>
      <c r="F22" s="211"/>
      <c r="G22" s="211"/>
      <c r="H22" s="211"/>
      <c r="I22" s="211"/>
      <c r="J22" s="212"/>
      <c r="K22" s="213"/>
      <c r="L22" s="213"/>
      <c r="M22" s="213"/>
      <c r="N22" s="213"/>
      <c r="O22" s="213"/>
      <c r="P22" s="213"/>
      <c r="Q22" s="218"/>
      <c r="R22" s="213"/>
      <c r="S22" s="213"/>
      <c r="T22" s="215"/>
      <c r="U22" s="215"/>
      <c r="V22" s="215"/>
      <c r="W22" s="215"/>
      <c r="X22" s="215"/>
      <c r="Y22" s="215"/>
      <c r="Z22" s="215"/>
      <c r="AA22" s="215"/>
      <c r="AB22" s="217"/>
    </row>
    <row r="23" spans="1:28">
      <c r="A23" s="477">
        <v>4</v>
      </c>
      <c r="B23" s="480" t="s">
        <v>79</v>
      </c>
      <c r="C23" s="210"/>
      <c r="D23" s="211" t="s">
        <v>66</v>
      </c>
      <c r="E23" s="211"/>
      <c r="F23" s="211"/>
      <c r="G23" s="211"/>
      <c r="H23" s="211"/>
      <c r="I23" s="211"/>
      <c r="J23" s="212"/>
      <c r="K23" s="213"/>
      <c r="L23" s="213"/>
      <c r="M23" s="213"/>
      <c r="N23" s="213"/>
      <c r="O23" s="213"/>
      <c r="P23" s="214"/>
      <c r="Q23" s="214"/>
      <c r="R23" s="214"/>
      <c r="S23" s="214"/>
      <c r="T23" s="221"/>
      <c r="U23" s="221"/>
      <c r="V23" s="215"/>
      <c r="W23" s="215"/>
      <c r="X23" s="215"/>
      <c r="Y23" s="215"/>
      <c r="Z23" s="215"/>
      <c r="AA23" s="215"/>
      <c r="AB23" s="217"/>
    </row>
    <row r="24" spans="1:28">
      <c r="A24" s="478"/>
      <c r="B24" s="481"/>
      <c r="C24" s="210"/>
      <c r="D24" s="211" t="s">
        <v>71</v>
      </c>
      <c r="E24" s="211"/>
      <c r="F24" s="211"/>
      <c r="G24" s="211"/>
      <c r="H24" s="211"/>
      <c r="I24" s="211"/>
      <c r="J24" s="212"/>
      <c r="K24" s="213"/>
      <c r="L24" s="213"/>
      <c r="M24" s="213"/>
      <c r="N24" s="213"/>
      <c r="O24" s="213"/>
      <c r="P24" s="213"/>
      <c r="Q24" s="213"/>
      <c r="R24" s="213"/>
      <c r="S24" s="213"/>
      <c r="T24" s="215"/>
      <c r="U24" s="215"/>
      <c r="V24" s="215"/>
      <c r="W24" s="215"/>
      <c r="X24" s="215"/>
      <c r="Y24" s="215"/>
      <c r="Z24" s="215"/>
      <c r="AA24" s="215"/>
      <c r="AB24" s="216"/>
    </row>
    <row r="25" spans="1:28">
      <c r="A25" s="479"/>
      <c r="B25" s="482"/>
      <c r="C25" s="210"/>
      <c r="D25" s="211" t="s">
        <v>67</v>
      </c>
      <c r="E25" s="211"/>
      <c r="F25" s="211"/>
      <c r="G25" s="211"/>
      <c r="H25" s="211"/>
      <c r="I25" s="211"/>
      <c r="J25" s="210"/>
      <c r="K25" s="213"/>
      <c r="L25" s="213"/>
      <c r="M25" s="213"/>
      <c r="N25" s="213"/>
      <c r="O25" s="213"/>
      <c r="P25" s="218"/>
      <c r="Q25" s="218"/>
      <c r="R25" s="213"/>
      <c r="S25" s="213"/>
      <c r="T25" s="215"/>
      <c r="U25" s="215"/>
      <c r="V25" s="215"/>
      <c r="W25" s="215"/>
      <c r="X25" s="215"/>
      <c r="Y25" s="215"/>
      <c r="Z25" s="215"/>
      <c r="AA25" s="215"/>
      <c r="AB25" s="216"/>
    </row>
    <row r="26" spans="1:28">
      <c r="A26" s="477">
        <v>5</v>
      </c>
      <c r="B26" s="480" t="s">
        <v>80</v>
      </c>
      <c r="C26" s="219"/>
      <c r="D26" s="211" t="s">
        <v>66</v>
      </c>
      <c r="E26" s="211"/>
      <c r="F26" s="211"/>
      <c r="G26" s="211"/>
      <c r="H26" s="211"/>
      <c r="I26" s="211"/>
      <c r="J26" s="210"/>
      <c r="K26" s="213"/>
      <c r="L26" s="213"/>
      <c r="M26" s="213"/>
      <c r="N26" s="214"/>
      <c r="O26" s="214"/>
      <c r="P26" s="214"/>
      <c r="Q26" s="214"/>
      <c r="R26" s="214"/>
      <c r="S26" s="214"/>
      <c r="T26" s="221"/>
      <c r="U26" s="221"/>
      <c r="V26" s="215"/>
      <c r="W26" s="215"/>
      <c r="X26" s="215"/>
      <c r="Y26" s="215"/>
      <c r="Z26" s="215"/>
      <c r="AA26" s="215"/>
      <c r="AB26" s="217"/>
    </row>
    <row r="27" spans="1:28">
      <c r="A27" s="478"/>
      <c r="B27" s="481"/>
      <c r="C27" s="219"/>
      <c r="D27" s="211" t="s">
        <v>71</v>
      </c>
      <c r="E27" s="211"/>
      <c r="F27" s="211"/>
      <c r="G27" s="211"/>
      <c r="H27" s="211"/>
      <c r="I27" s="211"/>
      <c r="J27" s="210"/>
      <c r="K27" s="213"/>
      <c r="L27" s="213"/>
      <c r="M27" s="213"/>
      <c r="N27" s="213"/>
      <c r="O27" s="213"/>
      <c r="P27" s="213"/>
      <c r="Q27" s="213"/>
      <c r="R27" s="213"/>
      <c r="S27" s="213"/>
      <c r="T27" s="215"/>
      <c r="U27" s="215"/>
      <c r="V27" s="222"/>
      <c r="W27" s="222"/>
      <c r="X27" s="215"/>
      <c r="Y27" s="215"/>
      <c r="Z27" s="215"/>
      <c r="AA27" s="215"/>
      <c r="AB27" s="217"/>
    </row>
    <row r="28" spans="1:28">
      <c r="A28" s="479"/>
      <c r="B28" s="482"/>
      <c r="C28" s="219"/>
      <c r="D28" s="211" t="s">
        <v>67</v>
      </c>
      <c r="E28" s="211"/>
      <c r="F28" s="211"/>
      <c r="G28" s="211"/>
      <c r="H28" s="211"/>
      <c r="I28" s="211"/>
      <c r="J28" s="210"/>
      <c r="K28" s="213"/>
      <c r="L28" s="213"/>
      <c r="M28" s="213"/>
      <c r="N28" s="218"/>
      <c r="O28" s="218"/>
      <c r="P28" s="218"/>
      <c r="Q28" s="218"/>
      <c r="R28" s="213"/>
      <c r="S28" s="213"/>
      <c r="T28" s="215"/>
      <c r="U28" s="215"/>
      <c r="V28" s="215"/>
      <c r="W28" s="215"/>
      <c r="X28" s="215"/>
      <c r="Y28" s="215"/>
      <c r="Z28" s="215"/>
      <c r="AA28" s="215"/>
      <c r="AB28" s="217"/>
    </row>
    <row r="29" spans="1:28">
      <c r="A29" s="477">
        <v>6</v>
      </c>
      <c r="B29" s="480" t="s">
        <v>81</v>
      </c>
      <c r="C29" s="219"/>
      <c r="D29" s="211" t="s">
        <v>66</v>
      </c>
      <c r="E29" s="211"/>
      <c r="F29" s="211"/>
      <c r="G29" s="211"/>
      <c r="H29" s="211"/>
      <c r="I29" s="211"/>
      <c r="J29" s="210"/>
      <c r="K29" s="213"/>
      <c r="L29" s="213"/>
      <c r="M29" s="213"/>
      <c r="N29" s="213"/>
      <c r="O29" s="213"/>
      <c r="P29" s="213"/>
      <c r="Q29" s="213"/>
      <c r="R29" s="214"/>
      <c r="S29" s="214"/>
      <c r="T29" s="221"/>
      <c r="U29" s="221"/>
      <c r="V29" s="221"/>
      <c r="W29" s="215"/>
      <c r="X29" s="215"/>
      <c r="Y29" s="215"/>
      <c r="Z29" s="215"/>
      <c r="AA29" s="215"/>
      <c r="AB29" s="217"/>
    </row>
    <row r="30" spans="1:28">
      <c r="A30" s="478"/>
      <c r="B30" s="481"/>
      <c r="C30" s="219"/>
      <c r="D30" s="211" t="s">
        <v>71</v>
      </c>
      <c r="E30" s="211"/>
      <c r="F30" s="211"/>
      <c r="G30" s="211"/>
      <c r="H30" s="211"/>
      <c r="I30" s="211"/>
      <c r="J30" s="210"/>
      <c r="K30" s="213"/>
      <c r="L30" s="213"/>
      <c r="M30" s="213"/>
      <c r="N30" s="213"/>
      <c r="O30" s="213"/>
      <c r="P30" s="213"/>
      <c r="Q30" s="213"/>
      <c r="R30" s="213"/>
      <c r="S30" s="213"/>
      <c r="T30" s="215"/>
      <c r="U30" s="215"/>
      <c r="V30" s="215"/>
      <c r="W30" s="215"/>
      <c r="X30" s="215"/>
      <c r="Y30" s="215"/>
      <c r="Z30" s="215"/>
      <c r="AA30" s="215"/>
      <c r="AB30" s="217"/>
    </row>
    <row r="31" spans="1:28">
      <c r="A31" s="479"/>
      <c r="B31" s="482"/>
      <c r="C31" s="219"/>
      <c r="D31" s="211" t="s">
        <v>67</v>
      </c>
      <c r="E31" s="211"/>
      <c r="F31" s="211"/>
      <c r="G31" s="211"/>
      <c r="H31" s="211"/>
      <c r="I31" s="211"/>
      <c r="J31" s="210"/>
      <c r="K31" s="213"/>
      <c r="L31" s="213"/>
      <c r="M31" s="213"/>
      <c r="N31" s="213"/>
      <c r="O31" s="213"/>
      <c r="P31" s="213"/>
      <c r="Q31" s="213"/>
      <c r="R31" s="213"/>
      <c r="S31" s="213"/>
      <c r="T31" s="215"/>
      <c r="U31" s="215"/>
      <c r="V31" s="215"/>
      <c r="W31" s="215"/>
      <c r="X31" s="215"/>
      <c r="Y31" s="215"/>
      <c r="Z31" s="215"/>
      <c r="AA31" s="215"/>
      <c r="AB31" s="217"/>
    </row>
    <row r="32" spans="1:28">
      <c r="A32" s="477">
        <v>7</v>
      </c>
      <c r="B32" s="480" t="s">
        <v>82</v>
      </c>
      <c r="C32" s="219"/>
      <c r="D32" s="211" t="s">
        <v>66</v>
      </c>
      <c r="E32" s="211"/>
      <c r="F32" s="211"/>
      <c r="G32" s="211"/>
      <c r="H32" s="211"/>
      <c r="I32" s="211"/>
      <c r="J32" s="210"/>
      <c r="K32" s="213"/>
      <c r="L32" s="213"/>
      <c r="M32" s="213"/>
      <c r="N32" s="213"/>
      <c r="O32" s="213"/>
      <c r="P32" s="213"/>
      <c r="Q32" s="213"/>
      <c r="R32" s="213"/>
      <c r="S32" s="213"/>
      <c r="T32" s="215"/>
      <c r="U32" s="215"/>
      <c r="V32" s="215"/>
      <c r="W32" s="221"/>
      <c r="X32" s="221"/>
      <c r="Y32" s="215"/>
      <c r="Z32" s="215"/>
      <c r="AA32" s="215"/>
      <c r="AB32" s="217"/>
    </row>
    <row r="33" spans="1:28">
      <c r="A33" s="478"/>
      <c r="B33" s="481"/>
      <c r="C33" s="219"/>
      <c r="D33" s="211" t="s">
        <v>71</v>
      </c>
      <c r="E33" s="211"/>
      <c r="F33" s="211"/>
      <c r="G33" s="211"/>
      <c r="H33" s="211"/>
      <c r="I33" s="211"/>
      <c r="J33" s="210"/>
      <c r="K33" s="213"/>
      <c r="L33" s="213"/>
      <c r="M33" s="213"/>
      <c r="N33" s="213"/>
      <c r="O33" s="213"/>
      <c r="P33" s="213"/>
      <c r="Q33" s="213"/>
      <c r="R33" s="213"/>
      <c r="S33" s="213"/>
      <c r="T33" s="215"/>
      <c r="U33" s="215"/>
      <c r="V33" s="215"/>
      <c r="W33" s="215"/>
      <c r="X33" s="215"/>
      <c r="Y33" s="215"/>
      <c r="Z33" s="215"/>
      <c r="AA33" s="215"/>
      <c r="AB33" s="217"/>
    </row>
    <row r="34" spans="1:28">
      <c r="A34" s="479"/>
      <c r="B34" s="482"/>
      <c r="C34" s="219"/>
      <c r="D34" s="211" t="s">
        <v>67</v>
      </c>
      <c r="E34" s="211"/>
      <c r="F34" s="211"/>
      <c r="G34" s="211"/>
      <c r="H34" s="211"/>
      <c r="I34" s="211"/>
      <c r="J34" s="210"/>
      <c r="K34" s="213"/>
      <c r="L34" s="213"/>
      <c r="M34" s="213"/>
      <c r="N34" s="213"/>
      <c r="O34" s="213"/>
      <c r="P34" s="213"/>
      <c r="Q34" s="213"/>
      <c r="R34" s="213"/>
      <c r="S34" s="213"/>
      <c r="T34" s="215"/>
      <c r="U34" s="215"/>
      <c r="V34" s="215"/>
      <c r="W34" s="215"/>
      <c r="X34" s="215"/>
      <c r="Y34" s="215"/>
      <c r="Z34" s="215"/>
      <c r="AA34" s="215"/>
      <c r="AB34" s="217"/>
    </row>
    <row r="35" spans="1:28">
      <c r="A35" s="477">
        <v>8</v>
      </c>
      <c r="B35" s="480" t="s">
        <v>83</v>
      </c>
      <c r="C35" s="219"/>
      <c r="D35" s="211" t="s">
        <v>66</v>
      </c>
      <c r="E35" s="211"/>
      <c r="F35" s="211"/>
      <c r="G35" s="211"/>
      <c r="H35" s="211"/>
      <c r="I35" s="211"/>
      <c r="J35" s="210"/>
      <c r="K35" s="213"/>
      <c r="L35" s="213"/>
      <c r="M35" s="213"/>
      <c r="N35" s="213"/>
      <c r="O35" s="213"/>
      <c r="P35" s="213"/>
      <c r="Q35" s="213"/>
      <c r="R35" s="213"/>
      <c r="S35" s="213"/>
      <c r="T35" s="215"/>
      <c r="U35" s="215"/>
      <c r="V35" s="215"/>
      <c r="W35" s="215"/>
      <c r="X35" s="215"/>
      <c r="Y35" s="221"/>
      <c r="Z35" s="221"/>
      <c r="AA35" s="215"/>
      <c r="AB35" s="217"/>
    </row>
    <row r="36" spans="1:28">
      <c r="A36" s="478"/>
      <c r="B36" s="481"/>
      <c r="C36" s="219"/>
      <c r="D36" s="211" t="s">
        <v>71</v>
      </c>
      <c r="E36" s="211"/>
      <c r="F36" s="211"/>
      <c r="G36" s="211"/>
      <c r="H36" s="211"/>
      <c r="I36" s="211"/>
      <c r="J36" s="210"/>
      <c r="K36" s="213"/>
      <c r="L36" s="213"/>
      <c r="M36" s="213"/>
      <c r="N36" s="213"/>
      <c r="O36" s="213"/>
      <c r="P36" s="213"/>
      <c r="Q36" s="213"/>
      <c r="R36" s="213"/>
      <c r="S36" s="213"/>
      <c r="T36" s="215"/>
      <c r="U36" s="215"/>
      <c r="V36" s="215"/>
      <c r="W36" s="215"/>
      <c r="X36" s="215"/>
      <c r="Y36" s="215"/>
      <c r="Z36" s="215"/>
      <c r="AA36" s="215"/>
      <c r="AB36" s="217"/>
    </row>
    <row r="37" spans="1:28">
      <c r="A37" s="479"/>
      <c r="B37" s="482"/>
      <c r="C37" s="219"/>
      <c r="D37" s="211" t="s">
        <v>67</v>
      </c>
      <c r="E37" s="211"/>
      <c r="F37" s="211"/>
      <c r="G37" s="211"/>
      <c r="H37" s="211"/>
      <c r="I37" s="211"/>
      <c r="J37" s="210"/>
      <c r="K37" s="213"/>
      <c r="L37" s="213"/>
      <c r="M37" s="213"/>
      <c r="N37" s="213"/>
      <c r="O37" s="213"/>
      <c r="P37" s="213"/>
      <c r="Q37" s="213"/>
      <c r="R37" s="213"/>
      <c r="S37" s="213"/>
      <c r="T37" s="215"/>
      <c r="U37" s="215"/>
      <c r="V37" s="215"/>
      <c r="W37" s="215"/>
      <c r="X37" s="215"/>
      <c r="Y37" s="215"/>
      <c r="Z37" s="215"/>
      <c r="AA37" s="215"/>
      <c r="AB37" s="217"/>
    </row>
    <row r="38" spans="1:28">
      <c r="A38" s="477">
        <v>9</v>
      </c>
      <c r="B38" s="480" t="s">
        <v>84</v>
      </c>
      <c r="C38" s="219"/>
      <c r="D38" s="211" t="s">
        <v>66</v>
      </c>
      <c r="E38" s="211"/>
      <c r="F38" s="211"/>
      <c r="G38" s="211"/>
      <c r="H38" s="211"/>
      <c r="I38" s="211"/>
      <c r="J38" s="210"/>
      <c r="K38" s="213"/>
      <c r="L38" s="213"/>
      <c r="M38" s="213"/>
      <c r="N38" s="213"/>
      <c r="O38" s="213"/>
      <c r="P38" s="213"/>
      <c r="Q38" s="213"/>
      <c r="R38" s="213"/>
      <c r="S38" s="213"/>
      <c r="T38" s="215"/>
      <c r="U38" s="215"/>
      <c r="V38" s="215"/>
      <c r="W38" s="215"/>
      <c r="X38" s="215"/>
      <c r="Y38" s="215"/>
      <c r="Z38" s="215"/>
      <c r="AA38" s="223"/>
      <c r="AB38" s="217"/>
    </row>
    <row r="39" spans="1:28">
      <c r="A39" s="478"/>
      <c r="B39" s="481"/>
      <c r="C39" s="219"/>
      <c r="D39" s="211" t="s">
        <v>71</v>
      </c>
      <c r="E39" s="211"/>
      <c r="F39" s="211"/>
      <c r="G39" s="211"/>
      <c r="H39" s="211"/>
      <c r="I39" s="211"/>
      <c r="J39" s="210"/>
      <c r="K39" s="213"/>
      <c r="L39" s="213"/>
      <c r="M39" s="213"/>
      <c r="N39" s="213"/>
      <c r="O39" s="213"/>
      <c r="P39" s="213"/>
      <c r="Q39" s="213"/>
      <c r="R39" s="213"/>
      <c r="S39" s="213"/>
      <c r="T39" s="215"/>
      <c r="U39" s="215"/>
      <c r="V39" s="215"/>
      <c r="W39" s="215"/>
      <c r="X39" s="215"/>
      <c r="Y39" s="215"/>
      <c r="Z39" s="215"/>
      <c r="AA39" s="215"/>
      <c r="AB39" s="217"/>
    </row>
    <row r="40" spans="1:28">
      <c r="A40" s="479"/>
      <c r="B40" s="482"/>
      <c r="C40" s="219"/>
      <c r="D40" s="211" t="s">
        <v>67</v>
      </c>
      <c r="E40" s="211"/>
      <c r="F40" s="211"/>
      <c r="G40" s="211"/>
      <c r="H40" s="211"/>
      <c r="I40" s="211"/>
      <c r="J40" s="210"/>
      <c r="K40" s="213"/>
      <c r="L40" s="213"/>
      <c r="M40" s="213"/>
      <c r="N40" s="213"/>
      <c r="O40" s="213"/>
      <c r="P40" s="213"/>
      <c r="Q40" s="213"/>
      <c r="R40" s="213"/>
      <c r="S40" s="213"/>
      <c r="T40" s="215"/>
      <c r="U40" s="215"/>
      <c r="V40" s="215"/>
      <c r="W40" s="215"/>
      <c r="X40" s="215"/>
      <c r="Y40" s="215"/>
      <c r="Z40" s="215"/>
      <c r="AA40" s="215"/>
      <c r="AB40" s="217"/>
    </row>
    <row r="41" spans="1:28">
      <c r="A41" s="477">
        <v>10</v>
      </c>
      <c r="B41" s="480" t="s">
        <v>85</v>
      </c>
      <c r="C41" s="219"/>
      <c r="D41" s="211" t="s">
        <v>66</v>
      </c>
      <c r="E41" s="211"/>
      <c r="F41" s="211"/>
      <c r="G41" s="211"/>
      <c r="H41" s="211"/>
      <c r="I41" s="211"/>
      <c r="J41" s="210"/>
      <c r="K41" s="213"/>
      <c r="L41" s="213"/>
      <c r="M41" s="213"/>
      <c r="N41" s="213"/>
      <c r="O41" s="213"/>
      <c r="P41" s="213"/>
      <c r="Q41" s="213"/>
      <c r="R41" s="213"/>
      <c r="S41" s="213"/>
      <c r="T41" s="215"/>
      <c r="U41" s="215"/>
      <c r="V41" s="215"/>
      <c r="W41" s="215"/>
      <c r="X41" s="215"/>
      <c r="Y41" s="215"/>
      <c r="Z41" s="215"/>
      <c r="AA41" s="215"/>
      <c r="AB41" s="217"/>
    </row>
    <row r="42" spans="1:28">
      <c r="A42" s="478"/>
      <c r="B42" s="481"/>
      <c r="C42" s="219"/>
      <c r="D42" s="211" t="s">
        <v>71</v>
      </c>
      <c r="E42" s="211"/>
      <c r="F42" s="211"/>
      <c r="G42" s="211"/>
      <c r="H42" s="211"/>
      <c r="I42" s="211"/>
      <c r="J42" s="210"/>
      <c r="K42" s="213"/>
      <c r="L42" s="213"/>
      <c r="M42" s="213"/>
      <c r="N42" s="213"/>
      <c r="O42" s="213"/>
      <c r="P42" s="213"/>
      <c r="Q42" s="213"/>
      <c r="R42" s="213"/>
      <c r="S42" s="213"/>
      <c r="T42" s="215"/>
      <c r="U42" s="215"/>
      <c r="V42" s="215"/>
      <c r="W42" s="215"/>
      <c r="X42" s="215"/>
      <c r="Y42" s="215"/>
      <c r="Z42" s="215"/>
      <c r="AA42" s="215"/>
      <c r="AB42" s="217"/>
    </row>
    <row r="43" spans="1:28">
      <c r="A43" s="479"/>
      <c r="B43" s="482"/>
      <c r="C43" s="219"/>
      <c r="D43" s="211" t="s">
        <v>67</v>
      </c>
      <c r="E43" s="211"/>
      <c r="F43" s="211"/>
      <c r="G43" s="211"/>
      <c r="H43" s="211"/>
      <c r="I43" s="211"/>
      <c r="J43" s="210"/>
      <c r="K43" s="213"/>
      <c r="L43" s="213"/>
      <c r="M43" s="213"/>
      <c r="N43" s="213"/>
      <c r="O43" s="213"/>
      <c r="P43" s="213"/>
      <c r="Q43" s="213"/>
      <c r="R43" s="213"/>
      <c r="S43" s="213"/>
      <c r="T43" s="215"/>
      <c r="U43" s="215"/>
      <c r="V43" s="215"/>
      <c r="W43" s="215"/>
      <c r="X43" s="215"/>
      <c r="Y43" s="215"/>
      <c r="Z43" s="215"/>
      <c r="AA43" s="215"/>
      <c r="AB43" s="216"/>
    </row>
    <row r="44" spans="1:28">
      <c r="A44" s="477">
        <v>11</v>
      </c>
      <c r="B44" s="480" t="s">
        <v>86</v>
      </c>
      <c r="C44" s="219"/>
      <c r="D44" s="211" t="s">
        <v>66</v>
      </c>
      <c r="E44" s="211"/>
      <c r="F44" s="211"/>
      <c r="G44" s="211"/>
      <c r="H44" s="211"/>
      <c r="I44" s="211"/>
      <c r="J44" s="210"/>
      <c r="K44" s="213"/>
      <c r="L44" s="213"/>
      <c r="M44" s="213"/>
      <c r="N44" s="213"/>
      <c r="O44" s="213"/>
      <c r="P44" s="213"/>
      <c r="Q44" s="213"/>
      <c r="R44" s="213"/>
      <c r="S44" s="213"/>
      <c r="T44" s="215"/>
      <c r="U44" s="215"/>
      <c r="V44" s="215"/>
      <c r="W44" s="215"/>
      <c r="X44" s="215"/>
      <c r="Y44" s="215"/>
      <c r="Z44" s="215"/>
      <c r="AA44" s="224"/>
      <c r="AB44" s="225">
        <v>44377</v>
      </c>
    </row>
    <row r="45" spans="1:28">
      <c r="A45" s="478"/>
      <c r="B45" s="481"/>
      <c r="C45" s="219"/>
      <c r="D45" s="211" t="s">
        <v>71</v>
      </c>
      <c r="E45" s="211"/>
      <c r="F45" s="211"/>
      <c r="G45" s="211"/>
      <c r="H45" s="211"/>
      <c r="I45" s="211"/>
      <c r="J45" s="210"/>
      <c r="K45" s="213"/>
      <c r="L45" s="213"/>
      <c r="M45" s="213"/>
      <c r="N45" s="213"/>
      <c r="O45" s="213"/>
      <c r="P45" s="226"/>
      <c r="Q45" s="213"/>
      <c r="R45" s="213"/>
      <c r="S45" s="213"/>
      <c r="T45" s="226"/>
      <c r="U45" s="215"/>
      <c r="V45" s="215"/>
      <c r="W45" s="215"/>
      <c r="X45" s="215"/>
      <c r="Y45" s="226"/>
      <c r="Z45" s="215"/>
      <c r="AA45" s="215"/>
      <c r="AB45" s="216"/>
    </row>
    <row r="46" spans="1:28">
      <c r="A46" s="479"/>
      <c r="B46" s="482"/>
      <c r="C46" s="219"/>
      <c r="D46" s="211" t="s">
        <v>67</v>
      </c>
      <c r="E46" s="211"/>
      <c r="F46" s="211"/>
      <c r="G46" s="211"/>
      <c r="H46" s="211"/>
      <c r="I46" s="211"/>
      <c r="J46" s="210"/>
      <c r="K46" s="213"/>
      <c r="L46" s="213"/>
      <c r="M46" s="213"/>
      <c r="N46" s="213"/>
      <c r="O46" s="213"/>
      <c r="P46" s="213"/>
      <c r="Q46" s="213"/>
      <c r="R46" s="213"/>
      <c r="S46" s="213"/>
      <c r="T46" s="215"/>
      <c r="U46" s="215"/>
      <c r="V46" s="215"/>
      <c r="W46" s="215"/>
      <c r="X46" s="215"/>
      <c r="Y46" s="215"/>
      <c r="Z46" s="215"/>
      <c r="AA46" s="215"/>
      <c r="AB46" s="216"/>
    </row>
    <row r="47" spans="1:28">
      <c r="A47" s="227"/>
      <c r="B47" s="228"/>
      <c r="C47" s="219"/>
      <c r="D47" s="211"/>
      <c r="E47" s="211"/>
      <c r="F47" s="211"/>
      <c r="G47" s="211"/>
      <c r="H47" s="211"/>
      <c r="I47" s="211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6"/>
      <c r="U47" s="216"/>
      <c r="V47" s="216"/>
      <c r="W47" s="216"/>
      <c r="X47" s="216"/>
      <c r="Y47" s="216"/>
      <c r="Z47" s="216"/>
      <c r="AA47" s="216"/>
      <c r="AB47" s="216"/>
    </row>
    <row r="48" spans="1:28">
      <c r="A48" s="227"/>
      <c r="B48" s="228"/>
      <c r="C48" s="219"/>
      <c r="D48" s="211"/>
      <c r="E48" s="211"/>
      <c r="F48" s="211"/>
      <c r="G48" s="211"/>
      <c r="H48" s="211"/>
      <c r="I48" s="211"/>
      <c r="J48" s="219"/>
      <c r="K48" s="219"/>
      <c r="L48" s="219"/>
      <c r="M48" s="219"/>
      <c r="N48" s="229"/>
      <c r="O48" s="210"/>
      <c r="P48" s="219"/>
      <c r="Q48" s="219"/>
      <c r="R48" s="229"/>
      <c r="S48" s="210"/>
      <c r="T48" s="216"/>
      <c r="U48" s="216"/>
      <c r="V48" s="216"/>
      <c r="W48" s="216"/>
      <c r="X48" s="216"/>
      <c r="Y48" s="216"/>
      <c r="Z48" s="216"/>
      <c r="AA48" s="216"/>
      <c r="AB48" s="216"/>
    </row>
    <row r="49" spans="1:28">
      <c r="A49" s="227"/>
      <c r="B49" s="228"/>
      <c r="C49" s="210"/>
      <c r="D49" s="211"/>
      <c r="E49" s="211"/>
      <c r="F49" s="211"/>
      <c r="G49" s="211"/>
      <c r="H49" s="211"/>
      <c r="I49" s="211"/>
      <c r="J49" s="219"/>
      <c r="K49" s="219"/>
      <c r="L49" s="219"/>
      <c r="M49" s="219"/>
      <c r="N49" s="229"/>
      <c r="O49" s="210"/>
      <c r="P49" s="219"/>
      <c r="Q49" s="219"/>
      <c r="R49" s="229"/>
      <c r="S49" s="210"/>
      <c r="T49" s="216"/>
      <c r="U49" s="216"/>
      <c r="V49" s="216"/>
      <c r="W49" s="216"/>
      <c r="X49" s="216"/>
      <c r="Y49" s="216"/>
      <c r="Z49" s="216"/>
      <c r="AA49" s="216"/>
      <c r="AB49" s="216"/>
    </row>
    <row r="50" spans="1:28">
      <c r="A50" s="230"/>
      <c r="B50" s="229"/>
      <c r="C50" s="219"/>
      <c r="D50" s="211"/>
      <c r="E50" s="211"/>
      <c r="F50" s="211"/>
      <c r="G50" s="211"/>
      <c r="H50" s="211"/>
      <c r="I50" s="211"/>
      <c r="J50" s="219"/>
      <c r="K50" s="219"/>
      <c r="L50" s="219"/>
      <c r="M50" s="219"/>
      <c r="N50" s="229"/>
      <c r="O50" s="219"/>
      <c r="P50" s="219"/>
      <c r="Q50" s="219"/>
      <c r="R50" s="229"/>
      <c r="S50" s="219"/>
      <c r="T50" s="229"/>
      <c r="U50" s="229"/>
      <c r="V50" s="229"/>
      <c r="W50" s="229"/>
      <c r="X50" s="229"/>
      <c r="Y50" s="229"/>
      <c r="Z50" s="229"/>
      <c r="AA50" s="229"/>
      <c r="AB50" s="229"/>
    </row>
    <row r="51" spans="1:28">
      <c r="A51" s="231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232"/>
      <c r="Y51" s="188"/>
      <c r="Z51" s="188"/>
      <c r="AA51" s="188"/>
      <c r="AB51" s="188"/>
    </row>
    <row r="52" spans="1:28">
      <c r="A52" s="233"/>
      <c r="B52" s="193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</row>
    <row r="53" spans="1:28">
      <c r="A53" s="193"/>
      <c r="B53" s="193"/>
      <c r="C53" s="193"/>
      <c r="D53" s="188"/>
      <c r="E53" s="188"/>
      <c r="F53" s="188"/>
      <c r="G53" s="188"/>
      <c r="H53" s="188"/>
      <c r="I53" s="188"/>
      <c r="J53" s="188"/>
      <c r="K53" s="188"/>
      <c r="L53" s="188"/>
      <c r="M53" s="188"/>
      <c r="N53" s="188"/>
      <c r="O53" s="188"/>
      <c r="P53" s="188"/>
      <c r="Q53" s="188"/>
      <c r="R53" s="188"/>
      <c r="S53" s="188"/>
      <c r="T53" s="188"/>
      <c r="U53" s="188"/>
      <c r="V53" s="188"/>
      <c r="W53" s="188"/>
      <c r="X53" s="188"/>
      <c r="Y53" s="188"/>
      <c r="Z53" s="188"/>
      <c r="AA53" s="193"/>
      <c r="AB53" s="193"/>
    </row>
    <row r="54" spans="1:28">
      <c r="A54" s="193"/>
      <c r="B54" s="193"/>
      <c r="C54" s="193"/>
      <c r="D54" s="193"/>
      <c r="E54" s="193"/>
      <c r="F54" s="193"/>
      <c r="G54" s="193"/>
      <c r="H54" s="193"/>
      <c r="I54" s="193"/>
      <c r="J54" s="193"/>
      <c r="K54" s="193"/>
      <c r="L54" s="193"/>
      <c r="M54" s="193"/>
      <c r="N54" s="193"/>
      <c r="O54" s="193"/>
      <c r="P54" s="193"/>
      <c r="Q54" s="193"/>
      <c r="R54" s="193"/>
      <c r="S54" s="193"/>
      <c r="T54" s="193"/>
      <c r="U54" s="193"/>
      <c r="V54" s="193"/>
      <c r="W54" s="193"/>
      <c r="X54" s="195"/>
      <c r="Y54" s="193"/>
      <c r="Z54" s="193"/>
      <c r="AA54" s="193"/>
      <c r="AB54" s="193"/>
    </row>
    <row r="55" spans="1:28">
      <c r="A55" s="193"/>
      <c r="B55" s="193"/>
      <c r="C55" s="193"/>
      <c r="D55" s="495" t="s">
        <v>87</v>
      </c>
      <c r="E55" s="234"/>
      <c r="F55" s="234"/>
      <c r="G55" s="234"/>
      <c r="H55" s="234"/>
      <c r="I55" s="234"/>
      <c r="J55" s="496"/>
      <c r="K55" s="496"/>
      <c r="L55" s="496"/>
      <c r="M55" s="496"/>
      <c r="N55" s="496"/>
      <c r="O55" s="496"/>
      <c r="P55" s="497"/>
      <c r="Q55" s="193"/>
      <c r="R55" s="193"/>
      <c r="S55" s="495" t="s">
        <v>88</v>
      </c>
      <c r="T55" s="496"/>
      <c r="U55" s="496"/>
      <c r="V55" s="496"/>
      <c r="W55" s="496"/>
      <c r="X55" s="496"/>
      <c r="Y55" s="496"/>
      <c r="Z55" s="497"/>
      <c r="AA55" s="193"/>
      <c r="AB55" s="193"/>
    </row>
    <row r="56" spans="1:28">
      <c r="A56" s="193"/>
      <c r="B56" s="193"/>
      <c r="C56" s="193"/>
      <c r="D56" s="498"/>
      <c r="E56" s="235"/>
      <c r="F56" s="235"/>
      <c r="G56" s="235"/>
      <c r="H56" s="235"/>
      <c r="I56" s="235"/>
      <c r="J56" s="499"/>
      <c r="K56" s="499"/>
      <c r="L56" s="499"/>
      <c r="M56" s="499"/>
      <c r="N56" s="499"/>
      <c r="O56" s="499"/>
      <c r="P56" s="500"/>
      <c r="Q56" s="193"/>
      <c r="R56" s="193"/>
      <c r="S56" s="498"/>
      <c r="T56" s="499"/>
      <c r="U56" s="499"/>
      <c r="V56" s="499"/>
      <c r="W56" s="499"/>
      <c r="X56" s="499"/>
      <c r="Y56" s="499"/>
      <c r="Z56" s="500"/>
      <c r="AA56" s="193"/>
      <c r="AB56" s="193"/>
    </row>
    <row r="57" spans="1:28">
      <c r="A57" s="193"/>
      <c r="B57" s="193"/>
      <c r="C57" s="193"/>
      <c r="D57" s="498"/>
      <c r="E57" s="235"/>
      <c r="F57" s="235"/>
      <c r="G57" s="235"/>
      <c r="H57" s="235"/>
      <c r="I57" s="235"/>
      <c r="J57" s="499"/>
      <c r="K57" s="499"/>
      <c r="L57" s="499"/>
      <c r="M57" s="499"/>
      <c r="N57" s="499"/>
      <c r="O57" s="499"/>
      <c r="P57" s="500"/>
      <c r="Q57" s="193"/>
      <c r="R57" s="193"/>
      <c r="S57" s="498"/>
      <c r="T57" s="499"/>
      <c r="U57" s="499"/>
      <c r="V57" s="499"/>
      <c r="W57" s="499"/>
      <c r="X57" s="499"/>
      <c r="Y57" s="499"/>
      <c r="Z57" s="500"/>
      <c r="AA57" s="193"/>
      <c r="AB57" s="193"/>
    </row>
    <row r="58" spans="1:28">
      <c r="A58" s="193"/>
      <c r="B58" s="193"/>
      <c r="C58" s="193"/>
      <c r="D58" s="501"/>
      <c r="E58" s="236"/>
      <c r="F58" s="236"/>
      <c r="G58" s="236"/>
      <c r="H58" s="236"/>
      <c r="I58" s="236"/>
      <c r="J58" s="502"/>
      <c r="K58" s="502"/>
      <c r="L58" s="502"/>
      <c r="M58" s="502"/>
      <c r="N58" s="502"/>
      <c r="O58" s="502"/>
      <c r="P58" s="503"/>
      <c r="Q58" s="193"/>
      <c r="R58" s="193"/>
      <c r="S58" s="501"/>
      <c r="T58" s="502"/>
      <c r="U58" s="502"/>
      <c r="V58" s="502"/>
      <c r="W58" s="502"/>
      <c r="X58" s="502"/>
      <c r="Y58" s="502"/>
      <c r="Z58" s="503"/>
      <c r="AA58" s="193"/>
      <c r="AB58" s="193"/>
    </row>
    <row r="59" spans="1:28">
      <c r="A59" s="193"/>
      <c r="B59" s="193"/>
      <c r="C59" s="193"/>
      <c r="D59" s="193"/>
      <c r="E59" s="193"/>
      <c r="F59" s="193"/>
      <c r="G59" s="193"/>
      <c r="H59" s="193"/>
      <c r="I59" s="193"/>
      <c r="J59" s="193"/>
      <c r="K59" s="193"/>
      <c r="L59" s="193"/>
      <c r="M59" s="193"/>
      <c r="N59" s="193"/>
      <c r="O59" s="193"/>
      <c r="P59" s="193"/>
      <c r="Q59" s="193"/>
      <c r="R59" s="193"/>
      <c r="S59" s="193"/>
      <c r="T59" s="193"/>
      <c r="U59" s="193"/>
      <c r="V59" s="193"/>
      <c r="W59" s="193"/>
      <c r="X59" s="195"/>
      <c r="Y59" s="193"/>
      <c r="Z59" s="193"/>
      <c r="AA59" s="193"/>
      <c r="AB59" s="193"/>
    </row>
    <row r="60" spans="1:28">
      <c r="A60" s="193"/>
      <c r="B60" s="193"/>
      <c r="C60" s="193"/>
      <c r="D60" s="193"/>
      <c r="E60" s="193"/>
      <c r="F60" s="193"/>
      <c r="G60" s="193"/>
      <c r="H60" s="193"/>
      <c r="I60" s="193"/>
      <c r="J60" s="193"/>
      <c r="K60" s="193"/>
      <c r="L60" s="193"/>
      <c r="M60" s="193"/>
      <c r="N60" s="193"/>
      <c r="O60" s="193"/>
      <c r="P60" s="193"/>
      <c r="Q60" s="193"/>
      <c r="R60" s="193"/>
      <c r="S60" s="193"/>
      <c r="T60" s="193"/>
      <c r="U60" s="193"/>
      <c r="V60" s="193"/>
      <c r="W60" s="193"/>
      <c r="X60" s="195"/>
      <c r="Y60" s="193"/>
      <c r="Z60" s="193"/>
      <c r="AA60" s="193"/>
      <c r="AB60" s="193"/>
    </row>
    <row r="61" spans="1:28">
      <c r="A61" s="193"/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3"/>
      <c r="S61" s="193"/>
      <c r="T61" s="193"/>
      <c r="U61" s="193"/>
      <c r="V61" s="193"/>
      <c r="W61" s="193"/>
      <c r="X61" s="195"/>
      <c r="Y61" s="193"/>
      <c r="Z61" s="193"/>
      <c r="AA61" s="193"/>
      <c r="AB61" s="193"/>
    </row>
    <row r="62" spans="1:28">
      <c r="A62" s="193"/>
      <c r="B62" s="193"/>
      <c r="C62" s="193"/>
      <c r="D62" s="193"/>
      <c r="E62" s="193"/>
      <c r="F62" s="193"/>
      <c r="G62" s="193"/>
      <c r="H62" s="193"/>
      <c r="I62" s="193"/>
      <c r="J62" s="193"/>
      <c r="K62" s="193"/>
      <c r="L62" s="193"/>
      <c r="M62" s="193"/>
      <c r="N62" s="193"/>
      <c r="O62" s="193"/>
      <c r="P62" s="193"/>
      <c r="Q62" s="193"/>
      <c r="R62" s="193"/>
      <c r="S62" s="193"/>
      <c r="T62" s="193"/>
      <c r="U62" s="193"/>
      <c r="V62" s="193"/>
      <c r="W62" s="193"/>
      <c r="X62" s="195"/>
      <c r="Y62" s="193"/>
      <c r="Z62" s="193"/>
      <c r="AA62" s="193"/>
      <c r="AB62" s="193"/>
    </row>
    <row r="63" spans="1:28">
      <c r="D63" s="495" t="s">
        <v>89</v>
      </c>
      <c r="E63" s="234"/>
      <c r="F63" s="234"/>
      <c r="G63" s="234"/>
      <c r="H63" s="234"/>
      <c r="I63" s="234"/>
      <c r="J63" s="496"/>
      <c r="K63" s="496"/>
      <c r="L63" s="496"/>
      <c r="M63" s="496"/>
      <c r="N63" s="496"/>
      <c r="O63" s="496"/>
      <c r="P63" s="497"/>
      <c r="Q63" s="193"/>
      <c r="R63" s="193"/>
      <c r="S63" s="495" t="s">
        <v>90</v>
      </c>
      <c r="T63" s="496"/>
      <c r="U63" s="496"/>
      <c r="V63" s="496"/>
      <c r="W63" s="496"/>
      <c r="X63" s="496"/>
      <c r="Y63" s="496"/>
      <c r="Z63" s="497"/>
    </row>
    <row r="64" spans="1:28">
      <c r="D64" s="498"/>
      <c r="E64" s="235"/>
      <c r="F64" s="235"/>
      <c r="G64" s="235"/>
      <c r="H64" s="235"/>
      <c r="I64" s="235"/>
      <c r="J64" s="499"/>
      <c r="K64" s="499"/>
      <c r="L64" s="499"/>
      <c r="M64" s="499"/>
      <c r="N64" s="499"/>
      <c r="O64" s="499"/>
      <c r="P64" s="500"/>
      <c r="Q64" s="193"/>
      <c r="R64" s="193"/>
      <c r="S64" s="498"/>
      <c r="T64" s="499"/>
      <c r="U64" s="499"/>
      <c r="V64" s="499"/>
      <c r="W64" s="499"/>
      <c r="X64" s="499"/>
      <c r="Y64" s="499"/>
      <c r="Z64" s="500"/>
    </row>
    <row r="65" spans="4:26">
      <c r="D65" s="498"/>
      <c r="E65" s="235"/>
      <c r="F65" s="235"/>
      <c r="G65" s="235"/>
      <c r="H65" s="235"/>
      <c r="I65" s="235"/>
      <c r="J65" s="499"/>
      <c r="K65" s="499"/>
      <c r="L65" s="499"/>
      <c r="M65" s="499"/>
      <c r="N65" s="499"/>
      <c r="O65" s="499"/>
      <c r="P65" s="500"/>
      <c r="Q65" s="193"/>
      <c r="R65" s="193"/>
      <c r="S65" s="498"/>
      <c r="T65" s="499"/>
      <c r="U65" s="499"/>
      <c r="V65" s="499"/>
      <c r="W65" s="499"/>
      <c r="X65" s="499"/>
      <c r="Y65" s="499"/>
      <c r="Z65" s="500"/>
    </row>
    <row r="66" spans="4:26">
      <c r="D66" s="501"/>
      <c r="E66" s="236"/>
      <c r="F66" s="236"/>
      <c r="G66" s="236"/>
      <c r="H66" s="236"/>
      <c r="I66" s="236"/>
      <c r="J66" s="502"/>
      <c r="K66" s="502"/>
      <c r="L66" s="502"/>
      <c r="M66" s="502"/>
      <c r="N66" s="502"/>
      <c r="O66" s="502"/>
      <c r="P66" s="503"/>
      <c r="Q66" s="193"/>
      <c r="R66" s="193"/>
      <c r="S66" s="501"/>
      <c r="T66" s="502"/>
      <c r="U66" s="502"/>
      <c r="V66" s="502"/>
      <c r="W66" s="502"/>
      <c r="X66" s="502"/>
      <c r="Y66" s="502"/>
      <c r="Z66" s="503"/>
    </row>
    <row r="67" spans="4:26"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3"/>
      <c r="P67" s="193"/>
      <c r="Q67" s="193"/>
      <c r="R67" s="193"/>
      <c r="S67" s="193"/>
      <c r="T67" s="193"/>
      <c r="U67" s="193"/>
      <c r="V67" s="193"/>
      <c r="W67" s="193"/>
      <c r="X67" s="195"/>
      <c r="Y67" s="193"/>
      <c r="Z67" s="193"/>
    </row>
    <row r="68" spans="4:26"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193"/>
      <c r="Q68" s="193"/>
      <c r="R68" s="193"/>
      <c r="S68" s="193"/>
      <c r="T68" s="193"/>
      <c r="U68" s="193"/>
      <c r="V68" s="193"/>
      <c r="W68" s="193"/>
      <c r="X68" s="195"/>
      <c r="Y68" s="193"/>
      <c r="Z68" s="193"/>
    </row>
    <row r="69" spans="4:26">
      <c r="D69" s="193"/>
      <c r="E69" s="193"/>
      <c r="F69" s="193"/>
      <c r="G69" s="193"/>
      <c r="H69" s="193"/>
      <c r="I69" s="193"/>
      <c r="J69" s="193"/>
      <c r="K69" s="193"/>
      <c r="L69" s="193"/>
      <c r="M69" s="193"/>
      <c r="N69" s="193"/>
      <c r="O69" s="193"/>
      <c r="P69" s="193"/>
      <c r="Q69" s="193"/>
      <c r="R69" s="193"/>
      <c r="S69" s="193"/>
      <c r="T69" s="193"/>
      <c r="U69" s="193"/>
      <c r="V69" s="193"/>
      <c r="W69" s="193"/>
      <c r="X69" s="195"/>
      <c r="Y69" s="193"/>
      <c r="Z69" s="193"/>
    </row>
    <row r="70" spans="4:26">
      <c r="D70" s="193"/>
      <c r="E70" s="193"/>
      <c r="F70" s="193"/>
      <c r="G70" s="193"/>
      <c r="H70" s="193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5"/>
      <c r="Y70" s="193"/>
      <c r="Z70" s="193"/>
    </row>
    <row r="71" spans="4:26">
      <c r="D71" s="495" t="s">
        <v>91</v>
      </c>
      <c r="E71" s="234"/>
      <c r="F71" s="234"/>
      <c r="G71" s="234"/>
      <c r="H71" s="234"/>
      <c r="I71" s="234"/>
      <c r="J71" s="496"/>
      <c r="K71" s="496"/>
      <c r="L71" s="496"/>
      <c r="M71" s="496"/>
      <c r="N71" s="496"/>
      <c r="O71" s="496"/>
      <c r="P71" s="497"/>
      <c r="Q71" s="193"/>
      <c r="R71" s="193"/>
      <c r="S71" s="193"/>
      <c r="T71" s="193"/>
      <c r="U71" s="193"/>
      <c r="V71" s="193"/>
      <c r="W71" s="193"/>
      <c r="X71" s="195"/>
      <c r="Y71" s="193"/>
      <c r="Z71" s="193"/>
    </row>
    <row r="72" spans="4:26">
      <c r="D72" s="498"/>
      <c r="E72" s="235"/>
      <c r="F72" s="235"/>
      <c r="G72" s="235"/>
      <c r="H72" s="235"/>
      <c r="I72" s="235"/>
      <c r="J72" s="499"/>
      <c r="K72" s="499"/>
      <c r="L72" s="499"/>
      <c r="M72" s="499"/>
      <c r="N72" s="499"/>
      <c r="O72" s="499"/>
      <c r="P72" s="500"/>
      <c r="Q72" s="193"/>
      <c r="R72" s="193"/>
      <c r="S72" s="193"/>
      <c r="T72" s="193"/>
      <c r="U72" s="193"/>
      <c r="V72" s="193"/>
      <c r="W72" s="193"/>
      <c r="X72" s="195"/>
      <c r="Y72" s="193"/>
      <c r="Z72" s="193"/>
    </row>
    <row r="73" spans="4:26">
      <c r="D73" s="498"/>
      <c r="E73" s="235"/>
      <c r="F73" s="235"/>
      <c r="G73" s="235"/>
      <c r="H73" s="235"/>
      <c r="I73" s="235"/>
      <c r="J73" s="499"/>
      <c r="K73" s="499"/>
      <c r="L73" s="499"/>
      <c r="M73" s="499"/>
      <c r="N73" s="499"/>
      <c r="O73" s="499"/>
      <c r="P73" s="500"/>
      <c r="Q73" s="193"/>
      <c r="R73" s="193"/>
      <c r="S73" s="193"/>
      <c r="T73" s="193"/>
      <c r="U73" s="193"/>
      <c r="V73" s="193"/>
      <c r="W73" s="193"/>
      <c r="X73" s="195"/>
      <c r="Y73" s="193"/>
      <c r="Z73" s="193"/>
    </row>
    <row r="74" spans="4:26">
      <c r="D74" s="501"/>
      <c r="E74" s="236"/>
      <c r="F74" s="236"/>
      <c r="G74" s="236"/>
      <c r="H74" s="236"/>
      <c r="I74" s="236"/>
      <c r="J74" s="502"/>
      <c r="K74" s="502"/>
      <c r="L74" s="502"/>
      <c r="M74" s="502"/>
      <c r="N74" s="502"/>
      <c r="O74" s="502"/>
      <c r="P74" s="503"/>
      <c r="Q74" s="193"/>
      <c r="R74" s="193"/>
      <c r="S74" s="193"/>
      <c r="T74" s="193"/>
      <c r="U74" s="193"/>
      <c r="V74" s="193"/>
      <c r="W74" s="193"/>
      <c r="X74" s="195"/>
      <c r="Y74" s="193"/>
      <c r="Z74" s="193"/>
    </row>
    <row r="75" spans="4:26">
      <c r="D75" s="193"/>
      <c r="E75" s="193"/>
      <c r="F75" s="193"/>
      <c r="G75" s="193"/>
      <c r="H75" s="193"/>
      <c r="I75" s="193"/>
      <c r="J75" s="193"/>
      <c r="K75" s="193"/>
      <c r="L75" s="193"/>
      <c r="M75" s="193"/>
      <c r="N75" s="193"/>
      <c r="O75" s="193"/>
      <c r="P75" s="193"/>
      <c r="Q75" s="193"/>
      <c r="R75" s="193"/>
      <c r="S75" s="193"/>
      <c r="T75" s="193"/>
      <c r="U75" s="193"/>
      <c r="V75" s="193"/>
      <c r="W75" s="193"/>
      <c r="X75" s="195"/>
      <c r="Y75" s="193"/>
      <c r="Z75" s="193"/>
    </row>
    <row r="76" spans="4:26">
      <c r="D76" s="193"/>
      <c r="E76" s="193"/>
      <c r="F76" s="193"/>
      <c r="G76" s="193"/>
      <c r="H76" s="193"/>
      <c r="I76" s="193"/>
      <c r="J76" s="193"/>
      <c r="K76" s="193"/>
      <c r="L76" s="193"/>
      <c r="M76" s="193"/>
      <c r="N76" s="193"/>
      <c r="O76" s="193"/>
      <c r="P76" s="193"/>
      <c r="Q76" s="193"/>
      <c r="R76" s="193"/>
      <c r="S76" s="193"/>
      <c r="T76" s="193"/>
      <c r="U76" s="193"/>
      <c r="V76" s="193"/>
      <c r="W76" s="193"/>
      <c r="X76" s="195"/>
      <c r="Y76" s="193"/>
      <c r="Z76" s="193"/>
    </row>
  </sheetData>
  <protectedRanges>
    <protectedRange sqref="A1:A2" name="Range1_5_1"/>
  </protectedRanges>
  <mergeCells count="38">
    <mergeCell ref="D71:D74"/>
    <mergeCell ref="J71:P74"/>
    <mergeCell ref="A44:A46"/>
    <mergeCell ref="B44:B46"/>
    <mergeCell ref="D55:D58"/>
    <mergeCell ref="J55:P58"/>
    <mergeCell ref="S55:Z58"/>
    <mergeCell ref="D63:D66"/>
    <mergeCell ref="J63:P66"/>
    <mergeCell ref="S63:Z66"/>
    <mergeCell ref="A35:A37"/>
    <mergeCell ref="B35:B37"/>
    <mergeCell ref="A38:A40"/>
    <mergeCell ref="B38:B40"/>
    <mergeCell ref="A41:A43"/>
    <mergeCell ref="B41:B43"/>
    <mergeCell ref="A26:A28"/>
    <mergeCell ref="B26:B28"/>
    <mergeCell ref="A29:A31"/>
    <mergeCell ref="B29:B31"/>
    <mergeCell ref="A32:A34"/>
    <mergeCell ref="B32:B34"/>
    <mergeCell ref="A17:A19"/>
    <mergeCell ref="B17:B19"/>
    <mergeCell ref="A20:A22"/>
    <mergeCell ref="B20:B22"/>
    <mergeCell ref="A23:A25"/>
    <mergeCell ref="B23:B25"/>
    <mergeCell ref="P10:S10"/>
    <mergeCell ref="T10:X10"/>
    <mergeCell ref="Y10:AB10"/>
    <mergeCell ref="A12:A13"/>
    <mergeCell ref="B12:B13"/>
    <mergeCell ref="A14:A16"/>
    <mergeCell ref="B14:B16"/>
    <mergeCell ref="A9:C9"/>
    <mergeCell ref="E10:I10"/>
    <mergeCell ref="J10:O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55"/>
  <sheetViews>
    <sheetView zoomScale="70" zoomScaleNormal="70" workbookViewId="0">
      <selection activeCell="F5" sqref="F5"/>
    </sheetView>
  </sheetViews>
  <sheetFormatPr defaultColWidth="9" defaultRowHeight="17.25"/>
  <cols>
    <col min="1" max="1" width="3.265625" style="190" customWidth="1"/>
    <col min="2" max="2" width="5.265625" style="190" customWidth="1"/>
    <col min="3" max="3" width="31.265625" style="190" customWidth="1"/>
    <col min="4" max="4" width="7.86328125" style="190" customWidth="1"/>
    <col min="5" max="5" width="11" style="190" customWidth="1"/>
    <col min="6" max="6" width="7.86328125" style="190" customWidth="1"/>
    <col min="7" max="7" width="14.265625" style="190" customWidth="1"/>
    <col min="8" max="8" width="8.265625" style="190" customWidth="1"/>
    <col min="9" max="9" width="9.265625" style="190" customWidth="1"/>
    <col min="10" max="10" width="11.265625" style="190" customWidth="1"/>
    <col min="11" max="11" width="9.86328125" style="190" customWidth="1"/>
    <col min="12" max="12" width="9.73046875" style="190" customWidth="1"/>
    <col min="13" max="13" width="9.59765625" style="190" customWidth="1"/>
    <col min="14" max="14" width="9.86328125" style="190" customWidth="1"/>
    <col min="15" max="15" width="24.265625" style="190" customWidth="1"/>
    <col min="16" max="16" width="10.265625" style="190" customWidth="1"/>
    <col min="17" max="17" width="10.73046875" style="190" customWidth="1"/>
    <col min="18" max="18" width="10.265625" style="190" customWidth="1"/>
    <col min="19" max="19" width="30.86328125" style="190" customWidth="1"/>
    <col min="20" max="256" width="9" style="190" customWidth="1"/>
    <col min="257" max="257" width="3.265625" style="190" customWidth="1"/>
    <col min="258" max="258" width="5.265625" style="190" customWidth="1"/>
    <col min="259" max="259" width="31.265625" style="190" customWidth="1"/>
    <col min="260" max="260" width="4.265625" style="190" customWidth="1"/>
    <col min="261" max="261" width="9.86328125" style="190" customWidth="1"/>
    <col min="262" max="262" width="7.86328125" style="190" customWidth="1"/>
    <col min="263" max="263" width="13" style="190" customWidth="1"/>
    <col min="264" max="264" width="7.265625" style="190" customWidth="1"/>
    <col min="265" max="265" width="8.265625" style="190" customWidth="1"/>
    <col min="266" max="266" width="11.265625" style="190" customWidth="1"/>
    <col min="267" max="267" width="9" style="190" customWidth="1"/>
    <col min="268" max="268" width="9.73046875" style="190" customWidth="1"/>
    <col min="269" max="269" width="8.265625" style="190" customWidth="1"/>
    <col min="270" max="270" width="9" style="190" customWidth="1"/>
    <col min="271" max="271" width="17.73046875" style="190" customWidth="1"/>
    <col min="272" max="272" width="10.265625" style="190" customWidth="1"/>
    <col min="273" max="273" width="10.73046875" style="190" customWidth="1"/>
    <col min="274" max="274" width="10.265625" style="190" customWidth="1"/>
    <col min="275" max="275" width="30.86328125" style="190" customWidth="1"/>
    <col min="276" max="512" width="9" style="190" customWidth="1"/>
    <col min="513" max="513" width="3.265625" style="190" customWidth="1"/>
    <col min="514" max="514" width="5.265625" style="190" customWidth="1"/>
    <col min="515" max="515" width="31.265625" style="190" customWidth="1"/>
    <col min="516" max="516" width="4.265625" style="190" customWidth="1"/>
    <col min="517" max="517" width="9.86328125" style="190" customWidth="1"/>
    <col min="518" max="518" width="7.86328125" style="190" customWidth="1"/>
    <col min="519" max="519" width="13" style="190" customWidth="1"/>
    <col min="520" max="520" width="7.265625" style="190" customWidth="1"/>
    <col min="521" max="521" width="8.265625" style="190" customWidth="1"/>
    <col min="522" max="522" width="11.265625" style="190" customWidth="1"/>
    <col min="523" max="523" width="9" style="190" customWidth="1"/>
    <col min="524" max="524" width="9.73046875" style="190" customWidth="1"/>
    <col min="525" max="525" width="8.265625" style="190" customWidth="1"/>
    <col min="526" max="526" width="9" style="190" customWidth="1"/>
    <col min="527" max="527" width="17.73046875" style="190" customWidth="1"/>
    <col min="528" max="528" width="10.265625" style="190" customWidth="1"/>
    <col min="529" max="529" width="10.73046875" style="190" customWidth="1"/>
    <col min="530" max="530" width="10.265625" style="190" customWidth="1"/>
    <col min="531" max="531" width="30.86328125" style="190" customWidth="1"/>
    <col min="532" max="768" width="9" style="190" customWidth="1"/>
    <col min="769" max="769" width="3.265625" style="190" customWidth="1"/>
    <col min="770" max="770" width="5.265625" style="190" customWidth="1"/>
    <col min="771" max="771" width="31.265625" style="190" customWidth="1"/>
    <col min="772" max="772" width="4.265625" style="190" customWidth="1"/>
    <col min="773" max="773" width="9.86328125" style="190" customWidth="1"/>
    <col min="774" max="774" width="7.86328125" style="190" customWidth="1"/>
    <col min="775" max="775" width="13" style="190" customWidth="1"/>
    <col min="776" max="776" width="7.265625" style="190" customWidth="1"/>
    <col min="777" max="777" width="8.265625" style="190" customWidth="1"/>
    <col min="778" max="778" width="11.265625" style="190" customWidth="1"/>
    <col min="779" max="779" width="9" style="190" customWidth="1"/>
    <col min="780" max="780" width="9.73046875" style="190" customWidth="1"/>
    <col min="781" max="781" width="8.265625" style="190" customWidth="1"/>
    <col min="782" max="782" width="9" style="190" customWidth="1"/>
    <col min="783" max="783" width="17.73046875" style="190" customWidth="1"/>
    <col min="784" max="784" width="10.265625" style="190" customWidth="1"/>
    <col min="785" max="785" width="10.73046875" style="190" customWidth="1"/>
    <col min="786" max="786" width="10.265625" style="190" customWidth="1"/>
    <col min="787" max="787" width="30.86328125" style="190" customWidth="1"/>
    <col min="788" max="1024" width="9" style="190" customWidth="1"/>
    <col min="1025" max="1025" width="3.265625" style="190" customWidth="1"/>
    <col min="1026" max="1026" width="5.265625" style="190" customWidth="1"/>
    <col min="1027" max="1027" width="31.265625" style="190" customWidth="1"/>
    <col min="1028" max="1028" width="4.265625" style="190" customWidth="1"/>
    <col min="1029" max="1029" width="9.86328125" style="190" customWidth="1"/>
    <col min="1030" max="1030" width="7.86328125" style="190" customWidth="1"/>
    <col min="1031" max="1031" width="13" style="190" customWidth="1"/>
    <col min="1032" max="1032" width="7.265625" style="190" customWidth="1"/>
    <col min="1033" max="1033" width="8.265625" style="190" customWidth="1"/>
    <col min="1034" max="1034" width="11.265625" style="190" customWidth="1"/>
    <col min="1035" max="1035" width="9" style="190" customWidth="1"/>
    <col min="1036" max="1036" width="9.73046875" style="190" customWidth="1"/>
    <col min="1037" max="1037" width="8.265625" style="190" customWidth="1"/>
    <col min="1038" max="1038" width="9" style="190" customWidth="1"/>
    <col min="1039" max="1039" width="17.73046875" style="190" customWidth="1"/>
    <col min="1040" max="1040" width="10.265625" style="190" customWidth="1"/>
    <col min="1041" max="1041" width="10.73046875" style="190" customWidth="1"/>
    <col min="1042" max="1042" width="10.265625" style="190" customWidth="1"/>
    <col min="1043" max="1043" width="30.86328125" style="190" customWidth="1"/>
    <col min="1044" max="1280" width="9" style="190" customWidth="1"/>
    <col min="1281" max="1281" width="3.265625" style="190" customWidth="1"/>
    <col min="1282" max="1282" width="5.265625" style="190" customWidth="1"/>
    <col min="1283" max="1283" width="31.265625" style="190" customWidth="1"/>
    <col min="1284" max="1284" width="4.265625" style="190" customWidth="1"/>
    <col min="1285" max="1285" width="9.86328125" style="190" customWidth="1"/>
    <col min="1286" max="1286" width="7.86328125" style="190" customWidth="1"/>
    <col min="1287" max="1287" width="13" style="190" customWidth="1"/>
    <col min="1288" max="1288" width="7.265625" style="190" customWidth="1"/>
    <col min="1289" max="1289" width="8.265625" style="190" customWidth="1"/>
    <col min="1290" max="1290" width="11.265625" style="190" customWidth="1"/>
    <col min="1291" max="1291" width="9" style="190" customWidth="1"/>
    <col min="1292" max="1292" width="9.73046875" style="190" customWidth="1"/>
    <col min="1293" max="1293" width="8.265625" style="190" customWidth="1"/>
    <col min="1294" max="1294" width="9" style="190" customWidth="1"/>
    <col min="1295" max="1295" width="17.73046875" style="190" customWidth="1"/>
    <col min="1296" max="1296" width="10.265625" style="190" customWidth="1"/>
    <col min="1297" max="1297" width="10.73046875" style="190" customWidth="1"/>
    <col min="1298" max="1298" width="10.265625" style="190" customWidth="1"/>
    <col min="1299" max="1299" width="30.86328125" style="190" customWidth="1"/>
    <col min="1300" max="1536" width="9" style="190" customWidth="1"/>
    <col min="1537" max="1537" width="3.265625" style="190" customWidth="1"/>
    <col min="1538" max="1538" width="5.265625" style="190" customWidth="1"/>
    <col min="1539" max="1539" width="31.265625" style="190" customWidth="1"/>
    <col min="1540" max="1540" width="4.265625" style="190" customWidth="1"/>
    <col min="1541" max="1541" width="9.86328125" style="190" customWidth="1"/>
    <col min="1542" max="1542" width="7.86328125" style="190" customWidth="1"/>
    <col min="1543" max="1543" width="13" style="190" customWidth="1"/>
    <col min="1544" max="1544" width="7.265625" style="190" customWidth="1"/>
    <col min="1545" max="1545" width="8.265625" style="190" customWidth="1"/>
    <col min="1546" max="1546" width="11.265625" style="190" customWidth="1"/>
    <col min="1547" max="1547" width="9" style="190" customWidth="1"/>
    <col min="1548" max="1548" width="9.73046875" style="190" customWidth="1"/>
    <col min="1549" max="1549" width="8.265625" style="190" customWidth="1"/>
    <col min="1550" max="1550" width="9" style="190" customWidth="1"/>
    <col min="1551" max="1551" width="17.73046875" style="190" customWidth="1"/>
    <col min="1552" max="1552" width="10.265625" style="190" customWidth="1"/>
    <col min="1553" max="1553" width="10.73046875" style="190" customWidth="1"/>
    <col min="1554" max="1554" width="10.265625" style="190" customWidth="1"/>
    <col min="1555" max="1555" width="30.86328125" style="190" customWidth="1"/>
    <col min="1556" max="1792" width="9" style="190" customWidth="1"/>
    <col min="1793" max="1793" width="3.265625" style="190" customWidth="1"/>
    <col min="1794" max="1794" width="5.265625" style="190" customWidth="1"/>
    <col min="1795" max="1795" width="31.265625" style="190" customWidth="1"/>
    <col min="1796" max="1796" width="4.265625" style="190" customWidth="1"/>
    <col min="1797" max="1797" width="9.86328125" style="190" customWidth="1"/>
    <col min="1798" max="1798" width="7.86328125" style="190" customWidth="1"/>
    <col min="1799" max="1799" width="13" style="190" customWidth="1"/>
    <col min="1800" max="1800" width="7.265625" style="190" customWidth="1"/>
    <col min="1801" max="1801" width="8.265625" style="190" customWidth="1"/>
    <col min="1802" max="1802" width="11.265625" style="190" customWidth="1"/>
    <col min="1803" max="1803" width="9" style="190" customWidth="1"/>
    <col min="1804" max="1804" width="9.73046875" style="190" customWidth="1"/>
    <col min="1805" max="1805" width="8.265625" style="190" customWidth="1"/>
    <col min="1806" max="1806" width="9" style="190" customWidth="1"/>
    <col min="1807" max="1807" width="17.73046875" style="190" customWidth="1"/>
    <col min="1808" max="1808" width="10.265625" style="190" customWidth="1"/>
    <col min="1809" max="1809" width="10.73046875" style="190" customWidth="1"/>
    <col min="1810" max="1810" width="10.265625" style="190" customWidth="1"/>
    <col min="1811" max="1811" width="30.86328125" style="190" customWidth="1"/>
    <col min="1812" max="2048" width="9" style="190" customWidth="1"/>
    <col min="2049" max="2049" width="3.265625" style="190" customWidth="1"/>
    <col min="2050" max="2050" width="5.265625" style="190" customWidth="1"/>
    <col min="2051" max="2051" width="31.265625" style="190" customWidth="1"/>
    <col min="2052" max="2052" width="4.265625" style="190" customWidth="1"/>
    <col min="2053" max="2053" width="9.86328125" style="190" customWidth="1"/>
    <col min="2054" max="2054" width="7.86328125" style="190" customWidth="1"/>
    <col min="2055" max="2055" width="13" style="190" customWidth="1"/>
    <col min="2056" max="2056" width="7.265625" style="190" customWidth="1"/>
    <col min="2057" max="2057" width="8.265625" style="190" customWidth="1"/>
    <col min="2058" max="2058" width="11.265625" style="190" customWidth="1"/>
    <col min="2059" max="2059" width="9" style="190" customWidth="1"/>
    <col min="2060" max="2060" width="9.73046875" style="190" customWidth="1"/>
    <col min="2061" max="2061" width="8.265625" style="190" customWidth="1"/>
    <col min="2062" max="2062" width="9" style="190" customWidth="1"/>
    <col min="2063" max="2063" width="17.73046875" style="190" customWidth="1"/>
    <col min="2064" max="2064" width="10.265625" style="190" customWidth="1"/>
    <col min="2065" max="2065" width="10.73046875" style="190" customWidth="1"/>
    <col min="2066" max="2066" width="10.265625" style="190" customWidth="1"/>
    <col min="2067" max="2067" width="30.86328125" style="190" customWidth="1"/>
    <col min="2068" max="2304" width="9" style="190" customWidth="1"/>
    <col min="2305" max="2305" width="3.265625" style="190" customWidth="1"/>
    <col min="2306" max="2306" width="5.265625" style="190" customWidth="1"/>
    <col min="2307" max="2307" width="31.265625" style="190" customWidth="1"/>
    <col min="2308" max="2308" width="4.265625" style="190" customWidth="1"/>
    <col min="2309" max="2309" width="9.86328125" style="190" customWidth="1"/>
    <col min="2310" max="2310" width="7.86328125" style="190" customWidth="1"/>
    <col min="2311" max="2311" width="13" style="190" customWidth="1"/>
    <col min="2312" max="2312" width="7.265625" style="190" customWidth="1"/>
    <col min="2313" max="2313" width="8.265625" style="190" customWidth="1"/>
    <col min="2314" max="2314" width="11.265625" style="190" customWidth="1"/>
    <col min="2315" max="2315" width="9" style="190" customWidth="1"/>
    <col min="2316" max="2316" width="9.73046875" style="190" customWidth="1"/>
    <col min="2317" max="2317" width="8.265625" style="190" customWidth="1"/>
    <col min="2318" max="2318" width="9" style="190" customWidth="1"/>
    <col min="2319" max="2319" width="17.73046875" style="190" customWidth="1"/>
    <col min="2320" max="2320" width="10.265625" style="190" customWidth="1"/>
    <col min="2321" max="2321" width="10.73046875" style="190" customWidth="1"/>
    <col min="2322" max="2322" width="10.265625" style="190" customWidth="1"/>
    <col min="2323" max="2323" width="30.86328125" style="190" customWidth="1"/>
    <col min="2324" max="2560" width="9" style="190" customWidth="1"/>
    <col min="2561" max="2561" width="3.265625" style="190" customWidth="1"/>
    <col min="2562" max="2562" width="5.265625" style="190" customWidth="1"/>
    <col min="2563" max="2563" width="31.265625" style="190" customWidth="1"/>
    <col min="2564" max="2564" width="4.265625" style="190" customWidth="1"/>
    <col min="2565" max="2565" width="9.86328125" style="190" customWidth="1"/>
    <col min="2566" max="2566" width="7.86328125" style="190" customWidth="1"/>
    <col min="2567" max="2567" width="13" style="190" customWidth="1"/>
    <col min="2568" max="2568" width="7.265625" style="190" customWidth="1"/>
    <col min="2569" max="2569" width="8.265625" style="190" customWidth="1"/>
    <col min="2570" max="2570" width="11.265625" style="190" customWidth="1"/>
    <col min="2571" max="2571" width="9" style="190" customWidth="1"/>
    <col min="2572" max="2572" width="9.73046875" style="190" customWidth="1"/>
    <col min="2573" max="2573" width="8.265625" style="190" customWidth="1"/>
    <col min="2574" max="2574" width="9" style="190" customWidth="1"/>
    <col min="2575" max="2575" width="17.73046875" style="190" customWidth="1"/>
    <col min="2576" max="2576" width="10.265625" style="190" customWidth="1"/>
    <col min="2577" max="2577" width="10.73046875" style="190" customWidth="1"/>
    <col min="2578" max="2578" width="10.265625" style="190" customWidth="1"/>
    <col min="2579" max="2579" width="30.86328125" style="190" customWidth="1"/>
    <col min="2580" max="2816" width="9" style="190" customWidth="1"/>
    <col min="2817" max="2817" width="3.265625" style="190" customWidth="1"/>
    <col min="2818" max="2818" width="5.265625" style="190" customWidth="1"/>
    <col min="2819" max="2819" width="31.265625" style="190" customWidth="1"/>
    <col min="2820" max="2820" width="4.265625" style="190" customWidth="1"/>
    <col min="2821" max="2821" width="9.86328125" style="190" customWidth="1"/>
    <col min="2822" max="2822" width="7.86328125" style="190" customWidth="1"/>
    <col min="2823" max="2823" width="13" style="190" customWidth="1"/>
    <col min="2824" max="2824" width="7.265625" style="190" customWidth="1"/>
    <col min="2825" max="2825" width="8.265625" style="190" customWidth="1"/>
    <col min="2826" max="2826" width="11.265625" style="190" customWidth="1"/>
    <col min="2827" max="2827" width="9" style="190" customWidth="1"/>
    <col min="2828" max="2828" width="9.73046875" style="190" customWidth="1"/>
    <col min="2829" max="2829" width="8.265625" style="190" customWidth="1"/>
    <col min="2830" max="2830" width="9" style="190" customWidth="1"/>
    <col min="2831" max="2831" width="17.73046875" style="190" customWidth="1"/>
    <col min="2832" max="2832" width="10.265625" style="190" customWidth="1"/>
    <col min="2833" max="2833" width="10.73046875" style="190" customWidth="1"/>
    <col min="2834" max="2834" width="10.265625" style="190" customWidth="1"/>
    <col min="2835" max="2835" width="30.86328125" style="190" customWidth="1"/>
    <col min="2836" max="3072" width="9" style="190" customWidth="1"/>
    <col min="3073" max="3073" width="3.265625" style="190" customWidth="1"/>
    <col min="3074" max="3074" width="5.265625" style="190" customWidth="1"/>
    <col min="3075" max="3075" width="31.265625" style="190" customWidth="1"/>
    <col min="3076" max="3076" width="4.265625" style="190" customWidth="1"/>
    <col min="3077" max="3077" width="9.86328125" style="190" customWidth="1"/>
    <col min="3078" max="3078" width="7.86328125" style="190" customWidth="1"/>
    <col min="3079" max="3079" width="13" style="190" customWidth="1"/>
    <col min="3080" max="3080" width="7.265625" style="190" customWidth="1"/>
    <col min="3081" max="3081" width="8.265625" style="190" customWidth="1"/>
    <col min="3082" max="3082" width="11.265625" style="190" customWidth="1"/>
    <col min="3083" max="3083" width="9" style="190" customWidth="1"/>
    <col min="3084" max="3084" width="9.73046875" style="190" customWidth="1"/>
    <col min="3085" max="3085" width="8.265625" style="190" customWidth="1"/>
    <col min="3086" max="3086" width="9" style="190" customWidth="1"/>
    <col min="3087" max="3087" width="17.73046875" style="190" customWidth="1"/>
    <col min="3088" max="3088" width="10.265625" style="190" customWidth="1"/>
    <col min="3089" max="3089" width="10.73046875" style="190" customWidth="1"/>
    <col min="3090" max="3090" width="10.265625" style="190" customWidth="1"/>
    <col min="3091" max="3091" width="30.86328125" style="190" customWidth="1"/>
    <col min="3092" max="3328" width="9" style="190" customWidth="1"/>
    <col min="3329" max="3329" width="3.265625" style="190" customWidth="1"/>
    <col min="3330" max="3330" width="5.265625" style="190" customWidth="1"/>
    <col min="3331" max="3331" width="31.265625" style="190" customWidth="1"/>
    <col min="3332" max="3332" width="4.265625" style="190" customWidth="1"/>
    <col min="3333" max="3333" width="9.86328125" style="190" customWidth="1"/>
    <col min="3334" max="3334" width="7.86328125" style="190" customWidth="1"/>
    <col min="3335" max="3335" width="13" style="190" customWidth="1"/>
    <col min="3336" max="3336" width="7.265625" style="190" customWidth="1"/>
    <col min="3337" max="3337" width="8.265625" style="190" customWidth="1"/>
    <col min="3338" max="3338" width="11.265625" style="190" customWidth="1"/>
    <col min="3339" max="3339" width="9" style="190" customWidth="1"/>
    <col min="3340" max="3340" width="9.73046875" style="190" customWidth="1"/>
    <col min="3341" max="3341" width="8.265625" style="190" customWidth="1"/>
    <col min="3342" max="3342" width="9" style="190" customWidth="1"/>
    <col min="3343" max="3343" width="17.73046875" style="190" customWidth="1"/>
    <col min="3344" max="3344" width="10.265625" style="190" customWidth="1"/>
    <col min="3345" max="3345" width="10.73046875" style="190" customWidth="1"/>
    <col min="3346" max="3346" width="10.265625" style="190" customWidth="1"/>
    <col min="3347" max="3347" width="30.86328125" style="190" customWidth="1"/>
    <col min="3348" max="3584" width="9" style="190" customWidth="1"/>
    <col min="3585" max="3585" width="3.265625" style="190" customWidth="1"/>
    <col min="3586" max="3586" width="5.265625" style="190" customWidth="1"/>
    <col min="3587" max="3587" width="31.265625" style="190" customWidth="1"/>
    <col min="3588" max="3588" width="4.265625" style="190" customWidth="1"/>
    <col min="3589" max="3589" width="9.86328125" style="190" customWidth="1"/>
    <col min="3590" max="3590" width="7.86328125" style="190" customWidth="1"/>
    <col min="3591" max="3591" width="13" style="190" customWidth="1"/>
    <col min="3592" max="3592" width="7.265625" style="190" customWidth="1"/>
    <col min="3593" max="3593" width="8.265625" style="190" customWidth="1"/>
    <col min="3594" max="3594" width="11.265625" style="190" customWidth="1"/>
    <col min="3595" max="3595" width="9" style="190" customWidth="1"/>
    <col min="3596" max="3596" width="9.73046875" style="190" customWidth="1"/>
    <col min="3597" max="3597" width="8.265625" style="190" customWidth="1"/>
    <col min="3598" max="3598" width="9" style="190" customWidth="1"/>
    <col min="3599" max="3599" width="17.73046875" style="190" customWidth="1"/>
    <col min="3600" max="3600" width="10.265625" style="190" customWidth="1"/>
    <col min="3601" max="3601" width="10.73046875" style="190" customWidth="1"/>
    <col min="3602" max="3602" width="10.265625" style="190" customWidth="1"/>
    <col min="3603" max="3603" width="30.86328125" style="190" customWidth="1"/>
    <col min="3604" max="3840" width="9" style="190" customWidth="1"/>
    <col min="3841" max="3841" width="3.265625" style="190" customWidth="1"/>
    <col min="3842" max="3842" width="5.265625" style="190" customWidth="1"/>
    <col min="3843" max="3843" width="31.265625" style="190" customWidth="1"/>
    <col min="3844" max="3844" width="4.265625" style="190" customWidth="1"/>
    <col min="3845" max="3845" width="9.86328125" style="190" customWidth="1"/>
    <col min="3846" max="3846" width="7.86328125" style="190" customWidth="1"/>
    <col min="3847" max="3847" width="13" style="190" customWidth="1"/>
    <col min="3848" max="3848" width="7.265625" style="190" customWidth="1"/>
    <col min="3849" max="3849" width="8.265625" style="190" customWidth="1"/>
    <col min="3850" max="3850" width="11.265625" style="190" customWidth="1"/>
    <col min="3851" max="3851" width="9" style="190" customWidth="1"/>
    <col min="3852" max="3852" width="9.73046875" style="190" customWidth="1"/>
    <col min="3853" max="3853" width="8.265625" style="190" customWidth="1"/>
    <col min="3854" max="3854" width="9" style="190" customWidth="1"/>
    <col min="3855" max="3855" width="17.73046875" style="190" customWidth="1"/>
    <col min="3856" max="3856" width="10.265625" style="190" customWidth="1"/>
    <col min="3857" max="3857" width="10.73046875" style="190" customWidth="1"/>
    <col min="3858" max="3858" width="10.265625" style="190" customWidth="1"/>
    <col min="3859" max="3859" width="30.86328125" style="190" customWidth="1"/>
    <col min="3860" max="4096" width="9" style="190" customWidth="1"/>
    <col min="4097" max="4097" width="3.265625" style="190" customWidth="1"/>
    <col min="4098" max="4098" width="5.265625" style="190" customWidth="1"/>
    <col min="4099" max="4099" width="31.265625" style="190" customWidth="1"/>
    <col min="4100" max="4100" width="4.265625" style="190" customWidth="1"/>
    <col min="4101" max="4101" width="9.86328125" style="190" customWidth="1"/>
    <col min="4102" max="4102" width="7.86328125" style="190" customWidth="1"/>
    <col min="4103" max="4103" width="13" style="190" customWidth="1"/>
    <col min="4104" max="4104" width="7.265625" style="190" customWidth="1"/>
    <col min="4105" max="4105" width="8.265625" style="190" customWidth="1"/>
    <col min="4106" max="4106" width="11.265625" style="190" customWidth="1"/>
    <col min="4107" max="4107" width="9" style="190" customWidth="1"/>
    <col min="4108" max="4108" width="9.73046875" style="190" customWidth="1"/>
    <col min="4109" max="4109" width="8.265625" style="190" customWidth="1"/>
    <col min="4110" max="4110" width="9" style="190" customWidth="1"/>
    <col min="4111" max="4111" width="17.73046875" style="190" customWidth="1"/>
    <col min="4112" max="4112" width="10.265625" style="190" customWidth="1"/>
    <col min="4113" max="4113" width="10.73046875" style="190" customWidth="1"/>
    <col min="4114" max="4114" width="10.265625" style="190" customWidth="1"/>
    <col min="4115" max="4115" width="30.86328125" style="190" customWidth="1"/>
    <col min="4116" max="4352" width="9" style="190" customWidth="1"/>
    <col min="4353" max="4353" width="3.265625" style="190" customWidth="1"/>
    <col min="4354" max="4354" width="5.265625" style="190" customWidth="1"/>
    <col min="4355" max="4355" width="31.265625" style="190" customWidth="1"/>
    <col min="4356" max="4356" width="4.265625" style="190" customWidth="1"/>
    <col min="4357" max="4357" width="9.86328125" style="190" customWidth="1"/>
    <col min="4358" max="4358" width="7.86328125" style="190" customWidth="1"/>
    <col min="4359" max="4359" width="13" style="190" customWidth="1"/>
    <col min="4360" max="4360" width="7.265625" style="190" customWidth="1"/>
    <col min="4361" max="4361" width="8.265625" style="190" customWidth="1"/>
    <col min="4362" max="4362" width="11.265625" style="190" customWidth="1"/>
    <col min="4363" max="4363" width="9" style="190" customWidth="1"/>
    <col min="4364" max="4364" width="9.73046875" style="190" customWidth="1"/>
    <col min="4365" max="4365" width="8.265625" style="190" customWidth="1"/>
    <col min="4366" max="4366" width="9" style="190" customWidth="1"/>
    <col min="4367" max="4367" width="17.73046875" style="190" customWidth="1"/>
    <col min="4368" max="4368" width="10.265625" style="190" customWidth="1"/>
    <col min="4369" max="4369" width="10.73046875" style="190" customWidth="1"/>
    <col min="4370" max="4370" width="10.265625" style="190" customWidth="1"/>
    <col min="4371" max="4371" width="30.86328125" style="190" customWidth="1"/>
    <col min="4372" max="4608" width="9" style="190" customWidth="1"/>
    <col min="4609" max="4609" width="3.265625" style="190" customWidth="1"/>
    <col min="4610" max="4610" width="5.265625" style="190" customWidth="1"/>
    <col min="4611" max="4611" width="31.265625" style="190" customWidth="1"/>
    <col min="4612" max="4612" width="4.265625" style="190" customWidth="1"/>
    <col min="4613" max="4613" width="9.86328125" style="190" customWidth="1"/>
    <col min="4614" max="4614" width="7.86328125" style="190" customWidth="1"/>
    <col min="4615" max="4615" width="13" style="190" customWidth="1"/>
    <col min="4616" max="4616" width="7.265625" style="190" customWidth="1"/>
    <col min="4617" max="4617" width="8.265625" style="190" customWidth="1"/>
    <col min="4618" max="4618" width="11.265625" style="190" customWidth="1"/>
    <col min="4619" max="4619" width="9" style="190" customWidth="1"/>
    <col min="4620" max="4620" width="9.73046875" style="190" customWidth="1"/>
    <col min="4621" max="4621" width="8.265625" style="190" customWidth="1"/>
    <col min="4622" max="4622" width="9" style="190" customWidth="1"/>
    <col min="4623" max="4623" width="17.73046875" style="190" customWidth="1"/>
    <col min="4624" max="4624" width="10.265625" style="190" customWidth="1"/>
    <col min="4625" max="4625" width="10.73046875" style="190" customWidth="1"/>
    <col min="4626" max="4626" width="10.265625" style="190" customWidth="1"/>
    <col min="4627" max="4627" width="30.86328125" style="190" customWidth="1"/>
    <col min="4628" max="4864" width="9" style="190" customWidth="1"/>
    <col min="4865" max="4865" width="3.265625" style="190" customWidth="1"/>
    <col min="4866" max="4866" width="5.265625" style="190" customWidth="1"/>
    <col min="4867" max="4867" width="31.265625" style="190" customWidth="1"/>
    <col min="4868" max="4868" width="4.265625" style="190" customWidth="1"/>
    <col min="4869" max="4869" width="9.86328125" style="190" customWidth="1"/>
    <col min="4870" max="4870" width="7.86328125" style="190" customWidth="1"/>
    <col min="4871" max="4871" width="13" style="190" customWidth="1"/>
    <col min="4872" max="4872" width="7.265625" style="190" customWidth="1"/>
    <col min="4873" max="4873" width="8.265625" style="190" customWidth="1"/>
    <col min="4874" max="4874" width="11.265625" style="190" customWidth="1"/>
    <col min="4875" max="4875" width="9" style="190" customWidth="1"/>
    <col min="4876" max="4876" width="9.73046875" style="190" customWidth="1"/>
    <col min="4877" max="4877" width="8.265625" style="190" customWidth="1"/>
    <col min="4878" max="4878" width="9" style="190" customWidth="1"/>
    <col min="4879" max="4879" width="17.73046875" style="190" customWidth="1"/>
    <col min="4880" max="4880" width="10.265625" style="190" customWidth="1"/>
    <col min="4881" max="4881" width="10.73046875" style="190" customWidth="1"/>
    <col min="4882" max="4882" width="10.265625" style="190" customWidth="1"/>
    <col min="4883" max="4883" width="30.86328125" style="190" customWidth="1"/>
    <col min="4884" max="5120" width="9" style="190" customWidth="1"/>
    <col min="5121" max="5121" width="3.265625" style="190" customWidth="1"/>
    <col min="5122" max="5122" width="5.265625" style="190" customWidth="1"/>
    <col min="5123" max="5123" width="31.265625" style="190" customWidth="1"/>
    <col min="5124" max="5124" width="4.265625" style="190" customWidth="1"/>
    <col min="5125" max="5125" width="9.86328125" style="190" customWidth="1"/>
    <col min="5126" max="5126" width="7.86328125" style="190" customWidth="1"/>
    <col min="5127" max="5127" width="13" style="190" customWidth="1"/>
    <col min="5128" max="5128" width="7.265625" style="190" customWidth="1"/>
    <col min="5129" max="5129" width="8.265625" style="190" customWidth="1"/>
    <col min="5130" max="5130" width="11.265625" style="190" customWidth="1"/>
    <col min="5131" max="5131" width="9" style="190" customWidth="1"/>
    <col min="5132" max="5132" width="9.73046875" style="190" customWidth="1"/>
    <col min="5133" max="5133" width="8.265625" style="190" customWidth="1"/>
    <col min="5134" max="5134" width="9" style="190" customWidth="1"/>
    <col min="5135" max="5135" width="17.73046875" style="190" customWidth="1"/>
    <col min="5136" max="5136" width="10.265625" style="190" customWidth="1"/>
    <col min="5137" max="5137" width="10.73046875" style="190" customWidth="1"/>
    <col min="5138" max="5138" width="10.265625" style="190" customWidth="1"/>
    <col min="5139" max="5139" width="30.86328125" style="190" customWidth="1"/>
    <col min="5140" max="5376" width="9" style="190" customWidth="1"/>
    <col min="5377" max="5377" width="3.265625" style="190" customWidth="1"/>
    <col min="5378" max="5378" width="5.265625" style="190" customWidth="1"/>
    <col min="5379" max="5379" width="31.265625" style="190" customWidth="1"/>
    <col min="5380" max="5380" width="4.265625" style="190" customWidth="1"/>
    <col min="5381" max="5381" width="9.86328125" style="190" customWidth="1"/>
    <col min="5382" max="5382" width="7.86328125" style="190" customWidth="1"/>
    <col min="5383" max="5383" width="13" style="190" customWidth="1"/>
    <col min="5384" max="5384" width="7.265625" style="190" customWidth="1"/>
    <col min="5385" max="5385" width="8.265625" style="190" customWidth="1"/>
    <col min="5386" max="5386" width="11.265625" style="190" customWidth="1"/>
    <col min="5387" max="5387" width="9" style="190" customWidth="1"/>
    <col min="5388" max="5388" width="9.73046875" style="190" customWidth="1"/>
    <col min="5389" max="5389" width="8.265625" style="190" customWidth="1"/>
    <col min="5390" max="5390" width="9" style="190" customWidth="1"/>
    <col min="5391" max="5391" width="17.73046875" style="190" customWidth="1"/>
    <col min="5392" max="5392" width="10.265625" style="190" customWidth="1"/>
    <col min="5393" max="5393" width="10.73046875" style="190" customWidth="1"/>
    <col min="5394" max="5394" width="10.265625" style="190" customWidth="1"/>
    <col min="5395" max="5395" width="30.86328125" style="190" customWidth="1"/>
    <col min="5396" max="5632" width="9" style="190" customWidth="1"/>
    <col min="5633" max="5633" width="3.265625" style="190" customWidth="1"/>
    <col min="5634" max="5634" width="5.265625" style="190" customWidth="1"/>
    <col min="5635" max="5635" width="31.265625" style="190" customWidth="1"/>
    <col min="5636" max="5636" width="4.265625" style="190" customWidth="1"/>
    <col min="5637" max="5637" width="9.86328125" style="190" customWidth="1"/>
    <col min="5638" max="5638" width="7.86328125" style="190" customWidth="1"/>
    <col min="5639" max="5639" width="13" style="190" customWidth="1"/>
    <col min="5640" max="5640" width="7.265625" style="190" customWidth="1"/>
    <col min="5641" max="5641" width="8.265625" style="190" customWidth="1"/>
    <col min="5642" max="5642" width="11.265625" style="190" customWidth="1"/>
    <col min="5643" max="5643" width="9" style="190" customWidth="1"/>
    <col min="5644" max="5644" width="9.73046875" style="190" customWidth="1"/>
    <col min="5645" max="5645" width="8.265625" style="190" customWidth="1"/>
    <col min="5646" max="5646" width="9" style="190" customWidth="1"/>
    <col min="5647" max="5647" width="17.73046875" style="190" customWidth="1"/>
    <col min="5648" max="5648" width="10.265625" style="190" customWidth="1"/>
    <col min="5649" max="5649" width="10.73046875" style="190" customWidth="1"/>
    <col min="5650" max="5650" width="10.265625" style="190" customWidth="1"/>
    <col min="5651" max="5651" width="30.86328125" style="190" customWidth="1"/>
    <col min="5652" max="5888" width="9" style="190" customWidth="1"/>
    <col min="5889" max="5889" width="3.265625" style="190" customWidth="1"/>
    <col min="5890" max="5890" width="5.265625" style="190" customWidth="1"/>
    <col min="5891" max="5891" width="31.265625" style="190" customWidth="1"/>
    <col min="5892" max="5892" width="4.265625" style="190" customWidth="1"/>
    <col min="5893" max="5893" width="9.86328125" style="190" customWidth="1"/>
    <col min="5894" max="5894" width="7.86328125" style="190" customWidth="1"/>
    <col min="5895" max="5895" width="13" style="190" customWidth="1"/>
    <col min="5896" max="5896" width="7.265625" style="190" customWidth="1"/>
    <col min="5897" max="5897" width="8.265625" style="190" customWidth="1"/>
    <col min="5898" max="5898" width="11.265625" style="190" customWidth="1"/>
    <col min="5899" max="5899" width="9" style="190" customWidth="1"/>
    <col min="5900" max="5900" width="9.73046875" style="190" customWidth="1"/>
    <col min="5901" max="5901" width="8.265625" style="190" customWidth="1"/>
    <col min="5902" max="5902" width="9" style="190" customWidth="1"/>
    <col min="5903" max="5903" width="17.73046875" style="190" customWidth="1"/>
    <col min="5904" max="5904" width="10.265625" style="190" customWidth="1"/>
    <col min="5905" max="5905" width="10.73046875" style="190" customWidth="1"/>
    <col min="5906" max="5906" width="10.265625" style="190" customWidth="1"/>
    <col min="5907" max="5907" width="30.86328125" style="190" customWidth="1"/>
    <col min="5908" max="6144" width="9" style="190" customWidth="1"/>
    <col min="6145" max="6145" width="3.265625" style="190" customWidth="1"/>
    <col min="6146" max="6146" width="5.265625" style="190" customWidth="1"/>
    <col min="6147" max="6147" width="31.265625" style="190" customWidth="1"/>
    <col min="6148" max="6148" width="4.265625" style="190" customWidth="1"/>
    <col min="6149" max="6149" width="9.86328125" style="190" customWidth="1"/>
    <col min="6150" max="6150" width="7.86328125" style="190" customWidth="1"/>
    <col min="6151" max="6151" width="13" style="190" customWidth="1"/>
    <col min="6152" max="6152" width="7.265625" style="190" customWidth="1"/>
    <col min="6153" max="6153" width="8.265625" style="190" customWidth="1"/>
    <col min="6154" max="6154" width="11.265625" style="190" customWidth="1"/>
    <col min="6155" max="6155" width="9" style="190" customWidth="1"/>
    <col min="6156" max="6156" width="9.73046875" style="190" customWidth="1"/>
    <col min="6157" max="6157" width="8.265625" style="190" customWidth="1"/>
    <col min="6158" max="6158" width="9" style="190" customWidth="1"/>
    <col min="6159" max="6159" width="17.73046875" style="190" customWidth="1"/>
    <col min="6160" max="6160" width="10.265625" style="190" customWidth="1"/>
    <col min="6161" max="6161" width="10.73046875" style="190" customWidth="1"/>
    <col min="6162" max="6162" width="10.265625" style="190" customWidth="1"/>
    <col min="6163" max="6163" width="30.86328125" style="190" customWidth="1"/>
    <col min="6164" max="6400" width="9" style="190" customWidth="1"/>
    <col min="6401" max="6401" width="3.265625" style="190" customWidth="1"/>
    <col min="6402" max="6402" width="5.265625" style="190" customWidth="1"/>
    <col min="6403" max="6403" width="31.265625" style="190" customWidth="1"/>
    <col min="6404" max="6404" width="4.265625" style="190" customWidth="1"/>
    <col min="6405" max="6405" width="9.86328125" style="190" customWidth="1"/>
    <col min="6406" max="6406" width="7.86328125" style="190" customWidth="1"/>
    <col min="6407" max="6407" width="13" style="190" customWidth="1"/>
    <col min="6408" max="6408" width="7.265625" style="190" customWidth="1"/>
    <col min="6409" max="6409" width="8.265625" style="190" customWidth="1"/>
    <col min="6410" max="6410" width="11.265625" style="190" customWidth="1"/>
    <col min="6411" max="6411" width="9" style="190" customWidth="1"/>
    <col min="6412" max="6412" width="9.73046875" style="190" customWidth="1"/>
    <col min="6413" max="6413" width="8.265625" style="190" customWidth="1"/>
    <col min="6414" max="6414" width="9" style="190" customWidth="1"/>
    <col min="6415" max="6415" width="17.73046875" style="190" customWidth="1"/>
    <col min="6416" max="6416" width="10.265625" style="190" customWidth="1"/>
    <col min="6417" max="6417" width="10.73046875" style="190" customWidth="1"/>
    <col min="6418" max="6418" width="10.265625" style="190" customWidth="1"/>
    <col min="6419" max="6419" width="30.86328125" style="190" customWidth="1"/>
    <col min="6420" max="6656" width="9" style="190" customWidth="1"/>
    <col min="6657" max="6657" width="3.265625" style="190" customWidth="1"/>
    <col min="6658" max="6658" width="5.265625" style="190" customWidth="1"/>
    <col min="6659" max="6659" width="31.265625" style="190" customWidth="1"/>
    <col min="6660" max="6660" width="4.265625" style="190" customWidth="1"/>
    <col min="6661" max="6661" width="9.86328125" style="190" customWidth="1"/>
    <col min="6662" max="6662" width="7.86328125" style="190" customWidth="1"/>
    <col min="6663" max="6663" width="13" style="190" customWidth="1"/>
    <col min="6664" max="6664" width="7.265625" style="190" customWidth="1"/>
    <col min="6665" max="6665" width="8.265625" style="190" customWidth="1"/>
    <col min="6666" max="6666" width="11.265625" style="190" customWidth="1"/>
    <col min="6667" max="6667" width="9" style="190" customWidth="1"/>
    <col min="6668" max="6668" width="9.73046875" style="190" customWidth="1"/>
    <col min="6669" max="6669" width="8.265625" style="190" customWidth="1"/>
    <col min="6670" max="6670" width="9" style="190" customWidth="1"/>
    <col min="6671" max="6671" width="17.73046875" style="190" customWidth="1"/>
    <col min="6672" max="6672" width="10.265625" style="190" customWidth="1"/>
    <col min="6673" max="6673" width="10.73046875" style="190" customWidth="1"/>
    <col min="6674" max="6674" width="10.265625" style="190" customWidth="1"/>
    <col min="6675" max="6675" width="30.86328125" style="190" customWidth="1"/>
    <col min="6676" max="6912" width="9" style="190" customWidth="1"/>
    <col min="6913" max="6913" width="3.265625" style="190" customWidth="1"/>
    <col min="6914" max="6914" width="5.265625" style="190" customWidth="1"/>
    <col min="6915" max="6915" width="31.265625" style="190" customWidth="1"/>
    <col min="6916" max="6916" width="4.265625" style="190" customWidth="1"/>
    <col min="6917" max="6917" width="9.86328125" style="190" customWidth="1"/>
    <col min="6918" max="6918" width="7.86328125" style="190" customWidth="1"/>
    <col min="6919" max="6919" width="13" style="190" customWidth="1"/>
    <col min="6920" max="6920" width="7.265625" style="190" customWidth="1"/>
    <col min="6921" max="6921" width="8.265625" style="190" customWidth="1"/>
    <col min="6922" max="6922" width="11.265625" style="190" customWidth="1"/>
    <col min="6923" max="6923" width="9" style="190" customWidth="1"/>
    <col min="6924" max="6924" width="9.73046875" style="190" customWidth="1"/>
    <col min="6925" max="6925" width="8.265625" style="190" customWidth="1"/>
    <col min="6926" max="6926" width="9" style="190" customWidth="1"/>
    <col min="6927" max="6927" width="17.73046875" style="190" customWidth="1"/>
    <col min="6928" max="6928" width="10.265625" style="190" customWidth="1"/>
    <col min="6929" max="6929" width="10.73046875" style="190" customWidth="1"/>
    <col min="6930" max="6930" width="10.265625" style="190" customWidth="1"/>
    <col min="6931" max="6931" width="30.86328125" style="190" customWidth="1"/>
    <col min="6932" max="7168" width="9" style="190" customWidth="1"/>
    <col min="7169" max="7169" width="3.265625" style="190" customWidth="1"/>
    <col min="7170" max="7170" width="5.265625" style="190" customWidth="1"/>
    <col min="7171" max="7171" width="31.265625" style="190" customWidth="1"/>
    <col min="7172" max="7172" width="4.265625" style="190" customWidth="1"/>
    <col min="7173" max="7173" width="9.86328125" style="190" customWidth="1"/>
    <col min="7174" max="7174" width="7.86328125" style="190" customWidth="1"/>
    <col min="7175" max="7175" width="13" style="190" customWidth="1"/>
    <col min="7176" max="7176" width="7.265625" style="190" customWidth="1"/>
    <col min="7177" max="7177" width="8.265625" style="190" customWidth="1"/>
    <col min="7178" max="7178" width="11.265625" style="190" customWidth="1"/>
    <col min="7179" max="7179" width="9" style="190" customWidth="1"/>
    <col min="7180" max="7180" width="9.73046875" style="190" customWidth="1"/>
    <col min="7181" max="7181" width="8.265625" style="190" customWidth="1"/>
    <col min="7182" max="7182" width="9" style="190" customWidth="1"/>
    <col min="7183" max="7183" width="17.73046875" style="190" customWidth="1"/>
    <col min="7184" max="7184" width="10.265625" style="190" customWidth="1"/>
    <col min="7185" max="7185" width="10.73046875" style="190" customWidth="1"/>
    <col min="7186" max="7186" width="10.265625" style="190" customWidth="1"/>
    <col min="7187" max="7187" width="30.86328125" style="190" customWidth="1"/>
    <col min="7188" max="7424" width="9" style="190" customWidth="1"/>
    <col min="7425" max="7425" width="3.265625" style="190" customWidth="1"/>
    <col min="7426" max="7426" width="5.265625" style="190" customWidth="1"/>
    <col min="7427" max="7427" width="31.265625" style="190" customWidth="1"/>
    <col min="7428" max="7428" width="4.265625" style="190" customWidth="1"/>
    <col min="7429" max="7429" width="9.86328125" style="190" customWidth="1"/>
    <col min="7430" max="7430" width="7.86328125" style="190" customWidth="1"/>
    <col min="7431" max="7431" width="13" style="190" customWidth="1"/>
    <col min="7432" max="7432" width="7.265625" style="190" customWidth="1"/>
    <col min="7433" max="7433" width="8.265625" style="190" customWidth="1"/>
    <col min="7434" max="7434" width="11.265625" style="190" customWidth="1"/>
    <col min="7435" max="7435" width="9" style="190" customWidth="1"/>
    <col min="7436" max="7436" width="9.73046875" style="190" customWidth="1"/>
    <col min="7437" max="7437" width="8.265625" style="190" customWidth="1"/>
    <col min="7438" max="7438" width="9" style="190" customWidth="1"/>
    <col min="7439" max="7439" width="17.73046875" style="190" customWidth="1"/>
    <col min="7440" max="7440" width="10.265625" style="190" customWidth="1"/>
    <col min="7441" max="7441" width="10.73046875" style="190" customWidth="1"/>
    <col min="7442" max="7442" width="10.265625" style="190" customWidth="1"/>
    <col min="7443" max="7443" width="30.86328125" style="190" customWidth="1"/>
    <col min="7444" max="7680" width="9" style="190" customWidth="1"/>
    <col min="7681" max="7681" width="3.265625" style="190" customWidth="1"/>
    <col min="7682" max="7682" width="5.265625" style="190" customWidth="1"/>
    <col min="7683" max="7683" width="31.265625" style="190" customWidth="1"/>
    <col min="7684" max="7684" width="4.265625" style="190" customWidth="1"/>
    <col min="7685" max="7685" width="9.86328125" style="190" customWidth="1"/>
    <col min="7686" max="7686" width="7.86328125" style="190" customWidth="1"/>
    <col min="7687" max="7687" width="13" style="190" customWidth="1"/>
    <col min="7688" max="7688" width="7.265625" style="190" customWidth="1"/>
    <col min="7689" max="7689" width="8.265625" style="190" customWidth="1"/>
    <col min="7690" max="7690" width="11.265625" style="190" customWidth="1"/>
    <col min="7691" max="7691" width="9" style="190" customWidth="1"/>
    <col min="7692" max="7692" width="9.73046875" style="190" customWidth="1"/>
    <col min="7693" max="7693" width="8.265625" style="190" customWidth="1"/>
    <col min="7694" max="7694" width="9" style="190" customWidth="1"/>
    <col min="7695" max="7695" width="17.73046875" style="190" customWidth="1"/>
    <col min="7696" max="7696" width="10.265625" style="190" customWidth="1"/>
    <col min="7697" max="7697" width="10.73046875" style="190" customWidth="1"/>
    <col min="7698" max="7698" width="10.265625" style="190" customWidth="1"/>
    <col min="7699" max="7699" width="30.86328125" style="190" customWidth="1"/>
    <col min="7700" max="7936" width="9" style="190" customWidth="1"/>
    <col min="7937" max="7937" width="3.265625" style="190" customWidth="1"/>
    <col min="7938" max="7938" width="5.265625" style="190" customWidth="1"/>
    <col min="7939" max="7939" width="31.265625" style="190" customWidth="1"/>
    <col min="7940" max="7940" width="4.265625" style="190" customWidth="1"/>
    <col min="7941" max="7941" width="9.86328125" style="190" customWidth="1"/>
    <col min="7942" max="7942" width="7.86328125" style="190" customWidth="1"/>
    <col min="7943" max="7943" width="13" style="190" customWidth="1"/>
    <col min="7944" max="7944" width="7.265625" style="190" customWidth="1"/>
    <col min="7945" max="7945" width="8.265625" style="190" customWidth="1"/>
    <col min="7946" max="7946" width="11.265625" style="190" customWidth="1"/>
    <col min="7947" max="7947" width="9" style="190" customWidth="1"/>
    <col min="7948" max="7948" width="9.73046875" style="190" customWidth="1"/>
    <col min="7949" max="7949" width="8.265625" style="190" customWidth="1"/>
    <col min="7950" max="7950" width="9" style="190" customWidth="1"/>
    <col min="7951" max="7951" width="17.73046875" style="190" customWidth="1"/>
    <col min="7952" max="7952" width="10.265625" style="190" customWidth="1"/>
    <col min="7953" max="7953" width="10.73046875" style="190" customWidth="1"/>
    <col min="7954" max="7954" width="10.265625" style="190" customWidth="1"/>
    <col min="7955" max="7955" width="30.86328125" style="190" customWidth="1"/>
    <col min="7956" max="8192" width="9" style="190" customWidth="1"/>
    <col min="8193" max="8193" width="3.265625" style="190" customWidth="1"/>
    <col min="8194" max="8194" width="5.265625" style="190" customWidth="1"/>
    <col min="8195" max="8195" width="31.265625" style="190" customWidth="1"/>
    <col min="8196" max="8196" width="4.265625" style="190" customWidth="1"/>
    <col min="8197" max="8197" width="9.86328125" style="190" customWidth="1"/>
    <col min="8198" max="8198" width="7.86328125" style="190" customWidth="1"/>
    <col min="8199" max="8199" width="13" style="190" customWidth="1"/>
    <col min="8200" max="8200" width="7.265625" style="190" customWidth="1"/>
    <col min="8201" max="8201" width="8.265625" style="190" customWidth="1"/>
    <col min="8202" max="8202" width="11.265625" style="190" customWidth="1"/>
    <col min="8203" max="8203" width="9" style="190" customWidth="1"/>
    <col min="8204" max="8204" width="9.73046875" style="190" customWidth="1"/>
    <col min="8205" max="8205" width="8.265625" style="190" customWidth="1"/>
    <col min="8206" max="8206" width="9" style="190" customWidth="1"/>
    <col min="8207" max="8207" width="17.73046875" style="190" customWidth="1"/>
    <col min="8208" max="8208" width="10.265625" style="190" customWidth="1"/>
    <col min="8209" max="8209" width="10.73046875" style="190" customWidth="1"/>
    <col min="8210" max="8210" width="10.265625" style="190" customWidth="1"/>
    <col min="8211" max="8211" width="30.86328125" style="190" customWidth="1"/>
    <col min="8212" max="8448" width="9" style="190" customWidth="1"/>
    <col min="8449" max="8449" width="3.265625" style="190" customWidth="1"/>
    <col min="8450" max="8450" width="5.265625" style="190" customWidth="1"/>
    <col min="8451" max="8451" width="31.265625" style="190" customWidth="1"/>
    <col min="8452" max="8452" width="4.265625" style="190" customWidth="1"/>
    <col min="8453" max="8453" width="9.86328125" style="190" customWidth="1"/>
    <col min="8454" max="8454" width="7.86328125" style="190" customWidth="1"/>
    <col min="8455" max="8455" width="13" style="190" customWidth="1"/>
    <col min="8456" max="8456" width="7.265625" style="190" customWidth="1"/>
    <col min="8457" max="8457" width="8.265625" style="190" customWidth="1"/>
    <col min="8458" max="8458" width="11.265625" style="190" customWidth="1"/>
    <col min="8459" max="8459" width="9" style="190" customWidth="1"/>
    <col min="8460" max="8460" width="9.73046875" style="190" customWidth="1"/>
    <col min="8461" max="8461" width="8.265625" style="190" customWidth="1"/>
    <col min="8462" max="8462" width="9" style="190" customWidth="1"/>
    <col min="8463" max="8463" width="17.73046875" style="190" customWidth="1"/>
    <col min="8464" max="8464" width="10.265625" style="190" customWidth="1"/>
    <col min="8465" max="8465" width="10.73046875" style="190" customWidth="1"/>
    <col min="8466" max="8466" width="10.265625" style="190" customWidth="1"/>
    <col min="8467" max="8467" width="30.86328125" style="190" customWidth="1"/>
    <col min="8468" max="8704" width="9" style="190" customWidth="1"/>
    <col min="8705" max="8705" width="3.265625" style="190" customWidth="1"/>
    <col min="8706" max="8706" width="5.265625" style="190" customWidth="1"/>
    <col min="8707" max="8707" width="31.265625" style="190" customWidth="1"/>
    <col min="8708" max="8708" width="4.265625" style="190" customWidth="1"/>
    <col min="8709" max="8709" width="9.86328125" style="190" customWidth="1"/>
    <col min="8710" max="8710" width="7.86328125" style="190" customWidth="1"/>
    <col min="8711" max="8711" width="13" style="190" customWidth="1"/>
    <col min="8712" max="8712" width="7.265625" style="190" customWidth="1"/>
    <col min="8713" max="8713" width="8.265625" style="190" customWidth="1"/>
    <col min="8714" max="8714" width="11.265625" style="190" customWidth="1"/>
    <col min="8715" max="8715" width="9" style="190" customWidth="1"/>
    <col min="8716" max="8716" width="9.73046875" style="190" customWidth="1"/>
    <col min="8717" max="8717" width="8.265625" style="190" customWidth="1"/>
    <col min="8718" max="8718" width="9" style="190" customWidth="1"/>
    <col min="8719" max="8719" width="17.73046875" style="190" customWidth="1"/>
    <col min="8720" max="8720" width="10.265625" style="190" customWidth="1"/>
    <col min="8721" max="8721" width="10.73046875" style="190" customWidth="1"/>
    <col min="8722" max="8722" width="10.265625" style="190" customWidth="1"/>
    <col min="8723" max="8723" width="30.86328125" style="190" customWidth="1"/>
    <col min="8724" max="8960" width="9" style="190" customWidth="1"/>
    <col min="8961" max="8961" width="3.265625" style="190" customWidth="1"/>
    <col min="8962" max="8962" width="5.265625" style="190" customWidth="1"/>
    <col min="8963" max="8963" width="31.265625" style="190" customWidth="1"/>
    <col min="8964" max="8964" width="4.265625" style="190" customWidth="1"/>
    <col min="8965" max="8965" width="9.86328125" style="190" customWidth="1"/>
    <col min="8966" max="8966" width="7.86328125" style="190" customWidth="1"/>
    <col min="8967" max="8967" width="13" style="190" customWidth="1"/>
    <col min="8968" max="8968" width="7.265625" style="190" customWidth="1"/>
    <col min="8969" max="8969" width="8.265625" style="190" customWidth="1"/>
    <col min="8970" max="8970" width="11.265625" style="190" customWidth="1"/>
    <col min="8971" max="8971" width="9" style="190" customWidth="1"/>
    <col min="8972" max="8972" width="9.73046875" style="190" customWidth="1"/>
    <col min="8973" max="8973" width="8.265625" style="190" customWidth="1"/>
    <col min="8974" max="8974" width="9" style="190" customWidth="1"/>
    <col min="8975" max="8975" width="17.73046875" style="190" customWidth="1"/>
    <col min="8976" max="8976" width="10.265625" style="190" customWidth="1"/>
    <col min="8977" max="8977" width="10.73046875" style="190" customWidth="1"/>
    <col min="8978" max="8978" width="10.265625" style="190" customWidth="1"/>
    <col min="8979" max="8979" width="30.86328125" style="190" customWidth="1"/>
    <col min="8980" max="9216" width="9" style="190" customWidth="1"/>
    <col min="9217" max="9217" width="3.265625" style="190" customWidth="1"/>
    <col min="9218" max="9218" width="5.265625" style="190" customWidth="1"/>
    <col min="9219" max="9219" width="31.265625" style="190" customWidth="1"/>
    <col min="9220" max="9220" width="4.265625" style="190" customWidth="1"/>
    <col min="9221" max="9221" width="9.86328125" style="190" customWidth="1"/>
    <col min="9222" max="9222" width="7.86328125" style="190" customWidth="1"/>
    <col min="9223" max="9223" width="13" style="190" customWidth="1"/>
    <col min="9224" max="9224" width="7.265625" style="190" customWidth="1"/>
    <col min="9225" max="9225" width="8.265625" style="190" customWidth="1"/>
    <col min="9226" max="9226" width="11.265625" style="190" customWidth="1"/>
    <col min="9227" max="9227" width="9" style="190" customWidth="1"/>
    <col min="9228" max="9228" width="9.73046875" style="190" customWidth="1"/>
    <col min="9229" max="9229" width="8.265625" style="190" customWidth="1"/>
    <col min="9230" max="9230" width="9" style="190" customWidth="1"/>
    <col min="9231" max="9231" width="17.73046875" style="190" customWidth="1"/>
    <col min="9232" max="9232" width="10.265625" style="190" customWidth="1"/>
    <col min="9233" max="9233" width="10.73046875" style="190" customWidth="1"/>
    <col min="9234" max="9234" width="10.265625" style="190" customWidth="1"/>
    <col min="9235" max="9235" width="30.86328125" style="190" customWidth="1"/>
    <col min="9236" max="9472" width="9" style="190" customWidth="1"/>
    <col min="9473" max="9473" width="3.265625" style="190" customWidth="1"/>
    <col min="9474" max="9474" width="5.265625" style="190" customWidth="1"/>
    <col min="9475" max="9475" width="31.265625" style="190" customWidth="1"/>
    <col min="9476" max="9476" width="4.265625" style="190" customWidth="1"/>
    <col min="9477" max="9477" width="9.86328125" style="190" customWidth="1"/>
    <col min="9478" max="9478" width="7.86328125" style="190" customWidth="1"/>
    <col min="9479" max="9479" width="13" style="190" customWidth="1"/>
    <col min="9480" max="9480" width="7.265625" style="190" customWidth="1"/>
    <col min="9481" max="9481" width="8.265625" style="190" customWidth="1"/>
    <col min="9482" max="9482" width="11.265625" style="190" customWidth="1"/>
    <col min="9483" max="9483" width="9" style="190" customWidth="1"/>
    <col min="9484" max="9484" width="9.73046875" style="190" customWidth="1"/>
    <col min="9485" max="9485" width="8.265625" style="190" customWidth="1"/>
    <col min="9486" max="9486" width="9" style="190" customWidth="1"/>
    <col min="9487" max="9487" width="17.73046875" style="190" customWidth="1"/>
    <col min="9488" max="9488" width="10.265625" style="190" customWidth="1"/>
    <col min="9489" max="9489" width="10.73046875" style="190" customWidth="1"/>
    <col min="9490" max="9490" width="10.265625" style="190" customWidth="1"/>
    <col min="9491" max="9491" width="30.86328125" style="190" customWidth="1"/>
    <col min="9492" max="9728" width="9" style="190" customWidth="1"/>
    <col min="9729" max="9729" width="3.265625" style="190" customWidth="1"/>
    <col min="9730" max="9730" width="5.265625" style="190" customWidth="1"/>
    <col min="9731" max="9731" width="31.265625" style="190" customWidth="1"/>
    <col min="9732" max="9732" width="4.265625" style="190" customWidth="1"/>
    <col min="9733" max="9733" width="9.86328125" style="190" customWidth="1"/>
    <col min="9734" max="9734" width="7.86328125" style="190" customWidth="1"/>
    <col min="9735" max="9735" width="13" style="190" customWidth="1"/>
    <col min="9736" max="9736" width="7.265625" style="190" customWidth="1"/>
    <col min="9737" max="9737" width="8.265625" style="190" customWidth="1"/>
    <col min="9738" max="9738" width="11.265625" style="190" customWidth="1"/>
    <col min="9739" max="9739" width="9" style="190" customWidth="1"/>
    <col min="9740" max="9740" width="9.73046875" style="190" customWidth="1"/>
    <col min="9741" max="9741" width="8.265625" style="190" customWidth="1"/>
    <col min="9742" max="9742" width="9" style="190" customWidth="1"/>
    <col min="9743" max="9743" width="17.73046875" style="190" customWidth="1"/>
    <col min="9744" max="9744" width="10.265625" style="190" customWidth="1"/>
    <col min="9745" max="9745" width="10.73046875" style="190" customWidth="1"/>
    <col min="9746" max="9746" width="10.265625" style="190" customWidth="1"/>
    <col min="9747" max="9747" width="30.86328125" style="190" customWidth="1"/>
    <col min="9748" max="9984" width="9" style="190" customWidth="1"/>
    <col min="9985" max="9985" width="3.265625" style="190" customWidth="1"/>
    <col min="9986" max="9986" width="5.265625" style="190" customWidth="1"/>
    <col min="9987" max="9987" width="31.265625" style="190" customWidth="1"/>
    <col min="9988" max="9988" width="4.265625" style="190" customWidth="1"/>
    <col min="9989" max="9989" width="9.86328125" style="190" customWidth="1"/>
    <col min="9990" max="9990" width="7.86328125" style="190" customWidth="1"/>
    <col min="9991" max="9991" width="13" style="190" customWidth="1"/>
    <col min="9992" max="9992" width="7.265625" style="190" customWidth="1"/>
    <col min="9993" max="9993" width="8.265625" style="190" customWidth="1"/>
    <col min="9994" max="9994" width="11.265625" style="190" customWidth="1"/>
    <col min="9995" max="9995" width="9" style="190" customWidth="1"/>
    <col min="9996" max="9996" width="9.73046875" style="190" customWidth="1"/>
    <col min="9997" max="9997" width="8.265625" style="190" customWidth="1"/>
    <col min="9998" max="9998" width="9" style="190" customWidth="1"/>
    <col min="9999" max="9999" width="17.73046875" style="190" customWidth="1"/>
    <col min="10000" max="10000" width="10.265625" style="190" customWidth="1"/>
    <col min="10001" max="10001" width="10.73046875" style="190" customWidth="1"/>
    <col min="10002" max="10002" width="10.265625" style="190" customWidth="1"/>
    <col min="10003" max="10003" width="30.86328125" style="190" customWidth="1"/>
    <col min="10004" max="10240" width="9" style="190" customWidth="1"/>
    <col min="10241" max="10241" width="3.265625" style="190" customWidth="1"/>
    <col min="10242" max="10242" width="5.265625" style="190" customWidth="1"/>
    <col min="10243" max="10243" width="31.265625" style="190" customWidth="1"/>
    <col min="10244" max="10244" width="4.265625" style="190" customWidth="1"/>
    <col min="10245" max="10245" width="9.86328125" style="190" customWidth="1"/>
    <col min="10246" max="10246" width="7.86328125" style="190" customWidth="1"/>
    <col min="10247" max="10247" width="13" style="190" customWidth="1"/>
    <col min="10248" max="10248" width="7.265625" style="190" customWidth="1"/>
    <col min="10249" max="10249" width="8.265625" style="190" customWidth="1"/>
    <col min="10250" max="10250" width="11.265625" style="190" customWidth="1"/>
    <col min="10251" max="10251" width="9" style="190" customWidth="1"/>
    <col min="10252" max="10252" width="9.73046875" style="190" customWidth="1"/>
    <col min="10253" max="10253" width="8.265625" style="190" customWidth="1"/>
    <col min="10254" max="10254" width="9" style="190" customWidth="1"/>
    <col min="10255" max="10255" width="17.73046875" style="190" customWidth="1"/>
    <col min="10256" max="10256" width="10.265625" style="190" customWidth="1"/>
    <col min="10257" max="10257" width="10.73046875" style="190" customWidth="1"/>
    <col min="10258" max="10258" width="10.265625" style="190" customWidth="1"/>
    <col min="10259" max="10259" width="30.86328125" style="190" customWidth="1"/>
    <col min="10260" max="10496" width="9" style="190" customWidth="1"/>
    <col min="10497" max="10497" width="3.265625" style="190" customWidth="1"/>
    <col min="10498" max="10498" width="5.265625" style="190" customWidth="1"/>
    <col min="10499" max="10499" width="31.265625" style="190" customWidth="1"/>
    <col min="10500" max="10500" width="4.265625" style="190" customWidth="1"/>
    <col min="10501" max="10501" width="9.86328125" style="190" customWidth="1"/>
    <col min="10502" max="10502" width="7.86328125" style="190" customWidth="1"/>
    <col min="10503" max="10503" width="13" style="190" customWidth="1"/>
    <col min="10504" max="10504" width="7.265625" style="190" customWidth="1"/>
    <col min="10505" max="10505" width="8.265625" style="190" customWidth="1"/>
    <col min="10506" max="10506" width="11.265625" style="190" customWidth="1"/>
    <col min="10507" max="10507" width="9" style="190" customWidth="1"/>
    <col min="10508" max="10508" width="9.73046875" style="190" customWidth="1"/>
    <col min="10509" max="10509" width="8.265625" style="190" customWidth="1"/>
    <col min="10510" max="10510" width="9" style="190" customWidth="1"/>
    <col min="10511" max="10511" width="17.73046875" style="190" customWidth="1"/>
    <col min="10512" max="10512" width="10.265625" style="190" customWidth="1"/>
    <col min="10513" max="10513" width="10.73046875" style="190" customWidth="1"/>
    <col min="10514" max="10514" width="10.265625" style="190" customWidth="1"/>
    <col min="10515" max="10515" width="30.86328125" style="190" customWidth="1"/>
    <col min="10516" max="10752" width="9" style="190" customWidth="1"/>
    <col min="10753" max="10753" width="3.265625" style="190" customWidth="1"/>
    <col min="10754" max="10754" width="5.265625" style="190" customWidth="1"/>
    <col min="10755" max="10755" width="31.265625" style="190" customWidth="1"/>
    <col min="10756" max="10756" width="4.265625" style="190" customWidth="1"/>
    <col min="10757" max="10757" width="9.86328125" style="190" customWidth="1"/>
    <col min="10758" max="10758" width="7.86328125" style="190" customWidth="1"/>
    <col min="10759" max="10759" width="13" style="190" customWidth="1"/>
    <col min="10760" max="10760" width="7.265625" style="190" customWidth="1"/>
    <col min="10761" max="10761" width="8.265625" style="190" customWidth="1"/>
    <col min="10762" max="10762" width="11.265625" style="190" customWidth="1"/>
    <col min="10763" max="10763" width="9" style="190" customWidth="1"/>
    <col min="10764" max="10764" width="9.73046875" style="190" customWidth="1"/>
    <col min="10765" max="10765" width="8.265625" style="190" customWidth="1"/>
    <col min="10766" max="10766" width="9" style="190" customWidth="1"/>
    <col min="10767" max="10767" width="17.73046875" style="190" customWidth="1"/>
    <col min="10768" max="10768" width="10.265625" style="190" customWidth="1"/>
    <col min="10769" max="10769" width="10.73046875" style="190" customWidth="1"/>
    <col min="10770" max="10770" width="10.265625" style="190" customWidth="1"/>
    <col min="10771" max="10771" width="30.86328125" style="190" customWidth="1"/>
    <col min="10772" max="11008" width="9" style="190" customWidth="1"/>
    <col min="11009" max="11009" width="3.265625" style="190" customWidth="1"/>
    <col min="11010" max="11010" width="5.265625" style="190" customWidth="1"/>
    <col min="11011" max="11011" width="31.265625" style="190" customWidth="1"/>
    <col min="11012" max="11012" width="4.265625" style="190" customWidth="1"/>
    <col min="11013" max="11013" width="9.86328125" style="190" customWidth="1"/>
    <col min="11014" max="11014" width="7.86328125" style="190" customWidth="1"/>
    <col min="11015" max="11015" width="13" style="190" customWidth="1"/>
    <col min="11016" max="11016" width="7.265625" style="190" customWidth="1"/>
    <col min="11017" max="11017" width="8.265625" style="190" customWidth="1"/>
    <col min="11018" max="11018" width="11.265625" style="190" customWidth="1"/>
    <col min="11019" max="11019" width="9" style="190" customWidth="1"/>
    <col min="11020" max="11020" width="9.73046875" style="190" customWidth="1"/>
    <col min="11021" max="11021" width="8.265625" style="190" customWidth="1"/>
    <col min="11022" max="11022" width="9" style="190" customWidth="1"/>
    <col min="11023" max="11023" width="17.73046875" style="190" customWidth="1"/>
    <col min="11024" max="11024" width="10.265625" style="190" customWidth="1"/>
    <col min="11025" max="11025" width="10.73046875" style="190" customWidth="1"/>
    <col min="11026" max="11026" width="10.265625" style="190" customWidth="1"/>
    <col min="11027" max="11027" width="30.86328125" style="190" customWidth="1"/>
    <col min="11028" max="11264" width="9" style="190" customWidth="1"/>
    <col min="11265" max="11265" width="3.265625" style="190" customWidth="1"/>
    <col min="11266" max="11266" width="5.265625" style="190" customWidth="1"/>
    <col min="11267" max="11267" width="31.265625" style="190" customWidth="1"/>
    <col min="11268" max="11268" width="4.265625" style="190" customWidth="1"/>
    <col min="11269" max="11269" width="9.86328125" style="190" customWidth="1"/>
    <col min="11270" max="11270" width="7.86328125" style="190" customWidth="1"/>
    <col min="11271" max="11271" width="13" style="190" customWidth="1"/>
    <col min="11272" max="11272" width="7.265625" style="190" customWidth="1"/>
    <col min="11273" max="11273" width="8.265625" style="190" customWidth="1"/>
    <col min="11274" max="11274" width="11.265625" style="190" customWidth="1"/>
    <col min="11275" max="11275" width="9" style="190" customWidth="1"/>
    <col min="11276" max="11276" width="9.73046875" style="190" customWidth="1"/>
    <col min="11277" max="11277" width="8.265625" style="190" customWidth="1"/>
    <col min="11278" max="11278" width="9" style="190" customWidth="1"/>
    <col min="11279" max="11279" width="17.73046875" style="190" customWidth="1"/>
    <col min="11280" max="11280" width="10.265625" style="190" customWidth="1"/>
    <col min="11281" max="11281" width="10.73046875" style="190" customWidth="1"/>
    <col min="11282" max="11282" width="10.265625" style="190" customWidth="1"/>
    <col min="11283" max="11283" width="30.86328125" style="190" customWidth="1"/>
    <col min="11284" max="11520" width="9" style="190" customWidth="1"/>
    <col min="11521" max="11521" width="3.265625" style="190" customWidth="1"/>
    <col min="11522" max="11522" width="5.265625" style="190" customWidth="1"/>
    <col min="11523" max="11523" width="31.265625" style="190" customWidth="1"/>
    <col min="11524" max="11524" width="4.265625" style="190" customWidth="1"/>
    <col min="11525" max="11525" width="9.86328125" style="190" customWidth="1"/>
    <col min="11526" max="11526" width="7.86328125" style="190" customWidth="1"/>
    <col min="11527" max="11527" width="13" style="190" customWidth="1"/>
    <col min="11528" max="11528" width="7.265625" style="190" customWidth="1"/>
    <col min="11529" max="11529" width="8.265625" style="190" customWidth="1"/>
    <col min="11530" max="11530" width="11.265625" style="190" customWidth="1"/>
    <col min="11531" max="11531" width="9" style="190" customWidth="1"/>
    <col min="11532" max="11532" width="9.73046875" style="190" customWidth="1"/>
    <col min="11533" max="11533" width="8.265625" style="190" customWidth="1"/>
    <col min="11534" max="11534" width="9" style="190" customWidth="1"/>
    <col min="11535" max="11535" width="17.73046875" style="190" customWidth="1"/>
    <col min="11536" max="11536" width="10.265625" style="190" customWidth="1"/>
    <col min="11537" max="11537" width="10.73046875" style="190" customWidth="1"/>
    <col min="11538" max="11538" width="10.265625" style="190" customWidth="1"/>
    <col min="11539" max="11539" width="30.86328125" style="190" customWidth="1"/>
    <col min="11540" max="11776" width="9" style="190" customWidth="1"/>
    <col min="11777" max="11777" width="3.265625" style="190" customWidth="1"/>
    <col min="11778" max="11778" width="5.265625" style="190" customWidth="1"/>
    <col min="11779" max="11779" width="31.265625" style="190" customWidth="1"/>
    <col min="11780" max="11780" width="4.265625" style="190" customWidth="1"/>
    <col min="11781" max="11781" width="9.86328125" style="190" customWidth="1"/>
    <col min="11782" max="11782" width="7.86328125" style="190" customWidth="1"/>
    <col min="11783" max="11783" width="13" style="190" customWidth="1"/>
    <col min="11784" max="11784" width="7.265625" style="190" customWidth="1"/>
    <col min="11785" max="11785" width="8.265625" style="190" customWidth="1"/>
    <col min="11786" max="11786" width="11.265625" style="190" customWidth="1"/>
    <col min="11787" max="11787" width="9" style="190" customWidth="1"/>
    <col min="11788" max="11788" width="9.73046875" style="190" customWidth="1"/>
    <col min="11789" max="11789" width="8.265625" style="190" customWidth="1"/>
    <col min="11790" max="11790" width="9" style="190" customWidth="1"/>
    <col min="11791" max="11791" width="17.73046875" style="190" customWidth="1"/>
    <col min="11792" max="11792" width="10.265625" style="190" customWidth="1"/>
    <col min="11793" max="11793" width="10.73046875" style="190" customWidth="1"/>
    <col min="11794" max="11794" width="10.265625" style="190" customWidth="1"/>
    <col min="11795" max="11795" width="30.86328125" style="190" customWidth="1"/>
    <col min="11796" max="12032" width="9" style="190" customWidth="1"/>
    <col min="12033" max="12033" width="3.265625" style="190" customWidth="1"/>
    <col min="12034" max="12034" width="5.265625" style="190" customWidth="1"/>
    <col min="12035" max="12035" width="31.265625" style="190" customWidth="1"/>
    <col min="12036" max="12036" width="4.265625" style="190" customWidth="1"/>
    <col min="12037" max="12037" width="9.86328125" style="190" customWidth="1"/>
    <col min="12038" max="12038" width="7.86328125" style="190" customWidth="1"/>
    <col min="12039" max="12039" width="13" style="190" customWidth="1"/>
    <col min="12040" max="12040" width="7.265625" style="190" customWidth="1"/>
    <col min="12041" max="12041" width="8.265625" style="190" customWidth="1"/>
    <col min="12042" max="12042" width="11.265625" style="190" customWidth="1"/>
    <col min="12043" max="12043" width="9" style="190" customWidth="1"/>
    <col min="12044" max="12044" width="9.73046875" style="190" customWidth="1"/>
    <col min="12045" max="12045" width="8.265625" style="190" customWidth="1"/>
    <col min="12046" max="12046" width="9" style="190" customWidth="1"/>
    <col min="12047" max="12047" width="17.73046875" style="190" customWidth="1"/>
    <col min="12048" max="12048" width="10.265625" style="190" customWidth="1"/>
    <col min="12049" max="12049" width="10.73046875" style="190" customWidth="1"/>
    <col min="12050" max="12050" width="10.265625" style="190" customWidth="1"/>
    <col min="12051" max="12051" width="30.86328125" style="190" customWidth="1"/>
    <col min="12052" max="12288" width="9" style="190" customWidth="1"/>
    <col min="12289" max="12289" width="3.265625" style="190" customWidth="1"/>
    <col min="12290" max="12290" width="5.265625" style="190" customWidth="1"/>
    <col min="12291" max="12291" width="31.265625" style="190" customWidth="1"/>
    <col min="12292" max="12292" width="4.265625" style="190" customWidth="1"/>
    <col min="12293" max="12293" width="9.86328125" style="190" customWidth="1"/>
    <col min="12294" max="12294" width="7.86328125" style="190" customWidth="1"/>
    <col min="12295" max="12295" width="13" style="190" customWidth="1"/>
    <col min="12296" max="12296" width="7.265625" style="190" customWidth="1"/>
    <col min="12297" max="12297" width="8.265625" style="190" customWidth="1"/>
    <col min="12298" max="12298" width="11.265625" style="190" customWidth="1"/>
    <col min="12299" max="12299" width="9" style="190" customWidth="1"/>
    <col min="12300" max="12300" width="9.73046875" style="190" customWidth="1"/>
    <col min="12301" max="12301" width="8.265625" style="190" customWidth="1"/>
    <col min="12302" max="12302" width="9" style="190" customWidth="1"/>
    <col min="12303" max="12303" width="17.73046875" style="190" customWidth="1"/>
    <col min="12304" max="12304" width="10.265625" style="190" customWidth="1"/>
    <col min="12305" max="12305" width="10.73046875" style="190" customWidth="1"/>
    <col min="12306" max="12306" width="10.265625" style="190" customWidth="1"/>
    <col min="12307" max="12307" width="30.86328125" style="190" customWidth="1"/>
    <col min="12308" max="12544" width="9" style="190" customWidth="1"/>
    <col min="12545" max="12545" width="3.265625" style="190" customWidth="1"/>
    <col min="12546" max="12546" width="5.265625" style="190" customWidth="1"/>
    <col min="12547" max="12547" width="31.265625" style="190" customWidth="1"/>
    <col min="12548" max="12548" width="4.265625" style="190" customWidth="1"/>
    <col min="12549" max="12549" width="9.86328125" style="190" customWidth="1"/>
    <col min="12550" max="12550" width="7.86328125" style="190" customWidth="1"/>
    <col min="12551" max="12551" width="13" style="190" customWidth="1"/>
    <col min="12552" max="12552" width="7.265625" style="190" customWidth="1"/>
    <col min="12553" max="12553" width="8.265625" style="190" customWidth="1"/>
    <col min="12554" max="12554" width="11.265625" style="190" customWidth="1"/>
    <col min="12555" max="12555" width="9" style="190" customWidth="1"/>
    <col min="12556" max="12556" width="9.73046875" style="190" customWidth="1"/>
    <col min="12557" max="12557" width="8.265625" style="190" customWidth="1"/>
    <col min="12558" max="12558" width="9" style="190" customWidth="1"/>
    <col min="12559" max="12559" width="17.73046875" style="190" customWidth="1"/>
    <col min="12560" max="12560" width="10.265625" style="190" customWidth="1"/>
    <col min="12561" max="12561" width="10.73046875" style="190" customWidth="1"/>
    <col min="12562" max="12562" width="10.265625" style="190" customWidth="1"/>
    <col min="12563" max="12563" width="30.86328125" style="190" customWidth="1"/>
    <col min="12564" max="12800" width="9" style="190" customWidth="1"/>
    <col min="12801" max="12801" width="3.265625" style="190" customWidth="1"/>
    <col min="12802" max="12802" width="5.265625" style="190" customWidth="1"/>
    <col min="12803" max="12803" width="31.265625" style="190" customWidth="1"/>
    <col min="12804" max="12804" width="4.265625" style="190" customWidth="1"/>
    <col min="12805" max="12805" width="9.86328125" style="190" customWidth="1"/>
    <col min="12806" max="12806" width="7.86328125" style="190" customWidth="1"/>
    <col min="12807" max="12807" width="13" style="190" customWidth="1"/>
    <col min="12808" max="12808" width="7.265625" style="190" customWidth="1"/>
    <col min="12809" max="12809" width="8.265625" style="190" customWidth="1"/>
    <col min="12810" max="12810" width="11.265625" style="190" customWidth="1"/>
    <col min="12811" max="12811" width="9" style="190" customWidth="1"/>
    <col min="12812" max="12812" width="9.73046875" style="190" customWidth="1"/>
    <col min="12813" max="12813" width="8.265625" style="190" customWidth="1"/>
    <col min="12814" max="12814" width="9" style="190" customWidth="1"/>
    <col min="12815" max="12815" width="17.73046875" style="190" customWidth="1"/>
    <col min="12816" max="12816" width="10.265625" style="190" customWidth="1"/>
    <col min="12817" max="12817" width="10.73046875" style="190" customWidth="1"/>
    <col min="12818" max="12818" width="10.265625" style="190" customWidth="1"/>
    <col min="12819" max="12819" width="30.86328125" style="190" customWidth="1"/>
    <col min="12820" max="13056" width="9" style="190" customWidth="1"/>
    <col min="13057" max="13057" width="3.265625" style="190" customWidth="1"/>
    <col min="13058" max="13058" width="5.265625" style="190" customWidth="1"/>
    <col min="13059" max="13059" width="31.265625" style="190" customWidth="1"/>
    <col min="13060" max="13060" width="4.265625" style="190" customWidth="1"/>
    <col min="13061" max="13061" width="9.86328125" style="190" customWidth="1"/>
    <col min="13062" max="13062" width="7.86328125" style="190" customWidth="1"/>
    <col min="13063" max="13063" width="13" style="190" customWidth="1"/>
    <col min="13064" max="13064" width="7.265625" style="190" customWidth="1"/>
    <col min="13065" max="13065" width="8.265625" style="190" customWidth="1"/>
    <col min="13066" max="13066" width="11.265625" style="190" customWidth="1"/>
    <col min="13067" max="13067" width="9" style="190" customWidth="1"/>
    <col min="13068" max="13068" width="9.73046875" style="190" customWidth="1"/>
    <col min="13069" max="13069" width="8.265625" style="190" customWidth="1"/>
    <col min="13070" max="13070" width="9" style="190" customWidth="1"/>
    <col min="13071" max="13071" width="17.73046875" style="190" customWidth="1"/>
    <col min="13072" max="13072" width="10.265625" style="190" customWidth="1"/>
    <col min="13073" max="13073" width="10.73046875" style="190" customWidth="1"/>
    <col min="13074" max="13074" width="10.265625" style="190" customWidth="1"/>
    <col min="13075" max="13075" width="30.86328125" style="190" customWidth="1"/>
    <col min="13076" max="13312" width="9" style="190" customWidth="1"/>
    <col min="13313" max="13313" width="3.265625" style="190" customWidth="1"/>
    <col min="13314" max="13314" width="5.265625" style="190" customWidth="1"/>
    <col min="13315" max="13315" width="31.265625" style="190" customWidth="1"/>
    <col min="13316" max="13316" width="4.265625" style="190" customWidth="1"/>
    <col min="13317" max="13317" width="9.86328125" style="190" customWidth="1"/>
    <col min="13318" max="13318" width="7.86328125" style="190" customWidth="1"/>
    <col min="13319" max="13319" width="13" style="190" customWidth="1"/>
    <col min="13320" max="13320" width="7.265625" style="190" customWidth="1"/>
    <col min="13321" max="13321" width="8.265625" style="190" customWidth="1"/>
    <col min="13322" max="13322" width="11.265625" style="190" customWidth="1"/>
    <col min="13323" max="13323" width="9" style="190" customWidth="1"/>
    <col min="13324" max="13324" width="9.73046875" style="190" customWidth="1"/>
    <col min="13325" max="13325" width="8.265625" style="190" customWidth="1"/>
    <col min="13326" max="13326" width="9" style="190" customWidth="1"/>
    <col min="13327" max="13327" width="17.73046875" style="190" customWidth="1"/>
    <col min="13328" max="13328" width="10.265625" style="190" customWidth="1"/>
    <col min="13329" max="13329" width="10.73046875" style="190" customWidth="1"/>
    <col min="13330" max="13330" width="10.265625" style="190" customWidth="1"/>
    <col min="13331" max="13331" width="30.86328125" style="190" customWidth="1"/>
    <col min="13332" max="13568" width="9" style="190" customWidth="1"/>
    <col min="13569" max="13569" width="3.265625" style="190" customWidth="1"/>
    <col min="13570" max="13570" width="5.265625" style="190" customWidth="1"/>
    <col min="13571" max="13571" width="31.265625" style="190" customWidth="1"/>
    <col min="13572" max="13572" width="4.265625" style="190" customWidth="1"/>
    <col min="13573" max="13573" width="9.86328125" style="190" customWidth="1"/>
    <col min="13574" max="13574" width="7.86328125" style="190" customWidth="1"/>
    <col min="13575" max="13575" width="13" style="190" customWidth="1"/>
    <col min="13576" max="13576" width="7.265625" style="190" customWidth="1"/>
    <col min="13577" max="13577" width="8.265625" style="190" customWidth="1"/>
    <col min="13578" max="13578" width="11.265625" style="190" customWidth="1"/>
    <col min="13579" max="13579" width="9" style="190" customWidth="1"/>
    <col min="13580" max="13580" width="9.73046875" style="190" customWidth="1"/>
    <col min="13581" max="13581" width="8.265625" style="190" customWidth="1"/>
    <col min="13582" max="13582" width="9" style="190" customWidth="1"/>
    <col min="13583" max="13583" width="17.73046875" style="190" customWidth="1"/>
    <col min="13584" max="13584" width="10.265625" style="190" customWidth="1"/>
    <col min="13585" max="13585" width="10.73046875" style="190" customWidth="1"/>
    <col min="13586" max="13586" width="10.265625" style="190" customWidth="1"/>
    <col min="13587" max="13587" width="30.86328125" style="190" customWidth="1"/>
    <col min="13588" max="13824" width="9" style="190" customWidth="1"/>
    <col min="13825" max="13825" width="3.265625" style="190" customWidth="1"/>
    <col min="13826" max="13826" width="5.265625" style="190" customWidth="1"/>
    <col min="13827" max="13827" width="31.265625" style="190" customWidth="1"/>
    <col min="13828" max="13828" width="4.265625" style="190" customWidth="1"/>
    <col min="13829" max="13829" width="9.86328125" style="190" customWidth="1"/>
    <col min="13830" max="13830" width="7.86328125" style="190" customWidth="1"/>
    <col min="13831" max="13831" width="13" style="190" customWidth="1"/>
    <col min="13832" max="13832" width="7.265625" style="190" customWidth="1"/>
    <col min="13833" max="13833" width="8.265625" style="190" customWidth="1"/>
    <col min="13834" max="13834" width="11.265625" style="190" customWidth="1"/>
    <col min="13835" max="13835" width="9" style="190" customWidth="1"/>
    <col min="13836" max="13836" width="9.73046875" style="190" customWidth="1"/>
    <col min="13837" max="13837" width="8.265625" style="190" customWidth="1"/>
    <col min="13838" max="13838" width="9" style="190" customWidth="1"/>
    <col min="13839" max="13839" width="17.73046875" style="190" customWidth="1"/>
    <col min="13840" max="13840" width="10.265625" style="190" customWidth="1"/>
    <col min="13841" max="13841" width="10.73046875" style="190" customWidth="1"/>
    <col min="13842" max="13842" width="10.265625" style="190" customWidth="1"/>
    <col min="13843" max="13843" width="30.86328125" style="190" customWidth="1"/>
    <col min="13844" max="14080" width="9" style="190" customWidth="1"/>
    <col min="14081" max="14081" width="3.265625" style="190" customWidth="1"/>
    <col min="14082" max="14082" width="5.265625" style="190" customWidth="1"/>
    <col min="14083" max="14083" width="31.265625" style="190" customWidth="1"/>
    <col min="14084" max="14084" width="4.265625" style="190" customWidth="1"/>
    <col min="14085" max="14085" width="9.86328125" style="190" customWidth="1"/>
    <col min="14086" max="14086" width="7.86328125" style="190" customWidth="1"/>
    <col min="14087" max="14087" width="13" style="190" customWidth="1"/>
    <col min="14088" max="14088" width="7.265625" style="190" customWidth="1"/>
    <col min="14089" max="14089" width="8.265625" style="190" customWidth="1"/>
    <col min="14090" max="14090" width="11.265625" style="190" customWidth="1"/>
    <col min="14091" max="14091" width="9" style="190" customWidth="1"/>
    <col min="14092" max="14092" width="9.73046875" style="190" customWidth="1"/>
    <col min="14093" max="14093" width="8.265625" style="190" customWidth="1"/>
    <col min="14094" max="14094" width="9" style="190" customWidth="1"/>
    <col min="14095" max="14095" width="17.73046875" style="190" customWidth="1"/>
    <col min="14096" max="14096" width="10.265625" style="190" customWidth="1"/>
    <col min="14097" max="14097" width="10.73046875" style="190" customWidth="1"/>
    <col min="14098" max="14098" width="10.265625" style="190" customWidth="1"/>
    <col min="14099" max="14099" width="30.86328125" style="190" customWidth="1"/>
    <col min="14100" max="14336" width="9" style="190" customWidth="1"/>
    <col min="14337" max="14337" width="3.265625" style="190" customWidth="1"/>
    <col min="14338" max="14338" width="5.265625" style="190" customWidth="1"/>
    <col min="14339" max="14339" width="31.265625" style="190" customWidth="1"/>
    <col min="14340" max="14340" width="4.265625" style="190" customWidth="1"/>
    <col min="14341" max="14341" width="9.86328125" style="190" customWidth="1"/>
    <col min="14342" max="14342" width="7.86328125" style="190" customWidth="1"/>
    <col min="14343" max="14343" width="13" style="190" customWidth="1"/>
    <col min="14344" max="14344" width="7.265625" style="190" customWidth="1"/>
    <col min="14345" max="14345" width="8.265625" style="190" customWidth="1"/>
    <col min="14346" max="14346" width="11.265625" style="190" customWidth="1"/>
    <col min="14347" max="14347" width="9" style="190" customWidth="1"/>
    <col min="14348" max="14348" width="9.73046875" style="190" customWidth="1"/>
    <col min="14349" max="14349" width="8.265625" style="190" customWidth="1"/>
    <col min="14350" max="14350" width="9" style="190" customWidth="1"/>
    <col min="14351" max="14351" width="17.73046875" style="190" customWidth="1"/>
    <col min="14352" max="14352" width="10.265625" style="190" customWidth="1"/>
    <col min="14353" max="14353" width="10.73046875" style="190" customWidth="1"/>
    <col min="14354" max="14354" width="10.265625" style="190" customWidth="1"/>
    <col min="14355" max="14355" width="30.86328125" style="190" customWidth="1"/>
    <col min="14356" max="14592" width="9" style="190" customWidth="1"/>
    <col min="14593" max="14593" width="3.265625" style="190" customWidth="1"/>
    <col min="14594" max="14594" width="5.265625" style="190" customWidth="1"/>
    <col min="14595" max="14595" width="31.265625" style="190" customWidth="1"/>
    <col min="14596" max="14596" width="4.265625" style="190" customWidth="1"/>
    <col min="14597" max="14597" width="9.86328125" style="190" customWidth="1"/>
    <col min="14598" max="14598" width="7.86328125" style="190" customWidth="1"/>
    <col min="14599" max="14599" width="13" style="190" customWidth="1"/>
    <col min="14600" max="14600" width="7.265625" style="190" customWidth="1"/>
    <col min="14601" max="14601" width="8.265625" style="190" customWidth="1"/>
    <col min="14602" max="14602" width="11.265625" style="190" customWidth="1"/>
    <col min="14603" max="14603" width="9" style="190" customWidth="1"/>
    <col min="14604" max="14604" width="9.73046875" style="190" customWidth="1"/>
    <col min="14605" max="14605" width="8.265625" style="190" customWidth="1"/>
    <col min="14606" max="14606" width="9" style="190" customWidth="1"/>
    <col min="14607" max="14607" width="17.73046875" style="190" customWidth="1"/>
    <col min="14608" max="14608" width="10.265625" style="190" customWidth="1"/>
    <col min="14609" max="14609" width="10.73046875" style="190" customWidth="1"/>
    <col min="14610" max="14610" width="10.265625" style="190" customWidth="1"/>
    <col min="14611" max="14611" width="30.86328125" style="190" customWidth="1"/>
    <col min="14612" max="14848" width="9" style="190" customWidth="1"/>
    <col min="14849" max="14849" width="3.265625" style="190" customWidth="1"/>
    <col min="14850" max="14850" width="5.265625" style="190" customWidth="1"/>
    <col min="14851" max="14851" width="31.265625" style="190" customWidth="1"/>
    <col min="14852" max="14852" width="4.265625" style="190" customWidth="1"/>
    <col min="14853" max="14853" width="9.86328125" style="190" customWidth="1"/>
    <col min="14854" max="14854" width="7.86328125" style="190" customWidth="1"/>
    <col min="14855" max="14855" width="13" style="190" customWidth="1"/>
    <col min="14856" max="14856" width="7.265625" style="190" customWidth="1"/>
    <col min="14857" max="14857" width="8.265625" style="190" customWidth="1"/>
    <col min="14858" max="14858" width="11.265625" style="190" customWidth="1"/>
    <col min="14859" max="14859" width="9" style="190" customWidth="1"/>
    <col min="14860" max="14860" width="9.73046875" style="190" customWidth="1"/>
    <col min="14861" max="14861" width="8.265625" style="190" customWidth="1"/>
    <col min="14862" max="14862" width="9" style="190" customWidth="1"/>
    <col min="14863" max="14863" width="17.73046875" style="190" customWidth="1"/>
    <col min="14864" max="14864" width="10.265625" style="190" customWidth="1"/>
    <col min="14865" max="14865" width="10.73046875" style="190" customWidth="1"/>
    <col min="14866" max="14866" width="10.265625" style="190" customWidth="1"/>
    <col min="14867" max="14867" width="30.86328125" style="190" customWidth="1"/>
    <col min="14868" max="15104" width="9" style="190" customWidth="1"/>
    <col min="15105" max="15105" width="3.265625" style="190" customWidth="1"/>
    <col min="15106" max="15106" width="5.265625" style="190" customWidth="1"/>
    <col min="15107" max="15107" width="31.265625" style="190" customWidth="1"/>
    <col min="15108" max="15108" width="4.265625" style="190" customWidth="1"/>
    <col min="15109" max="15109" width="9.86328125" style="190" customWidth="1"/>
    <col min="15110" max="15110" width="7.86328125" style="190" customWidth="1"/>
    <col min="15111" max="15111" width="13" style="190" customWidth="1"/>
    <col min="15112" max="15112" width="7.265625" style="190" customWidth="1"/>
    <col min="15113" max="15113" width="8.265625" style="190" customWidth="1"/>
    <col min="15114" max="15114" width="11.265625" style="190" customWidth="1"/>
    <col min="15115" max="15115" width="9" style="190" customWidth="1"/>
    <col min="15116" max="15116" width="9.73046875" style="190" customWidth="1"/>
    <col min="15117" max="15117" width="8.265625" style="190" customWidth="1"/>
    <col min="15118" max="15118" width="9" style="190" customWidth="1"/>
    <col min="15119" max="15119" width="17.73046875" style="190" customWidth="1"/>
    <col min="15120" max="15120" width="10.265625" style="190" customWidth="1"/>
    <col min="15121" max="15121" width="10.73046875" style="190" customWidth="1"/>
    <col min="15122" max="15122" width="10.265625" style="190" customWidth="1"/>
    <col min="15123" max="15123" width="30.86328125" style="190" customWidth="1"/>
    <col min="15124" max="15360" width="9" style="190" customWidth="1"/>
    <col min="15361" max="15361" width="3.265625" style="190" customWidth="1"/>
    <col min="15362" max="15362" width="5.265625" style="190" customWidth="1"/>
    <col min="15363" max="15363" width="31.265625" style="190" customWidth="1"/>
    <col min="15364" max="15364" width="4.265625" style="190" customWidth="1"/>
    <col min="15365" max="15365" width="9.86328125" style="190" customWidth="1"/>
    <col min="15366" max="15366" width="7.86328125" style="190" customWidth="1"/>
    <col min="15367" max="15367" width="13" style="190" customWidth="1"/>
    <col min="15368" max="15368" width="7.265625" style="190" customWidth="1"/>
    <col min="15369" max="15369" width="8.265625" style="190" customWidth="1"/>
    <col min="15370" max="15370" width="11.265625" style="190" customWidth="1"/>
    <col min="15371" max="15371" width="9" style="190" customWidth="1"/>
    <col min="15372" max="15372" width="9.73046875" style="190" customWidth="1"/>
    <col min="15373" max="15373" width="8.265625" style="190" customWidth="1"/>
    <col min="15374" max="15374" width="9" style="190" customWidth="1"/>
    <col min="15375" max="15375" width="17.73046875" style="190" customWidth="1"/>
    <col min="15376" max="15376" width="10.265625" style="190" customWidth="1"/>
    <col min="15377" max="15377" width="10.73046875" style="190" customWidth="1"/>
    <col min="15378" max="15378" width="10.265625" style="190" customWidth="1"/>
    <col min="15379" max="15379" width="30.86328125" style="190" customWidth="1"/>
    <col min="15380" max="15616" width="9" style="190" customWidth="1"/>
    <col min="15617" max="15617" width="3.265625" style="190" customWidth="1"/>
    <col min="15618" max="15618" width="5.265625" style="190" customWidth="1"/>
    <col min="15619" max="15619" width="31.265625" style="190" customWidth="1"/>
    <col min="15620" max="15620" width="4.265625" style="190" customWidth="1"/>
    <col min="15621" max="15621" width="9.86328125" style="190" customWidth="1"/>
    <col min="15622" max="15622" width="7.86328125" style="190" customWidth="1"/>
    <col min="15623" max="15623" width="13" style="190" customWidth="1"/>
    <col min="15624" max="15624" width="7.265625" style="190" customWidth="1"/>
    <col min="15625" max="15625" width="8.265625" style="190" customWidth="1"/>
    <col min="15626" max="15626" width="11.265625" style="190" customWidth="1"/>
    <col min="15627" max="15627" width="9" style="190" customWidth="1"/>
    <col min="15628" max="15628" width="9.73046875" style="190" customWidth="1"/>
    <col min="15629" max="15629" width="8.265625" style="190" customWidth="1"/>
    <col min="15630" max="15630" width="9" style="190" customWidth="1"/>
    <col min="15631" max="15631" width="17.73046875" style="190" customWidth="1"/>
    <col min="15632" max="15632" width="10.265625" style="190" customWidth="1"/>
    <col min="15633" max="15633" width="10.73046875" style="190" customWidth="1"/>
    <col min="15634" max="15634" width="10.265625" style="190" customWidth="1"/>
    <col min="15635" max="15635" width="30.86328125" style="190" customWidth="1"/>
    <col min="15636" max="15872" width="9" style="190" customWidth="1"/>
    <col min="15873" max="15873" width="3.265625" style="190" customWidth="1"/>
    <col min="15874" max="15874" width="5.265625" style="190" customWidth="1"/>
    <col min="15875" max="15875" width="31.265625" style="190" customWidth="1"/>
    <col min="15876" max="15876" width="4.265625" style="190" customWidth="1"/>
    <col min="15877" max="15877" width="9.86328125" style="190" customWidth="1"/>
    <col min="15878" max="15878" width="7.86328125" style="190" customWidth="1"/>
    <col min="15879" max="15879" width="13" style="190" customWidth="1"/>
    <col min="15880" max="15880" width="7.265625" style="190" customWidth="1"/>
    <col min="15881" max="15881" width="8.265625" style="190" customWidth="1"/>
    <col min="15882" max="15882" width="11.265625" style="190" customWidth="1"/>
    <col min="15883" max="15883" width="9" style="190" customWidth="1"/>
    <col min="15884" max="15884" width="9.73046875" style="190" customWidth="1"/>
    <col min="15885" max="15885" width="8.265625" style="190" customWidth="1"/>
    <col min="15886" max="15886" width="9" style="190" customWidth="1"/>
    <col min="15887" max="15887" width="17.73046875" style="190" customWidth="1"/>
    <col min="15888" max="15888" width="10.265625" style="190" customWidth="1"/>
    <col min="15889" max="15889" width="10.73046875" style="190" customWidth="1"/>
    <col min="15890" max="15890" width="10.265625" style="190" customWidth="1"/>
    <col min="15891" max="15891" width="30.86328125" style="190" customWidth="1"/>
    <col min="15892" max="16128" width="9" style="190" customWidth="1"/>
    <col min="16129" max="16129" width="3.265625" style="190" customWidth="1"/>
    <col min="16130" max="16130" width="5.265625" style="190" customWidth="1"/>
    <col min="16131" max="16131" width="31.265625" style="190" customWidth="1"/>
    <col min="16132" max="16132" width="4.265625" style="190" customWidth="1"/>
    <col min="16133" max="16133" width="9.86328125" style="190" customWidth="1"/>
    <col min="16134" max="16134" width="7.86328125" style="190" customWidth="1"/>
    <col min="16135" max="16135" width="13" style="190" customWidth="1"/>
    <col min="16136" max="16136" width="7.265625" style="190" customWidth="1"/>
    <col min="16137" max="16137" width="8.265625" style="190" customWidth="1"/>
    <col min="16138" max="16138" width="11.265625" style="190" customWidth="1"/>
    <col min="16139" max="16139" width="9" style="190" customWidth="1"/>
    <col min="16140" max="16140" width="9.73046875" style="190" customWidth="1"/>
    <col min="16141" max="16141" width="8.265625" style="190" customWidth="1"/>
    <col min="16142" max="16142" width="9" style="190" customWidth="1"/>
    <col min="16143" max="16143" width="17.73046875" style="190" customWidth="1"/>
    <col min="16144" max="16144" width="10.265625" style="190" customWidth="1"/>
    <col min="16145" max="16145" width="10.73046875" style="190" customWidth="1"/>
    <col min="16146" max="16146" width="10.265625" style="190" customWidth="1"/>
    <col min="16147" max="16147" width="30.86328125" style="190" customWidth="1"/>
    <col min="16148" max="16384" width="9" style="190" customWidth="1"/>
  </cols>
  <sheetData>
    <row r="1" spans="1:19" ht="17.649999999999999">
      <c r="A1" s="114" t="s">
        <v>0</v>
      </c>
    </row>
    <row r="2" spans="1:19" ht="17.649999999999999">
      <c r="A2" s="114" t="s">
        <v>1</v>
      </c>
    </row>
    <row r="3" spans="1:19" ht="17.649999999999999">
      <c r="A3" s="114" t="s">
        <v>2</v>
      </c>
    </row>
    <row r="4" spans="1:19" ht="17.649999999999999">
      <c r="A4" s="114" t="s">
        <v>3</v>
      </c>
    </row>
    <row r="5" spans="1:19" ht="17.649999999999999">
      <c r="A5" s="114" t="s">
        <v>4</v>
      </c>
    </row>
    <row r="6" spans="1:19" ht="17.649999999999999">
      <c r="A6" s="114" t="s">
        <v>5</v>
      </c>
    </row>
    <row r="7" spans="1:19" ht="17.649999999999999">
      <c r="A7" s="116" t="s">
        <v>6</v>
      </c>
      <c r="B7" s="188"/>
      <c r="C7" s="188"/>
      <c r="D7" s="188"/>
      <c r="E7" s="188"/>
      <c r="F7" s="188"/>
      <c r="G7" s="189"/>
      <c r="H7" s="189"/>
      <c r="I7" s="189"/>
      <c r="J7" s="237"/>
      <c r="K7" s="188"/>
      <c r="L7" s="188"/>
      <c r="M7" s="188"/>
      <c r="N7" s="188"/>
      <c r="O7" s="188"/>
      <c r="P7" s="188"/>
      <c r="Q7" s="188"/>
      <c r="R7" s="188"/>
      <c r="S7" s="188"/>
    </row>
    <row r="8" spans="1:19">
      <c r="B8" s="238"/>
      <c r="C8" s="238"/>
      <c r="D8" s="238"/>
      <c r="E8" s="238"/>
      <c r="F8" s="238"/>
      <c r="G8" s="238"/>
      <c r="H8" s="238"/>
      <c r="I8" s="238"/>
      <c r="J8" s="238"/>
      <c r="K8" s="238"/>
      <c r="L8" s="238"/>
      <c r="M8" s="189"/>
      <c r="N8" s="189"/>
      <c r="O8" s="188"/>
      <c r="P8" s="188"/>
      <c r="Q8" s="188"/>
      <c r="R8" s="188"/>
      <c r="S8" s="188"/>
    </row>
    <row r="9" spans="1:19" ht="70.5">
      <c r="B9" s="509" t="s">
        <v>7</v>
      </c>
      <c r="C9" s="509" t="s">
        <v>8</v>
      </c>
      <c r="D9" s="239" t="s">
        <v>9</v>
      </c>
      <c r="E9" s="239" t="s">
        <v>10</v>
      </c>
      <c r="F9" s="509" t="s">
        <v>11</v>
      </c>
      <c r="G9" s="239" t="s">
        <v>12</v>
      </c>
      <c r="H9" s="239" t="s">
        <v>13</v>
      </c>
      <c r="I9" s="239" t="s">
        <v>14</v>
      </c>
      <c r="J9" s="508" t="s">
        <v>15</v>
      </c>
      <c r="K9" s="508"/>
      <c r="L9" s="508" t="s">
        <v>16</v>
      </c>
      <c r="M9" s="508" t="s">
        <v>17</v>
      </c>
      <c r="N9" s="509" t="s">
        <v>18</v>
      </c>
      <c r="O9" s="508" t="s">
        <v>19</v>
      </c>
      <c r="P9" s="509" t="s">
        <v>20</v>
      </c>
      <c r="Q9" s="239" t="s">
        <v>21</v>
      </c>
      <c r="R9" s="508" t="s">
        <v>22</v>
      </c>
      <c r="S9" s="509" t="s">
        <v>23</v>
      </c>
    </row>
    <row r="10" spans="1:19" ht="17.649999999999999">
      <c r="B10" s="510"/>
      <c r="C10" s="510"/>
      <c r="D10" s="240"/>
      <c r="E10" s="240"/>
      <c r="F10" s="510"/>
      <c r="G10" s="240"/>
      <c r="H10" s="240"/>
      <c r="I10" s="240"/>
      <c r="J10" s="241" t="s">
        <v>24</v>
      </c>
      <c r="K10" s="241" t="s">
        <v>25</v>
      </c>
      <c r="L10" s="508"/>
      <c r="M10" s="508"/>
      <c r="N10" s="511"/>
      <c r="O10" s="508"/>
      <c r="P10" s="511"/>
      <c r="Q10" s="242"/>
      <c r="R10" s="508"/>
      <c r="S10" s="510"/>
    </row>
    <row r="11" spans="1:19" ht="34.5">
      <c r="B11" s="511"/>
      <c r="C11" s="511"/>
      <c r="D11" s="242"/>
      <c r="E11" s="242"/>
      <c r="F11" s="511"/>
      <c r="G11" s="243" t="s">
        <v>26</v>
      </c>
      <c r="H11" s="243" t="s">
        <v>27</v>
      </c>
      <c r="I11" s="243" t="s">
        <v>28</v>
      </c>
      <c r="J11" s="244" t="s">
        <v>29</v>
      </c>
      <c r="K11" s="244" t="s">
        <v>30</v>
      </c>
      <c r="L11" s="244" t="s">
        <v>31</v>
      </c>
      <c r="M11" s="244" t="s">
        <v>32</v>
      </c>
      <c r="N11" s="244" t="s">
        <v>33</v>
      </c>
      <c r="O11" s="244" t="s">
        <v>34</v>
      </c>
      <c r="P11" s="244" t="s">
        <v>35</v>
      </c>
      <c r="Q11" s="244" t="s">
        <v>35</v>
      </c>
      <c r="R11" s="244" t="s">
        <v>35</v>
      </c>
      <c r="S11" s="511"/>
    </row>
    <row r="12" spans="1:19" s="245" customFormat="1" ht="17.649999999999999">
      <c r="B12" s="504"/>
      <c r="C12" s="506"/>
      <c r="D12" s="246"/>
      <c r="E12" s="247"/>
      <c r="F12" s="248">
        <v>0</v>
      </c>
      <c r="G12" s="248" t="s">
        <v>36</v>
      </c>
      <c r="H12" s="248">
        <v>0</v>
      </c>
      <c r="I12" s="248">
        <v>0</v>
      </c>
      <c r="J12" s="248">
        <v>0</v>
      </c>
      <c r="K12" s="248">
        <v>0</v>
      </c>
      <c r="L12" s="248">
        <v>0</v>
      </c>
      <c r="M12" s="248">
        <v>0</v>
      </c>
      <c r="N12" s="248">
        <v>0</v>
      </c>
      <c r="O12" s="248" t="s">
        <v>37</v>
      </c>
      <c r="P12" s="248">
        <v>0</v>
      </c>
      <c r="Q12" s="248">
        <v>0</v>
      </c>
      <c r="R12" s="248">
        <v>0</v>
      </c>
      <c r="S12" s="249"/>
    </row>
    <row r="13" spans="1:19" ht="17.649999999999999">
      <c r="B13" s="505"/>
      <c r="C13" s="507"/>
      <c r="D13" s="250"/>
      <c r="E13" s="251"/>
      <c r="F13" s="252">
        <v>0</v>
      </c>
      <c r="G13" s="253" t="s">
        <v>36</v>
      </c>
      <c r="H13" s="252">
        <v>0</v>
      </c>
      <c r="I13" s="252">
        <v>0</v>
      </c>
      <c r="J13" s="252">
        <v>0</v>
      </c>
      <c r="K13" s="252">
        <v>0</v>
      </c>
      <c r="L13" s="252">
        <v>0</v>
      </c>
      <c r="M13" s="253">
        <v>0</v>
      </c>
      <c r="N13" s="252">
        <v>0</v>
      </c>
      <c r="O13" s="253" t="s">
        <v>37</v>
      </c>
      <c r="P13" s="252">
        <v>0</v>
      </c>
      <c r="Q13" s="253">
        <v>0</v>
      </c>
      <c r="R13" s="252">
        <v>0</v>
      </c>
      <c r="S13" s="254"/>
    </row>
    <row r="14" spans="1:19" s="195" customFormat="1" ht="17.649999999999999">
      <c r="B14" s="504"/>
      <c r="C14" s="506"/>
      <c r="D14" s="246"/>
      <c r="E14" s="247"/>
      <c r="F14" s="248">
        <v>0</v>
      </c>
      <c r="G14" s="248" t="s">
        <v>36</v>
      </c>
      <c r="H14" s="248">
        <v>0</v>
      </c>
      <c r="I14" s="248">
        <v>0</v>
      </c>
      <c r="J14" s="248">
        <v>0</v>
      </c>
      <c r="K14" s="248">
        <v>0</v>
      </c>
      <c r="L14" s="248">
        <v>0</v>
      </c>
      <c r="M14" s="248">
        <v>0</v>
      </c>
      <c r="N14" s="248">
        <v>0</v>
      </c>
      <c r="O14" s="248" t="s">
        <v>37</v>
      </c>
      <c r="P14" s="248">
        <v>0</v>
      </c>
      <c r="Q14" s="248">
        <v>0</v>
      </c>
      <c r="R14" s="248">
        <v>0</v>
      </c>
      <c r="S14" s="249"/>
    </row>
    <row r="15" spans="1:19" s="195" customFormat="1" ht="17.649999999999999">
      <c r="B15" s="505"/>
      <c r="C15" s="507"/>
      <c r="D15" s="250"/>
      <c r="E15" s="251"/>
      <c r="F15" s="252">
        <v>0</v>
      </c>
      <c r="G15" s="253" t="s">
        <v>36</v>
      </c>
      <c r="H15" s="252">
        <v>0</v>
      </c>
      <c r="I15" s="252">
        <v>0</v>
      </c>
      <c r="J15" s="252">
        <v>0</v>
      </c>
      <c r="K15" s="252">
        <v>0</v>
      </c>
      <c r="L15" s="252">
        <v>0</v>
      </c>
      <c r="M15" s="253">
        <v>0</v>
      </c>
      <c r="N15" s="252">
        <v>0</v>
      </c>
      <c r="O15" s="253" t="s">
        <v>37</v>
      </c>
      <c r="P15" s="252">
        <v>0</v>
      </c>
      <c r="Q15" s="253">
        <v>0</v>
      </c>
      <c r="R15" s="252">
        <v>0</v>
      </c>
      <c r="S15" s="254"/>
    </row>
    <row r="16" spans="1:19" s="195" customFormat="1" ht="17.649999999999999">
      <c r="B16" s="504"/>
      <c r="C16" s="506"/>
      <c r="D16" s="246"/>
      <c r="E16" s="247"/>
      <c r="F16" s="248">
        <v>0</v>
      </c>
      <c r="G16" s="248" t="s">
        <v>36</v>
      </c>
      <c r="H16" s="248">
        <v>0</v>
      </c>
      <c r="I16" s="248">
        <v>0</v>
      </c>
      <c r="J16" s="248">
        <v>0</v>
      </c>
      <c r="K16" s="248">
        <v>0</v>
      </c>
      <c r="L16" s="248">
        <v>0</v>
      </c>
      <c r="M16" s="248">
        <v>0</v>
      </c>
      <c r="N16" s="248">
        <v>0</v>
      </c>
      <c r="O16" s="248" t="s">
        <v>37</v>
      </c>
      <c r="P16" s="248">
        <v>0</v>
      </c>
      <c r="Q16" s="248">
        <v>0</v>
      </c>
      <c r="R16" s="248">
        <v>0</v>
      </c>
      <c r="S16" s="249"/>
    </row>
    <row r="17" spans="2:19" s="195" customFormat="1" ht="17.649999999999999">
      <c r="B17" s="505"/>
      <c r="C17" s="507"/>
      <c r="D17" s="250"/>
      <c r="E17" s="251"/>
      <c r="F17" s="252">
        <v>0</v>
      </c>
      <c r="G17" s="253" t="s">
        <v>36</v>
      </c>
      <c r="H17" s="252">
        <v>0</v>
      </c>
      <c r="I17" s="252">
        <v>0</v>
      </c>
      <c r="J17" s="252">
        <v>0</v>
      </c>
      <c r="K17" s="252">
        <v>0</v>
      </c>
      <c r="L17" s="252">
        <v>0</v>
      </c>
      <c r="M17" s="253">
        <v>0</v>
      </c>
      <c r="N17" s="252">
        <v>0</v>
      </c>
      <c r="O17" s="253" t="s">
        <v>37</v>
      </c>
      <c r="P17" s="252">
        <v>0</v>
      </c>
      <c r="Q17" s="253">
        <v>0</v>
      </c>
      <c r="R17" s="252">
        <v>0</v>
      </c>
      <c r="S17" s="254"/>
    </row>
    <row r="18" spans="2:19" s="195" customFormat="1" ht="17.649999999999999">
      <c r="B18" s="504"/>
      <c r="C18" s="506"/>
      <c r="D18" s="246"/>
      <c r="E18" s="247"/>
      <c r="F18" s="248">
        <v>0</v>
      </c>
      <c r="G18" s="248" t="s">
        <v>36</v>
      </c>
      <c r="H18" s="248">
        <v>0</v>
      </c>
      <c r="I18" s="248">
        <v>0</v>
      </c>
      <c r="J18" s="248">
        <v>0</v>
      </c>
      <c r="K18" s="248">
        <v>0</v>
      </c>
      <c r="L18" s="248">
        <v>0</v>
      </c>
      <c r="M18" s="248">
        <v>0</v>
      </c>
      <c r="N18" s="248">
        <v>0</v>
      </c>
      <c r="O18" s="248" t="s">
        <v>37</v>
      </c>
      <c r="P18" s="248">
        <v>0</v>
      </c>
      <c r="Q18" s="248">
        <v>0</v>
      </c>
      <c r="R18" s="248">
        <v>0</v>
      </c>
      <c r="S18" s="249"/>
    </row>
    <row r="19" spans="2:19" s="195" customFormat="1" ht="17.649999999999999">
      <c r="B19" s="505"/>
      <c r="C19" s="507"/>
      <c r="D19" s="250"/>
      <c r="E19" s="251"/>
      <c r="F19" s="252">
        <v>0</v>
      </c>
      <c r="G19" s="253" t="s">
        <v>36</v>
      </c>
      <c r="H19" s="252">
        <v>0</v>
      </c>
      <c r="I19" s="252">
        <v>0</v>
      </c>
      <c r="J19" s="252">
        <v>0</v>
      </c>
      <c r="K19" s="252">
        <v>0</v>
      </c>
      <c r="L19" s="252">
        <v>0</v>
      </c>
      <c r="M19" s="253">
        <v>0</v>
      </c>
      <c r="N19" s="252">
        <v>0</v>
      </c>
      <c r="O19" s="253" t="s">
        <v>37</v>
      </c>
      <c r="P19" s="252">
        <v>0</v>
      </c>
      <c r="Q19" s="253">
        <v>0</v>
      </c>
      <c r="R19" s="252">
        <v>0</v>
      </c>
      <c r="S19" s="254"/>
    </row>
    <row r="20" spans="2:19" s="195" customFormat="1" ht="17.649999999999999">
      <c r="B20" s="504"/>
      <c r="C20" s="506"/>
      <c r="D20" s="246"/>
      <c r="E20" s="247"/>
      <c r="F20" s="248">
        <v>0</v>
      </c>
      <c r="G20" s="248" t="s">
        <v>36</v>
      </c>
      <c r="H20" s="248">
        <v>0</v>
      </c>
      <c r="I20" s="248">
        <v>0</v>
      </c>
      <c r="J20" s="248">
        <v>0</v>
      </c>
      <c r="K20" s="248">
        <v>0</v>
      </c>
      <c r="L20" s="248">
        <v>0</v>
      </c>
      <c r="M20" s="248">
        <v>0</v>
      </c>
      <c r="N20" s="248">
        <v>0</v>
      </c>
      <c r="O20" s="248" t="s">
        <v>37</v>
      </c>
      <c r="P20" s="248">
        <v>0</v>
      </c>
      <c r="Q20" s="248">
        <v>0</v>
      </c>
      <c r="R20" s="248">
        <v>0</v>
      </c>
      <c r="S20" s="249"/>
    </row>
    <row r="21" spans="2:19" s="195" customFormat="1" ht="17.649999999999999">
      <c r="B21" s="505"/>
      <c r="C21" s="507"/>
      <c r="D21" s="250"/>
      <c r="E21" s="251"/>
      <c r="F21" s="252">
        <v>0</v>
      </c>
      <c r="G21" s="253" t="s">
        <v>36</v>
      </c>
      <c r="H21" s="252">
        <v>0</v>
      </c>
      <c r="I21" s="252">
        <v>0</v>
      </c>
      <c r="J21" s="252">
        <v>0</v>
      </c>
      <c r="K21" s="252">
        <v>0</v>
      </c>
      <c r="L21" s="252">
        <v>0</v>
      </c>
      <c r="M21" s="253">
        <v>0</v>
      </c>
      <c r="N21" s="252">
        <v>0</v>
      </c>
      <c r="O21" s="253" t="s">
        <v>37</v>
      </c>
      <c r="P21" s="252">
        <v>0</v>
      </c>
      <c r="Q21" s="253">
        <v>0</v>
      </c>
      <c r="R21" s="252">
        <v>0</v>
      </c>
      <c r="S21" s="254"/>
    </row>
    <row r="22" spans="2:19" s="195" customFormat="1" ht="17.649999999999999">
      <c r="B22" s="504"/>
      <c r="C22" s="506"/>
      <c r="D22" s="246"/>
      <c r="E22" s="247"/>
      <c r="F22" s="248">
        <v>0</v>
      </c>
      <c r="G22" s="248" t="s">
        <v>36</v>
      </c>
      <c r="H22" s="248">
        <v>0</v>
      </c>
      <c r="I22" s="248">
        <v>0</v>
      </c>
      <c r="J22" s="248">
        <v>0</v>
      </c>
      <c r="K22" s="248">
        <v>0</v>
      </c>
      <c r="L22" s="248">
        <v>0</v>
      </c>
      <c r="M22" s="248">
        <v>0</v>
      </c>
      <c r="N22" s="248">
        <v>0</v>
      </c>
      <c r="O22" s="248" t="s">
        <v>37</v>
      </c>
      <c r="P22" s="248">
        <v>0</v>
      </c>
      <c r="Q22" s="248">
        <v>0</v>
      </c>
      <c r="R22" s="248">
        <v>0</v>
      </c>
      <c r="S22" s="249"/>
    </row>
    <row r="23" spans="2:19" s="195" customFormat="1" ht="17.649999999999999">
      <c r="B23" s="505"/>
      <c r="C23" s="507"/>
      <c r="D23" s="250"/>
      <c r="E23" s="251"/>
      <c r="F23" s="252">
        <v>0</v>
      </c>
      <c r="G23" s="253" t="s">
        <v>36</v>
      </c>
      <c r="H23" s="252">
        <v>0</v>
      </c>
      <c r="I23" s="252">
        <v>0</v>
      </c>
      <c r="J23" s="252">
        <v>0</v>
      </c>
      <c r="K23" s="252">
        <v>0</v>
      </c>
      <c r="L23" s="252">
        <v>0</v>
      </c>
      <c r="M23" s="253">
        <v>0</v>
      </c>
      <c r="N23" s="252">
        <v>0</v>
      </c>
      <c r="O23" s="253" t="s">
        <v>37</v>
      </c>
      <c r="P23" s="252">
        <v>0</v>
      </c>
      <c r="Q23" s="253">
        <v>0</v>
      </c>
      <c r="R23" s="252">
        <v>0</v>
      </c>
      <c r="S23" s="254"/>
    </row>
    <row r="24" spans="2:19" s="195" customFormat="1" ht="17.649999999999999">
      <c r="B24" s="504"/>
      <c r="C24" s="506"/>
      <c r="D24" s="246"/>
      <c r="E24" s="247"/>
      <c r="F24" s="248">
        <v>0</v>
      </c>
      <c r="G24" s="248" t="s">
        <v>36</v>
      </c>
      <c r="H24" s="248">
        <v>0</v>
      </c>
      <c r="I24" s="248">
        <v>0</v>
      </c>
      <c r="J24" s="248">
        <v>0</v>
      </c>
      <c r="K24" s="248">
        <v>0</v>
      </c>
      <c r="L24" s="248">
        <v>0</v>
      </c>
      <c r="M24" s="248">
        <v>0</v>
      </c>
      <c r="N24" s="248">
        <v>0</v>
      </c>
      <c r="O24" s="248" t="s">
        <v>37</v>
      </c>
      <c r="P24" s="248">
        <v>0</v>
      </c>
      <c r="Q24" s="248">
        <v>0</v>
      </c>
      <c r="R24" s="248">
        <v>0</v>
      </c>
      <c r="S24" s="249"/>
    </row>
    <row r="25" spans="2:19" s="195" customFormat="1" ht="17.649999999999999">
      <c r="B25" s="505"/>
      <c r="C25" s="507"/>
      <c r="D25" s="250"/>
      <c r="E25" s="251"/>
      <c r="F25" s="252">
        <v>0</v>
      </c>
      <c r="G25" s="253" t="s">
        <v>36</v>
      </c>
      <c r="H25" s="252">
        <v>0</v>
      </c>
      <c r="I25" s="252">
        <v>0</v>
      </c>
      <c r="J25" s="252">
        <v>0</v>
      </c>
      <c r="K25" s="252">
        <v>0</v>
      </c>
      <c r="L25" s="252">
        <v>0</v>
      </c>
      <c r="M25" s="253">
        <v>0</v>
      </c>
      <c r="N25" s="252">
        <v>0</v>
      </c>
      <c r="O25" s="253" t="s">
        <v>37</v>
      </c>
      <c r="P25" s="252">
        <v>0</v>
      </c>
      <c r="Q25" s="253">
        <v>0</v>
      </c>
      <c r="R25" s="252">
        <v>0</v>
      </c>
      <c r="S25" s="254"/>
    </row>
    <row r="26" spans="2:19" s="195" customFormat="1" ht="17.649999999999999">
      <c r="B26" s="504"/>
      <c r="C26" s="506"/>
      <c r="D26" s="246"/>
      <c r="E26" s="247"/>
      <c r="F26" s="248">
        <v>0</v>
      </c>
      <c r="G26" s="248" t="s">
        <v>36</v>
      </c>
      <c r="H26" s="248">
        <v>0</v>
      </c>
      <c r="I26" s="248">
        <v>0</v>
      </c>
      <c r="J26" s="248">
        <v>0</v>
      </c>
      <c r="K26" s="248">
        <v>0</v>
      </c>
      <c r="L26" s="248">
        <v>0</v>
      </c>
      <c r="M26" s="248">
        <v>0</v>
      </c>
      <c r="N26" s="248">
        <v>0</v>
      </c>
      <c r="O26" s="248" t="s">
        <v>37</v>
      </c>
      <c r="P26" s="248">
        <v>0</v>
      </c>
      <c r="Q26" s="248">
        <v>0</v>
      </c>
      <c r="R26" s="248">
        <v>0</v>
      </c>
      <c r="S26" s="249"/>
    </row>
    <row r="27" spans="2:19" s="195" customFormat="1" ht="17.649999999999999">
      <c r="B27" s="505"/>
      <c r="C27" s="507"/>
      <c r="D27" s="250"/>
      <c r="E27" s="251"/>
      <c r="F27" s="252">
        <v>0</v>
      </c>
      <c r="G27" s="253" t="s">
        <v>36</v>
      </c>
      <c r="H27" s="252">
        <v>0</v>
      </c>
      <c r="I27" s="252">
        <v>0</v>
      </c>
      <c r="J27" s="252">
        <v>0</v>
      </c>
      <c r="K27" s="252">
        <v>0</v>
      </c>
      <c r="L27" s="252">
        <v>0</v>
      </c>
      <c r="M27" s="253">
        <v>0</v>
      </c>
      <c r="N27" s="252">
        <v>0</v>
      </c>
      <c r="O27" s="253" t="s">
        <v>37</v>
      </c>
      <c r="P27" s="252">
        <v>0</v>
      </c>
      <c r="Q27" s="253">
        <v>0</v>
      </c>
      <c r="R27" s="252">
        <v>0</v>
      </c>
      <c r="S27" s="254"/>
    </row>
    <row r="28" spans="2:19" s="195" customFormat="1" ht="17.649999999999999">
      <c r="B28" s="504"/>
      <c r="C28" s="506"/>
      <c r="D28" s="246"/>
      <c r="E28" s="247"/>
      <c r="F28" s="248">
        <v>0</v>
      </c>
      <c r="G28" s="248" t="s">
        <v>36</v>
      </c>
      <c r="H28" s="248">
        <v>0</v>
      </c>
      <c r="I28" s="248">
        <v>0</v>
      </c>
      <c r="J28" s="248">
        <v>0</v>
      </c>
      <c r="K28" s="248">
        <v>0</v>
      </c>
      <c r="L28" s="248">
        <v>0</v>
      </c>
      <c r="M28" s="248">
        <v>0</v>
      </c>
      <c r="N28" s="248">
        <v>0</v>
      </c>
      <c r="O28" s="248" t="s">
        <v>37</v>
      </c>
      <c r="P28" s="248">
        <v>0</v>
      </c>
      <c r="Q28" s="248">
        <v>0</v>
      </c>
      <c r="R28" s="248">
        <v>0</v>
      </c>
      <c r="S28" s="249"/>
    </row>
    <row r="29" spans="2:19" s="195" customFormat="1" ht="17.649999999999999">
      <c r="B29" s="505"/>
      <c r="C29" s="507"/>
      <c r="D29" s="250"/>
      <c r="E29" s="251"/>
      <c r="F29" s="252">
        <v>0</v>
      </c>
      <c r="G29" s="253" t="s">
        <v>36</v>
      </c>
      <c r="H29" s="252">
        <v>0</v>
      </c>
      <c r="I29" s="252">
        <v>0</v>
      </c>
      <c r="J29" s="252">
        <v>0</v>
      </c>
      <c r="K29" s="252">
        <v>0</v>
      </c>
      <c r="L29" s="252">
        <v>0</v>
      </c>
      <c r="M29" s="253">
        <v>0</v>
      </c>
      <c r="N29" s="252">
        <v>0</v>
      </c>
      <c r="O29" s="253" t="s">
        <v>37</v>
      </c>
      <c r="P29" s="252">
        <v>0</v>
      </c>
      <c r="Q29" s="253">
        <v>0</v>
      </c>
      <c r="R29" s="252">
        <v>0</v>
      </c>
      <c r="S29" s="254"/>
    </row>
    <row r="30" spans="2:19" s="195" customFormat="1" ht="17.649999999999999">
      <c r="B30" s="504"/>
      <c r="C30" s="506"/>
      <c r="D30" s="246"/>
      <c r="E30" s="247"/>
      <c r="F30" s="248">
        <v>0</v>
      </c>
      <c r="G30" s="248" t="s">
        <v>36</v>
      </c>
      <c r="H30" s="248">
        <v>0</v>
      </c>
      <c r="I30" s="248">
        <v>0</v>
      </c>
      <c r="J30" s="248">
        <v>0</v>
      </c>
      <c r="K30" s="248">
        <v>0</v>
      </c>
      <c r="L30" s="248">
        <v>0</v>
      </c>
      <c r="M30" s="248">
        <v>0</v>
      </c>
      <c r="N30" s="248">
        <v>0</v>
      </c>
      <c r="O30" s="248" t="s">
        <v>37</v>
      </c>
      <c r="P30" s="248">
        <v>0</v>
      </c>
      <c r="Q30" s="248">
        <v>0</v>
      </c>
      <c r="R30" s="248">
        <v>0</v>
      </c>
      <c r="S30" s="249"/>
    </row>
    <row r="31" spans="2:19" s="195" customFormat="1" ht="17.649999999999999">
      <c r="B31" s="505"/>
      <c r="C31" s="507"/>
      <c r="D31" s="250"/>
      <c r="E31" s="251"/>
      <c r="F31" s="252">
        <v>0</v>
      </c>
      <c r="G31" s="253" t="s">
        <v>36</v>
      </c>
      <c r="H31" s="252">
        <v>0</v>
      </c>
      <c r="I31" s="252">
        <v>0</v>
      </c>
      <c r="J31" s="252">
        <v>0</v>
      </c>
      <c r="K31" s="252">
        <v>0</v>
      </c>
      <c r="L31" s="252">
        <v>0</v>
      </c>
      <c r="M31" s="253">
        <v>0</v>
      </c>
      <c r="N31" s="252">
        <v>0</v>
      </c>
      <c r="O31" s="253" t="s">
        <v>37</v>
      </c>
      <c r="P31" s="252">
        <v>0</v>
      </c>
      <c r="Q31" s="253">
        <v>0</v>
      </c>
      <c r="R31" s="252">
        <v>0</v>
      </c>
      <c r="S31" s="254"/>
    </row>
    <row r="32" spans="2:19" s="195" customFormat="1" ht="17.649999999999999">
      <c r="B32" s="504"/>
      <c r="C32" s="506"/>
      <c r="D32" s="246"/>
      <c r="E32" s="247"/>
      <c r="F32" s="248">
        <v>0</v>
      </c>
      <c r="G32" s="248" t="s">
        <v>36</v>
      </c>
      <c r="H32" s="248">
        <v>0</v>
      </c>
      <c r="I32" s="248">
        <v>0</v>
      </c>
      <c r="J32" s="248">
        <v>0</v>
      </c>
      <c r="K32" s="248">
        <v>0</v>
      </c>
      <c r="L32" s="248">
        <v>0</v>
      </c>
      <c r="M32" s="248">
        <v>0</v>
      </c>
      <c r="N32" s="248">
        <v>0</v>
      </c>
      <c r="O32" s="248" t="s">
        <v>37</v>
      </c>
      <c r="P32" s="248">
        <v>0</v>
      </c>
      <c r="Q32" s="248">
        <v>0</v>
      </c>
      <c r="R32" s="248">
        <v>0</v>
      </c>
      <c r="S32" s="249"/>
    </row>
    <row r="33" spans="2:19" s="195" customFormat="1" ht="17.649999999999999">
      <c r="B33" s="505"/>
      <c r="C33" s="507"/>
      <c r="D33" s="250"/>
      <c r="E33" s="251"/>
      <c r="F33" s="252">
        <v>0</v>
      </c>
      <c r="G33" s="253" t="s">
        <v>36</v>
      </c>
      <c r="H33" s="252">
        <v>0</v>
      </c>
      <c r="I33" s="252">
        <v>0</v>
      </c>
      <c r="J33" s="252">
        <v>0</v>
      </c>
      <c r="K33" s="252">
        <v>0</v>
      </c>
      <c r="L33" s="252">
        <v>0</v>
      </c>
      <c r="M33" s="253">
        <v>0</v>
      </c>
      <c r="N33" s="252">
        <v>0</v>
      </c>
      <c r="O33" s="253" t="s">
        <v>37</v>
      </c>
      <c r="P33" s="252">
        <v>0</v>
      </c>
      <c r="Q33" s="253">
        <v>0</v>
      </c>
      <c r="R33" s="252">
        <v>0</v>
      </c>
      <c r="S33" s="254"/>
    </row>
    <row r="34" spans="2:19" s="195" customFormat="1" ht="17.649999999999999">
      <c r="B34" s="504"/>
      <c r="C34" s="506"/>
      <c r="D34" s="246"/>
      <c r="E34" s="247"/>
      <c r="F34" s="248">
        <v>0</v>
      </c>
      <c r="G34" s="248" t="s">
        <v>36</v>
      </c>
      <c r="H34" s="248">
        <v>0</v>
      </c>
      <c r="I34" s="248">
        <v>0</v>
      </c>
      <c r="J34" s="248">
        <v>0</v>
      </c>
      <c r="K34" s="248">
        <v>0</v>
      </c>
      <c r="L34" s="248">
        <v>0</v>
      </c>
      <c r="M34" s="248">
        <v>0</v>
      </c>
      <c r="N34" s="248">
        <v>0</v>
      </c>
      <c r="O34" s="248" t="s">
        <v>37</v>
      </c>
      <c r="P34" s="248">
        <v>0</v>
      </c>
      <c r="Q34" s="248">
        <v>0</v>
      </c>
      <c r="R34" s="248">
        <v>0</v>
      </c>
      <c r="S34" s="249"/>
    </row>
    <row r="35" spans="2:19" s="195" customFormat="1" ht="17.649999999999999">
      <c r="B35" s="505"/>
      <c r="C35" s="507"/>
      <c r="D35" s="250"/>
      <c r="E35" s="251"/>
      <c r="F35" s="252">
        <v>0</v>
      </c>
      <c r="G35" s="253" t="s">
        <v>36</v>
      </c>
      <c r="H35" s="252">
        <v>0</v>
      </c>
      <c r="I35" s="252">
        <v>0</v>
      </c>
      <c r="J35" s="252">
        <v>0</v>
      </c>
      <c r="K35" s="252">
        <v>0</v>
      </c>
      <c r="L35" s="252">
        <v>0</v>
      </c>
      <c r="M35" s="253">
        <v>0</v>
      </c>
      <c r="N35" s="252">
        <v>0</v>
      </c>
      <c r="O35" s="253" t="s">
        <v>37</v>
      </c>
      <c r="P35" s="252">
        <v>0</v>
      </c>
      <c r="Q35" s="253">
        <v>0</v>
      </c>
      <c r="R35" s="252">
        <v>0</v>
      </c>
      <c r="S35" s="254"/>
    </row>
    <row r="36" spans="2:19" s="195" customFormat="1" ht="17.649999999999999">
      <c r="B36" s="504"/>
      <c r="C36" s="506"/>
      <c r="D36" s="246"/>
      <c r="E36" s="247"/>
      <c r="F36" s="248">
        <v>0</v>
      </c>
      <c r="G36" s="248" t="s">
        <v>36</v>
      </c>
      <c r="H36" s="248">
        <v>0</v>
      </c>
      <c r="I36" s="248">
        <v>0</v>
      </c>
      <c r="J36" s="248">
        <v>0</v>
      </c>
      <c r="K36" s="248">
        <v>0</v>
      </c>
      <c r="L36" s="248">
        <v>0</v>
      </c>
      <c r="M36" s="248">
        <v>0</v>
      </c>
      <c r="N36" s="248">
        <v>0</v>
      </c>
      <c r="O36" s="248" t="s">
        <v>37</v>
      </c>
      <c r="P36" s="248">
        <v>0</v>
      </c>
      <c r="Q36" s="248">
        <v>0</v>
      </c>
      <c r="R36" s="248">
        <v>0</v>
      </c>
      <c r="S36" s="249"/>
    </row>
    <row r="37" spans="2:19" s="195" customFormat="1" ht="17.649999999999999">
      <c r="B37" s="505"/>
      <c r="C37" s="507"/>
      <c r="D37" s="250"/>
      <c r="E37" s="251"/>
      <c r="F37" s="252">
        <v>0</v>
      </c>
      <c r="G37" s="253" t="s">
        <v>36</v>
      </c>
      <c r="H37" s="252">
        <v>0</v>
      </c>
      <c r="I37" s="252">
        <v>0</v>
      </c>
      <c r="J37" s="252">
        <v>0</v>
      </c>
      <c r="K37" s="252">
        <v>0</v>
      </c>
      <c r="L37" s="252">
        <v>0</v>
      </c>
      <c r="M37" s="253">
        <v>0</v>
      </c>
      <c r="N37" s="252">
        <v>0</v>
      </c>
      <c r="O37" s="253" t="s">
        <v>37</v>
      </c>
      <c r="P37" s="252">
        <v>0</v>
      </c>
      <c r="Q37" s="253">
        <v>0</v>
      </c>
      <c r="R37" s="252">
        <v>0</v>
      </c>
      <c r="S37" s="254"/>
    </row>
    <row r="38" spans="2:19" s="195" customFormat="1" ht="17.649999999999999">
      <c r="B38" s="504"/>
      <c r="C38" s="506"/>
      <c r="D38" s="246"/>
      <c r="E38" s="247"/>
      <c r="F38" s="248">
        <v>0</v>
      </c>
      <c r="G38" s="248" t="s">
        <v>36</v>
      </c>
      <c r="H38" s="248">
        <v>0</v>
      </c>
      <c r="I38" s="248">
        <v>0</v>
      </c>
      <c r="J38" s="248">
        <v>0</v>
      </c>
      <c r="K38" s="248">
        <v>0</v>
      </c>
      <c r="L38" s="248">
        <v>0</v>
      </c>
      <c r="M38" s="248">
        <v>0</v>
      </c>
      <c r="N38" s="248">
        <v>0</v>
      </c>
      <c r="O38" s="248" t="s">
        <v>37</v>
      </c>
      <c r="P38" s="248">
        <v>0</v>
      </c>
      <c r="Q38" s="248">
        <v>0</v>
      </c>
      <c r="R38" s="248">
        <v>0</v>
      </c>
      <c r="S38" s="249"/>
    </row>
    <row r="39" spans="2:19" s="195" customFormat="1" ht="17.649999999999999">
      <c r="B39" s="505"/>
      <c r="C39" s="507"/>
      <c r="D39" s="250"/>
      <c r="E39" s="251"/>
      <c r="F39" s="252">
        <v>0</v>
      </c>
      <c r="G39" s="253" t="s">
        <v>36</v>
      </c>
      <c r="H39" s="252">
        <v>0</v>
      </c>
      <c r="I39" s="252">
        <v>0</v>
      </c>
      <c r="J39" s="252">
        <v>0</v>
      </c>
      <c r="K39" s="252">
        <v>0</v>
      </c>
      <c r="L39" s="252">
        <v>0</v>
      </c>
      <c r="M39" s="253">
        <v>0</v>
      </c>
      <c r="N39" s="252">
        <v>0</v>
      </c>
      <c r="O39" s="253" t="s">
        <v>37</v>
      </c>
      <c r="P39" s="252">
        <v>0</v>
      </c>
      <c r="Q39" s="253">
        <v>0</v>
      </c>
      <c r="R39" s="252">
        <v>0</v>
      </c>
      <c r="S39" s="254"/>
    </row>
    <row r="40" spans="2:19" s="195" customFormat="1" ht="17.649999999999999">
      <c r="B40" s="504"/>
      <c r="C40" s="506"/>
      <c r="D40" s="246"/>
      <c r="E40" s="247"/>
      <c r="F40" s="248">
        <v>0</v>
      </c>
      <c r="G40" s="248" t="s">
        <v>36</v>
      </c>
      <c r="H40" s="248">
        <v>0</v>
      </c>
      <c r="I40" s="248">
        <v>0</v>
      </c>
      <c r="J40" s="248">
        <v>0</v>
      </c>
      <c r="K40" s="248">
        <v>0</v>
      </c>
      <c r="L40" s="248">
        <v>0</v>
      </c>
      <c r="M40" s="248">
        <v>0</v>
      </c>
      <c r="N40" s="248">
        <v>0</v>
      </c>
      <c r="O40" s="248" t="s">
        <v>37</v>
      </c>
      <c r="P40" s="248">
        <v>0</v>
      </c>
      <c r="Q40" s="248">
        <v>0</v>
      </c>
      <c r="R40" s="248">
        <v>0</v>
      </c>
      <c r="S40" s="249"/>
    </row>
    <row r="41" spans="2:19" ht="17.649999999999999">
      <c r="B41" s="505"/>
      <c r="C41" s="507"/>
      <c r="D41" s="250"/>
      <c r="E41" s="251"/>
      <c r="F41" s="252">
        <v>0</v>
      </c>
      <c r="G41" s="253" t="s">
        <v>36</v>
      </c>
      <c r="H41" s="252">
        <v>0</v>
      </c>
      <c r="I41" s="252">
        <v>0</v>
      </c>
      <c r="J41" s="252">
        <v>0</v>
      </c>
      <c r="K41" s="252">
        <v>0</v>
      </c>
      <c r="L41" s="252">
        <v>0</v>
      </c>
      <c r="M41" s="253">
        <v>0</v>
      </c>
      <c r="N41" s="252">
        <v>0</v>
      </c>
      <c r="O41" s="253" t="s">
        <v>37</v>
      </c>
      <c r="P41" s="252">
        <v>0</v>
      </c>
      <c r="Q41" s="253">
        <v>0</v>
      </c>
      <c r="R41" s="252">
        <v>0</v>
      </c>
      <c r="S41" s="254"/>
    </row>
    <row r="42" spans="2:19" ht="17.649999999999999">
      <c r="B42" s="504"/>
      <c r="C42" s="506"/>
      <c r="D42" s="246"/>
      <c r="E42" s="247"/>
      <c r="F42" s="248">
        <v>0</v>
      </c>
      <c r="G42" s="248" t="s">
        <v>36</v>
      </c>
      <c r="H42" s="248">
        <v>0</v>
      </c>
      <c r="I42" s="248">
        <v>0</v>
      </c>
      <c r="J42" s="248">
        <v>0</v>
      </c>
      <c r="K42" s="248">
        <v>0</v>
      </c>
      <c r="L42" s="248">
        <v>0</v>
      </c>
      <c r="M42" s="248">
        <v>0</v>
      </c>
      <c r="N42" s="248">
        <v>0</v>
      </c>
      <c r="O42" s="248" t="s">
        <v>37</v>
      </c>
      <c r="P42" s="248">
        <v>0</v>
      </c>
      <c r="Q42" s="248">
        <v>0</v>
      </c>
      <c r="R42" s="248">
        <v>0</v>
      </c>
      <c r="S42" s="249"/>
    </row>
    <row r="43" spans="2:19" ht="17.649999999999999">
      <c r="B43" s="505"/>
      <c r="C43" s="507"/>
      <c r="D43" s="250"/>
      <c r="E43" s="251"/>
      <c r="F43" s="252">
        <v>0</v>
      </c>
      <c r="G43" s="253" t="s">
        <v>36</v>
      </c>
      <c r="H43" s="252">
        <v>0</v>
      </c>
      <c r="I43" s="252">
        <v>0</v>
      </c>
      <c r="J43" s="252">
        <v>0</v>
      </c>
      <c r="K43" s="252">
        <v>0</v>
      </c>
      <c r="L43" s="252">
        <v>0</v>
      </c>
      <c r="M43" s="253">
        <v>0</v>
      </c>
      <c r="N43" s="252">
        <v>0</v>
      </c>
      <c r="O43" s="253" t="s">
        <v>37</v>
      </c>
      <c r="P43" s="252">
        <v>0</v>
      </c>
      <c r="Q43" s="253">
        <v>0</v>
      </c>
      <c r="R43" s="252">
        <v>0</v>
      </c>
      <c r="S43" s="254"/>
    </row>
    <row r="44" spans="2:19" ht="17.649999999999999">
      <c r="B44" s="504"/>
      <c r="C44" s="506"/>
      <c r="D44" s="246"/>
      <c r="E44" s="247"/>
      <c r="F44" s="248">
        <v>0</v>
      </c>
      <c r="G44" s="248" t="s">
        <v>36</v>
      </c>
      <c r="H44" s="248">
        <v>0</v>
      </c>
      <c r="I44" s="248">
        <v>0</v>
      </c>
      <c r="J44" s="248">
        <v>0</v>
      </c>
      <c r="K44" s="248">
        <v>0</v>
      </c>
      <c r="L44" s="248">
        <v>0</v>
      </c>
      <c r="M44" s="248">
        <v>0</v>
      </c>
      <c r="N44" s="248">
        <v>0</v>
      </c>
      <c r="O44" s="248" t="s">
        <v>37</v>
      </c>
      <c r="P44" s="248">
        <v>0</v>
      </c>
      <c r="Q44" s="248">
        <v>0</v>
      </c>
      <c r="R44" s="248">
        <v>0</v>
      </c>
      <c r="S44" s="249"/>
    </row>
    <row r="45" spans="2:19" ht="17.649999999999999">
      <c r="B45" s="505"/>
      <c r="C45" s="507"/>
      <c r="D45" s="250"/>
      <c r="E45" s="251"/>
      <c r="F45" s="252">
        <v>0</v>
      </c>
      <c r="G45" s="253" t="s">
        <v>36</v>
      </c>
      <c r="H45" s="252">
        <v>0</v>
      </c>
      <c r="I45" s="252">
        <v>0</v>
      </c>
      <c r="J45" s="252">
        <v>0</v>
      </c>
      <c r="K45" s="252">
        <v>0</v>
      </c>
      <c r="L45" s="252">
        <v>0</v>
      </c>
      <c r="M45" s="253">
        <v>0</v>
      </c>
      <c r="N45" s="252">
        <v>0</v>
      </c>
      <c r="O45" s="253" t="s">
        <v>37</v>
      </c>
      <c r="P45" s="252">
        <v>0</v>
      </c>
      <c r="Q45" s="253">
        <v>0</v>
      </c>
      <c r="R45" s="252">
        <v>0</v>
      </c>
      <c r="S45" s="254"/>
    </row>
    <row r="46" spans="2:19" ht="17.649999999999999">
      <c r="B46" s="504"/>
      <c r="C46" s="506"/>
      <c r="D46" s="246"/>
      <c r="E46" s="247"/>
      <c r="F46" s="248">
        <v>0</v>
      </c>
      <c r="G46" s="248" t="s">
        <v>36</v>
      </c>
      <c r="H46" s="248">
        <v>0</v>
      </c>
      <c r="I46" s="248">
        <v>0</v>
      </c>
      <c r="J46" s="248">
        <v>0</v>
      </c>
      <c r="K46" s="248">
        <v>0</v>
      </c>
      <c r="L46" s="248">
        <v>0</v>
      </c>
      <c r="M46" s="248">
        <v>0</v>
      </c>
      <c r="N46" s="248">
        <v>0</v>
      </c>
      <c r="O46" s="248" t="s">
        <v>37</v>
      </c>
      <c r="P46" s="248">
        <v>0</v>
      </c>
      <c r="Q46" s="248">
        <v>0</v>
      </c>
      <c r="R46" s="248">
        <v>0</v>
      </c>
      <c r="S46" s="249"/>
    </row>
    <row r="47" spans="2:19" ht="17.649999999999999">
      <c r="B47" s="505"/>
      <c r="C47" s="507"/>
      <c r="D47" s="250"/>
      <c r="E47" s="251"/>
      <c r="F47" s="252">
        <v>0</v>
      </c>
      <c r="G47" s="253" t="s">
        <v>36</v>
      </c>
      <c r="H47" s="252">
        <v>0</v>
      </c>
      <c r="I47" s="252">
        <v>0</v>
      </c>
      <c r="J47" s="252">
        <v>0</v>
      </c>
      <c r="K47" s="252">
        <v>0</v>
      </c>
      <c r="L47" s="252">
        <v>0</v>
      </c>
      <c r="M47" s="253">
        <v>0</v>
      </c>
      <c r="N47" s="252">
        <v>0</v>
      </c>
      <c r="O47" s="253" t="s">
        <v>37</v>
      </c>
      <c r="P47" s="252">
        <v>0</v>
      </c>
      <c r="Q47" s="253">
        <v>0</v>
      </c>
      <c r="R47" s="252">
        <v>0</v>
      </c>
      <c r="S47" s="254"/>
    </row>
    <row r="48" spans="2:19" ht="17.649999999999999">
      <c r="B48" s="504"/>
      <c r="C48" s="506"/>
      <c r="D48" s="246"/>
      <c r="E48" s="247"/>
      <c r="F48" s="248">
        <v>0</v>
      </c>
      <c r="G48" s="248" t="s">
        <v>36</v>
      </c>
      <c r="H48" s="248">
        <v>0</v>
      </c>
      <c r="I48" s="248">
        <v>0</v>
      </c>
      <c r="J48" s="248">
        <v>0</v>
      </c>
      <c r="K48" s="248">
        <v>0</v>
      </c>
      <c r="L48" s="248">
        <v>0</v>
      </c>
      <c r="M48" s="248">
        <v>0</v>
      </c>
      <c r="N48" s="248">
        <v>0</v>
      </c>
      <c r="O48" s="248" t="s">
        <v>37</v>
      </c>
      <c r="P48" s="248">
        <v>0</v>
      </c>
      <c r="Q48" s="248">
        <v>0</v>
      </c>
      <c r="R48" s="248">
        <v>0</v>
      </c>
      <c r="S48" s="249"/>
    </row>
    <row r="49" spans="2:19" ht="17.649999999999999">
      <c r="B49" s="505"/>
      <c r="C49" s="507"/>
      <c r="D49" s="250"/>
      <c r="E49" s="251"/>
      <c r="F49" s="252">
        <v>0</v>
      </c>
      <c r="G49" s="253" t="s">
        <v>36</v>
      </c>
      <c r="H49" s="252">
        <v>0</v>
      </c>
      <c r="I49" s="252">
        <v>0</v>
      </c>
      <c r="J49" s="252">
        <v>0</v>
      </c>
      <c r="K49" s="252">
        <v>0</v>
      </c>
      <c r="L49" s="252">
        <v>0</v>
      </c>
      <c r="M49" s="253">
        <v>0</v>
      </c>
      <c r="N49" s="252">
        <v>0</v>
      </c>
      <c r="O49" s="253" t="s">
        <v>37</v>
      </c>
      <c r="P49" s="252">
        <v>0</v>
      </c>
      <c r="Q49" s="253">
        <v>0</v>
      </c>
      <c r="R49" s="252">
        <v>0</v>
      </c>
      <c r="S49" s="254"/>
    </row>
    <row r="50" spans="2:19" ht="17.649999999999999">
      <c r="B50" s="504"/>
      <c r="C50" s="506"/>
      <c r="D50" s="246"/>
      <c r="E50" s="247"/>
      <c r="F50" s="248">
        <v>0</v>
      </c>
      <c r="G50" s="248" t="s">
        <v>36</v>
      </c>
      <c r="H50" s="248">
        <v>0</v>
      </c>
      <c r="I50" s="248">
        <v>0</v>
      </c>
      <c r="J50" s="248">
        <v>0</v>
      </c>
      <c r="K50" s="248">
        <v>0</v>
      </c>
      <c r="L50" s="248">
        <v>0</v>
      </c>
      <c r="M50" s="248">
        <v>0</v>
      </c>
      <c r="N50" s="248">
        <v>0</v>
      </c>
      <c r="O50" s="248" t="s">
        <v>37</v>
      </c>
      <c r="P50" s="248">
        <v>0</v>
      </c>
      <c r="Q50" s="248">
        <v>0</v>
      </c>
      <c r="R50" s="248">
        <v>0</v>
      </c>
      <c r="S50" s="249"/>
    </row>
    <row r="51" spans="2:19" ht="17.649999999999999">
      <c r="B51" s="505"/>
      <c r="C51" s="507"/>
      <c r="D51" s="250"/>
      <c r="E51" s="251"/>
      <c r="F51" s="252">
        <v>0</v>
      </c>
      <c r="G51" s="253" t="s">
        <v>36</v>
      </c>
      <c r="H51" s="252">
        <v>0</v>
      </c>
      <c r="I51" s="252">
        <v>0</v>
      </c>
      <c r="J51" s="252">
        <v>0</v>
      </c>
      <c r="K51" s="252">
        <v>0</v>
      </c>
      <c r="L51" s="252">
        <v>0</v>
      </c>
      <c r="M51" s="253">
        <v>0</v>
      </c>
      <c r="N51" s="252">
        <v>0</v>
      </c>
      <c r="O51" s="253" t="s">
        <v>37</v>
      </c>
      <c r="P51" s="252">
        <v>0</v>
      </c>
      <c r="Q51" s="253">
        <v>0</v>
      </c>
      <c r="R51" s="252">
        <v>0</v>
      </c>
      <c r="S51" s="254"/>
    </row>
    <row r="52" spans="2:19" ht="17.649999999999999">
      <c r="B52" s="504"/>
      <c r="C52" s="506"/>
      <c r="D52" s="246"/>
      <c r="E52" s="247"/>
      <c r="F52" s="248">
        <v>0</v>
      </c>
      <c r="G52" s="248" t="s">
        <v>36</v>
      </c>
      <c r="H52" s="248">
        <v>0</v>
      </c>
      <c r="I52" s="248">
        <v>0</v>
      </c>
      <c r="J52" s="248">
        <v>0</v>
      </c>
      <c r="K52" s="248">
        <v>0</v>
      </c>
      <c r="L52" s="248">
        <v>0</v>
      </c>
      <c r="M52" s="248">
        <v>0</v>
      </c>
      <c r="N52" s="248">
        <v>0</v>
      </c>
      <c r="O52" s="248" t="s">
        <v>37</v>
      </c>
      <c r="P52" s="248">
        <v>0</v>
      </c>
      <c r="Q52" s="248">
        <v>0</v>
      </c>
      <c r="R52" s="248">
        <v>0</v>
      </c>
      <c r="S52" s="249"/>
    </row>
    <row r="53" spans="2:19" ht="17.649999999999999">
      <c r="B53" s="505"/>
      <c r="C53" s="507"/>
      <c r="D53" s="250"/>
      <c r="E53" s="251"/>
      <c r="F53" s="252">
        <v>0</v>
      </c>
      <c r="G53" s="253" t="s">
        <v>36</v>
      </c>
      <c r="H53" s="252">
        <v>0</v>
      </c>
      <c r="I53" s="252">
        <v>0</v>
      </c>
      <c r="J53" s="252">
        <v>0</v>
      </c>
      <c r="K53" s="252">
        <v>0</v>
      </c>
      <c r="L53" s="252">
        <v>0</v>
      </c>
      <c r="M53" s="253">
        <v>0</v>
      </c>
      <c r="N53" s="252">
        <v>0</v>
      </c>
      <c r="O53" s="253" t="s">
        <v>37</v>
      </c>
      <c r="P53" s="252">
        <v>0</v>
      </c>
      <c r="Q53" s="253">
        <v>0</v>
      </c>
      <c r="R53" s="252">
        <v>0</v>
      </c>
      <c r="S53" s="254"/>
    </row>
    <row r="54" spans="2:19" ht="17.649999999999999">
      <c r="B54" s="504"/>
      <c r="C54" s="506"/>
      <c r="D54" s="246"/>
      <c r="E54" s="247"/>
      <c r="F54" s="248">
        <v>0</v>
      </c>
      <c r="G54" s="248" t="s">
        <v>36</v>
      </c>
      <c r="H54" s="248">
        <v>0</v>
      </c>
      <c r="I54" s="248">
        <v>0</v>
      </c>
      <c r="J54" s="248">
        <v>0</v>
      </c>
      <c r="K54" s="248">
        <v>0</v>
      </c>
      <c r="L54" s="248">
        <v>0</v>
      </c>
      <c r="M54" s="248">
        <v>0</v>
      </c>
      <c r="N54" s="248">
        <v>0</v>
      </c>
      <c r="O54" s="248" t="s">
        <v>37</v>
      </c>
      <c r="P54" s="248">
        <v>0</v>
      </c>
      <c r="Q54" s="248">
        <v>0</v>
      </c>
      <c r="R54" s="248">
        <v>0</v>
      </c>
      <c r="S54" s="249"/>
    </row>
    <row r="55" spans="2:19" ht="17.649999999999999">
      <c r="B55" s="505"/>
      <c r="C55" s="507"/>
      <c r="D55" s="250"/>
      <c r="E55" s="251"/>
      <c r="F55" s="252">
        <v>0</v>
      </c>
      <c r="G55" s="253" t="s">
        <v>36</v>
      </c>
      <c r="H55" s="252">
        <v>0</v>
      </c>
      <c r="I55" s="252">
        <v>0</v>
      </c>
      <c r="J55" s="252">
        <v>0</v>
      </c>
      <c r="K55" s="252">
        <v>0</v>
      </c>
      <c r="L55" s="252">
        <v>0</v>
      </c>
      <c r="M55" s="253">
        <v>0</v>
      </c>
      <c r="N55" s="252">
        <v>0</v>
      </c>
      <c r="O55" s="253" t="s">
        <v>37</v>
      </c>
      <c r="P55" s="252">
        <v>0</v>
      </c>
      <c r="Q55" s="253">
        <v>0</v>
      </c>
      <c r="R55" s="252">
        <v>0</v>
      </c>
      <c r="S55" s="254"/>
    </row>
  </sheetData>
  <protectedRanges>
    <protectedRange sqref="A1:A2" name="Range1_5_1"/>
  </protectedRanges>
  <mergeCells count="55">
    <mergeCell ref="B14:B15"/>
    <mergeCell ref="C14:C15"/>
    <mergeCell ref="R9:R10"/>
    <mergeCell ref="S9:S11"/>
    <mergeCell ref="B12:B13"/>
    <mergeCell ref="C12:C13"/>
    <mergeCell ref="J9:K9"/>
    <mergeCell ref="L9:L10"/>
    <mergeCell ref="M9:M10"/>
    <mergeCell ref="N9:N10"/>
    <mergeCell ref="O9:O10"/>
    <mergeCell ref="P9:P10"/>
    <mergeCell ref="B9:B11"/>
    <mergeCell ref="C9:C11"/>
    <mergeCell ref="F9:F11"/>
    <mergeCell ref="B16:B17"/>
    <mergeCell ref="C16:C17"/>
    <mergeCell ref="B18:B19"/>
    <mergeCell ref="C18:C19"/>
    <mergeCell ref="B20:B21"/>
    <mergeCell ref="C20:C21"/>
    <mergeCell ref="B22:B23"/>
    <mergeCell ref="C22:C23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34:B35"/>
    <mergeCell ref="C34:C35"/>
    <mergeCell ref="B36:B37"/>
    <mergeCell ref="C36:C37"/>
    <mergeCell ref="B38:B39"/>
    <mergeCell ref="C38:C39"/>
    <mergeCell ref="B40:B41"/>
    <mergeCell ref="C40:C41"/>
    <mergeCell ref="B42:B43"/>
    <mergeCell ref="C42:C43"/>
    <mergeCell ref="B44:B45"/>
    <mergeCell ref="C44:C45"/>
    <mergeCell ref="B52:B53"/>
    <mergeCell ref="C52:C53"/>
    <mergeCell ref="B54:B55"/>
    <mergeCell ref="C54:C55"/>
    <mergeCell ref="B46:B47"/>
    <mergeCell ref="C46:C47"/>
    <mergeCell ref="B48:B49"/>
    <mergeCell ref="C48:C49"/>
    <mergeCell ref="B50:B51"/>
    <mergeCell ref="C50:C5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90"/>
  <sheetViews>
    <sheetView workbookViewId="0">
      <selection activeCell="C6" sqref="C6"/>
    </sheetView>
  </sheetViews>
  <sheetFormatPr defaultColWidth="9" defaultRowHeight="14.25"/>
  <cols>
    <col min="2" max="2" width="6.73046875" customWidth="1"/>
    <col min="3" max="3" width="34.73046875" customWidth="1"/>
    <col min="4" max="4" width="29.73046875" customWidth="1"/>
    <col min="5" max="5" width="18" customWidth="1"/>
    <col min="6" max="6" width="16.73046875" customWidth="1"/>
    <col min="7" max="7" width="13.265625" customWidth="1"/>
    <col min="8" max="8" width="12.265625" customWidth="1"/>
    <col min="9" max="9" width="12.59765625" customWidth="1"/>
    <col min="10" max="10" width="20.265625" customWidth="1"/>
    <col min="12" max="12" width="15.73046875" customWidth="1"/>
  </cols>
  <sheetData>
    <row r="1" spans="1:12">
      <c r="A1" s="117" t="s">
        <v>0</v>
      </c>
    </row>
    <row r="2" spans="1:12">
      <c r="A2" s="117" t="s">
        <v>1</v>
      </c>
    </row>
    <row r="3" spans="1:12">
      <c r="A3" s="117" t="s">
        <v>2</v>
      </c>
    </row>
    <row r="4" spans="1:12">
      <c r="A4" s="117" t="s">
        <v>3</v>
      </c>
    </row>
    <row r="5" spans="1:12" s="126" customFormat="1" ht="11.65">
      <c r="A5" s="117" t="s">
        <v>4</v>
      </c>
      <c r="B5" s="118"/>
      <c r="C5" s="118"/>
      <c r="D5" s="119"/>
      <c r="E5" s="120"/>
      <c r="F5" s="121"/>
      <c r="G5" s="121"/>
      <c r="H5" s="122"/>
      <c r="I5" s="123">
        <v>1</v>
      </c>
      <c r="J5" s="124" t="s">
        <v>216</v>
      </c>
      <c r="K5" s="125"/>
      <c r="L5" s="125"/>
    </row>
    <row r="6" spans="1:12" s="126" customFormat="1" ht="11.65">
      <c r="A6" s="117" t="s">
        <v>5</v>
      </c>
      <c r="B6" s="118"/>
      <c r="C6" s="127"/>
      <c r="D6" s="127"/>
      <c r="E6" s="121"/>
      <c r="F6" s="121"/>
      <c r="G6" s="121"/>
      <c r="H6" s="128"/>
      <c r="I6" s="123">
        <v>2</v>
      </c>
      <c r="J6" s="124" t="s">
        <v>217</v>
      </c>
      <c r="K6" s="125"/>
      <c r="L6" s="125"/>
    </row>
    <row r="7" spans="1:12" s="126" customFormat="1" ht="11.65">
      <c r="A7" s="115" t="s">
        <v>6</v>
      </c>
      <c r="B7" s="118"/>
      <c r="C7" s="127"/>
      <c r="D7" s="129"/>
      <c r="E7" s="130"/>
      <c r="F7" s="121"/>
      <c r="G7" s="121"/>
      <c r="H7" s="122"/>
      <c r="I7" s="123">
        <v>3</v>
      </c>
      <c r="J7" s="124" t="s">
        <v>218</v>
      </c>
      <c r="K7" s="125"/>
      <c r="L7" s="125"/>
    </row>
    <row r="8" spans="1:12" s="126" customFormat="1" ht="11.65">
      <c r="B8" s="118"/>
      <c r="C8" s="127"/>
      <c r="D8" s="127"/>
      <c r="E8" s="129"/>
      <c r="F8" s="127"/>
      <c r="G8" s="121"/>
      <c r="H8" s="128"/>
      <c r="I8" s="123">
        <v>4</v>
      </c>
      <c r="J8" s="124" t="s">
        <v>219</v>
      </c>
      <c r="K8" s="125"/>
      <c r="L8" s="125"/>
    </row>
    <row r="9" spans="1:12" s="138" customFormat="1" ht="13.9">
      <c r="B9" s="131" t="s">
        <v>220</v>
      </c>
      <c r="C9" s="132" t="s">
        <v>45</v>
      </c>
      <c r="D9" s="133" t="s">
        <v>221</v>
      </c>
      <c r="E9" s="134" t="s">
        <v>8</v>
      </c>
      <c r="F9" s="132" t="s">
        <v>222</v>
      </c>
      <c r="G9" s="135" t="s">
        <v>223</v>
      </c>
      <c r="H9" s="132" t="s">
        <v>224</v>
      </c>
      <c r="I9" s="136" t="s">
        <v>225</v>
      </c>
      <c r="J9" s="137" t="s">
        <v>23</v>
      </c>
    </row>
    <row r="10" spans="1:12">
      <c r="B10" s="7">
        <v>1</v>
      </c>
      <c r="C10" s="139"/>
      <c r="D10" s="139"/>
      <c r="E10" s="140"/>
      <c r="F10" s="139"/>
      <c r="G10" s="141"/>
      <c r="H10" s="142" t="s">
        <v>226</v>
      </c>
      <c r="I10" s="143">
        <v>1</v>
      </c>
      <c r="J10" s="144"/>
    </row>
    <row r="11" spans="1:12">
      <c r="B11" s="7">
        <v>2</v>
      </c>
      <c r="C11" s="139"/>
      <c r="D11" s="139"/>
      <c r="E11" s="139"/>
      <c r="F11" s="139"/>
      <c r="G11" s="141"/>
      <c r="H11" s="142" t="s">
        <v>226</v>
      </c>
      <c r="I11" s="143">
        <v>1</v>
      </c>
      <c r="J11" s="3"/>
    </row>
    <row r="12" spans="1:12">
      <c r="B12" s="7">
        <v>3</v>
      </c>
      <c r="C12" s="139"/>
      <c r="D12" s="139"/>
      <c r="E12" s="139"/>
      <c r="F12" s="139"/>
      <c r="G12" s="141"/>
      <c r="H12" s="142" t="s">
        <v>226</v>
      </c>
      <c r="I12" s="143">
        <v>1</v>
      </c>
      <c r="J12" s="3"/>
    </row>
    <row r="13" spans="1:12">
      <c r="B13" s="7">
        <v>4</v>
      </c>
      <c r="C13" s="139"/>
      <c r="D13" s="139"/>
      <c r="E13" s="139"/>
      <c r="F13" s="139"/>
      <c r="G13" s="141"/>
      <c r="H13" s="142" t="s">
        <v>226</v>
      </c>
      <c r="I13" s="143">
        <v>1</v>
      </c>
      <c r="J13" s="3"/>
    </row>
    <row r="14" spans="1:12">
      <c r="B14" s="7">
        <v>5</v>
      </c>
      <c r="C14" s="139"/>
      <c r="D14" s="139"/>
      <c r="E14" s="140"/>
      <c r="F14" s="139"/>
      <c r="G14" s="141"/>
      <c r="H14" s="142" t="s">
        <v>226</v>
      </c>
      <c r="I14" s="143">
        <v>1</v>
      </c>
      <c r="J14" s="3"/>
    </row>
    <row r="15" spans="1:12">
      <c r="B15" s="7">
        <v>6</v>
      </c>
      <c r="C15" s="139"/>
      <c r="D15" s="139"/>
      <c r="E15" s="139"/>
      <c r="F15" s="139"/>
      <c r="G15" s="141"/>
      <c r="H15" s="142" t="s">
        <v>226</v>
      </c>
      <c r="I15" s="143">
        <v>1</v>
      </c>
      <c r="J15" s="3"/>
    </row>
    <row r="16" spans="1:12" ht="19.5" customHeight="1">
      <c r="B16" s="7">
        <v>7</v>
      </c>
      <c r="C16" s="139"/>
      <c r="D16" s="139"/>
      <c r="E16" s="145"/>
      <c r="F16" s="139"/>
      <c r="G16" s="141"/>
      <c r="H16" s="142" t="s">
        <v>226</v>
      </c>
      <c r="I16" s="143">
        <v>1</v>
      </c>
      <c r="J16" s="146"/>
    </row>
    <row r="17" spans="2:10">
      <c r="B17" s="7">
        <v>8</v>
      </c>
      <c r="C17" s="147"/>
      <c r="D17" s="139"/>
      <c r="E17" s="142"/>
      <c r="F17" s="139"/>
      <c r="G17" s="141"/>
      <c r="H17" s="142" t="s">
        <v>226</v>
      </c>
      <c r="I17" s="143">
        <v>1</v>
      </c>
      <c r="J17" s="146"/>
    </row>
    <row r="18" spans="2:10">
      <c r="B18" s="7">
        <v>9</v>
      </c>
      <c r="C18" s="139"/>
      <c r="D18" s="142"/>
      <c r="E18" s="146"/>
      <c r="F18" s="142"/>
      <c r="G18" s="141"/>
      <c r="H18" s="142" t="s">
        <v>226</v>
      </c>
      <c r="I18" s="143">
        <v>1</v>
      </c>
      <c r="J18" s="146"/>
    </row>
    <row r="19" spans="2:10">
      <c r="B19" s="7">
        <v>10</v>
      </c>
      <c r="C19" s="139"/>
      <c r="D19" s="139"/>
      <c r="E19" s="146"/>
      <c r="F19" s="139"/>
      <c r="G19" s="141"/>
      <c r="H19" s="142" t="s">
        <v>226</v>
      </c>
      <c r="I19" s="143">
        <v>1</v>
      </c>
      <c r="J19" s="146"/>
    </row>
    <row r="20" spans="2:10">
      <c r="B20" s="7">
        <v>11</v>
      </c>
      <c r="C20" s="139"/>
      <c r="D20" s="139"/>
      <c r="E20" s="146"/>
      <c r="F20" s="139"/>
      <c r="G20" s="141"/>
      <c r="H20" s="142" t="s">
        <v>226</v>
      </c>
      <c r="I20" s="143">
        <v>1</v>
      </c>
      <c r="J20" s="146"/>
    </row>
    <row r="21" spans="2:10" ht="15.75">
      <c r="B21" s="7">
        <v>12</v>
      </c>
      <c r="C21" s="139"/>
      <c r="D21" s="146"/>
      <c r="E21" s="146"/>
      <c r="F21" s="148"/>
      <c r="G21" s="149"/>
      <c r="H21" s="142" t="s">
        <v>226</v>
      </c>
      <c r="I21" s="143">
        <v>1</v>
      </c>
      <c r="J21" s="146"/>
    </row>
    <row r="22" spans="2:10">
      <c r="B22" s="150">
        <v>13</v>
      </c>
      <c r="C22" s="151"/>
      <c r="D22" s="151"/>
      <c r="E22" s="148"/>
      <c r="F22" s="151"/>
      <c r="G22" s="152"/>
      <c r="H22" s="142" t="s">
        <v>226</v>
      </c>
      <c r="I22" s="143">
        <v>1</v>
      </c>
      <c r="J22" s="146"/>
    </row>
    <row r="23" spans="2:10">
      <c r="B23" s="7">
        <v>14</v>
      </c>
      <c r="C23" s="139"/>
      <c r="D23" s="139"/>
      <c r="E23" s="139"/>
      <c r="F23" s="139"/>
      <c r="G23" s="141"/>
      <c r="H23" s="142" t="s">
        <v>226</v>
      </c>
      <c r="I23" s="143">
        <v>1</v>
      </c>
      <c r="J23" s="146"/>
    </row>
    <row r="24" spans="2:10">
      <c r="B24" s="7">
        <v>15</v>
      </c>
      <c r="C24" s="139"/>
      <c r="D24" s="139"/>
      <c r="E24" s="139"/>
      <c r="F24" s="139"/>
      <c r="G24" s="141"/>
      <c r="H24" s="142" t="s">
        <v>226</v>
      </c>
      <c r="I24" s="143">
        <v>1</v>
      </c>
      <c r="J24" s="146"/>
    </row>
    <row r="25" spans="2:10">
      <c r="B25" s="153">
        <v>16</v>
      </c>
      <c r="C25" s="154"/>
      <c r="D25" s="155"/>
      <c r="E25" s="156"/>
      <c r="F25" s="156"/>
      <c r="G25" s="157"/>
      <c r="H25" s="142" t="s">
        <v>226</v>
      </c>
      <c r="I25" s="143">
        <v>1</v>
      </c>
      <c r="J25" s="146"/>
    </row>
    <row r="26" spans="2:10">
      <c r="B26" s="7">
        <v>17</v>
      </c>
      <c r="C26" s="139"/>
      <c r="D26" s="139"/>
      <c r="E26" s="139"/>
      <c r="F26" s="139"/>
      <c r="G26" s="141"/>
      <c r="H26" s="142" t="s">
        <v>226</v>
      </c>
      <c r="I26" s="143">
        <v>1</v>
      </c>
      <c r="J26" s="3"/>
    </row>
    <row r="27" spans="2:10">
      <c r="B27" s="7">
        <v>18</v>
      </c>
      <c r="C27" s="139"/>
      <c r="D27" s="139"/>
      <c r="E27" s="139"/>
      <c r="F27" s="139"/>
      <c r="G27" s="141"/>
      <c r="H27" s="142" t="s">
        <v>226</v>
      </c>
      <c r="I27" s="143">
        <v>1</v>
      </c>
      <c r="J27" s="3"/>
    </row>
    <row r="28" spans="2:10">
      <c r="B28" s="158">
        <v>19</v>
      </c>
      <c r="C28" s="139"/>
      <c r="D28" s="139"/>
      <c r="E28" s="139"/>
      <c r="F28" s="139"/>
      <c r="G28" s="141"/>
      <c r="H28" s="142" t="s">
        <v>226</v>
      </c>
      <c r="I28" s="143">
        <v>1</v>
      </c>
      <c r="J28" s="3"/>
    </row>
    <row r="29" spans="2:10">
      <c r="B29" s="153">
        <v>20</v>
      </c>
      <c r="C29" s="155"/>
      <c r="D29" s="155"/>
      <c r="E29" s="159"/>
      <c r="F29" s="159"/>
      <c r="G29" s="160"/>
      <c r="H29" s="142" t="s">
        <v>226</v>
      </c>
      <c r="I29" s="161">
        <v>1</v>
      </c>
      <c r="J29" s="3"/>
    </row>
    <row r="30" spans="2:10">
      <c r="B30" s="7">
        <v>21</v>
      </c>
      <c r="C30" s="139"/>
      <c r="D30" s="139"/>
      <c r="E30" s="139"/>
      <c r="F30" s="139"/>
      <c r="G30" s="141"/>
      <c r="H30" s="142" t="s">
        <v>226</v>
      </c>
      <c r="I30" s="143">
        <v>1</v>
      </c>
      <c r="J30" s="3"/>
    </row>
    <row r="31" spans="2:10">
      <c r="B31" s="7">
        <v>22</v>
      </c>
      <c r="C31" s="139"/>
      <c r="D31" s="139"/>
      <c r="E31" s="139"/>
      <c r="F31" s="139"/>
      <c r="G31" s="141"/>
      <c r="H31" s="142" t="s">
        <v>226</v>
      </c>
      <c r="I31" s="143">
        <v>1</v>
      </c>
      <c r="J31" s="3"/>
    </row>
    <row r="32" spans="2:10">
      <c r="B32" s="7">
        <v>23</v>
      </c>
      <c r="C32" s="139"/>
      <c r="D32" s="139"/>
      <c r="E32" s="139"/>
      <c r="F32" s="139"/>
      <c r="G32" s="141"/>
      <c r="H32" s="142" t="s">
        <v>226</v>
      </c>
      <c r="I32" s="143">
        <v>1</v>
      </c>
      <c r="J32" s="3"/>
    </row>
    <row r="33" spans="2:10">
      <c r="B33" s="153">
        <v>24</v>
      </c>
      <c r="C33" s="155"/>
      <c r="D33" s="155"/>
      <c r="E33" s="155"/>
      <c r="F33" s="159"/>
      <c r="G33" s="162"/>
      <c r="H33" s="142" t="s">
        <v>226</v>
      </c>
      <c r="I33" s="161">
        <v>1</v>
      </c>
      <c r="J33" s="3"/>
    </row>
    <row r="34" spans="2:10">
      <c r="B34" s="153">
        <v>25</v>
      </c>
      <c r="C34" s="155"/>
      <c r="D34" s="155"/>
      <c r="E34" s="154"/>
      <c r="F34" s="159"/>
      <c r="G34" s="163"/>
      <c r="H34" s="142" t="s">
        <v>226</v>
      </c>
      <c r="I34" s="161">
        <v>1</v>
      </c>
      <c r="J34" s="3"/>
    </row>
    <row r="35" spans="2:10" ht="15.75">
      <c r="B35" s="164">
        <v>26</v>
      </c>
      <c r="C35" s="165"/>
      <c r="D35" s="151"/>
      <c r="E35" s="3"/>
      <c r="F35" s="159"/>
      <c r="G35" s="166"/>
      <c r="H35" s="142" t="s">
        <v>226</v>
      </c>
      <c r="I35" s="143">
        <v>1</v>
      </c>
      <c r="J35" s="3"/>
    </row>
    <row r="36" spans="2:10" ht="15.75">
      <c r="B36" s="164">
        <v>27</v>
      </c>
      <c r="C36" s="151"/>
      <c r="D36" s="151"/>
      <c r="E36" s="3"/>
      <c r="F36" s="159"/>
      <c r="G36" s="167"/>
      <c r="H36" s="142" t="s">
        <v>226</v>
      </c>
      <c r="I36" s="143">
        <v>1</v>
      </c>
      <c r="J36" s="3"/>
    </row>
    <row r="37" spans="2:10" ht="15.75">
      <c r="B37" s="164">
        <v>28</v>
      </c>
      <c r="C37" s="168"/>
      <c r="D37" s="155"/>
      <c r="E37" s="169"/>
      <c r="F37" s="159"/>
      <c r="G37" s="170"/>
      <c r="H37" s="142" t="s">
        <v>226</v>
      </c>
      <c r="I37" s="143">
        <v>1</v>
      </c>
      <c r="J37" s="3"/>
    </row>
    <row r="38" spans="2:10" ht="15.75">
      <c r="B38" s="164">
        <v>29</v>
      </c>
      <c r="C38" s="168"/>
      <c r="D38" s="155"/>
      <c r="E38" s="169"/>
      <c r="F38" s="159"/>
      <c r="G38" s="170"/>
      <c r="H38" s="142" t="s">
        <v>226</v>
      </c>
      <c r="I38" s="143">
        <v>1</v>
      </c>
      <c r="J38" s="3"/>
    </row>
    <row r="39" spans="2:10" ht="15.75">
      <c r="B39" s="164">
        <v>30</v>
      </c>
      <c r="C39" s="168"/>
      <c r="D39" s="155"/>
      <c r="E39" s="168"/>
      <c r="F39" s="159"/>
      <c r="G39" s="170"/>
      <c r="H39" s="142" t="s">
        <v>226</v>
      </c>
      <c r="I39" s="143">
        <v>1</v>
      </c>
      <c r="J39" s="3"/>
    </row>
    <row r="40" spans="2:10" ht="15.75">
      <c r="B40" s="164">
        <v>31</v>
      </c>
      <c r="C40" s="168"/>
      <c r="D40" s="168"/>
      <c r="E40" s="169"/>
      <c r="F40" s="159"/>
      <c r="G40" s="170"/>
      <c r="H40" s="142" t="s">
        <v>226</v>
      </c>
      <c r="I40" s="150">
        <v>1</v>
      </c>
      <c r="J40" s="3"/>
    </row>
    <row r="41" spans="2:10" ht="15.75">
      <c r="B41" s="164">
        <v>32</v>
      </c>
      <c r="C41" s="165"/>
      <c r="D41" s="151"/>
      <c r="E41" s="165"/>
      <c r="F41" s="159"/>
      <c r="G41" s="170"/>
      <c r="H41" s="142" t="s">
        <v>226</v>
      </c>
      <c r="I41" s="150">
        <v>1</v>
      </c>
      <c r="J41" s="3"/>
    </row>
    <row r="42" spans="2:10">
      <c r="B42" s="150">
        <v>33</v>
      </c>
      <c r="C42" s="165"/>
      <c r="D42" s="171"/>
      <c r="E42" s="144"/>
      <c r="F42" s="148"/>
      <c r="G42" s="172"/>
      <c r="H42" s="142" t="s">
        <v>226</v>
      </c>
      <c r="I42" s="150">
        <v>1</v>
      </c>
      <c r="J42" s="3"/>
    </row>
    <row r="43" spans="2:10" ht="15.75">
      <c r="B43" s="164">
        <v>34</v>
      </c>
      <c r="C43" s="171"/>
      <c r="D43" s="151"/>
      <c r="E43" s="151"/>
      <c r="F43" s="151"/>
      <c r="G43" s="173"/>
      <c r="H43" s="142" t="s">
        <v>226</v>
      </c>
      <c r="I43" s="150">
        <v>1</v>
      </c>
      <c r="J43" s="3"/>
    </row>
    <row r="44" spans="2:10">
      <c r="B44" s="7">
        <v>35</v>
      </c>
      <c r="C44" s="165"/>
      <c r="D44" s="171"/>
      <c r="E44" s="151"/>
      <c r="F44" s="148"/>
      <c r="G44" s="173"/>
      <c r="H44" s="142" t="s">
        <v>226</v>
      </c>
      <c r="I44" s="150">
        <v>1</v>
      </c>
      <c r="J44" s="3"/>
    </row>
    <row r="45" spans="2:10" ht="15.75">
      <c r="B45" s="164">
        <v>36</v>
      </c>
      <c r="C45" s="151"/>
      <c r="D45" s="148"/>
      <c r="E45" s="169"/>
      <c r="F45" s="151"/>
      <c r="G45" s="170"/>
      <c r="H45" s="142" t="s">
        <v>226</v>
      </c>
      <c r="I45" s="150">
        <v>1</v>
      </c>
      <c r="J45" s="3"/>
    </row>
    <row r="46" spans="2:10">
      <c r="B46" s="150">
        <v>37</v>
      </c>
      <c r="C46" s="151"/>
      <c r="D46" s="151"/>
      <c r="E46" s="151"/>
      <c r="F46" s="148"/>
      <c r="G46" s="174"/>
      <c r="H46" s="142" t="s">
        <v>226</v>
      </c>
      <c r="I46" s="150">
        <v>1</v>
      </c>
      <c r="J46" s="3"/>
    </row>
    <row r="47" spans="2:10">
      <c r="B47" s="150">
        <v>38</v>
      </c>
      <c r="C47" s="151"/>
      <c r="D47" s="151"/>
      <c r="E47" s="175"/>
      <c r="F47" s="151"/>
      <c r="G47" s="174"/>
      <c r="H47" s="142" t="s">
        <v>226</v>
      </c>
      <c r="I47" s="150">
        <v>1</v>
      </c>
      <c r="J47" s="146"/>
    </row>
    <row r="48" spans="2:10">
      <c r="B48" s="150">
        <v>39</v>
      </c>
      <c r="C48" s="151"/>
      <c r="D48" s="148"/>
      <c r="E48" s="151"/>
      <c r="F48" s="148"/>
      <c r="G48" s="148"/>
      <c r="H48" s="142" t="s">
        <v>226</v>
      </c>
      <c r="I48" s="150">
        <v>1</v>
      </c>
      <c r="J48" s="146"/>
    </row>
    <row r="49" spans="2:10">
      <c r="B49" s="150">
        <v>40</v>
      </c>
      <c r="C49" s="176"/>
      <c r="D49" s="151"/>
      <c r="E49" s="151"/>
      <c r="F49" s="148"/>
      <c r="G49" s="177"/>
      <c r="H49" s="142" t="s">
        <v>226</v>
      </c>
      <c r="I49" s="150">
        <v>1</v>
      </c>
      <c r="J49" s="146"/>
    </row>
    <row r="50" spans="2:10">
      <c r="B50" s="150">
        <v>41</v>
      </c>
      <c r="C50" s="151"/>
      <c r="D50" s="148"/>
      <c r="E50" s="151"/>
      <c r="F50" s="148"/>
      <c r="G50" s="166"/>
      <c r="H50" s="142" t="s">
        <v>226</v>
      </c>
      <c r="I50" s="150">
        <v>1</v>
      </c>
      <c r="J50" s="146"/>
    </row>
    <row r="51" spans="2:10">
      <c r="B51" s="150">
        <v>42</v>
      </c>
      <c r="C51" s="151"/>
      <c r="D51" s="148"/>
      <c r="E51" s="151"/>
      <c r="F51" s="148"/>
      <c r="G51" s="166"/>
      <c r="H51" s="142" t="s">
        <v>226</v>
      </c>
      <c r="I51" s="150">
        <v>1</v>
      </c>
      <c r="J51" s="146"/>
    </row>
    <row r="52" spans="2:10">
      <c r="B52" s="150">
        <v>43</v>
      </c>
      <c r="C52" s="151"/>
      <c r="D52" s="148"/>
      <c r="E52" s="148"/>
      <c r="F52" s="148"/>
      <c r="G52" s="166"/>
      <c r="H52" s="142" t="s">
        <v>226</v>
      </c>
      <c r="I52" s="150">
        <v>1</v>
      </c>
      <c r="J52" s="146"/>
    </row>
    <row r="53" spans="2:10">
      <c r="B53" s="7">
        <v>44</v>
      </c>
      <c r="C53" s="178"/>
      <c r="D53" s="3"/>
      <c r="E53" s="3"/>
      <c r="F53" s="3"/>
      <c r="G53" s="3"/>
      <c r="H53" s="142" t="s">
        <v>226</v>
      </c>
      <c r="I53" s="179">
        <v>1</v>
      </c>
      <c r="J53" s="3"/>
    </row>
    <row r="54" spans="2:10">
      <c r="B54" s="7">
        <v>45</v>
      </c>
      <c r="C54" s="178"/>
      <c r="D54" s="3"/>
      <c r="E54" s="3"/>
      <c r="F54" s="3"/>
      <c r="G54" s="3"/>
      <c r="H54" s="142" t="s">
        <v>226</v>
      </c>
      <c r="I54" s="158">
        <v>1</v>
      </c>
      <c r="J54" s="3"/>
    </row>
    <row r="55" spans="2:10">
      <c r="B55" s="7">
        <v>46</v>
      </c>
      <c r="C55" s="178"/>
      <c r="D55" s="3"/>
      <c r="E55" s="3"/>
      <c r="F55" s="3"/>
      <c r="G55" s="3"/>
      <c r="H55" s="142" t="s">
        <v>226</v>
      </c>
      <c r="I55" s="158">
        <v>1</v>
      </c>
      <c r="J55" s="3"/>
    </row>
    <row r="56" spans="2:10">
      <c r="B56" s="150">
        <v>44</v>
      </c>
      <c r="C56" s="151"/>
      <c r="D56" s="148"/>
      <c r="E56" s="148"/>
      <c r="F56" s="148"/>
      <c r="G56" s="166"/>
      <c r="H56" s="142" t="s">
        <v>226</v>
      </c>
      <c r="I56" s="150">
        <v>1</v>
      </c>
      <c r="J56" s="3"/>
    </row>
    <row r="57" spans="2:10">
      <c r="B57" s="150">
        <v>45</v>
      </c>
      <c r="C57" s="151"/>
      <c r="D57" s="148"/>
      <c r="E57" s="148"/>
      <c r="F57" s="148"/>
      <c r="G57" s="166"/>
      <c r="H57" s="142" t="s">
        <v>226</v>
      </c>
      <c r="I57" s="150">
        <v>1</v>
      </c>
      <c r="J57" s="3"/>
    </row>
    <row r="58" spans="2:10">
      <c r="B58" s="150">
        <v>46</v>
      </c>
      <c r="C58" s="151"/>
      <c r="D58" s="148"/>
      <c r="E58" s="148"/>
      <c r="F58" s="148"/>
      <c r="G58" s="166"/>
      <c r="H58" s="142" t="s">
        <v>226</v>
      </c>
      <c r="I58" s="150">
        <v>1</v>
      </c>
      <c r="J58" s="3"/>
    </row>
    <row r="59" spans="2:10">
      <c r="B59" s="150">
        <v>47</v>
      </c>
      <c r="C59" s="151"/>
      <c r="D59" s="148"/>
      <c r="E59" s="148"/>
      <c r="F59" s="148"/>
      <c r="G59" s="166"/>
      <c r="H59" s="142" t="s">
        <v>226</v>
      </c>
      <c r="I59" s="150">
        <v>1</v>
      </c>
      <c r="J59" s="3"/>
    </row>
    <row r="60" spans="2:10">
      <c r="B60" s="150">
        <v>48</v>
      </c>
      <c r="C60" s="151"/>
      <c r="D60" s="148"/>
      <c r="E60" s="148"/>
      <c r="F60" s="148"/>
      <c r="G60" s="166"/>
      <c r="H60" s="142" t="s">
        <v>226</v>
      </c>
      <c r="I60" s="150">
        <v>1</v>
      </c>
      <c r="J60" s="3"/>
    </row>
    <row r="61" spans="2:10">
      <c r="B61" s="150">
        <v>49</v>
      </c>
      <c r="C61" s="151"/>
      <c r="D61" s="148"/>
      <c r="E61" s="148"/>
      <c r="F61" s="148"/>
      <c r="G61" s="166"/>
      <c r="H61" s="142" t="s">
        <v>226</v>
      </c>
      <c r="I61" s="150">
        <v>1</v>
      </c>
      <c r="J61" s="3"/>
    </row>
    <row r="62" spans="2:10">
      <c r="B62" s="150">
        <v>50</v>
      </c>
      <c r="C62" s="151"/>
      <c r="D62" s="148"/>
      <c r="E62" s="148"/>
      <c r="F62" s="148"/>
      <c r="G62" s="166"/>
      <c r="H62" s="142" t="s">
        <v>226</v>
      </c>
      <c r="I62" s="150">
        <v>1</v>
      </c>
      <c r="J62" s="3"/>
    </row>
    <row r="63" spans="2:10">
      <c r="B63" s="150">
        <v>51</v>
      </c>
      <c r="C63" s="151"/>
      <c r="D63" s="148"/>
      <c r="E63" s="148"/>
      <c r="F63" s="148"/>
      <c r="G63" s="166"/>
      <c r="H63" s="142" t="s">
        <v>226</v>
      </c>
      <c r="I63" s="150">
        <v>1</v>
      </c>
      <c r="J63" s="3"/>
    </row>
    <row r="64" spans="2:10">
      <c r="B64" s="150">
        <v>52</v>
      </c>
      <c r="C64" s="151"/>
      <c r="D64" s="148"/>
      <c r="E64" s="148"/>
      <c r="F64" s="148"/>
      <c r="G64" s="148"/>
      <c r="H64" s="142" t="s">
        <v>226</v>
      </c>
      <c r="I64" s="150">
        <v>1</v>
      </c>
      <c r="J64" s="3"/>
    </row>
    <row r="65" spans="2:10">
      <c r="B65" s="150">
        <v>53</v>
      </c>
      <c r="C65" s="151"/>
      <c r="D65" s="148"/>
      <c r="E65" s="148"/>
      <c r="F65" s="180"/>
      <c r="G65" s="148"/>
      <c r="H65" s="142" t="s">
        <v>226</v>
      </c>
      <c r="I65" s="150">
        <v>1</v>
      </c>
      <c r="J65" s="3"/>
    </row>
    <row r="66" spans="2:10">
      <c r="B66" s="150">
        <v>54</v>
      </c>
      <c r="C66" s="151"/>
      <c r="D66" s="148"/>
      <c r="E66" s="148"/>
      <c r="F66" s="180"/>
      <c r="G66" s="148"/>
      <c r="H66" s="142" t="s">
        <v>226</v>
      </c>
      <c r="I66" s="150">
        <v>1</v>
      </c>
      <c r="J66" s="3"/>
    </row>
    <row r="67" spans="2:10">
      <c r="B67" s="150">
        <v>55</v>
      </c>
      <c r="C67" s="148"/>
      <c r="D67" s="151"/>
      <c r="E67" s="148"/>
      <c r="F67" s="176"/>
      <c r="G67" s="166"/>
      <c r="H67" s="142" t="s">
        <v>226</v>
      </c>
      <c r="I67" s="150">
        <v>1</v>
      </c>
      <c r="J67" s="3"/>
    </row>
    <row r="68" spans="2:10">
      <c r="B68" s="150">
        <v>56</v>
      </c>
      <c r="C68" s="181"/>
      <c r="D68" s="148"/>
      <c r="E68" s="148"/>
      <c r="F68" s="180"/>
      <c r="G68" s="166"/>
      <c r="H68" s="142" t="s">
        <v>226</v>
      </c>
      <c r="I68" s="150">
        <v>1</v>
      </c>
      <c r="J68" s="3"/>
    </row>
    <row r="69" spans="2:10">
      <c r="B69" s="150">
        <v>57</v>
      </c>
      <c r="C69" s="181"/>
      <c r="D69" s="148"/>
      <c r="E69" s="148"/>
      <c r="F69" s="180"/>
      <c r="G69" s="166"/>
      <c r="H69" s="142" t="s">
        <v>226</v>
      </c>
      <c r="I69" s="150">
        <v>1</v>
      </c>
      <c r="J69" s="3"/>
    </row>
    <row r="70" spans="2:10">
      <c r="B70" s="150">
        <v>58</v>
      </c>
      <c r="C70" s="181"/>
      <c r="D70" s="144"/>
      <c r="E70" s="144"/>
      <c r="F70" s="180"/>
      <c r="G70" s="166"/>
      <c r="H70" s="142" t="s">
        <v>226</v>
      </c>
      <c r="I70" s="150">
        <v>1</v>
      </c>
      <c r="J70" s="3"/>
    </row>
    <row r="71" spans="2:10">
      <c r="B71" s="150">
        <v>59</v>
      </c>
      <c r="C71" s="181"/>
      <c r="D71" s="144"/>
      <c r="E71" s="144"/>
      <c r="F71" s="180"/>
      <c r="G71" s="166"/>
      <c r="H71" s="142" t="s">
        <v>226</v>
      </c>
      <c r="I71" s="150">
        <v>1</v>
      </c>
      <c r="J71" s="3"/>
    </row>
    <row r="72" spans="2:10">
      <c r="B72" s="150">
        <v>60</v>
      </c>
      <c r="C72" s="182"/>
      <c r="D72" s="144"/>
      <c r="E72" s="144"/>
      <c r="F72" s="180"/>
      <c r="G72" s="144"/>
      <c r="H72" s="142" t="s">
        <v>226</v>
      </c>
      <c r="I72" s="150">
        <v>1</v>
      </c>
      <c r="J72" s="3"/>
    </row>
    <row r="73" spans="2:10">
      <c r="B73" s="150">
        <v>61</v>
      </c>
      <c r="C73" s="165"/>
      <c r="D73" s="144"/>
      <c r="E73" s="144"/>
      <c r="F73" s="180"/>
      <c r="G73" s="166"/>
      <c r="H73" s="142" t="s">
        <v>226</v>
      </c>
      <c r="I73" s="150">
        <v>1</v>
      </c>
      <c r="J73" s="3"/>
    </row>
    <row r="74" spans="2:10">
      <c r="B74" s="150">
        <v>62</v>
      </c>
      <c r="C74" s="181"/>
      <c r="D74" s="144"/>
      <c r="E74" s="144"/>
      <c r="F74" s="180"/>
      <c r="G74" s="183"/>
      <c r="H74" s="142" t="s">
        <v>226</v>
      </c>
      <c r="I74" s="150">
        <v>1</v>
      </c>
      <c r="J74" s="3"/>
    </row>
    <row r="75" spans="2:10">
      <c r="B75" s="150">
        <v>63</v>
      </c>
      <c r="C75" s="184"/>
      <c r="D75" s="180"/>
      <c r="E75" s="180"/>
      <c r="F75" s="176"/>
      <c r="G75" s="180"/>
      <c r="H75" s="142" t="s">
        <v>226</v>
      </c>
      <c r="I75" s="150">
        <v>1</v>
      </c>
      <c r="J75" s="3"/>
    </row>
    <row r="76" spans="2:10">
      <c r="B76" s="150">
        <v>64</v>
      </c>
      <c r="C76" s="185"/>
      <c r="D76" s="180"/>
      <c r="E76" s="180"/>
      <c r="F76" s="180"/>
      <c r="G76" s="166"/>
      <c r="H76" s="142" t="s">
        <v>226</v>
      </c>
      <c r="I76" s="150">
        <v>1</v>
      </c>
      <c r="J76" s="3"/>
    </row>
    <row r="77" spans="2:10">
      <c r="B77" s="150">
        <v>65</v>
      </c>
      <c r="C77" s="185"/>
      <c r="D77" s="180"/>
      <c r="E77" s="180"/>
      <c r="F77" s="180"/>
      <c r="G77" s="166"/>
      <c r="H77" s="148"/>
      <c r="I77" s="150">
        <v>1</v>
      </c>
      <c r="J77" s="3"/>
    </row>
    <row r="78" spans="2:10">
      <c r="B78" s="7">
        <v>66</v>
      </c>
      <c r="C78" s="186"/>
      <c r="D78" s="180"/>
      <c r="E78" s="187"/>
      <c r="F78" s="180"/>
      <c r="G78" s="167"/>
      <c r="H78" s="148"/>
      <c r="I78" s="150">
        <v>1</v>
      </c>
      <c r="J78" s="3"/>
    </row>
    <row r="79" spans="2:10">
      <c r="B79" s="7">
        <v>67</v>
      </c>
      <c r="C79" s="3"/>
      <c r="D79" s="3"/>
      <c r="E79" s="3"/>
      <c r="F79" s="3"/>
      <c r="G79" s="3"/>
      <c r="H79" s="148"/>
      <c r="I79" s="150">
        <v>1</v>
      </c>
      <c r="J79" s="3"/>
    </row>
    <row r="80" spans="2:10">
      <c r="B80" s="7">
        <v>68</v>
      </c>
      <c r="C80" s="3"/>
      <c r="D80" s="3"/>
      <c r="E80" s="3"/>
      <c r="F80" s="3"/>
      <c r="G80" s="3"/>
      <c r="H80" s="148"/>
      <c r="I80" s="150">
        <v>1</v>
      </c>
      <c r="J80" s="3"/>
    </row>
    <row r="81" spans="2:10">
      <c r="B81" s="7">
        <v>69</v>
      </c>
      <c r="C81" s="3"/>
      <c r="D81" s="3"/>
      <c r="E81" s="3"/>
      <c r="F81" s="3"/>
      <c r="G81" s="3"/>
      <c r="H81" s="148"/>
      <c r="I81" s="150">
        <v>1</v>
      </c>
      <c r="J81" s="3"/>
    </row>
    <row r="82" spans="2:10">
      <c r="B82" s="3"/>
      <c r="C82" s="3"/>
      <c r="D82" s="3"/>
      <c r="E82" s="3"/>
      <c r="F82" s="3"/>
      <c r="G82" s="3"/>
      <c r="H82" s="148"/>
      <c r="I82" s="150">
        <v>1</v>
      </c>
      <c r="J82" s="3"/>
    </row>
    <row r="83" spans="2:10">
      <c r="B83" s="3"/>
      <c r="C83" s="3"/>
      <c r="D83" s="3"/>
      <c r="E83" s="3"/>
      <c r="F83" s="3"/>
      <c r="G83" s="3"/>
      <c r="H83" s="148"/>
      <c r="I83" s="150">
        <v>1</v>
      </c>
      <c r="J83" s="3"/>
    </row>
    <row r="84" spans="2:10">
      <c r="B84" s="3"/>
      <c r="C84" s="3"/>
      <c r="D84" s="3"/>
      <c r="E84" s="3"/>
      <c r="F84" s="3"/>
      <c r="G84" s="3"/>
      <c r="H84" s="148"/>
      <c r="I84" s="150">
        <v>1</v>
      </c>
      <c r="J84" s="3"/>
    </row>
    <row r="85" spans="2:10">
      <c r="B85" s="3"/>
      <c r="C85" s="3"/>
      <c r="D85" s="3"/>
      <c r="E85" s="3"/>
      <c r="F85" s="3"/>
      <c r="G85" s="3"/>
      <c r="H85" s="3"/>
      <c r="I85" s="3"/>
      <c r="J85" s="3"/>
    </row>
    <row r="86" spans="2:10">
      <c r="B86" s="3"/>
      <c r="C86" s="3"/>
      <c r="D86" s="3"/>
      <c r="E86" s="3"/>
      <c r="F86" s="3"/>
      <c r="G86" s="3"/>
      <c r="H86" s="3"/>
      <c r="I86" s="3"/>
      <c r="J86" s="3"/>
    </row>
    <row r="87" spans="2:10">
      <c r="B87" s="3"/>
      <c r="C87" s="3"/>
      <c r="D87" s="3"/>
      <c r="E87" s="3"/>
      <c r="F87" s="3"/>
      <c r="G87" s="3"/>
      <c r="H87" s="3"/>
      <c r="I87" s="3"/>
      <c r="J87" s="3"/>
    </row>
    <row r="88" spans="2:10">
      <c r="B88" s="3"/>
      <c r="C88" s="3"/>
      <c r="D88" s="3"/>
      <c r="E88" s="3"/>
      <c r="F88" s="3"/>
      <c r="G88" s="3"/>
      <c r="H88" s="3"/>
      <c r="I88" s="3"/>
      <c r="J88" s="3"/>
    </row>
    <row r="89" spans="2:10">
      <c r="B89" s="3"/>
      <c r="C89" s="3"/>
      <c r="D89" s="3"/>
      <c r="E89" s="3"/>
      <c r="F89" s="3"/>
      <c r="G89" s="3"/>
      <c r="H89" s="3"/>
      <c r="I89" s="3"/>
      <c r="J89" s="3"/>
    </row>
    <row r="90" spans="2:10">
      <c r="B90" s="3"/>
      <c r="C90" s="3"/>
      <c r="D90" s="3"/>
      <c r="E90" s="3"/>
      <c r="F90" s="3"/>
      <c r="G90" s="3"/>
      <c r="H90" s="3"/>
      <c r="I90" s="3"/>
      <c r="J90" s="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152"/>
  <sheetViews>
    <sheetView zoomScale="85" zoomScaleNormal="85" workbookViewId="0">
      <selection activeCell="B9" sqref="B9"/>
    </sheetView>
  </sheetViews>
  <sheetFormatPr defaultColWidth="9" defaultRowHeight="18"/>
  <cols>
    <col min="1" max="1" width="8.73046875" style="14" customWidth="1"/>
    <col min="2" max="2" width="90.59765625" style="14" bestFit="1" customWidth="1"/>
    <col min="3" max="3" width="16.59765625" style="14" bestFit="1" customWidth="1"/>
    <col min="4" max="4" width="25.73046875" style="14" customWidth="1"/>
    <col min="5" max="5" width="11" style="14" bestFit="1" customWidth="1"/>
    <col min="6" max="6" width="22" style="65" hidden="1" customWidth="1"/>
    <col min="7" max="7" width="31.86328125" style="48" hidden="1" customWidth="1"/>
    <col min="8" max="8" width="38" style="41" hidden="1" customWidth="1"/>
    <col min="9" max="9" width="16.73046875" style="14" hidden="1" customWidth="1"/>
    <col min="10" max="10" width="45.86328125" style="41" hidden="1" customWidth="1"/>
    <col min="11" max="11" width="16" style="14" hidden="1" customWidth="1"/>
    <col min="12" max="12" width="45.265625" style="41" hidden="1" customWidth="1"/>
    <col min="13" max="13" width="16" style="14" hidden="1" customWidth="1"/>
    <col min="14" max="14" width="40" style="41" hidden="1" customWidth="1"/>
    <col min="15" max="15" width="50.265625" style="41" hidden="1" customWidth="1"/>
    <col min="16" max="16" width="38.73046875" style="41" hidden="1" customWidth="1"/>
    <col min="17" max="17" width="19.3984375" style="14" bestFit="1" customWidth="1"/>
    <col min="18" max="18" width="19.3984375" style="66" bestFit="1" customWidth="1"/>
    <col min="19" max="19" width="10.86328125" style="99" bestFit="1" customWidth="1"/>
    <col min="20" max="20" width="21.1328125" style="99" bestFit="1" customWidth="1"/>
    <col min="21" max="21" width="30.265625" style="90" hidden="1" customWidth="1"/>
    <col min="22" max="22" width="34" style="91" hidden="1" customWidth="1"/>
    <col min="23" max="23" width="17.86328125" style="90" bestFit="1" customWidth="1"/>
    <col min="24" max="24" width="21.1328125" style="92" bestFit="1" customWidth="1"/>
    <col min="25" max="25" width="18.265625" style="90" bestFit="1" customWidth="1"/>
    <col min="26" max="26" width="31" style="90" bestFit="1" customWidth="1"/>
    <col min="27" max="43" width="9" style="14" customWidth="1"/>
    <col min="44" max="16384" width="9" style="14"/>
  </cols>
  <sheetData>
    <row r="1" spans="1:27">
      <c r="A1" s="512" t="s">
        <v>0</v>
      </c>
      <c r="B1" s="512"/>
      <c r="C1" s="35"/>
      <c r="D1" s="36" t="s">
        <v>227</v>
      </c>
      <c r="E1" s="37"/>
      <c r="F1" s="38"/>
      <c r="G1" s="39"/>
      <c r="H1" s="40"/>
      <c r="K1" s="42"/>
      <c r="L1" s="40"/>
      <c r="M1" s="42"/>
      <c r="N1" s="40"/>
      <c r="O1" s="40"/>
      <c r="P1" s="40"/>
      <c r="Q1" s="43"/>
      <c r="R1" s="43"/>
      <c r="S1" s="89"/>
      <c r="T1" s="89"/>
      <c r="Z1" s="93"/>
    </row>
    <row r="2" spans="1:27">
      <c r="A2" s="512" t="s">
        <v>1</v>
      </c>
      <c r="B2" s="512"/>
      <c r="C2" s="44"/>
      <c r="D2" s="36" t="s">
        <v>228</v>
      </c>
      <c r="E2" s="37"/>
      <c r="F2" s="38"/>
      <c r="G2" s="39"/>
      <c r="H2" s="40"/>
      <c r="K2" s="42"/>
      <c r="L2" s="40"/>
      <c r="M2" s="42"/>
      <c r="N2" s="40"/>
      <c r="O2" s="40"/>
      <c r="P2" s="40"/>
      <c r="Q2" s="43"/>
      <c r="R2" s="43"/>
      <c r="S2" s="89"/>
      <c r="T2" s="89"/>
      <c r="Z2" s="93"/>
    </row>
    <row r="3" spans="1:27">
      <c r="A3" s="45"/>
      <c r="B3" s="46"/>
      <c r="C3" s="47"/>
      <c r="D3" s="36" t="s">
        <v>229</v>
      </c>
      <c r="E3" s="37"/>
      <c r="F3" s="38"/>
      <c r="H3" s="40"/>
      <c r="K3" s="42"/>
      <c r="L3" s="40"/>
      <c r="M3" s="42"/>
      <c r="N3" s="40"/>
      <c r="O3" s="40"/>
      <c r="P3" s="40"/>
      <c r="Q3" s="43"/>
      <c r="R3" s="43"/>
      <c r="S3" s="89"/>
      <c r="T3" s="89"/>
      <c r="Z3" s="93"/>
    </row>
    <row r="4" spans="1:27">
      <c r="A4" s="49" t="s">
        <v>666</v>
      </c>
      <c r="C4" s="50"/>
      <c r="D4" s="46" t="s">
        <v>231</v>
      </c>
      <c r="E4" s="37"/>
      <c r="F4" s="38"/>
      <c r="G4" s="39"/>
      <c r="H4" s="40"/>
      <c r="K4" s="42"/>
      <c r="L4" s="40"/>
      <c r="M4" s="42"/>
      <c r="N4" s="40"/>
      <c r="O4" s="40"/>
      <c r="P4" s="40"/>
      <c r="Q4" s="43"/>
      <c r="R4" s="43"/>
      <c r="S4" s="89"/>
      <c r="T4" s="89"/>
      <c r="Z4" s="93"/>
    </row>
    <row r="5" spans="1:27">
      <c r="A5" s="51"/>
      <c r="B5" s="37"/>
      <c r="C5" s="52"/>
      <c r="D5" s="46" t="s">
        <v>232</v>
      </c>
      <c r="E5" s="37"/>
      <c r="F5" s="38"/>
      <c r="G5" s="39"/>
      <c r="H5" s="40"/>
      <c r="K5" s="42"/>
      <c r="L5" s="40"/>
      <c r="M5" s="42"/>
      <c r="N5" s="40"/>
      <c r="O5" s="40"/>
      <c r="P5" s="40"/>
      <c r="Q5" s="43"/>
      <c r="R5" s="43"/>
      <c r="S5" s="89"/>
      <c r="T5" s="94"/>
      <c r="Z5" s="93"/>
    </row>
    <row r="6" spans="1:27">
      <c r="A6" s="51"/>
      <c r="B6" s="37"/>
      <c r="C6" s="53"/>
      <c r="D6" s="46" t="s">
        <v>233</v>
      </c>
      <c r="E6" s="37"/>
      <c r="F6" s="38" t="s">
        <v>234</v>
      </c>
      <c r="G6" s="39"/>
      <c r="H6" s="40"/>
      <c r="I6" s="42"/>
      <c r="J6" s="40"/>
      <c r="K6" s="42"/>
      <c r="L6" s="40"/>
      <c r="M6" s="42"/>
      <c r="N6" s="40"/>
      <c r="O6" s="40"/>
      <c r="P6" s="40"/>
      <c r="Q6" s="43"/>
      <c r="R6" s="43"/>
      <c r="S6" s="89"/>
      <c r="T6" s="89"/>
      <c r="Z6" s="93"/>
    </row>
    <row r="7" spans="1:27">
      <c r="A7" s="51"/>
      <c r="B7" s="37"/>
      <c r="C7" s="54"/>
      <c r="D7" s="46" t="s">
        <v>235</v>
      </c>
      <c r="E7" s="37"/>
      <c r="F7" s="38"/>
      <c r="G7" s="39"/>
      <c r="H7" s="40"/>
      <c r="I7" s="42"/>
      <c r="K7" s="42"/>
      <c r="L7" s="40"/>
      <c r="M7" s="42"/>
      <c r="N7" s="40"/>
      <c r="O7" s="40"/>
      <c r="P7" s="40"/>
      <c r="Q7" s="43"/>
      <c r="R7" s="43"/>
      <c r="S7" s="89"/>
      <c r="T7" s="89"/>
      <c r="Z7" s="93"/>
    </row>
    <row r="8" spans="1:27">
      <c r="A8" s="37"/>
      <c r="B8" s="37"/>
      <c r="C8" s="37"/>
      <c r="D8" s="37"/>
      <c r="E8" s="37"/>
      <c r="F8" s="38"/>
      <c r="G8" s="39"/>
      <c r="H8" s="40"/>
      <c r="I8" s="42"/>
      <c r="J8" s="40"/>
      <c r="K8" s="42"/>
      <c r="L8" s="40"/>
      <c r="M8" s="42"/>
      <c r="N8" s="40"/>
      <c r="O8" s="40"/>
      <c r="P8" s="40"/>
      <c r="Q8" s="43"/>
      <c r="R8" s="43"/>
      <c r="S8" s="89"/>
      <c r="T8" s="89"/>
      <c r="Z8" s="93"/>
    </row>
    <row r="9" spans="1:27" ht="47.25" customHeight="1">
      <c r="A9" s="71" t="s">
        <v>111</v>
      </c>
      <c r="B9" s="56" t="s">
        <v>236</v>
      </c>
      <c r="C9" s="56" t="s">
        <v>237</v>
      </c>
      <c r="D9" s="56" t="s">
        <v>238</v>
      </c>
      <c r="E9" s="56" t="s">
        <v>239</v>
      </c>
      <c r="F9" s="57" t="s">
        <v>240</v>
      </c>
      <c r="G9" s="58" t="s">
        <v>241</v>
      </c>
      <c r="H9" s="59" t="s">
        <v>242</v>
      </c>
      <c r="I9" s="60" t="s">
        <v>243</v>
      </c>
      <c r="J9" s="59" t="s">
        <v>244</v>
      </c>
      <c r="K9" s="60" t="s">
        <v>245</v>
      </c>
      <c r="L9" s="59" t="s">
        <v>246</v>
      </c>
      <c r="M9" s="60" t="s">
        <v>247</v>
      </c>
      <c r="N9" s="59" t="s">
        <v>248</v>
      </c>
      <c r="O9" s="59" t="s">
        <v>249</v>
      </c>
      <c r="P9" s="59" t="s">
        <v>250</v>
      </c>
      <c r="Q9" s="61" t="s">
        <v>251</v>
      </c>
      <c r="R9" s="61" t="s">
        <v>252</v>
      </c>
      <c r="S9" s="95" t="s">
        <v>223</v>
      </c>
      <c r="T9" s="104" t="s">
        <v>253</v>
      </c>
      <c r="U9" s="105" t="s">
        <v>254</v>
      </c>
      <c r="V9" s="106" t="s">
        <v>255</v>
      </c>
      <c r="W9" s="105" t="s">
        <v>256</v>
      </c>
      <c r="X9" s="110" t="s">
        <v>257</v>
      </c>
      <c r="Y9" s="108" t="s">
        <v>258</v>
      </c>
      <c r="Z9" s="109" t="s">
        <v>259</v>
      </c>
      <c r="AA9" s="109" t="s">
        <v>225</v>
      </c>
    </row>
    <row r="10" spans="1:27">
      <c r="A10" s="367"/>
      <c r="B10" s="368" t="s">
        <v>260</v>
      </c>
      <c r="C10" s="369"/>
      <c r="D10" s="370"/>
      <c r="E10" s="371"/>
      <c r="F10" s="372"/>
      <c r="G10" s="373">
        <f>E10*F10</f>
        <v>0</v>
      </c>
      <c r="H10" s="383"/>
      <c r="I10" s="370"/>
      <c r="J10" s="383"/>
      <c r="K10" s="370"/>
      <c r="L10" s="375"/>
      <c r="M10" s="370"/>
      <c r="N10" s="375"/>
      <c r="O10" s="375"/>
      <c r="P10" s="375"/>
      <c r="Q10" s="376"/>
      <c r="R10" s="376"/>
      <c r="S10" s="377"/>
      <c r="T10" s="377"/>
      <c r="U10" s="378"/>
      <c r="V10" s="379"/>
      <c r="W10" s="380"/>
      <c r="X10" s="380"/>
      <c r="Y10" s="381"/>
      <c r="Z10" s="382"/>
      <c r="AA10" s="474"/>
    </row>
    <row r="11" spans="1:27">
      <c r="A11" s="367"/>
      <c r="B11" s="368" t="s">
        <v>261</v>
      </c>
      <c r="C11" s="369"/>
      <c r="D11" s="370"/>
      <c r="E11" s="371"/>
      <c r="F11" s="372"/>
      <c r="G11" s="373">
        <f>E11*F11</f>
        <v>0</v>
      </c>
      <c r="H11" s="383"/>
      <c r="I11" s="370"/>
      <c r="J11" s="383"/>
      <c r="K11" s="370"/>
      <c r="L11" s="375"/>
      <c r="M11" s="370"/>
      <c r="N11" s="375"/>
      <c r="O11" s="375"/>
      <c r="P11" s="375"/>
      <c r="Q11" s="376"/>
      <c r="R11" s="376"/>
      <c r="S11" s="377"/>
      <c r="T11" s="377"/>
      <c r="U11" s="378"/>
      <c r="V11" s="379"/>
      <c r="W11" s="380"/>
      <c r="X11" s="380"/>
      <c r="Y11" s="381"/>
      <c r="Z11" s="382"/>
      <c r="AA11" s="474"/>
    </row>
    <row r="12" spans="1:27">
      <c r="A12" s="367"/>
      <c r="B12" s="368" t="s">
        <v>262</v>
      </c>
      <c r="C12" s="369"/>
      <c r="D12" s="370"/>
      <c r="E12" s="371"/>
      <c r="F12" s="372"/>
      <c r="G12" s="373">
        <f>E12*F12</f>
        <v>0</v>
      </c>
      <c r="H12" s="383"/>
      <c r="I12" s="370"/>
      <c r="J12" s="383"/>
      <c r="K12" s="370"/>
      <c r="L12" s="375"/>
      <c r="M12" s="370"/>
      <c r="N12" s="375"/>
      <c r="O12" s="375"/>
      <c r="P12" s="375"/>
      <c r="Q12" s="376"/>
      <c r="R12" s="376"/>
      <c r="S12" s="377"/>
      <c r="T12" s="377"/>
      <c r="U12" s="378"/>
      <c r="V12" s="379"/>
      <c r="W12" s="380"/>
      <c r="X12" s="380"/>
      <c r="Y12" s="381"/>
      <c r="Z12" s="382"/>
      <c r="AA12" s="474"/>
    </row>
    <row r="13" spans="1:27" s="112" customFormat="1" ht="36">
      <c r="A13" s="385">
        <v>1</v>
      </c>
      <c r="B13" s="387" t="s">
        <v>667</v>
      </c>
      <c r="C13" s="386" t="s">
        <v>55</v>
      </c>
      <c r="D13" s="387" t="s">
        <v>668</v>
      </c>
      <c r="E13" s="388">
        <v>2</v>
      </c>
      <c r="F13" s="389"/>
      <c r="G13" s="390">
        <f t="shared" ref="G13:G44" si="0">E13*F13</f>
        <v>0</v>
      </c>
      <c r="H13" s="392"/>
      <c r="I13" s="387"/>
      <c r="J13" s="392"/>
      <c r="K13" s="387" t="s">
        <v>669</v>
      </c>
      <c r="L13" s="392" t="s">
        <v>303</v>
      </c>
      <c r="M13" s="387" t="s">
        <v>670</v>
      </c>
      <c r="N13" s="392"/>
      <c r="O13" s="392"/>
      <c r="P13" s="392" t="s">
        <v>424</v>
      </c>
      <c r="Q13" s="393" t="s">
        <v>293</v>
      </c>
      <c r="R13" s="393" t="s">
        <v>671</v>
      </c>
      <c r="S13" s="394">
        <v>45608</v>
      </c>
      <c r="T13" s="394"/>
      <c r="U13" s="395"/>
      <c r="V13" s="396"/>
      <c r="W13" s="397"/>
      <c r="X13" s="397"/>
      <c r="Y13" s="398" t="s">
        <v>267</v>
      </c>
      <c r="Z13" s="440"/>
      <c r="AA13" s="395"/>
    </row>
    <row r="14" spans="1:27" s="112" customFormat="1" ht="36">
      <c r="A14" s="421">
        <v>2</v>
      </c>
      <c r="B14" s="422" t="s">
        <v>672</v>
      </c>
      <c r="C14" s="423" t="s">
        <v>55</v>
      </c>
      <c r="D14" s="422" t="s">
        <v>673</v>
      </c>
      <c r="E14" s="424">
        <v>2</v>
      </c>
      <c r="F14" s="425"/>
      <c r="G14" s="426">
        <f t="shared" si="0"/>
        <v>0</v>
      </c>
      <c r="H14" s="428"/>
      <c r="I14" s="422"/>
      <c r="J14" s="428"/>
      <c r="K14" s="422" t="s">
        <v>669</v>
      </c>
      <c r="L14" s="428" t="s">
        <v>303</v>
      </c>
      <c r="M14" s="422" t="s">
        <v>674</v>
      </c>
      <c r="N14" s="428"/>
      <c r="O14" s="428"/>
      <c r="P14" s="428" t="s">
        <v>424</v>
      </c>
      <c r="Q14" s="429" t="s">
        <v>265</v>
      </c>
      <c r="R14" s="429" t="s">
        <v>675</v>
      </c>
      <c r="S14" s="430">
        <v>45608</v>
      </c>
      <c r="T14" s="430" t="s">
        <v>669</v>
      </c>
      <c r="U14" s="431"/>
      <c r="V14" s="432"/>
      <c r="W14" s="433" t="s">
        <v>676</v>
      </c>
      <c r="X14" s="433">
        <v>45607</v>
      </c>
      <c r="Y14" s="434" t="s">
        <v>267</v>
      </c>
      <c r="Z14" s="442"/>
      <c r="AA14" s="424"/>
    </row>
    <row r="15" spans="1:27" s="112" customFormat="1" ht="36">
      <c r="A15" s="421">
        <v>3</v>
      </c>
      <c r="B15" s="422" t="s">
        <v>677</v>
      </c>
      <c r="C15" s="423" t="s">
        <v>55</v>
      </c>
      <c r="D15" s="422" t="s">
        <v>678</v>
      </c>
      <c r="E15" s="424">
        <v>2</v>
      </c>
      <c r="F15" s="425"/>
      <c r="G15" s="426">
        <f t="shared" si="0"/>
        <v>0</v>
      </c>
      <c r="H15" s="428"/>
      <c r="I15" s="422"/>
      <c r="J15" s="428"/>
      <c r="K15" s="422" t="s">
        <v>669</v>
      </c>
      <c r="L15" s="428" t="s">
        <v>303</v>
      </c>
      <c r="M15" s="422" t="s">
        <v>674</v>
      </c>
      <c r="N15" s="428"/>
      <c r="O15" s="428"/>
      <c r="P15" s="428" t="s">
        <v>424</v>
      </c>
      <c r="Q15" s="429" t="s">
        <v>265</v>
      </c>
      <c r="R15" s="429" t="s">
        <v>675</v>
      </c>
      <c r="S15" s="430">
        <v>45608</v>
      </c>
      <c r="T15" s="430" t="s">
        <v>669</v>
      </c>
      <c r="U15" s="431"/>
      <c r="V15" s="432"/>
      <c r="W15" s="433" t="s">
        <v>676</v>
      </c>
      <c r="X15" s="433">
        <v>45607</v>
      </c>
      <c r="Y15" s="434" t="s">
        <v>267</v>
      </c>
      <c r="Z15" s="442"/>
      <c r="AA15" s="424"/>
    </row>
    <row r="16" spans="1:27" s="112" customFormat="1" ht="36">
      <c r="A16" s="421">
        <v>4</v>
      </c>
      <c r="B16" s="422" t="s">
        <v>679</v>
      </c>
      <c r="C16" s="423" t="s">
        <v>55</v>
      </c>
      <c r="D16" s="422" t="s">
        <v>680</v>
      </c>
      <c r="E16" s="424">
        <v>2</v>
      </c>
      <c r="F16" s="425"/>
      <c r="G16" s="426">
        <f t="shared" si="0"/>
        <v>0</v>
      </c>
      <c r="H16" s="428"/>
      <c r="I16" s="422"/>
      <c r="J16" s="428"/>
      <c r="K16" s="422" t="s">
        <v>669</v>
      </c>
      <c r="L16" s="428" t="s">
        <v>303</v>
      </c>
      <c r="M16" s="422" t="s">
        <v>674</v>
      </c>
      <c r="N16" s="428"/>
      <c r="O16" s="428"/>
      <c r="P16" s="428" t="s">
        <v>424</v>
      </c>
      <c r="Q16" s="429" t="s">
        <v>265</v>
      </c>
      <c r="R16" s="429" t="s">
        <v>675</v>
      </c>
      <c r="S16" s="430">
        <v>45608</v>
      </c>
      <c r="T16" s="430" t="s">
        <v>669</v>
      </c>
      <c r="U16" s="431"/>
      <c r="V16" s="432"/>
      <c r="W16" s="433" t="s">
        <v>676</v>
      </c>
      <c r="X16" s="433">
        <v>45607</v>
      </c>
      <c r="Y16" s="434" t="s">
        <v>267</v>
      </c>
      <c r="Z16" s="442"/>
      <c r="AA16" s="424"/>
    </row>
    <row r="17" spans="1:27" s="112" customFormat="1" ht="36">
      <c r="A17" s="421">
        <v>5</v>
      </c>
      <c r="B17" s="422" t="s">
        <v>681</v>
      </c>
      <c r="C17" s="423" t="s">
        <v>55</v>
      </c>
      <c r="D17" s="422" t="s">
        <v>682</v>
      </c>
      <c r="E17" s="424">
        <v>2</v>
      </c>
      <c r="F17" s="425"/>
      <c r="G17" s="426">
        <f t="shared" si="0"/>
        <v>0</v>
      </c>
      <c r="H17" s="428"/>
      <c r="I17" s="422"/>
      <c r="J17" s="428"/>
      <c r="K17" s="422" t="s">
        <v>669</v>
      </c>
      <c r="L17" s="428" t="s">
        <v>303</v>
      </c>
      <c r="M17" s="422" t="s">
        <v>674</v>
      </c>
      <c r="N17" s="428"/>
      <c r="O17" s="428"/>
      <c r="P17" s="428" t="s">
        <v>424</v>
      </c>
      <c r="Q17" s="429" t="s">
        <v>265</v>
      </c>
      <c r="R17" s="429" t="s">
        <v>675</v>
      </c>
      <c r="S17" s="430">
        <v>45608</v>
      </c>
      <c r="T17" s="430" t="s">
        <v>669</v>
      </c>
      <c r="U17" s="431"/>
      <c r="V17" s="432"/>
      <c r="W17" s="433" t="s">
        <v>676</v>
      </c>
      <c r="X17" s="433">
        <v>45607</v>
      </c>
      <c r="Y17" s="434" t="s">
        <v>267</v>
      </c>
      <c r="Z17" s="442"/>
      <c r="AA17" s="424"/>
    </row>
    <row r="18" spans="1:27" s="112" customFormat="1" ht="36">
      <c r="A18" s="421">
        <v>6</v>
      </c>
      <c r="B18" s="422" t="s">
        <v>683</v>
      </c>
      <c r="C18" s="423" t="s">
        <v>55</v>
      </c>
      <c r="D18" s="422" t="s">
        <v>684</v>
      </c>
      <c r="E18" s="424">
        <v>2</v>
      </c>
      <c r="F18" s="425"/>
      <c r="G18" s="426">
        <f t="shared" si="0"/>
        <v>0</v>
      </c>
      <c r="H18" s="428"/>
      <c r="I18" s="422"/>
      <c r="J18" s="428"/>
      <c r="K18" s="422" t="s">
        <v>669</v>
      </c>
      <c r="L18" s="428" t="s">
        <v>303</v>
      </c>
      <c r="M18" s="422" t="s">
        <v>685</v>
      </c>
      <c r="N18" s="428"/>
      <c r="O18" s="428"/>
      <c r="P18" s="428" t="s">
        <v>424</v>
      </c>
      <c r="Q18" s="429" t="s">
        <v>293</v>
      </c>
      <c r="R18" s="429" t="s">
        <v>686</v>
      </c>
      <c r="S18" s="430">
        <v>45608</v>
      </c>
      <c r="T18" s="430"/>
      <c r="U18" s="431"/>
      <c r="V18" s="432"/>
      <c r="W18" s="433" t="s">
        <v>676</v>
      </c>
      <c r="X18" s="433">
        <v>45609</v>
      </c>
      <c r="Y18" s="434" t="s">
        <v>267</v>
      </c>
      <c r="Z18" s="442"/>
      <c r="AA18" s="431"/>
    </row>
    <row r="19" spans="1:27" s="112" customFormat="1" ht="36">
      <c r="A19" s="421">
        <v>7</v>
      </c>
      <c r="B19" s="422" t="s">
        <v>687</v>
      </c>
      <c r="C19" s="423" t="s">
        <v>55</v>
      </c>
      <c r="D19" s="422" t="s">
        <v>688</v>
      </c>
      <c r="E19" s="424">
        <v>2</v>
      </c>
      <c r="F19" s="425"/>
      <c r="G19" s="426">
        <f t="shared" si="0"/>
        <v>0</v>
      </c>
      <c r="H19" s="428"/>
      <c r="I19" s="422"/>
      <c r="J19" s="428"/>
      <c r="K19" s="422" t="s">
        <v>669</v>
      </c>
      <c r="L19" s="428" t="s">
        <v>303</v>
      </c>
      <c r="M19" s="422" t="s">
        <v>674</v>
      </c>
      <c r="N19" s="428"/>
      <c r="O19" s="428"/>
      <c r="P19" s="428" t="s">
        <v>424</v>
      </c>
      <c r="Q19" s="429" t="s">
        <v>265</v>
      </c>
      <c r="R19" s="429" t="s">
        <v>675</v>
      </c>
      <c r="S19" s="430">
        <v>45608</v>
      </c>
      <c r="T19" s="430" t="s">
        <v>669</v>
      </c>
      <c r="U19" s="431"/>
      <c r="V19" s="432"/>
      <c r="W19" s="433" t="s">
        <v>676</v>
      </c>
      <c r="X19" s="433">
        <v>45607</v>
      </c>
      <c r="Y19" s="434" t="s">
        <v>267</v>
      </c>
      <c r="Z19" s="442"/>
      <c r="AA19" s="424"/>
    </row>
    <row r="20" spans="1:27" s="112" customFormat="1" ht="36">
      <c r="A20" s="421">
        <v>8</v>
      </c>
      <c r="B20" s="422" t="s">
        <v>689</v>
      </c>
      <c r="C20" s="423" t="s">
        <v>55</v>
      </c>
      <c r="D20" s="422" t="s">
        <v>690</v>
      </c>
      <c r="E20" s="424">
        <v>1</v>
      </c>
      <c r="F20" s="425"/>
      <c r="G20" s="426">
        <f t="shared" si="0"/>
        <v>0</v>
      </c>
      <c r="H20" s="428"/>
      <c r="I20" s="422"/>
      <c r="J20" s="428"/>
      <c r="K20" s="422" t="s">
        <v>669</v>
      </c>
      <c r="L20" s="428" t="s">
        <v>303</v>
      </c>
      <c r="M20" s="422" t="s">
        <v>674</v>
      </c>
      <c r="N20" s="428"/>
      <c r="O20" s="428"/>
      <c r="P20" s="428" t="s">
        <v>424</v>
      </c>
      <c r="Q20" s="429" t="s">
        <v>293</v>
      </c>
      <c r="R20" s="429" t="s">
        <v>675</v>
      </c>
      <c r="S20" s="430">
        <v>45608</v>
      </c>
      <c r="T20" s="430" t="s">
        <v>674</v>
      </c>
      <c r="U20" s="431"/>
      <c r="V20" s="432"/>
      <c r="W20" s="433" t="s">
        <v>676</v>
      </c>
      <c r="X20" s="433">
        <v>45609</v>
      </c>
      <c r="Y20" s="434" t="s">
        <v>267</v>
      </c>
      <c r="Z20" s="442"/>
      <c r="AA20" s="424"/>
    </row>
    <row r="21" spans="1:27" s="112" customFormat="1" ht="36">
      <c r="A21" s="421">
        <v>9</v>
      </c>
      <c r="B21" s="422" t="s">
        <v>691</v>
      </c>
      <c r="C21" s="423" t="s">
        <v>55</v>
      </c>
      <c r="D21" s="422" t="s">
        <v>692</v>
      </c>
      <c r="E21" s="424">
        <v>1</v>
      </c>
      <c r="F21" s="425"/>
      <c r="G21" s="426">
        <f t="shared" si="0"/>
        <v>0</v>
      </c>
      <c r="H21" s="428"/>
      <c r="I21" s="422"/>
      <c r="J21" s="428"/>
      <c r="K21" s="422" t="s">
        <v>669</v>
      </c>
      <c r="L21" s="428" t="s">
        <v>303</v>
      </c>
      <c r="M21" s="422" t="s">
        <v>693</v>
      </c>
      <c r="N21" s="428"/>
      <c r="O21" s="428"/>
      <c r="P21" s="428" t="s">
        <v>424</v>
      </c>
      <c r="Q21" s="429" t="s">
        <v>265</v>
      </c>
      <c r="R21" s="429" t="s">
        <v>694</v>
      </c>
      <c r="S21" s="430">
        <v>45608</v>
      </c>
      <c r="T21" s="430" t="s">
        <v>669</v>
      </c>
      <c r="U21" s="431"/>
      <c r="V21" s="432"/>
      <c r="W21" s="433" t="s">
        <v>676</v>
      </c>
      <c r="X21" s="433">
        <v>45608</v>
      </c>
      <c r="Y21" s="434" t="s">
        <v>267</v>
      </c>
      <c r="Z21" s="442"/>
      <c r="AA21" s="424"/>
    </row>
    <row r="22" spans="1:27" s="112" customFormat="1" ht="36">
      <c r="A22" s="421">
        <v>10</v>
      </c>
      <c r="B22" s="422" t="s">
        <v>695</v>
      </c>
      <c r="C22" s="423" t="s">
        <v>55</v>
      </c>
      <c r="D22" s="422" t="s">
        <v>696</v>
      </c>
      <c r="E22" s="424">
        <v>1</v>
      </c>
      <c r="F22" s="425"/>
      <c r="G22" s="426">
        <f t="shared" si="0"/>
        <v>0</v>
      </c>
      <c r="H22" s="428"/>
      <c r="I22" s="422"/>
      <c r="J22" s="428"/>
      <c r="K22" s="422" t="s">
        <v>669</v>
      </c>
      <c r="L22" s="428" t="s">
        <v>303</v>
      </c>
      <c r="M22" s="422" t="s">
        <v>685</v>
      </c>
      <c r="N22" s="428"/>
      <c r="O22" s="428"/>
      <c r="P22" s="428" t="s">
        <v>424</v>
      </c>
      <c r="Q22" s="429" t="s">
        <v>293</v>
      </c>
      <c r="R22" s="429" t="s">
        <v>686</v>
      </c>
      <c r="S22" s="430">
        <v>45608</v>
      </c>
      <c r="T22" s="430"/>
      <c r="U22" s="431"/>
      <c r="V22" s="432"/>
      <c r="W22" s="433" t="s">
        <v>676</v>
      </c>
      <c r="X22" s="433">
        <v>45609</v>
      </c>
      <c r="Y22" s="434" t="s">
        <v>267</v>
      </c>
      <c r="Z22" s="442"/>
      <c r="AA22" s="431"/>
    </row>
    <row r="23" spans="1:27" s="112" customFormat="1" ht="36">
      <c r="A23" s="421">
        <v>11</v>
      </c>
      <c r="B23" s="422" t="s">
        <v>697</v>
      </c>
      <c r="C23" s="423" t="s">
        <v>55</v>
      </c>
      <c r="D23" s="422" t="s">
        <v>698</v>
      </c>
      <c r="E23" s="424">
        <v>1</v>
      </c>
      <c r="F23" s="425"/>
      <c r="G23" s="426">
        <f t="shared" si="0"/>
        <v>0</v>
      </c>
      <c r="H23" s="428"/>
      <c r="I23" s="422"/>
      <c r="J23" s="428"/>
      <c r="K23" s="422" t="s">
        <v>669</v>
      </c>
      <c r="L23" s="428" t="s">
        <v>303</v>
      </c>
      <c r="M23" s="422" t="s">
        <v>674</v>
      </c>
      <c r="N23" s="428"/>
      <c r="O23" s="428"/>
      <c r="P23" s="428" t="s">
        <v>424</v>
      </c>
      <c r="Q23" s="429" t="s">
        <v>265</v>
      </c>
      <c r="R23" s="429" t="s">
        <v>675</v>
      </c>
      <c r="S23" s="430">
        <v>45608</v>
      </c>
      <c r="T23" s="430" t="s">
        <v>669</v>
      </c>
      <c r="U23" s="431"/>
      <c r="V23" s="432"/>
      <c r="W23" s="433" t="s">
        <v>676</v>
      </c>
      <c r="X23" s="433">
        <v>45607</v>
      </c>
      <c r="Y23" s="434" t="s">
        <v>267</v>
      </c>
      <c r="Z23" s="442"/>
      <c r="AA23" s="424"/>
    </row>
    <row r="24" spans="1:27" s="112" customFormat="1" ht="36">
      <c r="A24" s="421">
        <v>12</v>
      </c>
      <c r="B24" s="422" t="s">
        <v>699</v>
      </c>
      <c r="C24" s="423" t="s">
        <v>55</v>
      </c>
      <c r="D24" s="422" t="s">
        <v>700</v>
      </c>
      <c r="E24" s="424">
        <v>1</v>
      </c>
      <c r="F24" s="425"/>
      <c r="G24" s="426">
        <f t="shared" si="0"/>
        <v>0</v>
      </c>
      <c r="H24" s="428"/>
      <c r="I24" s="422"/>
      <c r="J24" s="428"/>
      <c r="K24" s="422" t="s">
        <v>669</v>
      </c>
      <c r="L24" s="428" t="s">
        <v>303</v>
      </c>
      <c r="M24" s="422" t="s">
        <v>674</v>
      </c>
      <c r="N24" s="428"/>
      <c r="O24" s="428"/>
      <c r="P24" s="428" t="s">
        <v>424</v>
      </c>
      <c r="Q24" s="429" t="s">
        <v>293</v>
      </c>
      <c r="R24" s="429" t="s">
        <v>675</v>
      </c>
      <c r="S24" s="430">
        <v>45608</v>
      </c>
      <c r="T24" s="430" t="s">
        <v>669</v>
      </c>
      <c r="U24" s="431"/>
      <c r="V24" s="432"/>
      <c r="W24" s="433" t="s">
        <v>676</v>
      </c>
      <c r="X24" s="433">
        <v>45600</v>
      </c>
      <c r="Y24" s="434" t="s">
        <v>267</v>
      </c>
      <c r="Z24" s="442"/>
      <c r="AA24" s="424"/>
    </row>
    <row r="25" spans="1:27" s="112" customFormat="1" ht="36">
      <c r="A25" s="421">
        <v>13</v>
      </c>
      <c r="B25" s="422" t="s">
        <v>701</v>
      </c>
      <c r="C25" s="423" t="s">
        <v>55</v>
      </c>
      <c r="D25" s="422" t="s">
        <v>702</v>
      </c>
      <c r="E25" s="424">
        <v>1</v>
      </c>
      <c r="F25" s="425"/>
      <c r="G25" s="426">
        <f t="shared" si="0"/>
        <v>0</v>
      </c>
      <c r="H25" s="428"/>
      <c r="I25" s="422"/>
      <c r="J25" s="428"/>
      <c r="K25" s="422" t="s">
        <v>669</v>
      </c>
      <c r="L25" s="428" t="s">
        <v>303</v>
      </c>
      <c r="M25" s="422" t="s">
        <v>685</v>
      </c>
      <c r="N25" s="428"/>
      <c r="O25" s="428"/>
      <c r="P25" s="428" t="s">
        <v>424</v>
      </c>
      <c r="Q25" s="429" t="s">
        <v>293</v>
      </c>
      <c r="R25" s="429" t="s">
        <v>686</v>
      </c>
      <c r="S25" s="430">
        <v>45608</v>
      </c>
      <c r="T25" s="430"/>
      <c r="U25" s="431"/>
      <c r="V25" s="432"/>
      <c r="W25" s="433" t="s">
        <v>676</v>
      </c>
      <c r="X25" s="433">
        <v>45609</v>
      </c>
      <c r="Y25" s="434" t="s">
        <v>267</v>
      </c>
      <c r="Z25" s="442"/>
      <c r="AA25" s="431"/>
    </row>
    <row r="26" spans="1:27" s="112" customFormat="1" ht="36">
      <c r="A26" s="421">
        <v>14</v>
      </c>
      <c r="B26" s="422" t="s">
        <v>703</v>
      </c>
      <c r="C26" s="423" t="s">
        <v>55</v>
      </c>
      <c r="D26" s="422" t="s">
        <v>704</v>
      </c>
      <c r="E26" s="424">
        <v>2</v>
      </c>
      <c r="F26" s="425"/>
      <c r="G26" s="426">
        <f t="shared" si="0"/>
        <v>0</v>
      </c>
      <c r="H26" s="428"/>
      <c r="I26" s="422"/>
      <c r="J26" s="428"/>
      <c r="K26" s="422" t="s">
        <v>669</v>
      </c>
      <c r="L26" s="428" t="s">
        <v>303</v>
      </c>
      <c r="M26" s="422" t="s">
        <v>674</v>
      </c>
      <c r="N26" s="428"/>
      <c r="O26" s="428"/>
      <c r="P26" s="428" t="s">
        <v>424</v>
      </c>
      <c r="Q26" s="429" t="s">
        <v>293</v>
      </c>
      <c r="R26" s="429" t="s">
        <v>675</v>
      </c>
      <c r="S26" s="430">
        <v>45608</v>
      </c>
      <c r="T26" s="430" t="s">
        <v>669</v>
      </c>
      <c r="U26" s="431"/>
      <c r="V26" s="432"/>
      <c r="W26" s="433" t="s">
        <v>676</v>
      </c>
      <c r="X26" s="433">
        <v>45600</v>
      </c>
      <c r="Y26" s="434" t="s">
        <v>267</v>
      </c>
      <c r="Z26" s="442"/>
      <c r="AA26" s="424"/>
    </row>
    <row r="27" spans="1:27" s="112" customFormat="1" ht="36">
      <c r="A27" s="421">
        <v>15</v>
      </c>
      <c r="B27" s="422" t="s">
        <v>705</v>
      </c>
      <c r="C27" s="423" t="s">
        <v>55</v>
      </c>
      <c r="D27" s="422" t="s">
        <v>706</v>
      </c>
      <c r="E27" s="424">
        <v>1</v>
      </c>
      <c r="F27" s="425"/>
      <c r="G27" s="426">
        <f t="shared" si="0"/>
        <v>0</v>
      </c>
      <c r="H27" s="428"/>
      <c r="I27" s="422"/>
      <c r="J27" s="428"/>
      <c r="K27" s="422" t="s">
        <v>669</v>
      </c>
      <c r="L27" s="428" t="s">
        <v>303</v>
      </c>
      <c r="M27" s="422" t="s">
        <v>685</v>
      </c>
      <c r="N27" s="428"/>
      <c r="O27" s="428"/>
      <c r="P27" s="428" t="s">
        <v>424</v>
      </c>
      <c r="Q27" s="429" t="s">
        <v>293</v>
      </c>
      <c r="R27" s="429" t="s">
        <v>686</v>
      </c>
      <c r="S27" s="430">
        <v>45608</v>
      </c>
      <c r="T27" s="430"/>
      <c r="U27" s="431"/>
      <c r="V27" s="432"/>
      <c r="W27" s="433" t="s">
        <v>676</v>
      </c>
      <c r="X27" s="433">
        <v>45609</v>
      </c>
      <c r="Y27" s="434" t="s">
        <v>267</v>
      </c>
      <c r="Z27" s="442"/>
      <c r="AA27" s="431"/>
    </row>
    <row r="28" spans="1:27" s="112" customFormat="1" ht="36">
      <c r="A28" s="421">
        <v>16</v>
      </c>
      <c r="B28" s="422" t="s">
        <v>707</v>
      </c>
      <c r="C28" s="423" t="s">
        <v>55</v>
      </c>
      <c r="D28" s="422" t="s">
        <v>708</v>
      </c>
      <c r="E28" s="424">
        <v>2</v>
      </c>
      <c r="F28" s="425"/>
      <c r="G28" s="426">
        <f t="shared" si="0"/>
        <v>0</v>
      </c>
      <c r="H28" s="428"/>
      <c r="I28" s="422"/>
      <c r="J28" s="428"/>
      <c r="K28" s="422" t="s">
        <v>669</v>
      </c>
      <c r="L28" s="428" t="s">
        <v>303</v>
      </c>
      <c r="M28" s="422" t="s">
        <v>674</v>
      </c>
      <c r="N28" s="428"/>
      <c r="O28" s="428"/>
      <c r="P28" s="428" t="s">
        <v>424</v>
      </c>
      <c r="Q28" s="429" t="s">
        <v>265</v>
      </c>
      <c r="R28" s="429" t="s">
        <v>675</v>
      </c>
      <c r="S28" s="430">
        <v>45608</v>
      </c>
      <c r="T28" s="430" t="s">
        <v>669</v>
      </c>
      <c r="U28" s="431"/>
      <c r="V28" s="432"/>
      <c r="W28" s="433" t="s">
        <v>676</v>
      </c>
      <c r="X28" s="433">
        <v>45607</v>
      </c>
      <c r="Y28" s="434" t="s">
        <v>267</v>
      </c>
      <c r="Z28" s="442"/>
      <c r="AA28" s="424"/>
    </row>
    <row r="29" spans="1:27" s="112" customFormat="1" ht="36">
      <c r="A29" s="385">
        <v>17</v>
      </c>
      <c r="B29" s="387" t="s">
        <v>709</v>
      </c>
      <c r="C29" s="386" t="s">
        <v>55</v>
      </c>
      <c r="D29" s="387" t="s">
        <v>710</v>
      </c>
      <c r="E29" s="388">
        <v>1</v>
      </c>
      <c r="F29" s="389"/>
      <c r="G29" s="390">
        <f t="shared" si="0"/>
        <v>0</v>
      </c>
      <c r="H29" s="392"/>
      <c r="I29" s="387"/>
      <c r="J29" s="392"/>
      <c r="K29" s="387" t="s">
        <v>669</v>
      </c>
      <c r="L29" s="392" t="s">
        <v>303</v>
      </c>
      <c r="M29" s="387" t="s">
        <v>674</v>
      </c>
      <c r="N29" s="392"/>
      <c r="O29" s="392"/>
      <c r="P29" s="392" t="s">
        <v>424</v>
      </c>
      <c r="Q29" s="393" t="s">
        <v>265</v>
      </c>
      <c r="R29" s="393" t="s">
        <v>675</v>
      </c>
      <c r="S29" s="394">
        <v>45608</v>
      </c>
      <c r="T29" s="394" t="s">
        <v>975</v>
      </c>
      <c r="U29" s="395"/>
      <c r="V29" s="396"/>
      <c r="W29" s="397"/>
      <c r="X29" s="397"/>
      <c r="Y29" s="398" t="s">
        <v>267</v>
      </c>
      <c r="Z29" s="440"/>
      <c r="AA29" s="395"/>
    </row>
    <row r="30" spans="1:27" s="112" customFormat="1" ht="36">
      <c r="A30" s="421">
        <v>18</v>
      </c>
      <c r="B30" s="422" t="s">
        <v>711</v>
      </c>
      <c r="C30" s="423" t="s">
        <v>55</v>
      </c>
      <c r="D30" s="422" t="s">
        <v>712</v>
      </c>
      <c r="E30" s="424">
        <v>1</v>
      </c>
      <c r="F30" s="425"/>
      <c r="G30" s="426">
        <f t="shared" si="0"/>
        <v>0</v>
      </c>
      <c r="H30" s="428"/>
      <c r="I30" s="422"/>
      <c r="J30" s="428"/>
      <c r="K30" s="422" t="s">
        <v>669</v>
      </c>
      <c r="L30" s="428" t="s">
        <v>303</v>
      </c>
      <c r="M30" s="422" t="s">
        <v>674</v>
      </c>
      <c r="N30" s="428"/>
      <c r="O30" s="428"/>
      <c r="P30" s="428" t="s">
        <v>424</v>
      </c>
      <c r="Q30" s="429" t="s">
        <v>265</v>
      </c>
      <c r="R30" s="429" t="s">
        <v>675</v>
      </c>
      <c r="S30" s="430">
        <v>45608</v>
      </c>
      <c r="T30" s="430" t="s">
        <v>669</v>
      </c>
      <c r="U30" s="431"/>
      <c r="V30" s="432"/>
      <c r="W30" s="433" t="s">
        <v>676</v>
      </c>
      <c r="X30" s="433">
        <v>45607</v>
      </c>
      <c r="Y30" s="434" t="s">
        <v>267</v>
      </c>
      <c r="Z30" s="442"/>
      <c r="AA30" s="424"/>
    </row>
    <row r="31" spans="1:27" s="112" customFormat="1" ht="36">
      <c r="A31" s="385">
        <v>19</v>
      </c>
      <c r="B31" s="387" t="s">
        <v>713</v>
      </c>
      <c r="C31" s="386" t="s">
        <v>55</v>
      </c>
      <c r="D31" s="387" t="s">
        <v>714</v>
      </c>
      <c r="E31" s="388">
        <v>1</v>
      </c>
      <c r="F31" s="389"/>
      <c r="G31" s="390">
        <f t="shared" si="0"/>
        <v>0</v>
      </c>
      <c r="H31" s="392"/>
      <c r="I31" s="387"/>
      <c r="J31" s="392"/>
      <c r="K31" s="387" t="s">
        <v>669</v>
      </c>
      <c r="L31" s="392" t="s">
        <v>303</v>
      </c>
      <c r="M31" s="387" t="s">
        <v>670</v>
      </c>
      <c r="N31" s="392"/>
      <c r="O31" s="392"/>
      <c r="P31" s="392" t="s">
        <v>424</v>
      </c>
      <c r="Q31" s="393" t="s">
        <v>293</v>
      </c>
      <c r="R31" s="393" t="s">
        <v>671</v>
      </c>
      <c r="S31" s="394">
        <v>45608</v>
      </c>
      <c r="T31" s="394"/>
      <c r="U31" s="395"/>
      <c r="V31" s="396"/>
      <c r="W31" s="397"/>
      <c r="X31" s="397"/>
      <c r="Y31" s="398" t="s">
        <v>267</v>
      </c>
      <c r="Z31" s="440"/>
      <c r="AA31" s="395"/>
    </row>
    <row r="32" spans="1:27" s="112" customFormat="1" ht="36">
      <c r="A32" s="421">
        <v>20</v>
      </c>
      <c r="B32" s="422" t="s">
        <v>715</v>
      </c>
      <c r="C32" s="423" t="s">
        <v>55</v>
      </c>
      <c r="D32" s="422" t="s">
        <v>716</v>
      </c>
      <c r="E32" s="424">
        <v>1</v>
      </c>
      <c r="F32" s="425"/>
      <c r="G32" s="426">
        <f t="shared" si="0"/>
        <v>0</v>
      </c>
      <c r="H32" s="428"/>
      <c r="I32" s="422"/>
      <c r="J32" s="428"/>
      <c r="K32" s="422" t="s">
        <v>669</v>
      </c>
      <c r="L32" s="428" t="s">
        <v>303</v>
      </c>
      <c r="M32" s="422" t="s">
        <v>674</v>
      </c>
      <c r="N32" s="428"/>
      <c r="O32" s="428"/>
      <c r="P32" s="428" t="s">
        <v>424</v>
      </c>
      <c r="Q32" s="429" t="s">
        <v>265</v>
      </c>
      <c r="R32" s="429" t="s">
        <v>675</v>
      </c>
      <c r="S32" s="430">
        <v>45608</v>
      </c>
      <c r="T32" s="430" t="s">
        <v>669</v>
      </c>
      <c r="U32" s="431"/>
      <c r="V32" s="432"/>
      <c r="W32" s="433" t="s">
        <v>676</v>
      </c>
      <c r="X32" s="433">
        <v>45607</v>
      </c>
      <c r="Y32" s="434" t="s">
        <v>267</v>
      </c>
      <c r="Z32" s="442"/>
      <c r="AA32" s="424"/>
    </row>
    <row r="33" spans="1:27" s="112" customFormat="1" ht="36">
      <c r="A33" s="421">
        <v>21</v>
      </c>
      <c r="B33" s="422" t="s">
        <v>717</v>
      </c>
      <c r="C33" s="423" t="s">
        <v>55</v>
      </c>
      <c r="D33" s="422" t="s">
        <v>718</v>
      </c>
      <c r="E33" s="424">
        <v>1</v>
      </c>
      <c r="F33" s="425"/>
      <c r="G33" s="426">
        <f t="shared" si="0"/>
        <v>0</v>
      </c>
      <c r="H33" s="428"/>
      <c r="I33" s="422"/>
      <c r="J33" s="428"/>
      <c r="K33" s="422" t="s">
        <v>669</v>
      </c>
      <c r="L33" s="428" t="s">
        <v>303</v>
      </c>
      <c r="M33" s="422" t="s">
        <v>674</v>
      </c>
      <c r="N33" s="428"/>
      <c r="O33" s="428"/>
      <c r="P33" s="428" t="s">
        <v>424</v>
      </c>
      <c r="Q33" s="429" t="s">
        <v>265</v>
      </c>
      <c r="R33" s="429" t="s">
        <v>675</v>
      </c>
      <c r="S33" s="430">
        <v>45608</v>
      </c>
      <c r="T33" s="430" t="s">
        <v>669</v>
      </c>
      <c r="U33" s="431"/>
      <c r="V33" s="432"/>
      <c r="W33" s="433" t="s">
        <v>676</v>
      </c>
      <c r="X33" s="433">
        <v>45607</v>
      </c>
      <c r="Y33" s="434" t="s">
        <v>267</v>
      </c>
      <c r="Z33" s="442"/>
      <c r="AA33" s="424"/>
    </row>
    <row r="34" spans="1:27" s="112" customFormat="1" ht="36">
      <c r="A34" s="421">
        <v>22</v>
      </c>
      <c r="B34" s="422" t="s">
        <v>719</v>
      </c>
      <c r="C34" s="423" t="s">
        <v>55</v>
      </c>
      <c r="D34" s="422" t="s">
        <v>720</v>
      </c>
      <c r="E34" s="424">
        <v>1</v>
      </c>
      <c r="F34" s="425"/>
      <c r="G34" s="426">
        <f t="shared" si="0"/>
        <v>0</v>
      </c>
      <c r="H34" s="428"/>
      <c r="I34" s="422"/>
      <c r="J34" s="428"/>
      <c r="K34" s="422" t="s">
        <v>669</v>
      </c>
      <c r="L34" s="428" t="s">
        <v>303</v>
      </c>
      <c r="M34" s="422" t="s">
        <v>674</v>
      </c>
      <c r="N34" s="428"/>
      <c r="O34" s="428"/>
      <c r="P34" s="428" t="s">
        <v>424</v>
      </c>
      <c r="Q34" s="429" t="s">
        <v>265</v>
      </c>
      <c r="R34" s="429" t="s">
        <v>675</v>
      </c>
      <c r="S34" s="430">
        <v>45608</v>
      </c>
      <c r="T34" s="430" t="s">
        <v>669</v>
      </c>
      <c r="U34" s="431"/>
      <c r="V34" s="432"/>
      <c r="W34" s="433" t="s">
        <v>676</v>
      </c>
      <c r="X34" s="433">
        <v>45607</v>
      </c>
      <c r="Y34" s="434" t="s">
        <v>267</v>
      </c>
      <c r="Z34" s="442"/>
      <c r="AA34" s="424"/>
    </row>
    <row r="35" spans="1:27" s="112" customFormat="1" ht="36">
      <c r="A35" s="385">
        <v>23</v>
      </c>
      <c r="B35" s="387" t="s">
        <v>721</v>
      </c>
      <c r="C35" s="386" t="s">
        <v>55</v>
      </c>
      <c r="D35" s="387" t="s">
        <v>722</v>
      </c>
      <c r="E35" s="388">
        <v>2</v>
      </c>
      <c r="F35" s="389"/>
      <c r="G35" s="390">
        <f t="shared" si="0"/>
        <v>0</v>
      </c>
      <c r="H35" s="392"/>
      <c r="I35" s="387"/>
      <c r="J35" s="392"/>
      <c r="K35" s="387" t="s">
        <v>669</v>
      </c>
      <c r="L35" s="392" t="s">
        <v>303</v>
      </c>
      <c r="M35" s="387" t="s">
        <v>670</v>
      </c>
      <c r="N35" s="392"/>
      <c r="O35" s="392"/>
      <c r="P35" s="392" t="s">
        <v>424</v>
      </c>
      <c r="Q35" s="393" t="s">
        <v>293</v>
      </c>
      <c r="R35" s="393" t="s">
        <v>671</v>
      </c>
      <c r="S35" s="394">
        <v>45608</v>
      </c>
      <c r="T35" s="394"/>
      <c r="U35" s="395"/>
      <c r="V35" s="396"/>
      <c r="W35" s="397"/>
      <c r="X35" s="397"/>
      <c r="Y35" s="398" t="s">
        <v>267</v>
      </c>
      <c r="Z35" s="440"/>
      <c r="AA35" s="395"/>
    </row>
    <row r="36" spans="1:27" s="112" customFormat="1" ht="36">
      <c r="A36" s="421">
        <v>24</v>
      </c>
      <c r="B36" s="422" t="s">
        <v>723</v>
      </c>
      <c r="C36" s="423" t="s">
        <v>55</v>
      </c>
      <c r="D36" s="422" t="s">
        <v>724</v>
      </c>
      <c r="E36" s="424">
        <v>2</v>
      </c>
      <c r="F36" s="425"/>
      <c r="G36" s="426">
        <f t="shared" si="0"/>
        <v>0</v>
      </c>
      <c r="H36" s="428"/>
      <c r="I36" s="422"/>
      <c r="J36" s="428"/>
      <c r="K36" s="422" t="s">
        <v>669</v>
      </c>
      <c r="L36" s="428" t="s">
        <v>303</v>
      </c>
      <c r="M36" s="422" t="s">
        <v>674</v>
      </c>
      <c r="N36" s="428"/>
      <c r="O36" s="428"/>
      <c r="P36" s="428" t="s">
        <v>424</v>
      </c>
      <c r="Q36" s="429" t="s">
        <v>265</v>
      </c>
      <c r="R36" s="429" t="s">
        <v>675</v>
      </c>
      <c r="S36" s="430">
        <v>45608</v>
      </c>
      <c r="T36" s="430" t="s">
        <v>669</v>
      </c>
      <c r="U36" s="431"/>
      <c r="V36" s="432"/>
      <c r="W36" s="433" t="s">
        <v>676</v>
      </c>
      <c r="X36" s="433">
        <v>45607</v>
      </c>
      <c r="Y36" s="434" t="s">
        <v>267</v>
      </c>
      <c r="Z36" s="442"/>
      <c r="AA36" s="424"/>
    </row>
    <row r="37" spans="1:27" s="112" customFormat="1" ht="36">
      <c r="A37" s="421">
        <v>25</v>
      </c>
      <c r="B37" s="422" t="s">
        <v>725</v>
      </c>
      <c r="C37" s="423" t="s">
        <v>55</v>
      </c>
      <c r="D37" s="422" t="s">
        <v>726</v>
      </c>
      <c r="E37" s="424">
        <v>4</v>
      </c>
      <c r="F37" s="425"/>
      <c r="G37" s="426">
        <f t="shared" si="0"/>
        <v>0</v>
      </c>
      <c r="H37" s="428"/>
      <c r="I37" s="422"/>
      <c r="J37" s="428"/>
      <c r="K37" s="422" t="s">
        <v>669</v>
      </c>
      <c r="L37" s="428" t="s">
        <v>303</v>
      </c>
      <c r="M37" s="422" t="s">
        <v>685</v>
      </c>
      <c r="N37" s="428"/>
      <c r="O37" s="428"/>
      <c r="P37" s="428" t="s">
        <v>424</v>
      </c>
      <c r="Q37" s="429" t="s">
        <v>293</v>
      </c>
      <c r="R37" s="429" t="s">
        <v>686</v>
      </c>
      <c r="S37" s="430">
        <v>45608</v>
      </c>
      <c r="T37" s="430"/>
      <c r="U37" s="431"/>
      <c r="V37" s="432"/>
      <c r="W37" s="433" t="s">
        <v>676</v>
      </c>
      <c r="X37" s="433">
        <v>45609</v>
      </c>
      <c r="Y37" s="434" t="s">
        <v>267</v>
      </c>
      <c r="Z37" s="442"/>
      <c r="AA37" s="431"/>
    </row>
    <row r="38" spans="1:27" s="112" customFormat="1" ht="36">
      <c r="A38" s="421">
        <v>26</v>
      </c>
      <c r="B38" s="422" t="s">
        <v>727</v>
      </c>
      <c r="C38" s="423" t="s">
        <v>55</v>
      </c>
      <c r="D38" s="422" t="s">
        <v>728</v>
      </c>
      <c r="E38" s="424">
        <v>2</v>
      </c>
      <c r="F38" s="425"/>
      <c r="G38" s="426">
        <f t="shared" si="0"/>
        <v>0</v>
      </c>
      <c r="H38" s="428"/>
      <c r="I38" s="422"/>
      <c r="J38" s="428"/>
      <c r="K38" s="422" t="s">
        <v>669</v>
      </c>
      <c r="L38" s="428" t="s">
        <v>303</v>
      </c>
      <c r="M38" s="422" t="s">
        <v>685</v>
      </c>
      <c r="N38" s="428"/>
      <c r="O38" s="428"/>
      <c r="P38" s="428" t="s">
        <v>424</v>
      </c>
      <c r="Q38" s="429" t="s">
        <v>293</v>
      </c>
      <c r="R38" s="429" t="s">
        <v>686</v>
      </c>
      <c r="S38" s="430">
        <v>45608</v>
      </c>
      <c r="T38" s="430"/>
      <c r="U38" s="431"/>
      <c r="V38" s="432"/>
      <c r="W38" s="433" t="s">
        <v>676</v>
      </c>
      <c r="X38" s="433">
        <v>45609</v>
      </c>
      <c r="Y38" s="434" t="s">
        <v>267</v>
      </c>
      <c r="Z38" s="442"/>
      <c r="AA38" s="431"/>
    </row>
    <row r="39" spans="1:27" s="112" customFormat="1" ht="36">
      <c r="A39" s="421">
        <v>27</v>
      </c>
      <c r="B39" s="422" t="s">
        <v>729</v>
      </c>
      <c r="C39" s="423" t="s">
        <v>55</v>
      </c>
      <c r="D39" s="422" t="s">
        <v>730</v>
      </c>
      <c r="E39" s="424">
        <v>2</v>
      </c>
      <c r="F39" s="425"/>
      <c r="G39" s="426">
        <f t="shared" si="0"/>
        <v>0</v>
      </c>
      <c r="H39" s="428"/>
      <c r="I39" s="422"/>
      <c r="J39" s="428"/>
      <c r="K39" s="422" t="s">
        <v>669</v>
      </c>
      <c r="L39" s="428" t="s">
        <v>303</v>
      </c>
      <c r="M39" s="422" t="s">
        <v>685</v>
      </c>
      <c r="N39" s="428"/>
      <c r="O39" s="428"/>
      <c r="P39" s="428" t="s">
        <v>424</v>
      </c>
      <c r="Q39" s="429" t="s">
        <v>293</v>
      </c>
      <c r="R39" s="429" t="s">
        <v>686</v>
      </c>
      <c r="S39" s="430">
        <v>45608</v>
      </c>
      <c r="T39" s="430"/>
      <c r="U39" s="431"/>
      <c r="V39" s="432"/>
      <c r="W39" s="433" t="s">
        <v>676</v>
      </c>
      <c r="X39" s="433">
        <v>45609</v>
      </c>
      <c r="Y39" s="434" t="s">
        <v>267</v>
      </c>
      <c r="Z39" s="442"/>
      <c r="AA39" s="431"/>
    </row>
    <row r="40" spans="1:27" s="112" customFormat="1" ht="36">
      <c r="A40" s="385">
        <v>28</v>
      </c>
      <c r="B40" s="387" t="s">
        <v>731</v>
      </c>
      <c r="C40" s="386" t="s">
        <v>55</v>
      </c>
      <c r="D40" s="387" t="s">
        <v>732</v>
      </c>
      <c r="E40" s="388">
        <v>1</v>
      </c>
      <c r="F40" s="389"/>
      <c r="G40" s="390">
        <f t="shared" si="0"/>
        <v>0</v>
      </c>
      <c r="H40" s="392"/>
      <c r="I40" s="387"/>
      <c r="J40" s="392"/>
      <c r="K40" s="387" t="s">
        <v>669</v>
      </c>
      <c r="L40" s="392" t="s">
        <v>303</v>
      </c>
      <c r="M40" s="387" t="s">
        <v>670</v>
      </c>
      <c r="N40" s="392"/>
      <c r="O40" s="392"/>
      <c r="P40" s="392" t="s">
        <v>424</v>
      </c>
      <c r="Q40" s="393" t="s">
        <v>293</v>
      </c>
      <c r="R40" s="393" t="s">
        <v>671</v>
      </c>
      <c r="S40" s="394">
        <v>45608</v>
      </c>
      <c r="T40" s="394"/>
      <c r="U40" s="395"/>
      <c r="V40" s="396"/>
      <c r="W40" s="397"/>
      <c r="X40" s="397"/>
      <c r="Y40" s="398" t="s">
        <v>267</v>
      </c>
      <c r="Z40" s="440"/>
      <c r="AA40" s="395"/>
    </row>
    <row r="41" spans="1:27" s="415" customFormat="1">
      <c r="A41" s="400">
        <v>29</v>
      </c>
      <c r="B41" s="401" t="s">
        <v>733</v>
      </c>
      <c r="C41" s="402" t="s">
        <v>55</v>
      </c>
      <c r="D41" s="401" t="s">
        <v>734</v>
      </c>
      <c r="E41" s="403">
        <v>1</v>
      </c>
      <c r="F41" s="404"/>
      <c r="G41" s="405">
        <f t="shared" si="0"/>
        <v>0</v>
      </c>
      <c r="H41" s="407"/>
      <c r="I41" s="401"/>
      <c r="J41" s="407"/>
      <c r="K41" s="401"/>
      <c r="L41" s="407"/>
      <c r="M41" s="401"/>
      <c r="N41" s="407"/>
      <c r="O41" s="407"/>
      <c r="P41" s="407"/>
      <c r="Q41" s="408"/>
      <c r="R41" s="408"/>
      <c r="S41" s="409"/>
      <c r="T41" s="409"/>
      <c r="U41" s="410"/>
      <c r="V41" s="411"/>
      <c r="W41" s="412"/>
      <c r="X41" s="412"/>
      <c r="Y41" s="413" t="s">
        <v>304</v>
      </c>
      <c r="Z41" s="441"/>
      <c r="AA41" s="403"/>
    </row>
    <row r="42" spans="1:27" s="112" customFormat="1" ht="36">
      <c r="A42" s="421">
        <v>30</v>
      </c>
      <c r="B42" s="422" t="s">
        <v>735</v>
      </c>
      <c r="C42" s="423" t="s">
        <v>55</v>
      </c>
      <c r="D42" s="422" t="s">
        <v>736</v>
      </c>
      <c r="E42" s="424">
        <v>1</v>
      </c>
      <c r="F42" s="425"/>
      <c r="G42" s="426">
        <f t="shared" si="0"/>
        <v>0</v>
      </c>
      <c r="H42" s="428"/>
      <c r="I42" s="422"/>
      <c r="J42" s="428"/>
      <c r="K42" s="422" t="s">
        <v>669</v>
      </c>
      <c r="L42" s="428" t="s">
        <v>303</v>
      </c>
      <c r="M42" s="422" t="s">
        <v>674</v>
      </c>
      <c r="N42" s="428"/>
      <c r="O42" s="428"/>
      <c r="P42" s="428" t="s">
        <v>424</v>
      </c>
      <c r="Q42" s="429" t="s">
        <v>265</v>
      </c>
      <c r="R42" s="429" t="s">
        <v>675</v>
      </c>
      <c r="S42" s="430">
        <v>45608</v>
      </c>
      <c r="T42" s="430" t="s">
        <v>669</v>
      </c>
      <c r="U42" s="431"/>
      <c r="V42" s="432"/>
      <c r="W42" s="433" t="s">
        <v>676</v>
      </c>
      <c r="X42" s="433">
        <v>45607</v>
      </c>
      <c r="Y42" s="434" t="s">
        <v>267</v>
      </c>
      <c r="Z42" s="442"/>
      <c r="AA42" s="424"/>
    </row>
    <row r="43" spans="1:27" s="112" customFormat="1" ht="36">
      <c r="A43" s="421">
        <v>31</v>
      </c>
      <c r="B43" s="422" t="s">
        <v>737</v>
      </c>
      <c r="C43" s="423" t="s">
        <v>55</v>
      </c>
      <c r="D43" s="422" t="s">
        <v>738</v>
      </c>
      <c r="E43" s="424">
        <v>1</v>
      </c>
      <c r="F43" s="425"/>
      <c r="G43" s="426">
        <f t="shared" si="0"/>
        <v>0</v>
      </c>
      <c r="H43" s="428"/>
      <c r="I43" s="422"/>
      <c r="J43" s="428"/>
      <c r="K43" s="422" t="s">
        <v>669</v>
      </c>
      <c r="L43" s="428" t="s">
        <v>303</v>
      </c>
      <c r="M43" s="422" t="s">
        <v>685</v>
      </c>
      <c r="N43" s="428"/>
      <c r="O43" s="428"/>
      <c r="P43" s="428" t="s">
        <v>424</v>
      </c>
      <c r="Q43" s="429" t="s">
        <v>293</v>
      </c>
      <c r="R43" s="429" t="s">
        <v>686</v>
      </c>
      <c r="S43" s="430">
        <v>45608</v>
      </c>
      <c r="T43" s="430"/>
      <c r="U43" s="431"/>
      <c r="V43" s="432"/>
      <c r="W43" s="433" t="s">
        <v>676</v>
      </c>
      <c r="X43" s="433">
        <v>45609</v>
      </c>
      <c r="Y43" s="434" t="s">
        <v>267</v>
      </c>
      <c r="Z43" s="442"/>
      <c r="AA43" s="431"/>
    </row>
    <row r="44" spans="1:27" s="112" customFormat="1" ht="36">
      <c r="A44" s="421">
        <v>32</v>
      </c>
      <c r="B44" s="422" t="s">
        <v>739</v>
      </c>
      <c r="C44" s="423" t="s">
        <v>55</v>
      </c>
      <c r="D44" s="422" t="s">
        <v>740</v>
      </c>
      <c r="E44" s="424">
        <v>2</v>
      </c>
      <c r="F44" s="425"/>
      <c r="G44" s="426">
        <f t="shared" si="0"/>
        <v>0</v>
      </c>
      <c r="H44" s="428"/>
      <c r="I44" s="422"/>
      <c r="J44" s="428"/>
      <c r="K44" s="422" t="s">
        <v>669</v>
      </c>
      <c r="L44" s="428" t="s">
        <v>303</v>
      </c>
      <c r="M44" s="422" t="s">
        <v>674</v>
      </c>
      <c r="N44" s="428"/>
      <c r="O44" s="428"/>
      <c r="P44" s="428" t="s">
        <v>424</v>
      </c>
      <c r="Q44" s="429" t="s">
        <v>265</v>
      </c>
      <c r="R44" s="429" t="s">
        <v>675</v>
      </c>
      <c r="S44" s="430">
        <v>45608</v>
      </c>
      <c r="T44" s="430" t="s">
        <v>669</v>
      </c>
      <c r="U44" s="431"/>
      <c r="V44" s="432"/>
      <c r="W44" s="433" t="s">
        <v>676</v>
      </c>
      <c r="X44" s="433">
        <v>45607</v>
      </c>
      <c r="Y44" s="434" t="s">
        <v>267</v>
      </c>
      <c r="Z44" s="442"/>
      <c r="AA44" s="424"/>
    </row>
    <row r="45" spans="1:27" s="112" customFormat="1" ht="36">
      <c r="A45" s="421">
        <v>33</v>
      </c>
      <c r="B45" s="422" t="s">
        <v>741</v>
      </c>
      <c r="C45" s="423" t="s">
        <v>55</v>
      </c>
      <c r="D45" s="422" t="s">
        <v>742</v>
      </c>
      <c r="E45" s="424">
        <v>1</v>
      </c>
      <c r="F45" s="425"/>
      <c r="G45" s="426">
        <f t="shared" ref="G45:G76" si="1">E45*F45</f>
        <v>0</v>
      </c>
      <c r="H45" s="428"/>
      <c r="I45" s="422"/>
      <c r="J45" s="428"/>
      <c r="K45" s="422" t="s">
        <v>669</v>
      </c>
      <c r="L45" s="428" t="s">
        <v>303</v>
      </c>
      <c r="M45" s="422" t="s">
        <v>674</v>
      </c>
      <c r="N45" s="428"/>
      <c r="O45" s="428"/>
      <c r="P45" s="428" t="s">
        <v>424</v>
      </c>
      <c r="Q45" s="429" t="s">
        <v>293</v>
      </c>
      <c r="R45" s="429" t="s">
        <v>743</v>
      </c>
      <c r="S45" s="430">
        <v>45608</v>
      </c>
      <c r="T45" s="430" t="s">
        <v>669</v>
      </c>
      <c r="U45" s="431"/>
      <c r="V45" s="432"/>
      <c r="W45" s="433" t="s">
        <v>676</v>
      </c>
      <c r="X45" s="433">
        <v>45607</v>
      </c>
      <c r="Y45" s="434" t="s">
        <v>267</v>
      </c>
      <c r="Z45" s="442"/>
      <c r="AA45" s="424"/>
    </row>
    <row r="46" spans="1:27" s="112" customFormat="1" ht="36">
      <c r="A46" s="385">
        <v>34</v>
      </c>
      <c r="B46" s="387" t="s">
        <v>744</v>
      </c>
      <c r="C46" s="386" t="s">
        <v>55</v>
      </c>
      <c r="D46" s="387" t="s">
        <v>745</v>
      </c>
      <c r="E46" s="388">
        <v>1</v>
      </c>
      <c r="F46" s="389"/>
      <c r="G46" s="390">
        <f t="shared" si="1"/>
        <v>0</v>
      </c>
      <c r="H46" s="392"/>
      <c r="I46" s="387"/>
      <c r="J46" s="392"/>
      <c r="K46" s="387" t="s">
        <v>669</v>
      </c>
      <c r="L46" s="392" t="s">
        <v>303</v>
      </c>
      <c r="M46" s="387" t="s">
        <v>746</v>
      </c>
      <c r="N46" s="392"/>
      <c r="O46" s="392"/>
      <c r="P46" s="392" t="s">
        <v>747</v>
      </c>
      <c r="Q46" s="393" t="s">
        <v>293</v>
      </c>
      <c r="R46" s="393" t="s">
        <v>154</v>
      </c>
      <c r="S46" s="394">
        <v>45608</v>
      </c>
      <c r="T46" s="394"/>
      <c r="U46" s="395"/>
      <c r="V46" s="396"/>
      <c r="W46" s="397"/>
      <c r="X46" s="397"/>
      <c r="Y46" s="398" t="s">
        <v>267</v>
      </c>
      <c r="Z46" s="440"/>
      <c r="AA46" s="395"/>
    </row>
    <row r="47" spans="1:27" s="112" customFormat="1" ht="36">
      <c r="A47" s="421">
        <v>35</v>
      </c>
      <c r="B47" s="422" t="s">
        <v>748</v>
      </c>
      <c r="C47" s="423" t="s">
        <v>55</v>
      </c>
      <c r="D47" s="422" t="s">
        <v>749</v>
      </c>
      <c r="E47" s="424">
        <v>1</v>
      </c>
      <c r="F47" s="425"/>
      <c r="G47" s="426">
        <f t="shared" si="1"/>
        <v>0</v>
      </c>
      <c r="H47" s="428"/>
      <c r="I47" s="422"/>
      <c r="J47" s="428"/>
      <c r="K47" s="422" t="s">
        <v>669</v>
      </c>
      <c r="L47" s="428" t="s">
        <v>303</v>
      </c>
      <c r="M47" s="422" t="s">
        <v>685</v>
      </c>
      <c r="N47" s="428"/>
      <c r="O47" s="428"/>
      <c r="P47" s="428" t="s">
        <v>424</v>
      </c>
      <c r="Q47" s="429" t="s">
        <v>293</v>
      </c>
      <c r="R47" s="429" t="s">
        <v>686</v>
      </c>
      <c r="S47" s="430">
        <v>45608</v>
      </c>
      <c r="T47" s="430"/>
      <c r="U47" s="431"/>
      <c r="V47" s="432"/>
      <c r="W47" s="433" t="s">
        <v>676</v>
      </c>
      <c r="X47" s="433">
        <v>45609</v>
      </c>
      <c r="Y47" s="434" t="s">
        <v>267</v>
      </c>
      <c r="Z47" s="442"/>
      <c r="AA47" s="431"/>
    </row>
    <row r="48" spans="1:27" s="112" customFormat="1" ht="36">
      <c r="A48" s="421">
        <v>36</v>
      </c>
      <c r="B48" s="422" t="s">
        <v>750</v>
      </c>
      <c r="C48" s="423" t="s">
        <v>55</v>
      </c>
      <c r="D48" s="422" t="s">
        <v>751</v>
      </c>
      <c r="E48" s="424">
        <v>1</v>
      </c>
      <c r="F48" s="425"/>
      <c r="G48" s="426">
        <f t="shared" si="1"/>
        <v>0</v>
      </c>
      <c r="H48" s="428"/>
      <c r="I48" s="422"/>
      <c r="J48" s="428"/>
      <c r="K48" s="422" t="s">
        <v>669</v>
      </c>
      <c r="L48" s="428" t="s">
        <v>303</v>
      </c>
      <c r="M48" s="422" t="s">
        <v>685</v>
      </c>
      <c r="N48" s="428"/>
      <c r="O48" s="428"/>
      <c r="P48" s="428" t="s">
        <v>424</v>
      </c>
      <c r="Q48" s="429" t="s">
        <v>293</v>
      </c>
      <c r="R48" s="429" t="s">
        <v>686</v>
      </c>
      <c r="S48" s="430">
        <v>45608</v>
      </c>
      <c r="T48" s="430"/>
      <c r="U48" s="431"/>
      <c r="V48" s="432"/>
      <c r="W48" s="433" t="s">
        <v>676</v>
      </c>
      <c r="X48" s="433">
        <v>45609</v>
      </c>
      <c r="Y48" s="434" t="s">
        <v>267</v>
      </c>
      <c r="Z48" s="442"/>
      <c r="AA48" s="431"/>
    </row>
    <row r="49" spans="1:27" s="112" customFormat="1" ht="36">
      <c r="A49" s="421">
        <v>37</v>
      </c>
      <c r="B49" s="422" t="s">
        <v>752</v>
      </c>
      <c r="C49" s="423" t="s">
        <v>55</v>
      </c>
      <c r="D49" s="422" t="s">
        <v>753</v>
      </c>
      <c r="E49" s="424">
        <v>1</v>
      </c>
      <c r="F49" s="425"/>
      <c r="G49" s="426">
        <f t="shared" si="1"/>
        <v>0</v>
      </c>
      <c r="H49" s="428"/>
      <c r="I49" s="422"/>
      <c r="J49" s="428"/>
      <c r="K49" s="422" t="s">
        <v>669</v>
      </c>
      <c r="L49" s="428" t="s">
        <v>303</v>
      </c>
      <c r="M49" s="422" t="s">
        <v>674</v>
      </c>
      <c r="N49" s="428"/>
      <c r="O49" s="428"/>
      <c r="P49" s="428" t="s">
        <v>424</v>
      </c>
      <c r="Q49" s="429" t="s">
        <v>293</v>
      </c>
      <c r="R49" s="429" t="s">
        <v>675</v>
      </c>
      <c r="S49" s="430">
        <v>45608</v>
      </c>
      <c r="T49" s="430" t="s">
        <v>669</v>
      </c>
      <c r="U49" s="431"/>
      <c r="V49" s="432"/>
      <c r="W49" s="433" t="s">
        <v>676</v>
      </c>
      <c r="X49" s="433">
        <v>45607</v>
      </c>
      <c r="Y49" s="434" t="s">
        <v>267</v>
      </c>
      <c r="Z49" s="442"/>
      <c r="AA49" s="424"/>
    </row>
    <row r="50" spans="1:27" s="112" customFormat="1" ht="36">
      <c r="A50" s="385">
        <v>38</v>
      </c>
      <c r="B50" s="387" t="s">
        <v>754</v>
      </c>
      <c r="C50" s="386" t="s">
        <v>55</v>
      </c>
      <c r="D50" s="387" t="s">
        <v>755</v>
      </c>
      <c r="E50" s="388">
        <v>2</v>
      </c>
      <c r="F50" s="389"/>
      <c r="G50" s="390">
        <f t="shared" si="1"/>
        <v>0</v>
      </c>
      <c r="H50" s="392"/>
      <c r="I50" s="387"/>
      <c r="J50" s="392"/>
      <c r="K50" s="387" t="s">
        <v>669</v>
      </c>
      <c r="L50" s="392" t="s">
        <v>303</v>
      </c>
      <c r="M50" s="387" t="s">
        <v>756</v>
      </c>
      <c r="N50" s="392"/>
      <c r="O50" s="392"/>
      <c r="P50" s="392" t="s">
        <v>424</v>
      </c>
      <c r="Q50" s="393" t="s">
        <v>293</v>
      </c>
      <c r="R50" s="393" t="s">
        <v>757</v>
      </c>
      <c r="S50" s="394">
        <v>45608</v>
      </c>
      <c r="T50" s="394"/>
      <c r="U50" s="395"/>
      <c r="V50" s="396"/>
      <c r="W50" s="397"/>
      <c r="X50" s="397"/>
      <c r="Y50" s="398" t="s">
        <v>267</v>
      </c>
      <c r="Z50" s="440"/>
      <c r="AA50" s="395"/>
    </row>
    <row r="51" spans="1:27" s="112" customFormat="1" ht="36">
      <c r="A51" s="421">
        <v>39</v>
      </c>
      <c r="B51" s="422" t="s">
        <v>758</v>
      </c>
      <c r="C51" s="423" t="s">
        <v>55</v>
      </c>
      <c r="D51" s="422" t="s">
        <v>759</v>
      </c>
      <c r="E51" s="424">
        <v>2</v>
      </c>
      <c r="F51" s="425"/>
      <c r="G51" s="426">
        <f t="shared" si="1"/>
        <v>0</v>
      </c>
      <c r="H51" s="428"/>
      <c r="I51" s="422"/>
      <c r="J51" s="428"/>
      <c r="K51" s="422" t="s">
        <v>669</v>
      </c>
      <c r="L51" s="428" t="s">
        <v>303</v>
      </c>
      <c r="M51" s="422" t="s">
        <v>760</v>
      </c>
      <c r="N51" s="428"/>
      <c r="O51" s="428"/>
      <c r="P51" s="428" t="s">
        <v>424</v>
      </c>
      <c r="Q51" s="429" t="s">
        <v>293</v>
      </c>
      <c r="R51" s="429" t="s">
        <v>761</v>
      </c>
      <c r="S51" s="430">
        <v>45608</v>
      </c>
      <c r="T51" s="430"/>
      <c r="U51" s="431"/>
      <c r="V51" s="432"/>
      <c r="W51" s="433" t="s">
        <v>676</v>
      </c>
      <c r="X51" s="433">
        <v>45609</v>
      </c>
      <c r="Y51" s="434" t="s">
        <v>267</v>
      </c>
      <c r="Z51" s="442"/>
      <c r="AA51" s="431"/>
    </row>
    <row r="52" spans="1:27" s="112" customFormat="1" ht="36">
      <c r="A52" s="421">
        <v>40</v>
      </c>
      <c r="B52" s="422" t="s">
        <v>762</v>
      </c>
      <c r="C52" s="423" t="s">
        <v>55</v>
      </c>
      <c r="D52" s="422" t="s">
        <v>763</v>
      </c>
      <c r="E52" s="424">
        <v>2</v>
      </c>
      <c r="F52" s="425"/>
      <c r="G52" s="426">
        <f t="shared" si="1"/>
        <v>0</v>
      </c>
      <c r="H52" s="428"/>
      <c r="I52" s="422"/>
      <c r="J52" s="428"/>
      <c r="K52" s="422" t="s">
        <v>669</v>
      </c>
      <c r="L52" s="428" t="s">
        <v>303</v>
      </c>
      <c r="M52" s="422" t="s">
        <v>764</v>
      </c>
      <c r="N52" s="428"/>
      <c r="O52" s="428"/>
      <c r="P52" s="428" t="s">
        <v>424</v>
      </c>
      <c r="Q52" s="429" t="s">
        <v>265</v>
      </c>
      <c r="R52" s="429" t="s">
        <v>765</v>
      </c>
      <c r="S52" s="430">
        <v>45608</v>
      </c>
      <c r="T52" s="430" t="s">
        <v>669</v>
      </c>
      <c r="U52" s="431"/>
      <c r="V52" s="432"/>
      <c r="W52" s="433" t="s">
        <v>676</v>
      </c>
      <c r="X52" s="433">
        <v>45608</v>
      </c>
      <c r="Y52" s="434" t="s">
        <v>267</v>
      </c>
      <c r="Z52" s="442"/>
      <c r="AA52" s="424"/>
    </row>
    <row r="53" spans="1:27" s="112" customFormat="1" ht="36">
      <c r="A53" s="421">
        <v>41</v>
      </c>
      <c r="B53" s="422" t="s">
        <v>766</v>
      </c>
      <c r="C53" s="423" t="s">
        <v>55</v>
      </c>
      <c r="D53" s="422" t="s">
        <v>767</v>
      </c>
      <c r="E53" s="424">
        <v>2</v>
      </c>
      <c r="F53" s="425"/>
      <c r="G53" s="426">
        <f t="shared" si="1"/>
        <v>0</v>
      </c>
      <c r="H53" s="428"/>
      <c r="I53" s="422"/>
      <c r="J53" s="428"/>
      <c r="K53" s="422" t="s">
        <v>669</v>
      </c>
      <c r="L53" s="428" t="s">
        <v>303</v>
      </c>
      <c r="M53" s="422" t="s">
        <v>693</v>
      </c>
      <c r="N53" s="428"/>
      <c r="O53" s="428"/>
      <c r="P53" s="428" t="s">
        <v>424</v>
      </c>
      <c r="Q53" s="429" t="s">
        <v>265</v>
      </c>
      <c r="R53" s="429" t="s">
        <v>694</v>
      </c>
      <c r="S53" s="430">
        <v>45608</v>
      </c>
      <c r="T53" s="430" t="s">
        <v>669</v>
      </c>
      <c r="U53" s="431"/>
      <c r="V53" s="432"/>
      <c r="W53" s="433" t="s">
        <v>676</v>
      </c>
      <c r="X53" s="433">
        <v>45608</v>
      </c>
      <c r="Y53" s="434" t="s">
        <v>267</v>
      </c>
      <c r="Z53" s="442"/>
      <c r="AA53" s="424"/>
    </row>
    <row r="54" spans="1:27" s="112" customFormat="1" ht="36">
      <c r="A54" s="421">
        <v>42</v>
      </c>
      <c r="B54" s="422" t="s">
        <v>768</v>
      </c>
      <c r="C54" s="423" t="s">
        <v>55</v>
      </c>
      <c r="D54" s="422" t="s">
        <v>769</v>
      </c>
      <c r="E54" s="424">
        <v>2</v>
      </c>
      <c r="F54" s="425"/>
      <c r="G54" s="426">
        <f t="shared" si="1"/>
        <v>0</v>
      </c>
      <c r="H54" s="428"/>
      <c r="I54" s="422"/>
      <c r="J54" s="428"/>
      <c r="K54" s="422" t="s">
        <v>669</v>
      </c>
      <c r="L54" s="428" t="s">
        <v>303</v>
      </c>
      <c r="M54" s="422" t="s">
        <v>674</v>
      </c>
      <c r="N54" s="428"/>
      <c r="O54" s="428"/>
      <c r="P54" s="428" t="s">
        <v>424</v>
      </c>
      <c r="Q54" s="429" t="s">
        <v>265</v>
      </c>
      <c r="R54" s="429" t="s">
        <v>675</v>
      </c>
      <c r="S54" s="430">
        <v>45608</v>
      </c>
      <c r="T54" s="430" t="s">
        <v>669</v>
      </c>
      <c r="U54" s="431"/>
      <c r="V54" s="432"/>
      <c r="W54" s="433" t="s">
        <v>676</v>
      </c>
      <c r="X54" s="433">
        <v>45607</v>
      </c>
      <c r="Y54" s="434" t="s">
        <v>267</v>
      </c>
      <c r="Z54" s="442"/>
      <c r="AA54" s="424"/>
    </row>
    <row r="55" spans="1:27" s="112" customFormat="1" ht="36">
      <c r="A55" s="421">
        <v>43</v>
      </c>
      <c r="B55" s="422" t="s">
        <v>770</v>
      </c>
      <c r="C55" s="423" t="s">
        <v>55</v>
      </c>
      <c r="D55" s="422" t="s">
        <v>771</v>
      </c>
      <c r="E55" s="424">
        <v>2</v>
      </c>
      <c r="F55" s="425"/>
      <c r="G55" s="426">
        <f t="shared" si="1"/>
        <v>0</v>
      </c>
      <c r="H55" s="428"/>
      <c r="I55" s="422"/>
      <c r="J55" s="428"/>
      <c r="K55" s="422" t="s">
        <v>669</v>
      </c>
      <c r="L55" s="428" t="s">
        <v>303</v>
      </c>
      <c r="M55" s="422" t="s">
        <v>764</v>
      </c>
      <c r="N55" s="428"/>
      <c r="O55" s="428"/>
      <c r="P55" s="428" t="s">
        <v>424</v>
      </c>
      <c r="Q55" s="429" t="s">
        <v>265</v>
      </c>
      <c r="R55" s="429" t="s">
        <v>765</v>
      </c>
      <c r="S55" s="430">
        <v>45608</v>
      </c>
      <c r="T55" s="430" t="s">
        <v>669</v>
      </c>
      <c r="U55" s="431"/>
      <c r="V55" s="432"/>
      <c r="W55" s="433" t="s">
        <v>676</v>
      </c>
      <c r="X55" s="433">
        <v>45608</v>
      </c>
      <c r="Y55" s="434" t="s">
        <v>267</v>
      </c>
      <c r="Z55" s="442"/>
      <c r="AA55" s="424"/>
    </row>
    <row r="56" spans="1:27" s="112" customFormat="1" ht="36">
      <c r="A56" s="421">
        <v>44</v>
      </c>
      <c r="B56" s="422" t="s">
        <v>772</v>
      </c>
      <c r="C56" s="423" t="s">
        <v>55</v>
      </c>
      <c r="D56" s="422" t="s">
        <v>773</v>
      </c>
      <c r="E56" s="424">
        <v>1</v>
      </c>
      <c r="F56" s="425"/>
      <c r="G56" s="426">
        <f t="shared" si="1"/>
        <v>0</v>
      </c>
      <c r="H56" s="428"/>
      <c r="I56" s="422"/>
      <c r="J56" s="428"/>
      <c r="K56" s="422" t="s">
        <v>669</v>
      </c>
      <c r="L56" s="428" t="s">
        <v>303</v>
      </c>
      <c r="M56" s="422" t="s">
        <v>764</v>
      </c>
      <c r="N56" s="428"/>
      <c r="O56" s="428"/>
      <c r="P56" s="428" t="s">
        <v>424</v>
      </c>
      <c r="Q56" s="429" t="s">
        <v>265</v>
      </c>
      <c r="R56" s="429" t="s">
        <v>765</v>
      </c>
      <c r="S56" s="430">
        <v>45608</v>
      </c>
      <c r="T56" s="430" t="s">
        <v>669</v>
      </c>
      <c r="U56" s="431"/>
      <c r="V56" s="432"/>
      <c r="W56" s="433" t="s">
        <v>676</v>
      </c>
      <c r="X56" s="433">
        <v>45608</v>
      </c>
      <c r="Y56" s="434" t="s">
        <v>267</v>
      </c>
      <c r="Z56" s="442"/>
      <c r="AA56" s="424"/>
    </row>
    <row r="57" spans="1:27" s="112" customFormat="1" ht="36">
      <c r="A57" s="421">
        <v>45</v>
      </c>
      <c r="B57" s="422" t="s">
        <v>774</v>
      </c>
      <c r="C57" s="423" t="s">
        <v>55</v>
      </c>
      <c r="D57" s="422" t="s">
        <v>775</v>
      </c>
      <c r="E57" s="424">
        <v>1</v>
      </c>
      <c r="F57" s="425"/>
      <c r="G57" s="426">
        <f t="shared" si="1"/>
        <v>0</v>
      </c>
      <c r="H57" s="428"/>
      <c r="I57" s="422"/>
      <c r="J57" s="428"/>
      <c r="K57" s="422" t="s">
        <v>669</v>
      </c>
      <c r="L57" s="428" t="s">
        <v>303</v>
      </c>
      <c r="M57" s="422" t="s">
        <v>674</v>
      </c>
      <c r="N57" s="428"/>
      <c r="O57" s="428"/>
      <c r="P57" s="428" t="s">
        <v>424</v>
      </c>
      <c r="Q57" s="429" t="s">
        <v>265</v>
      </c>
      <c r="R57" s="429" t="s">
        <v>675</v>
      </c>
      <c r="S57" s="430">
        <v>45608</v>
      </c>
      <c r="T57" s="430" t="s">
        <v>669</v>
      </c>
      <c r="U57" s="431"/>
      <c r="V57" s="432"/>
      <c r="W57" s="433" t="s">
        <v>676</v>
      </c>
      <c r="X57" s="433">
        <v>45607</v>
      </c>
      <c r="Y57" s="434" t="s">
        <v>267</v>
      </c>
      <c r="Z57" s="442"/>
      <c r="AA57" s="424"/>
    </row>
    <row r="58" spans="1:27" s="112" customFormat="1" ht="36">
      <c r="A58" s="385">
        <v>46</v>
      </c>
      <c r="B58" s="387" t="s">
        <v>776</v>
      </c>
      <c r="C58" s="386" t="s">
        <v>55</v>
      </c>
      <c r="D58" s="387" t="s">
        <v>777</v>
      </c>
      <c r="E58" s="388">
        <v>1</v>
      </c>
      <c r="F58" s="389"/>
      <c r="G58" s="390">
        <f t="shared" si="1"/>
        <v>0</v>
      </c>
      <c r="H58" s="392"/>
      <c r="I58" s="387"/>
      <c r="J58" s="392"/>
      <c r="K58" s="387" t="s">
        <v>669</v>
      </c>
      <c r="L58" s="392" t="s">
        <v>303</v>
      </c>
      <c r="M58" s="387" t="s">
        <v>670</v>
      </c>
      <c r="N58" s="392"/>
      <c r="O58" s="392"/>
      <c r="P58" s="392" t="s">
        <v>424</v>
      </c>
      <c r="Q58" s="393" t="s">
        <v>293</v>
      </c>
      <c r="R58" s="393" t="s">
        <v>671</v>
      </c>
      <c r="S58" s="394">
        <v>45608</v>
      </c>
      <c r="T58" s="394"/>
      <c r="U58" s="395"/>
      <c r="V58" s="396"/>
      <c r="W58" s="397"/>
      <c r="X58" s="397"/>
      <c r="Y58" s="398" t="s">
        <v>267</v>
      </c>
      <c r="Z58" s="440"/>
      <c r="AA58" s="395"/>
    </row>
    <row r="59" spans="1:27" s="112" customFormat="1" ht="36">
      <c r="A59" s="421">
        <v>47</v>
      </c>
      <c r="B59" s="422" t="s">
        <v>778</v>
      </c>
      <c r="C59" s="423" t="s">
        <v>55</v>
      </c>
      <c r="D59" s="422" t="s">
        <v>779</v>
      </c>
      <c r="E59" s="424">
        <v>2</v>
      </c>
      <c r="F59" s="425"/>
      <c r="G59" s="426">
        <f t="shared" si="1"/>
        <v>0</v>
      </c>
      <c r="H59" s="428"/>
      <c r="I59" s="422"/>
      <c r="J59" s="428"/>
      <c r="K59" s="422" t="s">
        <v>669</v>
      </c>
      <c r="L59" s="428" t="s">
        <v>303</v>
      </c>
      <c r="M59" s="422" t="s">
        <v>674</v>
      </c>
      <c r="N59" s="428"/>
      <c r="O59" s="428"/>
      <c r="P59" s="428" t="s">
        <v>424</v>
      </c>
      <c r="Q59" s="429" t="s">
        <v>265</v>
      </c>
      <c r="R59" s="429" t="s">
        <v>675</v>
      </c>
      <c r="S59" s="430">
        <v>45608</v>
      </c>
      <c r="T59" s="430" t="s">
        <v>669</v>
      </c>
      <c r="U59" s="431"/>
      <c r="V59" s="432"/>
      <c r="W59" s="433" t="s">
        <v>676</v>
      </c>
      <c r="X59" s="433">
        <v>45607</v>
      </c>
      <c r="Y59" s="434" t="s">
        <v>267</v>
      </c>
      <c r="Z59" s="442"/>
      <c r="AA59" s="424"/>
    </row>
    <row r="60" spans="1:27" s="112" customFormat="1" ht="36">
      <c r="A60" s="421">
        <v>48</v>
      </c>
      <c r="B60" s="422" t="s">
        <v>780</v>
      </c>
      <c r="C60" s="423" t="s">
        <v>55</v>
      </c>
      <c r="D60" s="422" t="s">
        <v>781</v>
      </c>
      <c r="E60" s="424">
        <v>1</v>
      </c>
      <c r="F60" s="425"/>
      <c r="G60" s="426">
        <f t="shared" si="1"/>
        <v>0</v>
      </c>
      <c r="H60" s="428"/>
      <c r="I60" s="422"/>
      <c r="J60" s="428"/>
      <c r="K60" s="422" t="s">
        <v>669</v>
      </c>
      <c r="L60" s="428" t="s">
        <v>303</v>
      </c>
      <c r="M60" s="422" t="s">
        <v>674</v>
      </c>
      <c r="N60" s="428"/>
      <c r="O60" s="428"/>
      <c r="P60" s="428" t="s">
        <v>424</v>
      </c>
      <c r="Q60" s="429" t="s">
        <v>293</v>
      </c>
      <c r="R60" s="429" t="s">
        <v>675</v>
      </c>
      <c r="S60" s="430">
        <v>45608</v>
      </c>
      <c r="T60" s="430" t="s">
        <v>669</v>
      </c>
      <c r="U60" s="431"/>
      <c r="V60" s="432"/>
      <c r="W60" s="433" t="s">
        <v>676</v>
      </c>
      <c r="X60" s="433">
        <v>45600</v>
      </c>
      <c r="Y60" s="434" t="s">
        <v>267</v>
      </c>
      <c r="Z60" s="442"/>
      <c r="AA60" s="424"/>
    </row>
    <row r="61" spans="1:27" s="112" customFormat="1" ht="36">
      <c r="A61" s="385">
        <v>49</v>
      </c>
      <c r="B61" s="387" t="s">
        <v>782</v>
      </c>
      <c r="C61" s="386" t="s">
        <v>55</v>
      </c>
      <c r="D61" s="387" t="s">
        <v>783</v>
      </c>
      <c r="E61" s="388">
        <v>1</v>
      </c>
      <c r="F61" s="389"/>
      <c r="G61" s="390">
        <f t="shared" si="1"/>
        <v>0</v>
      </c>
      <c r="H61" s="392"/>
      <c r="I61" s="387"/>
      <c r="J61" s="392"/>
      <c r="K61" s="387" t="s">
        <v>669</v>
      </c>
      <c r="L61" s="392" t="s">
        <v>303</v>
      </c>
      <c r="M61" s="387" t="s">
        <v>670</v>
      </c>
      <c r="N61" s="392"/>
      <c r="O61" s="392"/>
      <c r="P61" s="392" t="s">
        <v>424</v>
      </c>
      <c r="Q61" s="393" t="s">
        <v>293</v>
      </c>
      <c r="R61" s="393" t="s">
        <v>671</v>
      </c>
      <c r="S61" s="394">
        <v>45608</v>
      </c>
      <c r="T61" s="394"/>
      <c r="U61" s="395"/>
      <c r="V61" s="396"/>
      <c r="W61" s="397"/>
      <c r="X61" s="397"/>
      <c r="Y61" s="398" t="s">
        <v>267</v>
      </c>
      <c r="Z61" s="440"/>
      <c r="AA61" s="395"/>
    </row>
    <row r="62" spans="1:27" s="112" customFormat="1" ht="36">
      <c r="A62" s="421">
        <v>50</v>
      </c>
      <c r="B62" s="422" t="s">
        <v>784</v>
      </c>
      <c r="C62" s="423" t="s">
        <v>55</v>
      </c>
      <c r="D62" s="422" t="s">
        <v>785</v>
      </c>
      <c r="E62" s="424">
        <v>1</v>
      </c>
      <c r="F62" s="425"/>
      <c r="G62" s="426">
        <f t="shared" si="1"/>
        <v>0</v>
      </c>
      <c r="H62" s="428"/>
      <c r="I62" s="422"/>
      <c r="J62" s="428"/>
      <c r="K62" s="422" t="s">
        <v>669</v>
      </c>
      <c r="L62" s="428" t="s">
        <v>303</v>
      </c>
      <c r="M62" s="422" t="s">
        <v>693</v>
      </c>
      <c r="N62" s="428"/>
      <c r="O62" s="428"/>
      <c r="P62" s="428" t="s">
        <v>424</v>
      </c>
      <c r="Q62" s="429" t="s">
        <v>265</v>
      </c>
      <c r="R62" s="429" t="s">
        <v>694</v>
      </c>
      <c r="S62" s="430">
        <v>45608</v>
      </c>
      <c r="T62" s="430" t="s">
        <v>669</v>
      </c>
      <c r="U62" s="431"/>
      <c r="V62" s="432"/>
      <c r="W62" s="433" t="s">
        <v>676</v>
      </c>
      <c r="X62" s="433">
        <v>45608</v>
      </c>
      <c r="Y62" s="434" t="s">
        <v>267</v>
      </c>
      <c r="Z62" s="442"/>
      <c r="AA62" s="424"/>
    </row>
    <row r="63" spans="1:27" s="112" customFormat="1" ht="36">
      <c r="A63" s="421">
        <v>51</v>
      </c>
      <c r="B63" s="422" t="s">
        <v>786</v>
      </c>
      <c r="C63" s="423" t="s">
        <v>55</v>
      </c>
      <c r="D63" s="422" t="s">
        <v>787</v>
      </c>
      <c r="E63" s="424">
        <v>1</v>
      </c>
      <c r="F63" s="425"/>
      <c r="G63" s="426">
        <f t="shared" si="1"/>
        <v>0</v>
      </c>
      <c r="H63" s="428"/>
      <c r="I63" s="422"/>
      <c r="J63" s="428"/>
      <c r="K63" s="422" t="s">
        <v>669</v>
      </c>
      <c r="L63" s="428" t="s">
        <v>303</v>
      </c>
      <c r="M63" s="422" t="s">
        <v>674</v>
      </c>
      <c r="N63" s="428"/>
      <c r="O63" s="428"/>
      <c r="P63" s="428" t="s">
        <v>424</v>
      </c>
      <c r="Q63" s="429" t="s">
        <v>293</v>
      </c>
      <c r="R63" s="429" t="s">
        <v>675</v>
      </c>
      <c r="S63" s="430">
        <v>45608</v>
      </c>
      <c r="T63" s="430" t="s">
        <v>669</v>
      </c>
      <c r="U63" s="431"/>
      <c r="V63" s="432"/>
      <c r="W63" s="433" t="s">
        <v>676</v>
      </c>
      <c r="X63" s="433">
        <v>45600</v>
      </c>
      <c r="Y63" s="434" t="s">
        <v>267</v>
      </c>
      <c r="Z63" s="442"/>
      <c r="AA63" s="424"/>
    </row>
    <row r="64" spans="1:27" s="112" customFormat="1" ht="36">
      <c r="A64" s="385">
        <v>52</v>
      </c>
      <c r="B64" s="387" t="s">
        <v>788</v>
      </c>
      <c r="C64" s="386" t="s">
        <v>55</v>
      </c>
      <c r="D64" s="387" t="s">
        <v>789</v>
      </c>
      <c r="E64" s="388">
        <v>1</v>
      </c>
      <c r="F64" s="389"/>
      <c r="G64" s="390">
        <f t="shared" si="1"/>
        <v>0</v>
      </c>
      <c r="H64" s="392"/>
      <c r="I64" s="387"/>
      <c r="J64" s="392"/>
      <c r="K64" s="387" t="s">
        <v>669</v>
      </c>
      <c r="L64" s="392" t="s">
        <v>303</v>
      </c>
      <c r="M64" s="387" t="s">
        <v>746</v>
      </c>
      <c r="N64" s="392"/>
      <c r="O64" s="392"/>
      <c r="P64" s="392" t="s">
        <v>747</v>
      </c>
      <c r="Q64" s="393" t="s">
        <v>293</v>
      </c>
      <c r="R64" s="393" t="s">
        <v>154</v>
      </c>
      <c r="S64" s="394">
        <v>45608</v>
      </c>
      <c r="T64" s="394"/>
      <c r="U64" s="395"/>
      <c r="V64" s="396"/>
      <c r="W64" s="397"/>
      <c r="X64" s="397"/>
      <c r="Y64" s="398" t="s">
        <v>267</v>
      </c>
      <c r="Z64" s="440"/>
      <c r="AA64" s="395"/>
    </row>
    <row r="65" spans="1:27" s="112" customFormat="1" ht="36">
      <c r="A65" s="421">
        <v>53</v>
      </c>
      <c r="B65" s="422" t="s">
        <v>790</v>
      </c>
      <c r="C65" s="423" t="s">
        <v>55</v>
      </c>
      <c r="D65" s="422" t="s">
        <v>791</v>
      </c>
      <c r="E65" s="424">
        <v>1</v>
      </c>
      <c r="F65" s="425"/>
      <c r="G65" s="426">
        <f t="shared" si="1"/>
        <v>0</v>
      </c>
      <c r="H65" s="428"/>
      <c r="I65" s="422"/>
      <c r="J65" s="428"/>
      <c r="K65" s="422" t="s">
        <v>669</v>
      </c>
      <c r="L65" s="428" t="s">
        <v>303</v>
      </c>
      <c r="M65" s="422" t="s">
        <v>693</v>
      </c>
      <c r="N65" s="428"/>
      <c r="O65" s="428"/>
      <c r="P65" s="428" t="s">
        <v>424</v>
      </c>
      <c r="Q65" s="429" t="s">
        <v>265</v>
      </c>
      <c r="R65" s="429" t="s">
        <v>694</v>
      </c>
      <c r="S65" s="430">
        <v>45608</v>
      </c>
      <c r="T65" s="430" t="s">
        <v>669</v>
      </c>
      <c r="U65" s="431"/>
      <c r="V65" s="432"/>
      <c r="W65" s="433" t="s">
        <v>676</v>
      </c>
      <c r="X65" s="433">
        <v>45608</v>
      </c>
      <c r="Y65" s="434" t="s">
        <v>267</v>
      </c>
      <c r="Z65" s="442"/>
      <c r="AA65" s="424"/>
    </row>
    <row r="66" spans="1:27" s="112" customFormat="1" ht="36">
      <c r="A66" s="421">
        <v>54</v>
      </c>
      <c r="B66" s="422" t="s">
        <v>792</v>
      </c>
      <c r="C66" s="423" t="s">
        <v>55</v>
      </c>
      <c r="D66" s="422" t="s">
        <v>793</v>
      </c>
      <c r="E66" s="424">
        <v>1</v>
      </c>
      <c r="F66" s="425"/>
      <c r="G66" s="426">
        <f t="shared" si="1"/>
        <v>0</v>
      </c>
      <c r="H66" s="428"/>
      <c r="I66" s="422"/>
      <c r="J66" s="428"/>
      <c r="K66" s="422" t="s">
        <v>669</v>
      </c>
      <c r="L66" s="428" t="s">
        <v>303</v>
      </c>
      <c r="M66" s="422" t="s">
        <v>674</v>
      </c>
      <c r="N66" s="428"/>
      <c r="O66" s="428"/>
      <c r="P66" s="428" t="s">
        <v>424</v>
      </c>
      <c r="Q66" s="429" t="s">
        <v>293</v>
      </c>
      <c r="R66" s="429" t="s">
        <v>675</v>
      </c>
      <c r="S66" s="430">
        <v>45608</v>
      </c>
      <c r="T66" s="430" t="s">
        <v>669</v>
      </c>
      <c r="U66" s="431"/>
      <c r="V66" s="432"/>
      <c r="W66" s="433" t="s">
        <v>676</v>
      </c>
      <c r="X66" s="433">
        <v>45607</v>
      </c>
      <c r="Y66" s="434" t="s">
        <v>267</v>
      </c>
      <c r="Z66" s="442"/>
      <c r="AA66" s="424"/>
    </row>
    <row r="67" spans="1:27" s="112" customFormat="1" ht="36">
      <c r="A67" s="385">
        <v>55</v>
      </c>
      <c r="B67" s="387" t="s">
        <v>794</v>
      </c>
      <c r="C67" s="386" t="s">
        <v>55</v>
      </c>
      <c r="D67" s="387" t="s">
        <v>795</v>
      </c>
      <c r="E67" s="388">
        <v>1</v>
      </c>
      <c r="F67" s="389"/>
      <c r="G67" s="390">
        <f t="shared" si="1"/>
        <v>0</v>
      </c>
      <c r="H67" s="392"/>
      <c r="I67" s="387"/>
      <c r="J67" s="392"/>
      <c r="K67" s="387" t="s">
        <v>669</v>
      </c>
      <c r="L67" s="392" t="s">
        <v>303</v>
      </c>
      <c r="M67" s="387" t="s">
        <v>674</v>
      </c>
      <c r="N67" s="392"/>
      <c r="O67" s="392"/>
      <c r="P67" s="392" t="s">
        <v>424</v>
      </c>
      <c r="Q67" s="393" t="s">
        <v>293</v>
      </c>
      <c r="R67" s="393" t="s">
        <v>675</v>
      </c>
      <c r="S67" s="394">
        <v>45608</v>
      </c>
      <c r="T67" s="394"/>
      <c r="U67" s="395"/>
      <c r="V67" s="396"/>
      <c r="W67" s="397"/>
      <c r="X67" s="397"/>
      <c r="Y67" s="398" t="s">
        <v>267</v>
      </c>
      <c r="Z67" s="440"/>
      <c r="AA67" s="395"/>
    </row>
    <row r="68" spans="1:27" s="112" customFormat="1" ht="36">
      <c r="A68" s="421">
        <v>56</v>
      </c>
      <c r="B68" s="422" t="s">
        <v>796</v>
      </c>
      <c r="C68" s="423" t="s">
        <v>55</v>
      </c>
      <c r="D68" s="422" t="s">
        <v>797</v>
      </c>
      <c r="E68" s="424">
        <v>1</v>
      </c>
      <c r="F68" s="425"/>
      <c r="G68" s="426">
        <f t="shared" si="1"/>
        <v>0</v>
      </c>
      <c r="H68" s="428"/>
      <c r="I68" s="422"/>
      <c r="J68" s="428"/>
      <c r="K68" s="422" t="s">
        <v>669</v>
      </c>
      <c r="L68" s="428" t="s">
        <v>303</v>
      </c>
      <c r="M68" s="422" t="s">
        <v>685</v>
      </c>
      <c r="N68" s="428"/>
      <c r="O68" s="428"/>
      <c r="P68" s="428" t="s">
        <v>424</v>
      </c>
      <c r="Q68" s="429" t="s">
        <v>293</v>
      </c>
      <c r="R68" s="429" t="s">
        <v>686</v>
      </c>
      <c r="S68" s="430">
        <v>45608</v>
      </c>
      <c r="T68" s="430"/>
      <c r="U68" s="431"/>
      <c r="V68" s="432"/>
      <c r="W68" s="433" t="s">
        <v>676</v>
      </c>
      <c r="X68" s="433">
        <v>45609</v>
      </c>
      <c r="Y68" s="434" t="s">
        <v>267</v>
      </c>
      <c r="Z68" s="442"/>
      <c r="AA68" s="431"/>
    </row>
    <row r="69" spans="1:27" s="415" customFormat="1">
      <c r="A69" s="400">
        <v>57</v>
      </c>
      <c r="B69" s="401" t="s">
        <v>798</v>
      </c>
      <c r="C69" s="402" t="s">
        <v>55</v>
      </c>
      <c r="D69" s="401" t="s">
        <v>799</v>
      </c>
      <c r="E69" s="403">
        <v>1</v>
      </c>
      <c r="F69" s="404"/>
      <c r="G69" s="405">
        <f t="shared" si="1"/>
        <v>0</v>
      </c>
      <c r="H69" s="407"/>
      <c r="I69" s="401"/>
      <c r="J69" s="407"/>
      <c r="K69" s="401"/>
      <c r="L69" s="407"/>
      <c r="M69" s="401"/>
      <c r="N69" s="407"/>
      <c r="O69" s="407"/>
      <c r="P69" s="407"/>
      <c r="Q69" s="408"/>
      <c r="R69" s="408"/>
      <c r="S69" s="409"/>
      <c r="T69" s="409"/>
      <c r="U69" s="410"/>
      <c r="V69" s="411"/>
      <c r="W69" s="412"/>
      <c r="X69" s="412"/>
      <c r="Y69" s="413" t="s">
        <v>304</v>
      </c>
      <c r="Z69" s="441"/>
      <c r="AA69" s="403"/>
    </row>
    <row r="70" spans="1:27" s="112" customFormat="1" ht="36">
      <c r="A70" s="421">
        <v>58</v>
      </c>
      <c r="B70" s="422" t="s">
        <v>800</v>
      </c>
      <c r="C70" s="423" t="s">
        <v>55</v>
      </c>
      <c r="D70" s="422" t="s">
        <v>801</v>
      </c>
      <c r="E70" s="424">
        <v>1</v>
      </c>
      <c r="F70" s="425"/>
      <c r="G70" s="426">
        <f t="shared" si="1"/>
        <v>0</v>
      </c>
      <c r="H70" s="428"/>
      <c r="I70" s="422"/>
      <c r="J70" s="428"/>
      <c r="K70" s="422" t="s">
        <v>669</v>
      </c>
      <c r="L70" s="428" t="s">
        <v>303</v>
      </c>
      <c r="M70" s="422" t="s">
        <v>674</v>
      </c>
      <c r="N70" s="428"/>
      <c r="O70" s="428"/>
      <c r="P70" s="428" t="s">
        <v>424</v>
      </c>
      <c r="Q70" s="429" t="s">
        <v>265</v>
      </c>
      <c r="R70" s="429" t="s">
        <v>675</v>
      </c>
      <c r="S70" s="430">
        <v>45608</v>
      </c>
      <c r="T70" s="430" t="s">
        <v>669</v>
      </c>
      <c r="U70" s="431"/>
      <c r="V70" s="432"/>
      <c r="W70" s="433" t="s">
        <v>676</v>
      </c>
      <c r="X70" s="433">
        <v>45607</v>
      </c>
      <c r="Y70" s="434" t="s">
        <v>267</v>
      </c>
      <c r="Z70" s="442"/>
      <c r="AA70" s="424"/>
    </row>
    <row r="71" spans="1:27" s="112" customFormat="1" ht="36">
      <c r="A71" s="421">
        <v>59</v>
      </c>
      <c r="B71" s="422" t="s">
        <v>802</v>
      </c>
      <c r="C71" s="423" t="s">
        <v>55</v>
      </c>
      <c r="D71" s="422" t="s">
        <v>803</v>
      </c>
      <c r="E71" s="424">
        <v>1</v>
      </c>
      <c r="F71" s="425"/>
      <c r="G71" s="426">
        <f t="shared" si="1"/>
        <v>0</v>
      </c>
      <c r="H71" s="428"/>
      <c r="I71" s="422"/>
      <c r="J71" s="428"/>
      <c r="K71" s="422" t="s">
        <v>669</v>
      </c>
      <c r="L71" s="428" t="s">
        <v>303</v>
      </c>
      <c r="M71" s="422" t="s">
        <v>674</v>
      </c>
      <c r="N71" s="428"/>
      <c r="O71" s="428"/>
      <c r="P71" s="428" t="s">
        <v>424</v>
      </c>
      <c r="Q71" s="429" t="s">
        <v>265</v>
      </c>
      <c r="R71" s="429" t="s">
        <v>675</v>
      </c>
      <c r="S71" s="430">
        <v>45608</v>
      </c>
      <c r="T71" s="430" t="s">
        <v>669</v>
      </c>
      <c r="U71" s="431"/>
      <c r="V71" s="432"/>
      <c r="W71" s="433" t="s">
        <v>676</v>
      </c>
      <c r="X71" s="433">
        <v>45607</v>
      </c>
      <c r="Y71" s="434" t="s">
        <v>267</v>
      </c>
      <c r="Z71" s="442"/>
      <c r="AA71" s="424"/>
    </row>
    <row r="72" spans="1:27" s="112" customFormat="1" ht="36">
      <c r="A72" s="421">
        <v>60</v>
      </c>
      <c r="B72" s="422" t="s">
        <v>804</v>
      </c>
      <c r="C72" s="423" t="s">
        <v>55</v>
      </c>
      <c r="D72" s="422" t="s">
        <v>805</v>
      </c>
      <c r="E72" s="424">
        <v>1</v>
      </c>
      <c r="F72" s="425"/>
      <c r="G72" s="426">
        <f t="shared" si="1"/>
        <v>0</v>
      </c>
      <c r="H72" s="428"/>
      <c r="I72" s="422"/>
      <c r="J72" s="428"/>
      <c r="K72" s="422" t="s">
        <v>669</v>
      </c>
      <c r="L72" s="428" t="s">
        <v>303</v>
      </c>
      <c r="M72" s="422" t="s">
        <v>685</v>
      </c>
      <c r="N72" s="428"/>
      <c r="O72" s="428"/>
      <c r="P72" s="428" t="s">
        <v>424</v>
      </c>
      <c r="Q72" s="429" t="s">
        <v>293</v>
      </c>
      <c r="R72" s="429" t="s">
        <v>686</v>
      </c>
      <c r="S72" s="430">
        <v>45608</v>
      </c>
      <c r="T72" s="430"/>
      <c r="U72" s="431"/>
      <c r="V72" s="432"/>
      <c r="W72" s="433" t="s">
        <v>676</v>
      </c>
      <c r="X72" s="433">
        <v>45609</v>
      </c>
      <c r="Y72" s="434" t="s">
        <v>267</v>
      </c>
      <c r="Z72" s="442"/>
      <c r="AA72" s="431"/>
    </row>
    <row r="73" spans="1:27" s="112" customFormat="1" ht="36">
      <c r="A73" s="421">
        <v>61</v>
      </c>
      <c r="B73" s="422" t="s">
        <v>806</v>
      </c>
      <c r="C73" s="423" t="s">
        <v>55</v>
      </c>
      <c r="D73" s="422" t="s">
        <v>807</v>
      </c>
      <c r="E73" s="424">
        <v>1</v>
      </c>
      <c r="F73" s="425"/>
      <c r="G73" s="426">
        <f t="shared" si="1"/>
        <v>0</v>
      </c>
      <c r="H73" s="428"/>
      <c r="I73" s="422"/>
      <c r="J73" s="428"/>
      <c r="K73" s="422" t="s">
        <v>808</v>
      </c>
      <c r="L73" s="428" t="s">
        <v>323</v>
      </c>
      <c r="M73" s="422" t="s">
        <v>323</v>
      </c>
      <c r="N73" s="428"/>
      <c r="O73" s="428"/>
      <c r="P73" s="428" t="s">
        <v>323</v>
      </c>
      <c r="Q73" s="429" t="s">
        <v>293</v>
      </c>
      <c r="R73" s="429" t="s">
        <v>686</v>
      </c>
      <c r="S73" s="430">
        <v>45608</v>
      </c>
      <c r="T73" s="430" t="s">
        <v>685</v>
      </c>
      <c r="U73" s="431"/>
      <c r="V73" s="432"/>
      <c r="W73" s="433" t="s">
        <v>676</v>
      </c>
      <c r="X73" s="433">
        <v>45609</v>
      </c>
      <c r="Y73" s="434" t="s">
        <v>267</v>
      </c>
      <c r="Z73" s="442"/>
      <c r="AA73" s="431"/>
    </row>
    <row r="74" spans="1:27" s="112" customFormat="1" ht="36">
      <c r="A74" s="385">
        <v>62</v>
      </c>
      <c r="B74" s="387" t="s">
        <v>809</v>
      </c>
      <c r="C74" s="386" t="s">
        <v>55</v>
      </c>
      <c r="D74" s="387" t="s">
        <v>810</v>
      </c>
      <c r="E74" s="388">
        <v>1</v>
      </c>
      <c r="F74" s="389"/>
      <c r="G74" s="390">
        <f t="shared" si="1"/>
        <v>0</v>
      </c>
      <c r="H74" s="392"/>
      <c r="I74" s="387"/>
      <c r="J74" s="392"/>
      <c r="K74" s="387" t="s">
        <v>669</v>
      </c>
      <c r="L74" s="392" t="s">
        <v>303</v>
      </c>
      <c r="M74" s="387" t="s">
        <v>670</v>
      </c>
      <c r="N74" s="392"/>
      <c r="O74" s="392"/>
      <c r="P74" s="392" t="s">
        <v>424</v>
      </c>
      <c r="Q74" s="393" t="s">
        <v>293</v>
      </c>
      <c r="R74" s="393" t="s">
        <v>671</v>
      </c>
      <c r="S74" s="394">
        <v>45608</v>
      </c>
      <c r="T74" s="394"/>
      <c r="U74" s="395"/>
      <c r="V74" s="396"/>
      <c r="W74" s="397"/>
      <c r="X74" s="397"/>
      <c r="Y74" s="398" t="s">
        <v>267</v>
      </c>
      <c r="Z74" s="440"/>
      <c r="AA74" s="395"/>
    </row>
    <row r="75" spans="1:27" s="112" customFormat="1" ht="36">
      <c r="A75" s="421">
        <v>63</v>
      </c>
      <c r="B75" s="422" t="s">
        <v>811</v>
      </c>
      <c r="C75" s="423" t="s">
        <v>55</v>
      </c>
      <c r="D75" s="422" t="s">
        <v>812</v>
      </c>
      <c r="E75" s="424">
        <v>1</v>
      </c>
      <c r="F75" s="425"/>
      <c r="G75" s="426">
        <f t="shared" si="1"/>
        <v>0</v>
      </c>
      <c r="H75" s="428"/>
      <c r="I75" s="422"/>
      <c r="J75" s="428"/>
      <c r="K75" s="422" t="s">
        <v>669</v>
      </c>
      <c r="L75" s="428" t="s">
        <v>303</v>
      </c>
      <c r="M75" s="422" t="s">
        <v>685</v>
      </c>
      <c r="N75" s="428"/>
      <c r="O75" s="428"/>
      <c r="P75" s="428" t="s">
        <v>424</v>
      </c>
      <c r="Q75" s="429" t="s">
        <v>293</v>
      </c>
      <c r="R75" s="429" t="s">
        <v>686</v>
      </c>
      <c r="S75" s="430">
        <v>45608</v>
      </c>
      <c r="T75" s="430"/>
      <c r="U75" s="431"/>
      <c r="V75" s="432"/>
      <c r="W75" s="433" t="s">
        <v>676</v>
      </c>
      <c r="X75" s="433">
        <v>45609</v>
      </c>
      <c r="Y75" s="434" t="s">
        <v>267</v>
      </c>
      <c r="Z75" s="442"/>
      <c r="AA75" s="431"/>
    </row>
    <row r="76" spans="1:27" s="112" customFormat="1" ht="36">
      <c r="A76" s="385">
        <v>64</v>
      </c>
      <c r="B76" s="387" t="s">
        <v>813</v>
      </c>
      <c r="C76" s="386" t="s">
        <v>55</v>
      </c>
      <c r="D76" s="387" t="s">
        <v>814</v>
      </c>
      <c r="E76" s="388">
        <v>1</v>
      </c>
      <c r="F76" s="389"/>
      <c r="G76" s="390">
        <f t="shared" si="1"/>
        <v>0</v>
      </c>
      <c r="H76" s="392"/>
      <c r="I76" s="387"/>
      <c r="J76" s="392"/>
      <c r="K76" s="387" t="s">
        <v>669</v>
      </c>
      <c r="L76" s="392" t="s">
        <v>303</v>
      </c>
      <c r="M76" s="387" t="s">
        <v>756</v>
      </c>
      <c r="N76" s="392"/>
      <c r="O76" s="392"/>
      <c r="P76" s="392" t="s">
        <v>424</v>
      </c>
      <c r="Q76" s="393" t="s">
        <v>293</v>
      </c>
      <c r="R76" s="393" t="s">
        <v>757</v>
      </c>
      <c r="S76" s="394">
        <v>45608</v>
      </c>
      <c r="T76" s="394"/>
      <c r="U76" s="395"/>
      <c r="V76" s="396"/>
      <c r="W76" s="397"/>
      <c r="X76" s="397"/>
      <c r="Y76" s="398" t="s">
        <v>267</v>
      </c>
      <c r="Z76" s="440"/>
      <c r="AA76" s="395"/>
    </row>
    <row r="77" spans="1:27" s="112" customFormat="1" ht="36">
      <c r="A77" s="385">
        <v>65</v>
      </c>
      <c r="B77" s="387" t="s">
        <v>815</v>
      </c>
      <c r="C77" s="386" t="s">
        <v>55</v>
      </c>
      <c r="D77" s="387" t="s">
        <v>816</v>
      </c>
      <c r="E77" s="388">
        <v>1</v>
      </c>
      <c r="F77" s="389"/>
      <c r="G77" s="390">
        <f t="shared" ref="G77:G83" si="2">E77*F77</f>
        <v>0</v>
      </c>
      <c r="H77" s="392"/>
      <c r="I77" s="387"/>
      <c r="J77" s="392"/>
      <c r="K77" s="387" t="s">
        <v>669</v>
      </c>
      <c r="L77" s="392" t="s">
        <v>303</v>
      </c>
      <c r="M77" s="387" t="s">
        <v>670</v>
      </c>
      <c r="N77" s="392"/>
      <c r="O77" s="392"/>
      <c r="P77" s="392" t="s">
        <v>424</v>
      </c>
      <c r="Q77" s="393" t="s">
        <v>293</v>
      </c>
      <c r="R77" s="393" t="s">
        <v>671</v>
      </c>
      <c r="S77" s="394">
        <v>45608</v>
      </c>
      <c r="T77" s="394"/>
      <c r="U77" s="395"/>
      <c r="V77" s="396"/>
      <c r="W77" s="397"/>
      <c r="X77" s="397"/>
      <c r="Y77" s="398" t="s">
        <v>267</v>
      </c>
      <c r="Z77" s="440"/>
      <c r="AA77" s="395"/>
    </row>
    <row r="78" spans="1:27" s="112" customFormat="1" ht="36">
      <c r="A78" s="421">
        <v>66</v>
      </c>
      <c r="B78" s="422" t="s">
        <v>817</v>
      </c>
      <c r="C78" s="423" t="s">
        <v>55</v>
      </c>
      <c r="D78" s="422" t="s">
        <v>818</v>
      </c>
      <c r="E78" s="424">
        <v>1</v>
      </c>
      <c r="F78" s="425"/>
      <c r="G78" s="426">
        <f t="shared" si="2"/>
        <v>0</v>
      </c>
      <c r="H78" s="428"/>
      <c r="I78" s="422"/>
      <c r="J78" s="428"/>
      <c r="K78" s="422" t="s">
        <v>669</v>
      </c>
      <c r="L78" s="428" t="s">
        <v>303</v>
      </c>
      <c r="M78" s="422" t="s">
        <v>693</v>
      </c>
      <c r="N78" s="428"/>
      <c r="O78" s="428"/>
      <c r="P78" s="428" t="s">
        <v>424</v>
      </c>
      <c r="Q78" s="429" t="s">
        <v>265</v>
      </c>
      <c r="R78" s="429" t="s">
        <v>694</v>
      </c>
      <c r="S78" s="430">
        <v>45608</v>
      </c>
      <c r="T78" s="430" t="s">
        <v>669</v>
      </c>
      <c r="U78" s="431"/>
      <c r="V78" s="432"/>
      <c r="W78" s="433" t="s">
        <v>676</v>
      </c>
      <c r="X78" s="433">
        <v>45608</v>
      </c>
      <c r="Y78" s="434" t="s">
        <v>267</v>
      </c>
      <c r="Z78" s="442"/>
      <c r="AA78" s="424"/>
    </row>
    <row r="79" spans="1:27" s="112" customFormat="1" ht="36">
      <c r="A79" s="421">
        <v>67</v>
      </c>
      <c r="B79" s="422" t="s">
        <v>819</v>
      </c>
      <c r="C79" s="423" t="s">
        <v>55</v>
      </c>
      <c r="D79" s="422" t="s">
        <v>820</v>
      </c>
      <c r="E79" s="424">
        <v>1</v>
      </c>
      <c r="F79" s="425"/>
      <c r="G79" s="426">
        <f t="shared" si="2"/>
        <v>0</v>
      </c>
      <c r="H79" s="428"/>
      <c r="I79" s="422"/>
      <c r="J79" s="428"/>
      <c r="K79" s="422" t="s">
        <v>669</v>
      </c>
      <c r="L79" s="428" t="s">
        <v>303</v>
      </c>
      <c r="M79" s="422" t="s">
        <v>685</v>
      </c>
      <c r="N79" s="428"/>
      <c r="O79" s="428"/>
      <c r="P79" s="428" t="s">
        <v>424</v>
      </c>
      <c r="Q79" s="429" t="s">
        <v>293</v>
      </c>
      <c r="R79" s="429" t="s">
        <v>686</v>
      </c>
      <c r="S79" s="430">
        <v>45608</v>
      </c>
      <c r="T79" s="430"/>
      <c r="U79" s="431"/>
      <c r="V79" s="432"/>
      <c r="W79" s="433" t="s">
        <v>676</v>
      </c>
      <c r="X79" s="433">
        <v>45609</v>
      </c>
      <c r="Y79" s="434" t="s">
        <v>267</v>
      </c>
      <c r="Z79" s="442"/>
      <c r="AA79" s="431"/>
    </row>
    <row r="80" spans="1:27" s="112" customFormat="1" ht="36">
      <c r="A80" s="385">
        <v>68</v>
      </c>
      <c r="B80" s="387" t="s">
        <v>821</v>
      </c>
      <c r="C80" s="386" t="s">
        <v>55</v>
      </c>
      <c r="D80" s="387" t="s">
        <v>822</v>
      </c>
      <c r="E80" s="388">
        <v>1</v>
      </c>
      <c r="F80" s="389"/>
      <c r="G80" s="390">
        <f t="shared" si="2"/>
        <v>0</v>
      </c>
      <c r="H80" s="392"/>
      <c r="I80" s="387"/>
      <c r="J80" s="392"/>
      <c r="K80" s="387" t="s">
        <v>669</v>
      </c>
      <c r="L80" s="392" t="s">
        <v>303</v>
      </c>
      <c r="M80" s="387" t="s">
        <v>670</v>
      </c>
      <c r="N80" s="392"/>
      <c r="O80" s="392"/>
      <c r="P80" s="392" t="s">
        <v>424</v>
      </c>
      <c r="Q80" s="393" t="s">
        <v>293</v>
      </c>
      <c r="R80" s="393" t="s">
        <v>671</v>
      </c>
      <c r="S80" s="394">
        <v>45608</v>
      </c>
      <c r="T80" s="394"/>
      <c r="U80" s="395"/>
      <c r="V80" s="396"/>
      <c r="W80" s="397"/>
      <c r="X80" s="397"/>
      <c r="Y80" s="398" t="s">
        <v>267</v>
      </c>
      <c r="Z80" s="440"/>
      <c r="AA80" s="395"/>
    </row>
    <row r="81" spans="1:27" s="112" customFormat="1" ht="36">
      <c r="A81" s="421">
        <v>69</v>
      </c>
      <c r="B81" s="422" t="s">
        <v>823</v>
      </c>
      <c r="C81" s="423" t="s">
        <v>55</v>
      </c>
      <c r="D81" s="422" t="s">
        <v>824</v>
      </c>
      <c r="E81" s="424">
        <v>2</v>
      </c>
      <c r="F81" s="425"/>
      <c r="G81" s="426">
        <f t="shared" si="2"/>
        <v>0</v>
      </c>
      <c r="H81" s="428"/>
      <c r="I81" s="422"/>
      <c r="J81" s="428"/>
      <c r="K81" s="422" t="s">
        <v>669</v>
      </c>
      <c r="L81" s="428" t="s">
        <v>303</v>
      </c>
      <c r="M81" s="422" t="s">
        <v>693</v>
      </c>
      <c r="N81" s="428"/>
      <c r="O81" s="428"/>
      <c r="P81" s="428" t="s">
        <v>424</v>
      </c>
      <c r="Q81" s="429" t="s">
        <v>265</v>
      </c>
      <c r="R81" s="429" t="s">
        <v>694</v>
      </c>
      <c r="S81" s="430">
        <v>45608</v>
      </c>
      <c r="T81" s="430" t="s">
        <v>669</v>
      </c>
      <c r="U81" s="431"/>
      <c r="V81" s="432"/>
      <c r="W81" s="433" t="s">
        <v>676</v>
      </c>
      <c r="X81" s="433">
        <v>45608</v>
      </c>
      <c r="Y81" s="434" t="s">
        <v>267</v>
      </c>
      <c r="Z81" s="442"/>
      <c r="AA81" s="424"/>
    </row>
    <row r="82" spans="1:27" s="112" customFormat="1" ht="36">
      <c r="A82" s="421">
        <v>70</v>
      </c>
      <c r="B82" s="422" t="s">
        <v>825</v>
      </c>
      <c r="C82" s="423" t="s">
        <v>55</v>
      </c>
      <c r="D82" s="422" t="s">
        <v>826</v>
      </c>
      <c r="E82" s="424">
        <v>1</v>
      </c>
      <c r="F82" s="425"/>
      <c r="G82" s="426">
        <f t="shared" si="2"/>
        <v>0</v>
      </c>
      <c r="H82" s="428"/>
      <c r="I82" s="422"/>
      <c r="J82" s="428"/>
      <c r="K82" s="422" t="s">
        <v>669</v>
      </c>
      <c r="L82" s="428" t="s">
        <v>303</v>
      </c>
      <c r="M82" s="422" t="s">
        <v>674</v>
      </c>
      <c r="N82" s="428"/>
      <c r="O82" s="428"/>
      <c r="P82" s="428" t="s">
        <v>424</v>
      </c>
      <c r="Q82" s="429" t="s">
        <v>265</v>
      </c>
      <c r="R82" s="429" t="s">
        <v>675</v>
      </c>
      <c r="S82" s="430">
        <v>45608</v>
      </c>
      <c r="T82" s="430" t="s">
        <v>669</v>
      </c>
      <c r="U82" s="431"/>
      <c r="V82" s="432"/>
      <c r="W82" s="433" t="s">
        <v>676</v>
      </c>
      <c r="X82" s="433">
        <v>45607</v>
      </c>
      <c r="Y82" s="434" t="s">
        <v>267</v>
      </c>
      <c r="Z82" s="442"/>
      <c r="AA82" s="424"/>
    </row>
    <row r="83" spans="1:27" s="112" customFormat="1" ht="36">
      <c r="A83" s="421">
        <v>71</v>
      </c>
      <c r="B83" s="422" t="s">
        <v>827</v>
      </c>
      <c r="C83" s="423" t="s">
        <v>55</v>
      </c>
      <c r="D83" s="422" t="s">
        <v>828</v>
      </c>
      <c r="E83" s="424">
        <v>1</v>
      </c>
      <c r="F83" s="425"/>
      <c r="G83" s="426">
        <f t="shared" si="2"/>
        <v>0</v>
      </c>
      <c r="H83" s="428"/>
      <c r="I83" s="422"/>
      <c r="J83" s="428"/>
      <c r="K83" s="422" t="s">
        <v>669</v>
      </c>
      <c r="L83" s="428" t="s">
        <v>303</v>
      </c>
      <c r="M83" s="422" t="s">
        <v>829</v>
      </c>
      <c r="N83" s="428"/>
      <c r="O83" s="428"/>
      <c r="P83" s="428" t="s">
        <v>424</v>
      </c>
      <c r="Q83" s="429" t="s">
        <v>265</v>
      </c>
      <c r="R83" s="429" t="s">
        <v>138</v>
      </c>
      <c r="S83" s="430">
        <v>45608</v>
      </c>
      <c r="T83" s="430" t="s">
        <v>669</v>
      </c>
      <c r="U83" s="431"/>
      <c r="V83" s="432"/>
      <c r="W83" s="433" t="s">
        <v>676</v>
      </c>
      <c r="X83" s="433">
        <v>45608</v>
      </c>
      <c r="Y83" s="434" t="s">
        <v>267</v>
      </c>
      <c r="Z83" s="442"/>
      <c r="AA83" s="424"/>
    </row>
    <row r="84" spans="1:27" s="112" customFormat="1" ht="36">
      <c r="A84" s="421">
        <v>72</v>
      </c>
      <c r="B84" s="422" t="s">
        <v>830</v>
      </c>
      <c r="C84" s="423" t="s">
        <v>55</v>
      </c>
      <c r="D84" s="422" t="s">
        <v>831</v>
      </c>
      <c r="E84" s="424">
        <v>1</v>
      </c>
      <c r="F84" s="425"/>
      <c r="G84" s="426">
        <f t="shared" ref="G84:G152" si="3">E84*F84</f>
        <v>0</v>
      </c>
      <c r="H84" s="428"/>
      <c r="I84" s="422"/>
      <c r="J84" s="428"/>
      <c r="K84" s="422" t="s">
        <v>669</v>
      </c>
      <c r="L84" s="428" t="s">
        <v>303</v>
      </c>
      <c r="M84" s="422" t="s">
        <v>674</v>
      </c>
      <c r="N84" s="428"/>
      <c r="O84" s="428"/>
      <c r="P84" s="428" t="s">
        <v>424</v>
      </c>
      <c r="Q84" s="429" t="s">
        <v>265</v>
      </c>
      <c r="R84" s="429" t="s">
        <v>675</v>
      </c>
      <c r="S84" s="430">
        <v>45608</v>
      </c>
      <c r="T84" s="430" t="s">
        <v>669</v>
      </c>
      <c r="U84" s="431"/>
      <c r="V84" s="432"/>
      <c r="W84" s="433" t="s">
        <v>676</v>
      </c>
      <c r="X84" s="433">
        <v>45607</v>
      </c>
      <c r="Y84" s="434" t="s">
        <v>267</v>
      </c>
      <c r="Z84" s="442"/>
      <c r="AA84" s="424"/>
    </row>
    <row r="85" spans="1:27" s="112" customFormat="1" ht="36">
      <c r="A85" s="385">
        <v>73</v>
      </c>
      <c r="B85" s="387" t="s">
        <v>832</v>
      </c>
      <c r="C85" s="386" t="s">
        <v>55</v>
      </c>
      <c r="D85" s="387" t="s">
        <v>833</v>
      </c>
      <c r="E85" s="388">
        <v>1</v>
      </c>
      <c r="F85" s="389"/>
      <c r="G85" s="390">
        <f t="shared" si="3"/>
        <v>0</v>
      </c>
      <c r="H85" s="392"/>
      <c r="I85" s="387"/>
      <c r="J85" s="392"/>
      <c r="K85" s="387" t="s">
        <v>669</v>
      </c>
      <c r="L85" s="392" t="s">
        <v>303</v>
      </c>
      <c r="M85" s="387" t="s">
        <v>670</v>
      </c>
      <c r="N85" s="392"/>
      <c r="O85" s="392"/>
      <c r="P85" s="392" t="s">
        <v>424</v>
      </c>
      <c r="Q85" s="393" t="s">
        <v>293</v>
      </c>
      <c r="R85" s="393" t="s">
        <v>671</v>
      </c>
      <c r="S85" s="394">
        <v>45608</v>
      </c>
      <c r="T85" s="394"/>
      <c r="U85" s="395"/>
      <c r="V85" s="396"/>
      <c r="W85" s="397"/>
      <c r="X85" s="397"/>
      <c r="Y85" s="398" t="s">
        <v>267</v>
      </c>
      <c r="Z85" s="440"/>
      <c r="AA85" s="395"/>
    </row>
    <row r="86" spans="1:27" s="112" customFormat="1" ht="36">
      <c r="A86" s="421">
        <v>74</v>
      </c>
      <c r="B86" s="422" t="s">
        <v>834</v>
      </c>
      <c r="C86" s="423" t="s">
        <v>55</v>
      </c>
      <c r="D86" s="422" t="s">
        <v>835</v>
      </c>
      <c r="E86" s="424">
        <v>1</v>
      </c>
      <c r="F86" s="425"/>
      <c r="G86" s="426">
        <f t="shared" si="3"/>
        <v>0</v>
      </c>
      <c r="H86" s="428"/>
      <c r="I86" s="422"/>
      <c r="J86" s="428"/>
      <c r="K86" s="422" t="s">
        <v>836</v>
      </c>
      <c r="L86" s="428" t="s">
        <v>303</v>
      </c>
      <c r="M86" s="422" t="s">
        <v>837</v>
      </c>
      <c r="N86" s="428"/>
      <c r="O86" s="428"/>
      <c r="P86" s="428" t="s">
        <v>747</v>
      </c>
      <c r="Q86" s="429" t="s">
        <v>293</v>
      </c>
      <c r="R86" s="429" t="s">
        <v>675</v>
      </c>
      <c r="S86" s="430">
        <v>45608</v>
      </c>
      <c r="T86" s="430"/>
      <c r="U86" s="431"/>
      <c r="V86" s="432"/>
      <c r="W86" s="433" t="s">
        <v>676</v>
      </c>
      <c r="X86" s="433">
        <v>45607</v>
      </c>
      <c r="Y86" s="434" t="s">
        <v>267</v>
      </c>
      <c r="Z86" s="442"/>
      <c r="AA86" s="424"/>
    </row>
    <row r="87" spans="1:27" s="112" customFormat="1" ht="36">
      <c r="A87" s="421">
        <v>75</v>
      </c>
      <c r="B87" s="422" t="s">
        <v>838</v>
      </c>
      <c r="C87" s="423" t="s">
        <v>55</v>
      </c>
      <c r="D87" s="422" t="s">
        <v>839</v>
      </c>
      <c r="E87" s="424">
        <v>1</v>
      </c>
      <c r="F87" s="425"/>
      <c r="G87" s="426">
        <f t="shared" si="3"/>
        <v>0</v>
      </c>
      <c r="H87" s="428"/>
      <c r="I87" s="422"/>
      <c r="J87" s="428"/>
      <c r="K87" s="422" t="s">
        <v>836</v>
      </c>
      <c r="L87" s="428" t="s">
        <v>303</v>
      </c>
      <c r="M87" s="422" t="s">
        <v>837</v>
      </c>
      <c r="N87" s="428"/>
      <c r="O87" s="428"/>
      <c r="P87" s="428" t="s">
        <v>747</v>
      </c>
      <c r="Q87" s="429" t="s">
        <v>293</v>
      </c>
      <c r="R87" s="429" t="s">
        <v>675</v>
      </c>
      <c r="S87" s="430">
        <v>45608</v>
      </c>
      <c r="T87" s="430"/>
      <c r="U87" s="431"/>
      <c r="V87" s="432"/>
      <c r="W87" s="433" t="s">
        <v>676</v>
      </c>
      <c r="X87" s="433">
        <v>45607</v>
      </c>
      <c r="Y87" s="434" t="s">
        <v>267</v>
      </c>
      <c r="Z87" s="442"/>
      <c r="AA87" s="424"/>
    </row>
    <row r="88" spans="1:27" s="112" customFormat="1" ht="36">
      <c r="A88" s="421">
        <v>76</v>
      </c>
      <c r="B88" s="422" t="s">
        <v>840</v>
      </c>
      <c r="C88" s="423" t="s">
        <v>55</v>
      </c>
      <c r="D88" s="422" t="s">
        <v>841</v>
      </c>
      <c r="E88" s="424">
        <v>1</v>
      </c>
      <c r="F88" s="425"/>
      <c r="G88" s="426">
        <f t="shared" si="3"/>
        <v>0</v>
      </c>
      <c r="H88" s="428"/>
      <c r="I88" s="422"/>
      <c r="J88" s="428"/>
      <c r="K88" s="422" t="s">
        <v>836</v>
      </c>
      <c r="L88" s="428" t="s">
        <v>303</v>
      </c>
      <c r="M88" s="422" t="s">
        <v>837</v>
      </c>
      <c r="N88" s="428"/>
      <c r="O88" s="428"/>
      <c r="P88" s="428" t="s">
        <v>747</v>
      </c>
      <c r="Q88" s="429" t="s">
        <v>293</v>
      </c>
      <c r="R88" s="429" t="s">
        <v>675</v>
      </c>
      <c r="S88" s="430">
        <v>45608</v>
      </c>
      <c r="T88" s="430"/>
      <c r="U88" s="431"/>
      <c r="V88" s="432"/>
      <c r="W88" s="433" t="s">
        <v>676</v>
      </c>
      <c r="X88" s="433">
        <v>45607</v>
      </c>
      <c r="Y88" s="434" t="s">
        <v>267</v>
      </c>
      <c r="Z88" s="442"/>
      <c r="AA88" s="424"/>
    </row>
    <row r="89" spans="1:27" s="112" customFormat="1" ht="36">
      <c r="A89" s="385">
        <v>77</v>
      </c>
      <c r="B89" s="387" t="s">
        <v>842</v>
      </c>
      <c r="C89" s="386" t="s">
        <v>55</v>
      </c>
      <c r="D89" s="387" t="s">
        <v>843</v>
      </c>
      <c r="E89" s="388">
        <v>1</v>
      </c>
      <c r="F89" s="389"/>
      <c r="G89" s="390">
        <f t="shared" si="3"/>
        <v>0</v>
      </c>
      <c r="H89" s="392"/>
      <c r="I89" s="387"/>
      <c r="J89" s="392"/>
      <c r="K89" s="387" t="s">
        <v>836</v>
      </c>
      <c r="L89" s="392" t="s">
        <v>303</v>
      </c>
      <c r="M89" s="387" t="s">
        <v>844</v>
      </c>
      <c r="N89" s="392"/>
      <c r="O89" s="392"/>
      <c r="P89" s="392" t="s">
        <v>323</v>
      </c>
      <c r="Q89" s="393" t="s">
        <v>324</v>
      </c>
      <c r="R89" s="393" t="s">
        <v>200</v>
      </c>
      <c r="S89" s="394">
        <v>45608</v>
      </c>
      <c r="T89" s="394"/>
      <c r="U89" s="395"/>
      <c r="V89" s="396"/>
      <c r="W89" s="397"/>
      <c r="X89" s="397"/>
      <c r="Y89" s="398" t="s">
        <v>267</v>
      </c>
      <c r="Z89" s="440"/>
      <c r="AA89" s="395"/>
    </row>
    <row r="90" spans="1:27" s="112" customFormat="1" ht="36">
      <c r="A90" s="385">
        <v>78</v>
      </c>
      <c r="B90" s="387" t="s">
        <v>845</v>
      </c>
      <c r="C90" s="386" t="s">
        <v>55</v>
      </c>
      <c r="D90" s="387" t="s">
        <v>846</v>
      </c>
      <c r="E90" s="388">
        <v>1</v>
      </c>
      <c r="F90" s="389"/>
      <c r="G90" s="390">
        <f t="shared" si="3"/>
        <v>0</v>
      </c>
      <c r="H90" s="392"/>
      <c r="I90" s="387"/>
      <c r="J90" s="392"/>
      <c r="K90" s="387" t="s">
        <v>836</v>
      </c>
      <c r="L90" s="392" t="s">
        <v>303</v>
      </c>
      <c r="M90" s="387" t="s">
        <v>847</v>
      </c>
      <c r="N90" s="392"/>
      <c r="O90" s="392"/>
      <c r="P90" s="392" t="s">
        <v>747</v>
      </c>
      <c r="Q90" s="393" t="s">
        <v>293</v>
      </c>
      <c r="R90" s="393" t="s">
        <v>761</v>
      </c>
      <c r="S90" s="394">
        <v>45608</v>
      </c>
      <c r="T90" s="394"/>
      <c r="U90" s="395"/>
      <c r="V90" s="396"/>
      <c r="W90" s="397"/>
      <c r="X90" s="397"/>
      <c r="Y90" s="398" t="s">
        <v>267</v>
      </c>
      <c r="Z90" s="440"/>
      <c r="AA90" s="395"/>
    </row>
    <row r="91" spans="1:27" s="112" customFormat="1" ht="36">
      <c r="A91" s="385">
        <v>79</v>
      </c>
      <c r="B91" s="387" t="s">
        <v>848</v>
      </c>
      <c r="C91" s="386" t="s">
        <v>55</v>
      </c>
      <c r="D91" s="387" t="s">
        <v>849</v>
      </c>
      <c r="E91" s="388">
        <v>1</v>
      </c>
      <c r="F91" s="389"/>
      <c r="G91" s="390">
        <f t="shared" si="3"/>
        <v>0</v>
      </c>
      <c r="H91" s="392"/>
      <c r="I91" s="387"/>
      <c r="J91" s="392"/>
      <c r="K91" s="387" t="s">
        <v>836</v>
      </c>
      <c r="L91" s="392" t="s">
        <v>303</v>
      </c>
      <c r="M91" s="387" t="s">
        <v>847</v>
      </c>
      <c r="N91" s="392"/>
      <c r="O91" s="392"/>
      <c r="P91" s="392" t="s">
        <v>747</v>
      </c>
      <c r="Q91" s="393" t="s">
        <v>293</v>
      </c>
      <c r="R91" s="393" t="s">
        <v>761</v>
      </c>
      <c r="S91" s="394">
        <v>45608</v>
      </c>
      <c r="T91" s="394"/>
      <c r="U91" s="395"/>
      <c r="V91" s="396"/>
      <c r="W91" s="397"/>
      <c r="X91" s="397"/>
      <c r="Y91" s="398" t="s">
        <v>267</v>
      </c>
      <c r="Z91" s="440"/>
      <c r="AA91" s="395"/>
    </row>
    <row r="92" spans="1:27" s="112" customFormat="1" ht="36">
      <c r="A92" s="421">
        <v>80</v>
      </c>
      <c r="B92" s="422" t="s">
        <v>850</v>
      </c>
      <c r="C92" s="423" t="s">
        <v>55</v>
      </c>
      <c r="D92" s="422" t="s">
        <v>851</v>
      </c>
      <c r="E92" s="424">
        <v>1</v>
      </c>
      <c r="F92" s="425"/>
      <c r="G92" s="426">
        <f t="shared" si="3"/>
        <v>0</v>
      </c>
      <c r="H92" s="428"/>
      <c r="I92" s="422"/>
      <c r="J92" s="428"/>
      <c r="K92" s="422" t="s">
        <v>836</v>
      </c>
      <c r="L92" s="428" t="s">
        <v>303</v>
      </c>
      <c r="M92" s="422" t="s">
        <v>837</v>
      </c>
      <c r="N92" s="428"/>
      <c r="O92" s="428"/>
      <c r="P92" s="428" t="s">
        <v>747</v>
      </c>
      <c r="Q92" s="429" t="s">
        <v>293</v>
      </c>
      <c r="R92" s="429" t="s">
        <v>675</v>
      </c>
      <c r="S92" s="430">
        <v>45608</v>
      </c>
      <c r="T92" s="430"/>
      <c r="U92" s="431"/>
      <c r="V92" s="432"/>
      <c r="W92" s="433" t="s">
        <v>676</v>
      </c>
      <c r="X92" s="433">
        <v>45607</v>
      </c>
      <c r="Y92" s="434" t="s">
        <v>267</v>
      </c>
      <c r="Z92" s="442"/>
      <c r="AA92" s="424"/>
    </row>
    <row r="93" spans="1:27" s="112" customFormat="1" ht="36">
      <c r="A93" s="385">
        <v>81</v>
      </c>
      <c r="B93" s="387" t="s">
        <v>852</v>
      </c>
      <c r="C93" s="386" t="s">
        <v>55</v>
      </c>
      <c r="D93" s="387" t="s">
        <v>853</v>
      </c>
      <c r="E93" s="388">
        <v>1</v>
      </c>
      <c r="F93" s="389"/>
      <c r="G93" s="390">
        <f t="shared" si="3"/>
        <v>0</v>
      </c>
      <c r="H93" s="392"/>
      <c r="I93" s="387"/>
      <c r="J93" s="392"/>
      <c r="K93" s="387" t="s">
        <v>836</v>
      </c>
      <c r="L93" s="392" t="s">
        <v>303</v>
      </c>
      <c r="M93" s="387" t="s">
        <v>854</v>
      </c>
      <c r="N93" s="392"/>
      <c r="O93" s="392"/>
      <c r="P93" s="392" t="s">
        <v>747</v>
      </c>
      <c r="Q93" s="393" t="s">
        <v>293</v>
      </c>
      <c r="R93" s="393" t="s">
        <v>686</v>
      </c>
      <c r="S93" s="394">
        <v>45608</v>
      </c>
      <c r="T93" s="394"/>
      <c r="U93" s="395"/>
      <c r="V93" s="396"/>
      <c r="W93" s="397"/>
      <c r="X93" s="397"/>
      <c r="Y93" s="398" t="s">
        <v>267</v>
      </c>
      <c r="Z93" s="440"/>
      <c r="AA93" s="395"/>
    </row>
    <row r="94" spans="1:27" s="112" customFormat="1" ht="36">
      <c r="A94" s="385">
        <v>82</v>
      </c>
      <c r="B94" s="387" t="s">
        <v>855</v>
      </c>
      <c r="C94" s="386" t="s">
        <v>55</v>
      </c>
      <c r="D94" s="387" t="s">
        <v>856</v>
      </c>
      <c r="E94" s="388">
        <v>1</v>
      </c>
      <c r="F94" s="389"/>
      <c r="G94" s="390">
        <f t="shared" si="3"/>
        <v>0</v>
      </c>
      <c r="H94" s="392"/>
      <c r="I94" s="387"/>
      <c r="J94" s="392"/>
      <c r="K94" s="387" t="s">
        <v>836</v>
      </c>
      <c r="L94" s="392" t="s">
        <v>303</v>
      </c>
      <c r="M94" s="387" t="s">
        <v>847</v>
      </c>
      <c r="N94" s="392"/>
      <c r="O94" s="392"/>
      <c r="P94" s="392" t="s">
        <v>747</v>
      </c>
      <c r="Q94" s="393" t="s">
        <v>293</v>
      </c>
      <c r="R94" s="393" t="s">
        <v>761</v>
      </c>
      <c r="S94" s="394">
        <v>45608</v>
      </c>
      <c r="T94" s="394"/>
      <c r="U94" s="395"/>
      <c r="V94" s="396"/>
      <c r="W94" s="397"/>
      <c r="X94" s="397"/>
      <c r="Y94" s="398" t="s">
        <v>267</v>
      </c>
      <c r="Z94" s="440"/>
      <c r="AA94" s="395"/>
    </row>
    <row r="95" spans="1:27" s="112" customFormat="1" ht="36">
      <c r="A95" s="385">
        <v>83</v>
      </c>
      <c r="B95" s="387" t="s">
        <v>857</v>
      </c>
      <c r="C95" s="386" t="s">
        <v>55</v>
      </c>
      <c r="D95" s="387" t="s">
        <v>858</v>
      </c>
      <c r="E95" s="388">
        <v>1</v>
      </c>
      <c r="F95" s="389"/>
      <c r="G95" s="390">
        <f t="shared" si="3"/>
        <v>0</v>
      </c>
      <c r="H95" s="392"/>
      <c r="I95" s="387"/>
      <c r="J95" s="392"/>
      <c r="K95" s="387" t="s">
        <v>836</v>
      </c>
      <c r="L95" s="392" t="s">
        <v>303</v>
      </c>
      <c r="M95" s="387" t="s">
        <v>859</v>
      </c>
      <c r="N95" s="392"/>
      <c r="O95" s="392"/>
      <c r="P95" s="392" t="s">
        <v>747</v>
      </c>
      <c r="Q95" s="393" t="s">
        <v>293</v>
      </c>
      <c r="R95" s="393" t="s">
        <v>138</v>
      </c>
      <c r="S95" s="394">
        <v>45608</v>
      </c>
      <c r="T95" s="394"/>
      <c r="U95" s="395"/>
      <c r="V95" s="396"/>
      <c r="W95" s="397"/>
      <c r="X95" s="397"/>
      <c r="Y95" s="398" t="s">
        <v>267</v>
      </c>
      <c r="Z95" s="440"/>
      <c r="AA95" s="395"/>
    </row>
    <row r="96" spans="1:27" s="112" customFormat="1" ht="36">
      <c r="A96" s="421">
        <v>84</v>
      </c>
      <c r="B96" s="422" t="s">
        <v>860</v>
      </c>
      <c r="C96" s="423" t="s">
        <v>55</v>
      </c>
      <c r="D96" s="422" t="s">
        <v>861</v>
      </c>
      <c r="E96" s="424">
        <v>1</v>
      </c>
      <c r="F96" s="425"/>
      <c r="G96" s="426">
        <f t="shared" si="3"/>
        <v>0</v>
      </c>
      <c r="H96" s="428"/>
      <c r="I96" s="422"/>
      <c r="J96" s="428"/>
      <c r="K96" s="422" t="s">
        <v>836</v>
      </c>
      <c r="L96" s="428" t="s">
        <v>303</v>
      </c>
      <c r="M96" s="422" t="s">
        <v>837</v>
      </c>
      <c r="N96" s="428"/>
      <c r="O96" s="428"/>
      <c r="P96" s="428" t="s">
        <v>747</v>
      </c>
      <c r="Q96" s="429" t="s">
        <v>293</v>
      </c>
      <c r="R96" s="429" t="s">
        <v>675</v>
      </c>
      <c r="S96" s="430">
        <v>45608</v>
      </c>
      <c r="T96" s="430"/>
      <c r="U96" s="431"/>
      <c r="V96" s="432"/>
      <c r="W96" s="433" t="s">
        <v>676</v>
      </c>
      <c r="X96" s="433">
        <v>45607</v>
      </c>
      <c r="Y96" s="434" t="s">
        <v>267</v>
      </c>
      <c r="Z96" s="442"/>
      <c r="AA96" s="424"/>
    </row>
    <row r="97" spans="1:27" s="112" customFormat="1" ht="36">
      <c r="A97" s="385">
        <v>85</v>
      </c>
      <c r="B97" s="387" t="s">
        <v>862</v>
      </c>
      <c r="C97" s="386" t="s">
        <v>55</v>
      </c>
      <c r="D97" s="387" t="s">
        <v>863</v>
      </c>
      <c r="E97" s="388">
        <v>1</v>
      </c>
      <c r="F97" s="389"/>
      <c r="G97" s="390">
        <f t="shared" ref="G97:G135" si="4">E97*F97</f>
        <v>0</v>
      </c>
      <c r="H97" s="392"/>
      <c r="I97" s="387"/>
      <c r="J97" s="392"/>
      <c r="K97" s="387" t="s">
        <v>808</v>
      </c>
      <c r="L97" s="392" t="s">
        <v>323</v>
      </c>
      <c r="M97" s="387" t="s">
        <v>323</v>
      </c>
      <c r="N97" s="392"/>
      <c r="O97" s="392"/>
      <c r="P97" s="392" t="s">
        <v>323</v>
      </c>
      <c r="Q97" s="393" t="s">
        <v>418</v>
      </c>
      <c r="R97" s="393" t="s">
        <v>671</v>
      </c>
      <c r="S97" s="394">
        <v>45616</v>
      </c>
      <c r="T97" s="394"/>
      <c r="U97" s="395"/>
      <c r="V97" s="396"/>
      <c r="W97" s="397"/>
      <c r="X97" s="397"/>
      <c r="Y97" s="398" t="s">
        <v>267</v>
      </c>
      <c r="Z97" s="440"/>
      <c r="AA97" s="395"/>
    </row>
    <row r="98" spans="1:27" s="112" customFormat="1" ht="36">
      <c r="A98" s="385">
        <v>86</v>
      </c>
      <c r="B98" s="387" t="s">
        <v>864</v>
      </c>
      <c r="C98" s="386" t="s">
        <v>55</v>
      </c>
      <c r="D98" s="387" t="s">
        <v>865</v>
      </c>
      <c r="E98" s="388">
        <v>2</v>
      </c>
      <c r="F98" s="389"/>
      <c r="G98" s="390">
        <f t="shared" si="4"/>
        <v>0</v>
      </c>
      <c r="H98" s="392"/>
      <c r="I98" s="387"/>
      <c r="J98" s="392"/>
      <c r="K98" s="387" t="s">
        <v>808</v>
      </c>
      <c r="L98" s="392" t="s">
        <v>323</v>
      </c>
      <c r="M98" s="387" t="s">
        <v>323</v>
      </c>
      <c r="N98" s="392"/>
      <c r="O98" s="392"/>
      <c r="P98" s="392" t="s">
        <v>323</v>
      </c>
      <c r="Q98" s="393" t="s">
        <v>418</v>
      </c>
      <c r="R98" s="393" t="s">
        <v>765</v>
      </c>
      <c r="S98" s="394">
        <v>45614</v>
      </c>
      <c r="T98" s="394"/>
      <c r="U98" s="395"/>
      <c r="V98" s="396"/>
      <c r="W98" s="397"/>
      <c r="X98" s="397"/>
      <c r="Y98" s="398" t="s">
        <v>267</v>
      </c>
      <c r="Z98" s="440"/>
      <c r="AA98" s="395"/>
    </row>
    <row r="99" spans="1:27" s="112" customFormat="1" ht="36">
      <c r="A99" s="385">
        <v>87</v>
      </c>
      <c r="B99" s="387" t="s">
        <v>866</v>
      </c>
      <c r="C99" s="386" t="s">
        <v>55</v>
      </c>
      <c r="D99" s="387" t="s">
        <v>867</v>
      </c>
      <c r="E99" s="388">
        <v>1</v>
      </c>
      <c r="F99" s="389"/>
      <c r="G99" s="390">
        <f t="shared" si="4"/>
        <v>0</v>
      </c>
      <c r="H99" s="392"/>
      <c r="I99" s="387"/>
      <c r="J99" s="392"/>
      <c r="K99" s="387" t="s">
        <v>808</v>
      </c>
      <c r="L99" s="392" t="s">
        <v>323</v>
      </c>
      <c r="M99" s="387" t="s">
        <v>323</v>
      </c>
      <c r="N99" s="392"/>
      <c r="O99" s="392"/>
      <c r="P99" s="392" t="s">
        <v>323</v>
      </c>
      <c r="Q99" s="393" t="s">
        <v>418</v>
      </c>
      <c r="R99" s="393" t="s">
        <v>686</v>
      </c>
      <c r="S99" s="394">
        <v>45614</v>
      </c>
      <c r="T99" s="394"/>
      <c r="U99" s="395"/>
      <c r="V99" s="396"/>
      <c r="W99" s="397"/>
      <c r="X99" s="397"/>
      <c r="Y99" s="398" t="s">
        <v>267</v>
      </c>
      <c r="Z99" s="440"/>
      <c r="AA99" s="395"/>
    </row>
    <row r="100" spans="1:27" s="112" customFormat="1" ht="36">
      <c r="A100" s="385">
        <v>88</v>
      </c>
      <c r="B100" s="387" t="s">
        <v>868</v>
      </c>
      <c r="C100" s="386" t="s">
        <v>55</v>
      </c>
      <c r="D100" s="387" t="s">
        <v>869</v>
      </c>
      <c r="E100" s="388">
        <v>1</v>
      </c>
      <c r="F100" s="389"/>
      <c r="G100" s="390">
        <f t="shared" si="4"/>
        <v>0</v>
      </c>
      <c r="H100" s="392"/>
      <c r="I100" s="387"/>
      <c r="J100" s="392"/>
      <c r="K100" s="387" t="s">
        <v>808</v>
      </c>
      <c r="L100" s="392" t="s">
        <v>323</v>
      </c>
      <c r="M100" s="387" t="s">
        <v>323</v>
      </c>
      <c r="N100" s="392"/>
      <c r="O100" s="392"/>
      <c r="P100" s="392" t="s">
        <v>323</v>
      </c>
      <c r="Q100" s="393" t="s">
        <v>418</v>
      </c>
      <c r="R100" s="393" t="s">
        <v>765</v>
      </c>
      <c r="S100" s="394">
        <v>45614</v>
      </c>
      <c r="T100" s="394"/>
      <c r="U100" s="395"/>
      <c r="V100" s="396"/>
      <c r="W100" s="397"/>
      <c r="X100" s="397"/>
      <c r="Y100" s="398" t="s">
        <v>267</v>
      </c>
      <c r="Z100" s="440"/>
      <c r="AA100" s="395"/>
    </row>
    <row r="101" spans="1:27" s="112" customFormat="1" ht="36">
      <c r="A101" s="385">
        <v>89</v>
      </c>
      <c r="B101" s="387" t="s">
        <v>870</v>
      </c>
      <c r="C101" s="386" t="s">
        <v>55</v>
      </c>
      <c r="D101" s="387" t="s">
        <v>871</v>
      </c>
      <c r="E101" s="388">
        <v>1</v>
      </c>
      <c r="F101" s="389"/>
      <c r="G101" s="390">
        <f t="shared" si="4"/>
        <v>0</v>
      </c>
      <c r="H101" s="392"/>
      <c r="I101" s="387"/>
      <c r="J101" s="392"/>
      <c r="K101" s="387" t="s">
        <v>808</v>
      </c>
      <c r="L101" s="392" t="s">
        <v>323</v>
      </c>
      <c r="M101" s="387" t="s">
        <v>323</v>
      </c>
      <c r="N101" s="392"/>
      <c r="O101" s="392"/>
      <c r="P101" s="392" t="s">
        <v>323</v>
      </c>
      <c r="Q101" s="393" t="s">
        <v>418</v>
      </c>
      <c r="R101" s="393" t="s">
        <v>686</v>
      </c>
      <c r="S101" s="394">
        <v>45614</v>
      </c>
      <c r="T101" s="394"/>
      <c r="U101" s="395"/>
      <c r="V101" s="396"/>
      <c r="W101" s="397"/>
      <c r="X101" s="397"/>
      <c r="Y101" s="398" t="s">
        <v>267</v>
      </c>
      <c r="Z101" s="440"/>
      <c r="AA101" s="395"/>
    </row>
    <row r="102" spans="1:27" s="112" customFormat="1" ht="36">
      <c r="A102" s="385">
        <v>90</v>
      </c>
      <c r="B102" s="387" t="s">
        <v>872</v>
      </c>
      <c r="C102" s="386" t="s">
        <v>55</v>
      </c>
      <c r="D102" s="387" t="s">
        <v>873</v>
      </c>
      <c r="E102" s="388">
        <v>1</v>
      </c>
      <c r="F102" s="389"/>
      <c r="G102" s="390">
        <f t="shared" si="4"/>
        <v>0</v>
      </c>
      <c r="H102" s="392"/>
      <c r="I102" s="387"/>
      <c r="J102" s="392"/>
      <c r="K102" s="387" t="s">
        <v>808</v>
      </c>
      <c r="L102" s="392" t="s">
        <v>323</v>
      </c>
      <c r="M102" s="387" t="s">
        <v>323</v>
      </c>
      <c r="N102" s="392"/>
      <c r="O102" s="392"/>
      <c r="P102" s="392" t="s">
        <v>323</v>
      </c>
      <c r="Q102" s="393" t="s">
        <v>418</v>
      </c>
      <c r="R102" s="393" t="s">
        <v>686</v>
      </c>
      <c r="S102" s="394">
        <v>45614</v>
      </c>
      <c r="T102" s="394"/>
      <c r="U102" s="395"/>
      <c r="V102" s="396"/>
      <c r="W102" s="397"/>
      <c r="X102" s="397"/>
      <c r="Y102" s="398" t="s">
        <v>267</v>
      </c>
      <c r="Z102" s="440"/>
      <c r="AA102" s="395"/>
    </row>
    <row r="103" spans="1:27" s="112" customFormat="1" ht="36">
      <c r="A103" s="385">
        <v>91</v>
      </c>
      <c r="B103" s="387" t="s">
        <v>874</v>
      </c>
      <c r="C103" s="386" t="s">
        <v>55</v>
      </c>
      <c r="D103" s="387" t="s">
        <v>875</v>
      </c>
      <c r="E103" s="388">
        <v>4</v>
      </c>
      <c r="F103" s="389"/>
      <c r="G103" s="390">
        <f t="shared" si="4"/>
        <v>0</v>
      </c>
      <c r="H103" s="392"/>
      <c r="I103" s="387"/>
      <c r="J103" s="392"/>
      <c r="K103" s="387" t="s">
        <v>808</v>
      </c>
      <c r="L103" s="392" t="s">
        <v>323</v>
      </c>
      <c r="M103" s="387" t="s">
        <v>323</v>
      </c>
      <c r="N103" s="392"/>
      <c r="O103" s="392"/>
      <c r="P103" s="392" t="s">
        <v>323</v>
      </c>
      <c r="Q103" s="393" t="s">
        <v>418</v>
      </c>
      <c r="R103" s="393" t="s">
        <v>876</v>
      </c>
      <c r="S103" s="394">
        <v>45614</v>
      </c>
      <c r="T103" s="394"/>
      <c r="U103" s="395"/>
      <c r="V103" s="396"/>
      <c r="W103" s="397"/>
      <c r="X103" s="397"/>
      <c r="Y103" s="398" t="s">
        <v>267</v>
      </c>
      <c r="Z103" s="440"/>
      <c r="AA103" s="395"/>
    </row>
    <row r="104" spans="1:27" s="112" customFormat="1" ht="36">
      <c r="A104" s="385">
        <v>92</v>
      </c>
      <c r="B104" s="387" t="s">
        <v>877</v>
      </c>
      <c r="C104" s="386" t="s">
        <v>55</v>
      </c>
      <c r="D104" s="387" t="s">
        <v>878</v>
      </c>
      <c r="E104" s="388">
        <v>1</v>
      </c>
      <c r="F104" s="389"/>
      <c r="G104" s="390">
        <f t="shared" si="4"/>
        <v>0</v>
      </c>
      <c r="H104" s="392"/>
      <c r="I104" s="387"/>
      <c r="J104" s="392"/>
      <c r="K104" s="387" t="s">
        <v>808</v>
      </c>
      <c r="L104" s="392" t="s">
        <v>323</v>
      </c>
      <c r="M104" s="387" t="s">
        <v>323</v>
      </c>
      <c r="N104" s="392"/>
      <c r="O104" s="392"/>
      <c r="P104" s="392" t="s">
        <v>323</v>
      </c>
      <c r="Q104" s="393" t="s">
        <v>418</v>
      </c>
      <c r="R104" s="393" t="s">
        <v>879</v>
      </c>
      <c r="S104" s="394">
        <v>45614</v>
      </c>
      <c r="T104" s="394"/>
      <c r="U104" s="395"/>
      <c r="V104" s="396"/>
      <c r="W104" s="397"/>
      <c r="X104" s="397"/>
      <c r="Y104" s="398" t="s">
        <v>267</v>
      </c>
      <c r="Z104" s="440"/>
      <c r="AA104" s="395"/>
    </row>
    <row r="105" spans="1:27" s="112" customFormat="1" ht="36">
      <c r="A105" s="385">
        <v>93</v>
      </c>
      <c r="B105" s="387" t="s">
        <v>880</v>
      </c>
      <c r="C105" s="386" t="s">
        <v>55</v>
      </c>
      <c r="D105" s="387" t="s">
        <v>881</v>
      </c>
      <c r="E105" s="388">
        <v>1</v>
      </c>
      <c r="F105" s="389"/>
      <c r="G105" s="390">
        <f t="shared" si="4"/>
        <v>0</v>
      </c>
      <c r="H105" s="392"/>
      <c r="I105" s="387"/>
      <c r="J105" s="392"/>
      <c r="K105" s="387" t="s">
        <v>808</v>
      </c>
      <c r="L105" s="392" t="s">
        <v>323</v>
      </c>
      <c r="M105" s="387" t="s">
        <v>323</v>
      </c>
      <c r="N105" s="392"/>
      <c r="O105" s="392"/>
      <c r="P105" s="392" t="s">
        <v>323</v>
      </c>
      <c r="Q105" s="393" t="s">
        <v>418</v>
      </c>
      <c r="R105" s="393" t="s">
        <v>686</v>
      </c>
      <c r="S105" s="394">
        <v>45614</v>
      </c>
      <c r="T105" s="394"/>
      <c r="U105" s="395"/>
      <c r="V105" s="396"/>
      <c r="W105" s="397"/>
      <c r="X105" s="397"/>
      <c r="Y105" s="398" t="s">
        <v>267</v>
      </c>
      <c r="Z105" s="440"/>
      <c r="AA105" s="395"/>
    </row>
    <row r="106" spans="1:27" s="112" customFormat="1" ht="36">
      <c r="A106" s="385">
        <v>94</v>
      </c>
      <c r="B106" s="387" t="s">
        <v>882</v>
      </c>
      <c r="C106" s="386" t="s">
        <v>55</v>
      </c>
      <c r="D106" s="387" t="s">
        <v>883</v>
      </c>
      <c r="E106" s="388">
        <v>1</v>
      </c>
      <c r="F106" s="389"/>
      <c r="G106" s="390">
        <f t="shared" si="4"/>
        <v>0</v>
      </c>
      <c r="H106" s="392"/>
      <c r="I106" s="387"/>
      <c r="J106" s="392"/>
      <c r="K106" s="387" t="s">
        <v>808</v>
      </c>
      <c r="L106" s="392" t="s">
        <v>323</v>
      </c>
      <c r="M106" s="387" t="s">
        <v>323</v>
      </c>
      <c r="N106" s="392"/>
      <c r="O106" s="392"/>
      <c r="P106" s="392" t="s">
        <v>323</v>
      </c>
      <c r="Q106" s="393" t="s">
        <v>418</v>
      </c>
      <c r="R106" s="393" t="s">
        <v>876</v>
      </c>
      <c r="S106" s="394">
        <v>45614</v>
      </c>
      <c r="T106" s="394"/>
      <c r="U106" s="395"/>
      <c r="V106" s="396"/>
      <c r="W106" s="397"/>
      <c r="X106" s="397"/>
      <c r="Y106" s="398" t="s">
        <v>267</v>
      </c>
      <c r="Z106" s="440"/>
      <c r="AA106" s="395"/>
    </row>
    <row r="107" spans="1:27" s="112" customFormat="1" ht="36">
      <c r="A107" s="385">
        <v>95</v>
      </c>
      <c r="B107" s="387" t="s">
        <v>884</v>
      </c>
      <c r="C107" s="386" t="s">
        <v>55</v>
      </c>
      <c r="D107" s="387" t="s">
        <v>885</v>
      </c>
      <c r="E107" s="388">
        <v>1</v>
      </c>
      <c r="F107" s="389"/>
      <c r="G107" s="390">
        <f t="shared" si="4"/>
        <v>0</v>
      </c>
      <c r="H107" s="392"/>
      <c r="I107" s="387"/>
      <c r="J107" s="392"/>
      <c r="K107" s="387" t="s">
        <v>808</v>
      </c>
      <c r="L107" s="392" t="s">
        <v>323</v>
      </c>
      <c r="M107" s="387" t="s">
        <v>323</v>
      </c>
      <c r="N107" s="392"/>
      <c r="O107" s="392"/>
      <c r="P107" s="392" t="s">
        <v>323</v>
      </c>
      <c r="Q107" s="393" t="s">
        <v>418</v>
      </c>
      <c r="R107" s="393" t="s">
        <v>694</v>
      </c>
      <c r="S107" s="394">
        <v>45614</v>
      </c>
      <c r="T107" s="394"/>
      <c r="U107" s="395"/>
      <c r="V107" s="396"/>
      <c r="W107" s="397"/>
      <c r="X107" s="397"/>
      <c r="Y107" s="398" t="s">
        <v>267</v>
      </c>
      <c r="Z107" s="440"/>
      <c r="AA107" s="395"/>
    </row>
    <row r="108" spans="1:27" s="112" customFormat="1" ht="36">
      <c r="A108" s="385">
        <v>96</v>
      </c>
      <c r="B108" s="387" t="s">
        <v>886</v>
      </c>
      <c r="C108" s="386" t="s">
        <v>55</v>
      </c>
      <c r="D108" s="387" t="s">
        <v>887</v>
      </c>
      <c r="E108" s="388">
        <v>2</v>
      </c>
      <c r="F108" s="389"/>
      <c r="G108" s="390">
        <f t="shared" si="4"/>
        <v>0</v>
      </c>
      <c r="H108" s="392"/>
      <c r="I108" s="387"/>
      <c r="J108" s="392"/>
      <c r="K108" s="387" t="s">
        <v>808</v>
      </c>
      <c r="L108" s="392" t="s">
        <v>323</v>
      </c>
      <c r="M108" s="387" t="s">
        <v>323</v>
      </c>
      <c r="N108" s="392"/>
      <c r="O108" s="392"/>
      <c r="P108" s="392" t="s">
        <v>323</v>
      </c>
      <c r="Q108" s="393" t="s">
        <v>418</v>
      </c>
      <c r="R108" s="393" t="s">
        <v>686</v>
      </c>
      <c r="S108" s="394">
        <v>45614</v>
      </c>
      <c r="T108" s="394"/>
      <c r="U108" s="395"/>
      <c r="V108" s="396"/>
      <c r="W108" s="397"/>
      <c r="X108" s="397"/>
      <c r="Y108" s="398" t="s">
        <v>267</v>
      </c>
      <c r="Z108" s="440"/>
      <c r="AA108" s="395"/>
    </row>
    <row r="109" spans="1:27" s="112" customFormat="1" ht="36">
      <c r="A109" s="385">
        <v>97</v>
      </c>
      <c r="B109" s="387" t="s">
        <v>888</v>
      </c>
      <c r="C109" s="386" t="s">
        <v>55</v>
      </c>
      <c r="D109" s="387" t="s">
        <v>889</v>
      </c>
      <c r="E109" s="388">
        <v>2</v>
      </c>
      <c r="F109" s="389"/>
      <c r="G109" s="390">
        <f t="shared" si="4"/>
        <v>0</v>
      </c>
      <c r="H109" s="392"/>
      <c r="I109" s="387"/>
      <c r="J109" s="392"/>
      <c r="K109" s="387" t="s">
        <v>808</v>
      </c>
      <c r="L109" s="392" t="s">
        <v>323</v>
      </c>
      <c r="M109" s="387" t="s">
        <v>323</v>
      </c>
      <c r="N109" s="392"/>
      <c r="O109" s="392"/>
      <c r="P109" s="392" t="s">
        <v>323</v>
      </c>
      <c r="Q109" s="393" t="s">
        <v>418</v>
      </c>
      <c r="R109" s="393" t="s">
        <v>694</v>
      </c>
      <c r="S109" s="394">
        <v>45614</v>
      </c>
      <c r="T109" s="394"/>
      <c r="U109" s="395"/>
      <c r="V109" s="396"/>
      <c r="W109" s="397"/>
      <c r="X109" s="397"/>
      <c r="Y109" s="398" t="s">
        <v>267</v>
      </c>
      <c r="Z109" s="440"/>
      <c r="AA109" s="395"/>
    </row>
    <row r="110" spans="1:27" s="112" customFormat="1" ht="36">
      <c r="A110" s="385">
        <v>98</v>
      </c>
      <c r="B110" s="387" t="s">
        <v>890</v>
      </c>
      <c r="C110" s="386" t="s">
        <v>55</v>
      </c>
      <c r="D110" s="387" t="s">
        <v>891</v>
      </c>
      <c r="E110" s="388">
        <v>2</v>
      </c>
      <c r="F110" s="389"/>
      <c r="G110" s="390">
        <f t="shared" si="4"/>
        <v>0</v>
      </c>
      <c r="H110" s="392"/>
      <c r="I110" s="387"/>
      <c r="J110" s="392"/>
      <c r="K110" s="387" t="s">
        <v>808</v>
      </c>
      <c r="L110" s="392" t="s">
        <v>323</v>
      </c>
      <c r="M110" s="387" t="s">
        <v>323</v>
      </c>
      <c r="N110" s="392"/>
      <c r="O110" s="392"/>
      <c r="P110" s="392" t="s">
        <v>323</v>
      </c>
      <c r="Q110" s="393" t="s">
        <v>418</v>
      </c>
      <c r="R110" s="393" t="s">
        <v>694</v>
      </c>
      <c r="S110" s="394">
        <v>45614</v>
      </c>
      <c r="T110" s="394"/>
      <c r="U110" s="395"/>
      <c r="V110" s="396"/>
      <c r="W110" s="397"/>
      <c r="X110" s="397"/>
      <c r="Y110" s="398" t="s">
        <v>267</v>
      </c>
      <c r="Z110" s="440"/>
      <c r="AA110" s="395"/>
    </row>
    <row r="111" spans="1:27" s="112" customFormat="1" ht="36">
      <c r="A111" s="385">
        <v>99</v>
      </c>
      <c r="B111" s="387" t="s">
        <v>892</v>
      </c>
      <c r="C111" s="386" t="s">
        <v>55</v>
      </c>
      <c r="D111" s="387" t="s">
        <v>893</v>
      </c>
      <c r="E111" s="388">
        <v>2</v>
      </c>
      <c r="F111" s="389"/>
      <c r="G111" s="390">
        <f t="shared" si="4"/>
        <v>0</v>
      </c>
      <c r="H111" s="392"/>
      <c r="I111" s="387"/>
      <c r="J111" s="392"/>
      <c r="K111" s="387" t="s">
        <v>808</v>
      </c>
      <c r="L111" s="392" t="s">
        <v>323</v>
      </c>
      <c r="M111" s="387" t="s">
        <v>323</v>
      </c>
      <c r="N111" s="392"/>
      <c r="O111" s="392"/>
      <c r="P111" s="392" t="s">
        <v>323</v>
      </c>
      <c r="Q111" s="393" t="s">
        <v>418</v>
      </c>
      <c r="R111" s="393" t="s">
        <v>686</v>
      </c>
      <c r="S111" s="394">
        <v>45614</v>
      </c>
      <c r="T111" s="394"/>
      <c r="U111" s="395"/>
      <c r="V111" s="396"/>
      <c r="W111" s="397"/>
      <c r="X111" s="397"/>
      <c r="Y111" s="398" t="s">
        <v>267</v>
      </c>
      <c r="Z111" s="440"/>
      <c r="AA111" s="395"/>
    </row>
    <row r="112" spans="1:27" s="112" customFormat="1" ht="36">
      <c r="A112" s="385">
        <v>100</v>
      </c>
      <c r="B112" s="387" t="s">
        <v>894</v>
      </c>
      <c r="C112" s="386" t="s">
        <v>55</v>
      </c>
      <c r="D112" s="387" t="s">
        <v>895</v>
      </c>
      <c r="E112" s="388">
        <v>2</v>
      </c>
      <c r="F112" s="389"/>
      <c r="G112" s="390">
        <f t="shared" si="4"/>
        <v>0</v>
      </c>
      <c r="H112" s="392"/>
      <c r="I112" s="387"/>
      <c r="J112" s="392"/>
      <c r="K112" s="387" t="s">
        <v>808</v>
      </c>
      <c r="L112" s="392" t="s">
        <v>323</v>
      </c>
      <c r="M112" s="387" t="s">
        <v>323</v>
      </c>
      <c r="N112" s="392"/>
      <c r="O112" s="392"/>
      <c r="P112" s="392" t="s">
        <v>323</v>
      </c>
      <c r="Q112" s="393" t="s">
        <v>418</v>
      </c>
      <c r="R112" s="393" t="s">
        <v>686</v>
      </c>
      <c r="S112" s="394">
        <v>45614</v>
      </c>
      <c r="T112" s="394"/>
      <c r="U112" s="395"/>
      <c r="V112" s="396"/>
      <c r="W112" s="397"/>
      <c r="X112" s="397"/>
      <c r="Y112" s="398" t="s">
        <v>267</v>
      </c>
      <c r="Z112" s="440"/>
      <c r="AA112" s="395"/>
    </row>
    <row r="113" spans="1:27" s="112" customFormat="1" ht="36">
      <c r="A113" s="385">
        <v>101</v>
      </c>
      <c r="B113" s="387" t="s">
        <v>896</v>
      </c>
      <c r="C113" s="386" t="s">
        <v>55</v>
      </c>
      <c r="D113" s="387" t="s">
        <v>897</v>
      </c>
      <c r="E113" s="388">
        <v>1</v>
      </c>
      <c r="F113" s="389"/>
      <c r="G113" s="390">
        <f t="shared" si="4"/>
        <v>0</v>
      </c>
      <c r="H113" s="392"/>
      <c r="I113" s="387"/>
      <c r="J113" s="392"/>
      <c r="K113" s="387" t="s">
        <v>808</v>
      </c>
      <c r="L113" s="392" t="s">
        <v>323</v>
      </c>
      <c r="M113" s="387" t="s">
        <v>323</v>
      </c>
      <c r="N113" s="392"/>
      <c r="O113" s="392"/>
      <c r="P113" s="392" t="s">
        <v>323</v>
      </c>
      <c r="Q113" s="393" t="s">
        <v>418</v>
      </c>
      <c r="R113" s="393" t="s">
        <v>765</v>
      </c>
      <c r="S113" s="394">
        <v>45614</v>
      </c>
      <c r="T113" s="394"/>
      <c r="U113" s="395"/>
      <c r="V113" s="396"/>
      <c r="W113" s="397"/>
      <c r="X113" s="397"/>
      <c r="Y113" s="398" t="s">
        <v>267</v>
      </c>
      <c r="Z113" s="440"/>
      <c r="AA113" s="395"/>
    </row>
    <row r="114" spans="1:27" s="112" customFormat="1" ht="36">
      <c r="A114" s="385">
        <v>102</v>
      </c>
      <c r="B114" s="387" t="s">
        <v>898</v>
      </c>
      <c r="C114" s="386" t="s">
        <v>55</v>
      </c>
      <c r="D114" s="387" t="s">
        <v>899</v>
      </c>
      <c r="E114" s="388">
        <v>1</v>
      </c>
      <c r="F114" s="389"/>
      <c r="G114" s="390">
        <f t="shared" si="4"/>
        <v>0</v>
      </c>
      <c r="H114" s="392"/>
      <c r="I114" s="387"/>
      <c r="J114" s="392"/>
      <c r="K114" s="387" t="s">
        <v>808</v>
      </c>
      <c r="L114" s="392" t="s">
        <v>323</v>
      </c>
      <c r="M114" s="387" t="s">
        <v>323</v>
      </c>
      <c r="N114" s="392"/>
      <c r="O114" s="392"/>
      <c r="P114" s="392" t="s">
        <v>323</v>
      </c>
      <c r="Q114" s="393" t="s">
        <v>418</v>
      </c>
      <c r="R114" s="393" t="s">
        <v>879</v>
      </c>
      <c r="S114" s="394">
        <v>45614</v>
      </c>
      <c r="T114" s="394"/>
      <c r="U114" s="395"/>
      <c r="V114" s="396"/>
      <c r="W114" s="397"/>
      <c r="X114" s="397"/>
      <c r="Y114" s="398" t="s">
        <v>267</v>
      </c>
      <c r="Z114" s="440"/>
      <c r="AA114" s="395"/>
    </row>
    <row r="115" spans="1:27" s="112" customFormat="1" ht="36">
      <c r="A115" s="385">
        <v>103</v>
      </c>
      <c r="B115" s="387" t="s">
        <v>900</v>
      </c>
      <c r="C115" s="386" t="s">
        <v>55</v>
      </c>
      <c r="D115" s="387" t="s">
        <v>901</v>
      </c>
      <c r="E115" s="388">
        <v>1</v>
      </c>
      <c r="F115" s="389"/>
      <c r="G115" s="390">
        <f t="shared" si="4"/>
        <v>0</v>
      </c>
      <c r="H115" s="392"/>
      <c r="I115" s="387"/>
      <c r="J115" s="392"/>
      <c r="K115" s="387" t="s">
        <v>808</v>
      </c>
      <c r="L115" s="392" t="s">
        <v>323</v>
      </c>
      <c r="M115" s="387" t="s">
        <v>323</v>
      </c>
      <c r="N115" s="392"/>
      <c r="O115" s="392"/>
      <c r="P115" s="392" t="s">
        <v>323</v>
      </c>
      <c r="Q115" s="393" t="s">
        <v>418</v>
      </c>
      <c r="R115" s="393" t="s">
        <v>686</v>
      </c>
      <c r="S115" s="394">
        <v>45614</v>
      </c>
      <c r="T115" s="394"/>
      <c r="U115" s="395"/>
      <c r="V115" s="396"/>
      <c r="W115" s="397"/>
      <c r="X115" s="397"/>
      <c r="Y115" s="398" t="s">
        <v>267</v>
      </c>
      <c r="Z115" s="440"/>
      <c r="AA115" s="395"/>
    </row>
    <row r="116" spans="1:27" s="112" customFormat="1" ht="36">
      <c r="A116" s="385">
        <v>104</v>
      </c>
      <c r="B116" s="387" t="s">
        <v>902</v>
      </c>
      <c r="C116" s="386" t="s">
        <v>55</v>
      </c>
      <c r="D116" s="387" t="s">
        <v>903</v>
      </c>
      <c r="E116" s="388">
        <v>2</v>
      </c>
      <c r="F116" s="389"/>
      <c r="G116" s="390">
        <f t="shared" si="4"/>
        <v>0</v>
      </c>
      <c r="H116" s="392"/>
      <c r="I116" s="387"/>
      <c r="J116" s="392"/>
      <c r="K116" s="387" t="s">
        <v>808</v>
      </c>
      <c r="L116" s="392" t="s">
        <v>323</v>
      </c>
      <c r="M116" s="387" t="s">
        <v>323</v>
      </c>
      <c r="N116" s="392"/>
      <c r="O116" s="392"/>
      <c r="P116" s="392" t="s">
        <v>323</v>
      </c>
      <c r="Q116" s="393" t="s">
        <v>418</v>
      </c>
      <c r="R116" s="393" t="s">
        <v>765</v>
      </c>
      <c r="S116" s="394">
        <v>45614</v>
      </c>
      <c r="T116" s="394"/>
      <c r="U116" s="395"/>
      <c r="V116" s="396"/>
      <c r="W116" s="397"/>
      <c r="X116" s="397"/>
      <c r="Y116" s="398" t="s">
        <v>267</v>
      </c>
      <c r="Z116" s="440"/>
      <c r="AA116" s="395"/>
    </row>
    <row r="117" spans="1:27" s="112" customFormat="1" ht="36">
      <c r="A117" s="385">
        <v>105</v>
      </c>
      <c r="B117" s="387" t="s">
        <v>904</v>
      </c>
      <c r="C117" s="386" t="s">
        <v>55</v>
      </c>
      <c r="D117" s="387" t="s">
        <v>905</v>
      </c>
      <c r="E117" s="388">
        <v>4</v>
      </c>
      <c r="F117" s="389"/>
      <c r="G117" s="390">
        <f t="shared" si="4"/>
        <v>0</v>
      </c>
      <c r="H117" s="392"/>
      <c r="I117" s="387"/>
      <c r="J117" s="392"/>
      <c r="K117" s="387" t="s">
        <v>808</v>
      </c>
      <c r="L117" s="392" t="s">
        <v>323</v>
      </c>
      <c r="M117" s="387" t="s">
        <v>323</v>
      </c>
      <c r="N117" s="392"/>
      <c r="O117" s="392"/>
      <c r="P117" s="392" t="s">
        <v>323</v>
      </c>
      <c r="Q117" s="393" t="s">
        <v>418</v>
      </c>
      <c r="R117" s="393" t="s">
        <v>694</v>
      </c>
      <c r="S117" s="394">
        <v>45614</v>
      </c>
      <c r="T117" s="394"/>
      <c r="U117" s="395"/>
      <c r="V117" s="396"/>
      <c r="W117" s="397"/>
      <c r="X117" s="397"/>
      <c r="Y117" s="398" t="s">
        <v>267</v>
      </c>
      <c r="Z117" s="440"/>
      <c r="AA117" s="395"/>
    </row>
    <row r="118" spans="1:27" s="112" customFormat="1" ht="36">
      <c r="A118" s="385">
        <v>106</v>
      </c>
      <c r="B118" s="387" t="s">
        <v>906</v>
      </c>
      <c r="C118" s="386" t="s">
        <v>55</v>
      </c>
      <c r="D118" s="387" t="s">
        <v>907</v>
      </c>
      <c r="E118" s="388">
        <v>2</v>
      </c>
      <c r="F118" s="389"/>
      <c r="G118" s="390">
        <f t="shared" si="4"/>
        <v>0</v>
      </c>
      <c r="H118" s="392"/>
      <c r="I118" s="387"/>
      <c r="J118" s="392"/>
      <c r="K118" s="387" t="s">
        <v>808</v>
      </c>
      <c r="L118" s="392" t="s">
        <v>323</v>
      </c>
      <c r="M118" s="387" t="s">
        <v>323</v>
      </c>
      <c r="N118" s="392"/>
      <c r="O118" s="392"/>
      <c r="P118" s="392" t="s">
        <v>323</v>
      </c>
      <c r="Q118" s="393" t="s">
        <v>418</v>
      </c>
      <c r="R118" s="393" t="s">
        <v>765</v>
      </c>
      <c r="S118" s="394">
        <v>45614</v>
      </c>
      <c r="T118" s="394"/>
      <c r="U118" s="395"/>
      <c r="V118" s="396"/>
      <c r="W118" s="397"/>
      <c r="X118" s="397"/>
      <c r="Y118" s="398" t="s">
        <v>267</v>
      </c>
      <c r="Z118" s="440"/>
      <c r="AA118" s="395"/>
    </row>
    <row r="119" spans="1:27" s="112" customFormat="1" ht="36">
      <c r="A119" s="385">
        <v>107</v>
      </c>
      <c r="B119" s="387" t="s">
        <v>908</v>
      </c>
      <c r="C119" s="386" t="s">
        <v>55</v>
      </c>
      <c r="D119" s="387" t="s">
        <v>909</v>
      </c>
      <c r="E119" s="388">
        <v>4</v>
      </c>
      <c r="F119" s="389"/>
      <c r="G119" s="390">
        <f t="shared" si="4"/>
        <v>0</v>
      </c>
      <c r="H119" s="392"/>
      <c r="I119" s="387"/>
      <c r="J119" s="392"/>
      <c r="K119" s="387" t="s">
        <v>808</v>
      </c>
      <c r="L119" s="392" t="s">
        <v>323</v>
      </c>
      <c r="M119" s="387" t="s">
        <v>323</v>
      </c>
      <c r="N119" s="392"/>
      <c r="O119" s="392"/>
      <c r="P119" s="392" t="s">
        <v>323</v>
      </c>
      <c r="Q119" s="393" t="s">
        <v>418</v>
      </c>
      <c r="R119" s="393" t="s">
        <v>765</v>
      </c>
      <c r="S119" s="394">
        <v>45614</v>
      </c>
      <c r="T119" s="394"/>
      <c r="U119" s="395"/>
      <c r="V119" s="396"/>
      <c r="W119" s="397"/>
      <c r="X119" s="397"/>
      <c r="Y119" s="398" t="s">
        <v>267</v>
      </c>
      <c r="Z119" s="440"/>
      <c r="AA119" s="395"/>
    </row>
    <row r="120" spans="1:27" s="112" customFormat="1" ht="36">
      <c r="A120" s="385">
        <v>108</v>
      </c>
      <c r="B120" s="387" t="s">
        <v>910</v>
      </c>
      <c r="C120" s="386" t="s">
        <v>55</v>
      </c>
      <c r="D120" s="387" t="s">
        <v>911</v>
      </c>
      <c r="E120" s="388">
        <v>4</v>
      </c>
      <c r="F120" s="389"/>
      <c r="G120" s="390">
        <f t="shared" si="4"/>
        <v>0</v>
      </c>
      <c r="H120" s="392"/>
      <c r="I120" s="387"/>
      <c r="J120" s="392"/>
      <c r="K120" s="387" t="s">
        <v>808</v>
      </c>
      <c r="L120" s="392" t="s">
        <v>323</v>
      </c>
      <c r="M120" s="387" t="s">
        <v>323</v>
      </c>
      <c r="N120" s="392"/>
      <c r="O120" s="392"/>
      <c r="P120" s="392" t="s">
        <v>323</v>
      </c>
      <c r="Q120" s="393" t="s">
        <v>418</v>
      </c>
      <c r="R120" s="393" t="s">
        <v>765</v>
      </c>
      <c r="S120" s="394">
        <v>45614</v>
      </c>
      <c r="T120" s="394"/>
      <c r="U120" s="395"/>
      <c r="V120" s="396"/>
      <c r="W120" s="397"/>
      <c r="X120" s="397"/>
      <c r="Y120" s="398" t="s">
        <v>267</v>
      </c>
      <c r="Z120" s="440"/>
      <c r="AA120" s="395"/>
    </row>
    <row r="121" spans="1:27" s="112" customFormat="1" ht="36">
      <c r="A121" s="385">
        <v>109</v>
      </c>
      <c r="B121" s="387" t="s">
        <v>912</v>
      </c>
      <c r="C121" s="386" t="s">
        <v>55</v>
      </c>
      <c r="D121" s="387" t="s">
        <v>913</v>
      </c>
      <c r="E121" s="388">
        <v>2</v>
      </c>
      <c r="F121" s="389"/>
      <c r="G121" s="390">
        <f t="shared" si="4"/>
        <v>0</v>
      </c>
      <c r="H121" s="392"/>
      <c r="I121" s="387"/>
      <c r="J121" s="392"/>
      <c r="K121" s="387" t="s">
        <v>808</v>
      </c>
      <c r="L121" s="392" t="s">
        <v>323</v>
      </c>
      <c r="M121" s="387" t="s">
        <v>323</v>
      </c>
      <c r="N121" s="392"/>
      <c r="O121" s="392"/>
      <c r="P121" s="392" t="s">
        <v>323</v>
      </c>
      <c r="Q121" s="393" t="s">
        <v>418</v>
      </c>
      <c r="R121" s="393" t="s">
        <v>694</v>
      </c>
      <c r="S121" s="394">
        <v>45614</v>
      </c>
      <c r="T121" s="394"/>
      <c r="U121" s="395"/>
      <c r="V121" s="396"/>
      <c r="W121" s="397"/>
      <c r="X121" s="397"/>
      <c r="Y121" s="398" t="s">
        <v>267</v>
      </c>
      <c r="Z121" s="440"/>
      <c r="AA121" s="395"/>
    </row>
    <row r="122" spans="1:27" s="112" customFormat="1" ht="36">
      <c r="A122" s="385">
        <v>110</v>
      </c>
      <c r="B122" s="387" t="s">
        <v>914</v>
      </c>
      <c r="C122" s="386" t="s">
        <v>55</v>
      </c>
      <c r="D122" s="387" t="s">
        <v>915</v>
      </c>
      <c r="E122" s="388">
        <v>1</v>
      </c>
      <c r="F122" s="389"/>
      <c r="G122" s="390">
        <f t="shared" si="4"/>
        <v>0</v>
      </c>
      <c r="H122" s="392"/>
      <c r="I122" s="387"/>
      <c r="J122" s="392"/>
      <c r="K122" s="387" t="s">
        <v>808</v>
      </c>
      <c r="L122" s="392" t="s">
        <v>323</v>
      </c>
      <c r="M122" s="387" t="s">
        <v>323</v>
      </c>
      <c r="N122" s="392"/>
      <c r="O122" s="392"/>
      <c r="P122" s="392" t="s">
        <v>323</v>
      </c>
      <c r="Q122" s="393" t="s">
        <v>418</v>
      </c>
      <c r="R122" s="393" t="s">
        <v>671</v>
      </c>
      <c r="S122" s="394">
        <v>45616</v>
      </c>
      <c r="T122" s="394"/>
      <c r="U122" s="395"/>
      <c r="V122" s="396"/>
      <c r="W122" s="397"/>
      <c r="X122" s="397"/>
      <c r="Y122" s="398" t="s">
        <v>267</v>
      </c>
      <c r="Z122" s="440"/>
      <c r="AA122" s="395"/>
    </row>
    <row r="123" spans="1:27" s="112" customFormat="1" ht="36">
      <c r="A123" s="385">
        <v>111</v>
      </c>
      <c r="B123" s="387" t="s">
        <v>916</v>
      </c>
      <c r="C123" s="386" t="s">
        <v>55</v>
      </c>
      <c r="D123" s="387" t="s">
        <v>917</v>
      </c>
      <c r="E123" s="388">
        <v>1</v>
      </c>
      <c r="F123" s="389"/>
      <c r="G123" s="390">
        <f t="shared" si="4"/>
        <v>0</v>
      </c>
      <c r="H123" s="392"/>
      <c r="I123" s="387"/>
      <c r="J123" s="392"/>
      <c r="K123" s="387" t="s">
        <v>808</v>
      </c>
      <c r="L123" s="392" t="s">
        <v>323</v>
      </c>
      <c r="M123" s="387" t="s">
        <v>323</v>
      </c>
      <c r="N123" s="392"/>
      <c r="O123" s="392"/>
      <c r="P123" s="392" t="s">
        <v>323</v>
      </c>
      <c r="Q123" s="393" t="s">
        <v>418</v>
      </c>
      <c r="R123" s="393" t="s">
        <v>671</v>
      </c>
      <c r="S123" s="394">
        <v>45616</v>
      </c>
      <c r="T123" s="394"/>
      <c r="U123" s="395"/>
      <c r="V123" s="396"/>
      <c r="W123" s="397"/>
      <c r="X123" s="397"/>
      <c r="Y123" s="398" t="s">
        <v>267</v>
      </c>
      <c r="Z123" s="440"/>
      <c r="AA123" s="395"/>
    </row>
    <row r="124" spans="1:27" s="112" customFormat="1" ht="36">
      <c r="A124" s="385">
        <v>112</v>
      </c>
      <c r="B124" s="387" t="s">
        <v>806</v>
      </c>
      <c r="C124" s="386" t="s">
        <v>55</v>
      </c>
      <c r="D124" s="387" t="s">
        <v>807</v>
      </c>
      <c r="E124" s="388">
        <v>1</v>
      </c>
      <c r="F124" s="389"/>
      <c r="G124" s="390">
        <f t="shared" si="4"/>
        <v>0</v>
      </c>
      <c r="H124" s="392"/>
      <c r="I124" s="387"/>
      <c r="J124" s="392"/>
      <c r="K124" s="387" t="s">
        <v>808</v>
      </c>
      <c r="L124" s="392" t="s">
        <v>323</v>
      </c>
      <c r="M124" s="387" t="s">
        <v>323</v>
      </c>
      <c r="N124" s="392"/>
      <c r="O124" s="392"/>
      <c r="P124" s="392" t="s">
        <v>323</v>
      </c>
      <c r="Q124" s="393" t="s">
        <v>418</v>
      </c>
      <c r="R124" s="393" t="s">
        <v>686</v>
      </c>
      <c r="S124" s="394">
        <v>45611</v>
      </c>
      <c r="T124" s="394"/>
      <c r="U124" s="395"/>
      <c r="V124" s="396"/>
      <c r="W124" s="397"/>
      <c r="X124" s="397"/>
      <c r="Y124" s="398" t="s">
        <v>267</v>
      </c>
      <c r="Z124" s="440"/>
      <c r="AA124" s="395"/>
    </row>
    <row r="125" spans="1:27" s="112" customFormat="1" ht="36">
      <c r="A125" s="385">
        <v>113</v>
      </c>
      <c r="B125" s="387" t="s">
        <v>918</v>
      </c>
      <c r="C125" s="386" t="s">
        <v>55</v>
      </c>
      <c r="D125" s="387" t="s">
        <v>919</v>
      </c>
      <c r="E125" s="388">
        <v>3</v>
      </c>
      <c r="F125" s="389"/>
      <c r="G125" s="390">
        <f t="shared" si="4"/>
        <v>0</v>
      </c>
      <c r="H125" s="392"/>
      <c r="I125" s="387"/>
      <c r="J125" s="392"/>
      <c r="K125" s="387" t="s">
        <v>808</v>
      </c>
      <c r="L125" s="392" t="s">
        <v>323</v>
      </c>
      <c r="M125" s="387" t="s">
        <v>323</v>
      </c>
      <c r="N125" s="392"/>
      <c r="O125" s="392"/>
      <c r="P125" s="392" t="s">
        <v>323</v>
      </c>
      <c r="Q125" s="393" t="s">
        <v>418</v>
      </c>
      <c r="R125" s="393" t="s">
        <v>686</v>
      </c>
      <c r="S125" s="394">
        <v>45611</v>
      </c>
      <c r="T125" s="394"/>
      <c r="U125" s="395"/>
      <c r="V125" s="396"/>
      <c r="W125" s="397"/>
      <c r="X125" s="397"/>
      <c r="Y125" s="398" t="s">
        <v>267</v>
      </c>
      <c r="Z125" s="440"/>
      <c r="AA125" s="395"/>
    </row>
    <row r="126" spans="1:27" s="112" customFormat="1" ht="36">
      <c r="A126" s="385">
        <v>114</v>
      </c>
      <c r="B126" s="387" t="s">
        <v>920</v>
      </c>
      <c r="C126" s="386" t="s">
        <v>55</v>
      </c>
      <c r="D126" s="387" t="s">
        <v>921</v>
      </c>
      <c r="E126" s="388">
        <v>1</v>
      </c>
      <c r="F126" s="389"/>
      <c r="G126" s="390">
        <f t="shared" si="4"/>
        <v>0</v>
      </c>
      <c r="H126" s="392"/>
      <c r="I126" s="387"/>
      <c r="J126" s="392"/>
      <c r="K126" s="387" t="s">
        <v>808</v>
      </c>
      <c r="L126" s="392" t="s">
        <v>323</v>
      </c>
      <c r="M126" s="387" t="s">
        <v>323</v>
      </c>
      <c r="N126" s="392"/>
      <c r="O126" s="392"/>
      <c r="P126" s="392" t="s">
        <v>323</v>
      </c>
      <c r="Q126" s="393" t="s">
        <v>418</v>
      </c>
      <c r="R126" s="393" t="s">
        <v>130</v>
      </c>
      <c r="S126" s="394">
        <v>45611</v>
      </c>
      <c r="T126" s="394"/>
      <c r="U126" s="395"/>
      <c r="V126" s="396"/>
      <c r="W126" s="397"/>
      <c r="X126" s="397"/>
      <c r="Y126" s="398" t="s">
        <v>267</v>
      </c>
      <c r="Z126" s="440"/>
      <c r="AA126" s="395"/>
    </row>
    <row r="127" spans="1:27" s="112" customFormat="1" ht="36">
      <c r="A127" s="385">
        <v>115</v>
      </c>
      <c r="B127" s="387" t="s">
        <v>922</v>
      </c>
      <c r="C127" s="386" t="s">
        <v>55</v>
      </c>
      <c r="D127" s="387" t="s">
        <v>923</v>
      </c>
      <c r="E127" s="388">
        <v>7</v>
      </c>
      <c r="F127" s="389"/>
      <c r="G127" s="390">
        <f t="shared" si="4"/>
        <v>0</v>
      </c>
      <c r="H127" s="392"/>
      <c r="I127" s="387"/>
      <c r="J127" s="392"/>
      <c r="K127" s="387" t="s">
        <v>808</v>
      </c>
      <c r="L127" s="392" t="s">
        <v>323</v>
      </c>
      <c r="M127" s="387" t="s">
        <v>323</v>
      </c>
      <c r="N127" s="392"/>
      <c r="O127" s="392"/>
      <c r="P127" s="392" t="s">
        <v>323</v>
      </c>
      <c r="Q127" s="393" t="s">
        <v>418</v>
      </c>
      <c r="R127" s="393" t="s">
        <v>765</v>
      </c>
      <c r="S127" s="394">
        <v>45611</v>
      </c>
      <c r="T127" s="394"/>
      <c r="U127" s="395"/>
      <c r="V127" s="396"/>
      <c r="W127" s="397"/>
      <c r="X127" s="397"/>
      <c r="Y127" s="398" t="s">
        <v>267</v>
      </c>
      <c r="Z127" s="440"/>
      <c r="AA127" s="395"/>
    </row>
    <row r="128" spans="1:27" s="112" customFormat="1" ht="36">
      <c r="A128" s="385">
        <v>116</v>
      </c>
      <c r="B128" s="387" t="s">
        <v>924</v>
      </c>
      <c r="C128" s="386" t="s">
        <v>55</v>
      </c>
      <c r="D128" s="387" t="s">
        <v>925</v>
      </c>
      <c r="E128" s="388">
        <v>7</v>
      </c>
      <c r="F128" s="389"/>
      <c r="G128" s="390">
        <f t="shared" si="4"/>
        <v>0</v>
      </c>
      <c r="H128" s="392"/>
      <c r="I128" s="387"/>
      <c r="J128" s="392"/>
      <c r="K128" s="387" t="s">
        <v>808</v>
      </c>
      <c r="L128" s="392" t="s">
        <v>323</v>
      </c>
      <c r="M128" s="387" t="s">
        <v>323</v>
      </c>
      <c r="N128" s="392"/>
      <c r="O128" s="392"/>
      <c r="P128" s="392" t="s">
        <v>323</v>
      </c>
      <c r="Q128" s="393" t="s">
        <v>418</v>
      </c>
      <c r="R128" s="393" t="s">
        <v>671</v>
      </c>
      <c r="S128" s="394">
        <v>45611</v>
      </c>
      <c r="T128" s="394"/>
      <c r="U128" s="395"/>
      <c r="V128" s="396"/>
      <c r="W128" s="397"/>
      <c r="X128" s="397"/>
      <c r="Y128" s="398" t="s">
        <v>267</v>
      </c>
      <c r="Z128" s="440"/>
      <c r="AA128" s="395"/>
    </row>
    <row r="129" spans="1:27" s="112" customFormat="1" ht="36">
      <c r="A129" s="385">
        <v>117</v>
      </c>
      <c r="B129" s="387" t="s">
        <v>926</v>
      </c>
      <c r="C129" s="386" t="s">
        <v>55</v>
      </c>
      <c r="D129" s="387" t="s">
        <v>927</v>
      </c>
      <c r="E129" s="388">
        <v>7</v>
      </c>
      <c r="F129" s="389"/>
      <c r="G129" s="390">
        <f t="shared" si="4"/>
        <v>0</v>
      </c>
      <c r="H129" s="392"/>
      <c r="I129" s="387"/>
      <c r="J129" s="392"/>
      <c r="K129" s="387" t="s">
        <v>808</v>
      </c>
      <c r="L129" s="392" t="s">
        <v>323</v>
      </c>
      <c r="M129" s="387" t="s">
        <v>323</v>
      </c>
      <c r="N129" s="392"/>
      <c r="O129" s="392"/>
      <c r="P129" s="392" t="s">
        <v>323</v>
      </c>
      <c r="Q129" s="393" t="s">
        <v>418</v>
      </c>
      <c r="R129" s="393" t="s">
        <v>694</v>
      </c>
      <c r="S129" s="394">
        <v>45611</v>
      </c>
      <c r="T129" s="394"/>
      <c r="U129" s="395"/>
      <c r="V129" s="396"/>
      <c r="W129" s="397"/>
      <c r="X129" s="397"/>
      <c r="Y129" s="398" t="s">
        <v>267</v>
      </c>
      <c r="Z129" s="440"/>
      <c r="AA129" s="395"/>
    </row>
    <row r="130" spans="1:27" s="112" customFormat="1" ht="36">
      <c r="A130" s="385">
        <v>118</v>
      </c>
      <c r="B130" s="387" t="s">
        <v>928</v>
      </c>
      <c r="C130" s="386" t="s">
        <v>55</v>
      </c>
      <c r="D130" s="387" t="s">
        <v>929</v>
      </c>
      <c r="E130" s="388">
        <v>1</v>
      </c>
      <c r="F130" s="389"/>
      <c r="G130" s="390">
        <f t="shared" si="4"/>
        <v>0</v>
      </c>
      <c r="H130" s="392"/>
      <c r="I130" s="387"/>
      <c r="J130" s="392"/>
      <c r="K130" s="387" t="s">
        <v>808</v>
      </c>
      <c r="L130" s="392" t="s">
        <v>323</v>
      </c>
      <c r="M130" s="387" t="s">
        <v>323</v>
      </c>
      <c r="N130" s="392"/>
      <c r="O130" s="392"/>
      <c r="P130" s="392" t="s">
        <v>323</v>
      </c>
      <c r="Q130" s="393" t="s">
        <v>418</v>
      </c>
      <c r="R130" s="393" t="s">
        <v>154</v>
      </c>
      <c r="S130" s="394">
        <v>45611</v>
      </c>
      <c r="T130" s="394"/>
      <c r="U130" s="395"/>
      <c r="V130" s="396"/>
      <c r="W130" s="397"/>
      <c r="X130" s="397"/>
      <c r="Y130" s="398" t="s">
        <v>267</v>
      </c>
      <c r="Z130" s="440"/>
      <c r="AA130" s="395"/>
    </row>
    <row r="131" spans="1:27" s="112" customFormat="1" ht="36">
      <c r="A131" s="385">
        <v>119</v>
      </c>
      <c r="B131" s="387" t="s">
        <v>930</v>
      </c>
      <c r="C131" s="386" t="s">
        <v>55</v>
      </c>
      <c r="D131" s="387" t="s">
        <v>931</v>
      </c>
      <c r="E131" s="388">
        <v>1</v>
      </c>
      <c r="F131" s="389"/>
      <c r="G131" s="390">
        <f t="shared" si="4"/>
        <v>0</v>
      </c>
      <c r="H131" s="392"/>
      <c r="I131" s="387"/>
      <c r="J131" s="392"/>
      <c r="K131" s="387" t="s">
        <v>808</v>
      </c>
      <c r="L131" s="392" t="s">
        <v>323</v>
      </c>
      <c r="M131" s="387" t="s">
        <v>323</v>
      </c>
      <c r="N131" s="392"/>
      <c r="O131" s="392"/>
      <c r="P131" s="392" t="s">
        <v>323</v>
      </c>
      <c r="Q131" s="393" t="s">
        <v>418</v>
      </c>
      <c r="R131" s="393" t="s">
        <v>765</v>
      </c>
      <c r="S131" s="394">
        <v>45611</v>
      </c>
      <c r="T131" s="394"/>
      <c r="U131" s="395"/>
      <c r="V131" s="396"/>
      <c r="W131" s="397"/>
      <c r="X131" s="397"/>
      <c r="Y131" s="398" t="s">
        <v>267</v>
      </c>
      <c r="Z131" s="440"/>
      <c r="AA131" s="395"/>
    </row>
    <row r="132" spans="1:27" s="112" customFormat="1" ht="36">
      <c r="A132" s="385">
        <v>120</v>
      </c>
      <c r="B132" s="387" t="s">
        <v>932</v>
      </c>
      <c r="C132" s="386" t="s">
        <v>55</v>
      </c>
      <c r="D132" s="387" t="s">
        <v>933</v>
      </c>
      <c r="E132" s="388">
        <v>1</v>
      </c>
      <c r="F132" s="389"/>
      <c r="G132" s="390">
        <f t="shared" si="4"/>
        <v>0</v>
      </c>
      <c r="H132" s="392"/>
      <c r="I132" s="387"/>
      <c r="J132" s="392"/>
      <c r="K132" s="387" t="s">
        <v>808</v>
      </c>
      <c r="L132" s="392" t="s">
        <v>323</v>
      </c>
      <c r="M132" s="387" t="s">
        <v>323</v>
      </c>
      <c r="N132" s="392"/>
      <c r="O132" s="392"/>
      <c r="P132" s="392" t="s">
        <v>323</v>
      </c>
      <c r="Q132" s="393" t="s">
        <v>418</v>
      </c>
      <c r="R132" s="393" t="s">
        <v>686</v>
      </c>
      <c r="S132" s="394">
        <v>45611</v>
      </c>
      <c r="T132" s="394"/>
      <c r="U132" s="395"/>
      <c r="V132" s="396"/>
      <c r="W132" s="397"/>
      <c r="X132" s="397"/>
      <c r="Y132" s="398" t="s">
        <v>267</v>
      </c>
      <c r="Z132" s="440"/>
      <c r="AA132" s="395"/>
    </row>
    <row r="133" spans="1:27" s="112" customFormat="1" ht="36">
      <c r="A133" s="385">
        <v>121</v>
      </c>
      <c r="B133" s="387" t="s">
        <v>934</v>
      </c>
      <c r="C133" s="386" t="s">
        <v>55</v>
      </c>
      <c r="D133" s="387" t="s">
        <v>935</v>
      </c>
      <c r="E133" s="388">
        <v>2</v>
      </c>
      <c r="F133" s="389"/>
      <c r="G133" s="390">
        <f t="shared" si="4"/>
        <v>0</v>
      </c>
      <c r="H133" s="392"/>
      <c r="I133" s="387"/>
      <c r="J133" s="392"/>
      <c r="K133" s="387" t="s">
        <v>808</v>
      </c>
      <c r="L133" s="392" t="s">
        <v>323</v>
      </c>
      <c r="M133" s="387" t="s">
        <v>323</v>
      </c>
      <c r="N133" s="392"/>
      <c r="O133" s="392"/>
      <c r="P133" s="392" t="s">
        <v>323</v>
      </c>
      <c r="Q133" s="393" t="s">
        <v>418</v>
      </c>
      <c r="R133" s="393" t="s">
        <v>694</v>
      </c>
      <c r="S133" s="394">
        <v>45614</v>
      </c>
      <c r="T133" s="394"/>
      <c r="U133" s="395"/>
      <c r="V133" s="396"/>
      <c r="W133" s="397"/>
      <c r="X133" s="397"/>
      <c r="Y133" s="398" t="s">
        <v>267</v>
      </c>
      <c r="Z133" s="440"/>
      <c r="AA133" s="395"/>
    </row>
    <row r="134" spans="1:27" s="112" customFormat="1" ht="36">
      <c r="A134" s="385">
        <v>122</v>
      </c>
      <c r="B134" s="387" t="s">
        <v>936</v>
      </c>
      <c r="C134" s="386" t="s">
        <v>55</v>
      </c>
      <c r="D134" s="387" t="s">
        <v>937</v>
      </c>
      <c r="E134" s="388">
        <v>2</v>
      </c>
      <c r="F134" s="389"/>
      <c r="G134" s="390">
        <f t="shared" si="4"/>
        <v>0</v>
      </c>
      <c r="H134" s="392"/>
      <c r="I134" s="387"/>
      <c r="J134" s="392"/>
      <c r="K134" s="387" t="s">
        <v>808</v>
      </c>
      <c r="L134" s="392" t="s">
        <v>323</v>
      </c>
      <c r="M134" s="387" t="s">
        <v>323</v>
      </c>
      <c r="N134" s="392"/>
      <c r="O134" s="392"/>
      <c r="P134" s="392" t="s">
        <v>323</v>
      </c>
      <c r="Q134" s="393" t="s">
        <v>418</v>
      </c>
      <c r="R134" s="393" t="s">
        <v>694</v>
      </c>
      <c r="S134" s="394">
        <v>45614</v>
      </c>
      <c r="T134" s="394"/>
      <c r="U134" s="395"/>
      <c r="V134" s="396"/>
      <c r="W134" s="397"/>
      <c r="X134" s="397"/>
      <c r="Y134" s="398" t="s">
        <v>267</v>
      </c>
      <c r="Z134" s="440"/>
      <c r="AA134" s="395"/>
    </row>
    <row r="135" spans="1:27" s="112" customFormat="1" ht="36">
      <c r="A135" s="385">
        <v>123</v>
      </c>
      <c r="B135" s="387" t="s">
        <v>938</v>
      </c>
      <c r="C135" s="386" t="s">
        <v>55</v>
      </c>
      <c r="D135" s="387" t="s">
        <v>939</v>
      </c>
      <c r="E135" s="388">
        <v>1</v>
      </c>
      <c r="F135" s="389"/>
      <c r="G135" s="390">
        <f t="shared" si="4"/>
        <v>0</v>
      </c>
      <c r="H135" s="392"/>
      <c r="I135" s="387"/>
      <c r="J135" s="392"/>
      <c r="K135" s="387" t="s">
        <v>808</v>
      </c>
      <c r="L135" s="392" t="s">
        <v>323</v>
      </c>
      <c r="M135" s="387" t="s">
        <v>323</v>
      </c>
      <c r="N135" s="392"/>
      <c r="O135" s="392"/>
      <c r="P135" s="392" t="s">
        <v>323</v>
      </c>
      <c r="Q135" s="393" t="s">
        <v>418</v>
      </c>
      <c r="R135" s="393" t="s">
        <v>694</v>
      </c>
      <c r="S135" s="394">
        <v>45614</v>
      </c>
      <c r="T135" s="394"/>
      <c r="U135" s="395"/>
      <c r="V135" s="396"/>
      <c r="W135" s="397"/>
      <c r="X135" s="397"/>
      <c r="Y135" s="398" t="s">
        <v>267</v>
      </c>
      <c r="Z135" s="440"/>
      <c r="AA135" s="395"/>
    </row>
    <row r="136" spans="1:27" s="112" customFormat="1" ht="36">
      <c r="A136" s="385">
        <v>124</v>
      </c>
      <c r="B136" s="387" t="s">
        <v>940</v>
      </c>
      <c r="C136" s="386" t="s">
        <v>55</v>
      </c>
      <c r="D136" s="387" t="s">
        <v>941</v>
      </c>
      <c r="E136" s="388">
        <v>1</v>
      </c>
      <c r="F136" s="389"/>
      <c r="G136" s="390">
        <f t="shared" ref="G136:G149" si="5">E136*F136</f>
        <v>0</v>
      </c>
      <c r="H136" s="392"/>
      <c r="I136" s="387"/>
      <c r="J136" s="392"/>
      <c r="K136" s="387" t="s">
        <v>942</v>
      </c>
      <c r="L136" s="392" t="s">
        <v>323</v>
      </c>
      <c r="M136" s="387" t="s">
        <v>323</v>
      </c>
      <c r="N136" s="392"/>
      <c r="O136" s="392"/>
      <c r="P136" s="392" t="s">
        <v>323</v>
      </c>
      <c r="Q136" s="393" t="s">
        <v>418</v>
      </c>
      <c r="R136" s="393" t="s">
        <v>130</v>
      </c>
      <c r="S136" s="394">
        <v>45611</v>
      </c>
      <c r="T136" s="394"/>
      <c r="U136" s="395"/>
      <c r="V136" s="396"/>
      <c r="W136" s="397"/>
      <c r="X136" s="397"/>
      <c r="Y136" s="398" t="s">
        <v>267</v>
      </c>
      <c r="Z136" s="440"/>
      <c r="AA136" s="395"/>
    </row>
    <row r="137" spans="1:27" s="112" customFormat="1" ht="36">
      <c r="A137" s="385">
        <v>125</v>
      </c>
      <c r="B137" s="387" t="s">
        <v>943</v>
      </c>
      <c r="C137" s="386" t="s">
        <v>55</v>
      </c>
      <c r="D137" s="387" t="s">
        <v>944</v>
      </c>
      <c r="E137" s="388">
        <v>1</v>
      </c>
      <c r="F137" s="389"/>
      <c r="G137" s="390">
        <f t="shared" si="5"/>
        <v>0</v>
      </c>
      <c r="H137" s="392"/>
      <c r="I137" s="387"/>
      <c r="J137" s="392"/>
      <c r="K137" s="387" t="s">
        <v>942</v>
      </c>
      <c r="L137" s="392" t="s">
        <v>323</v>
      </c>
      <c r="M137" s="387" t="s">
        <v>323</v>
      </c>
      <c r="N137" s="392"/>
      <c r="O137" s="392"/>
      <c r="P137" s="392" t="s">
        <v>323</v>
      </c>
      <c r="Q137" s="393" t="s">
        <v>418</v>
      </c>
      <c r="R137" s="393" t="s">
        <v>671</v>
      </c>
      <c r="S137" s="394">
        <v>45616</v>
      </c>
      <c r="T137" s="394"/>
      <c r="U137" s="395"/>
      <c r="V137" s="396"/>
      <c r="W137" s="397"/>
      <c r="X137" s="397"/>
      <c r="Y137" s="398" t="s">
        <v>267</v>
      </c>
      <c r="Z137" s="440"/>
      <c r="AA137" s="395"/>
    </row>
    <row r="138" spans="1:27" s="112" customFormat="1" ht="36">
      <c r="A138" s="385">
        <v>126</v>
      </c>
      <c r="B138" s="387" t="s">
        <v>945</v>
      </c>
      <c r="C138" s="386" t="s">
        <v>55</v>
      </c>
      <c r="D138" s="387" t="s">
        <v>946</v>
      </c>
      <c r="E138" s="388">
        <v>1</v>
      </c>
      <c r="F138" s="389"/>
      <c r="G138" s="390">
        <f t="shared" si="5"/>
        <v>0</v>
      </c>
      <c r="H138" s="392"/>
      <c r="I138" s="387"/>
      <c r="J138" s="392"/>
      <c r="K138" s="387" t="s">
        <v>947</v>
      </c>
      <c r="L138" s="392" t="s">
        <v>323</v>
      </c>
      <c r="M138" s="387" t="s">
        <v>323</v>
      </c>
      <c r="N138" s="392"/>
      <c r="O138" s="392"/>
      <c r="P138" s="392" t="s">
        <v>323</v>
      </c>
      <c r="Q138" s="393" t="s">
        <v>418</v>
      </c>
      <c r="R138" s="393" t="s">
        <v>671</v>
      </c>
      <c r="S138" s="394">
        <v>45616</v>
      </c>
      <c r="T138" s="394"/>
      <c r="U138" s="395"/>
      <c r="V138" s="396"/>
      <c r="W138" s="397"/>
      <c r="X138" s="397"/>
      <c r="Y138" s="398" t="s">
        <v>267</v>
      </c>
      <c r="Z138" s="440"/>
      <c r="AA138" s="395"/>
    </row>
    <row r="139" spans="1:27" s="112" customFormat="1" ht="36">
      <c r="A139" s="385">
        <v>127</v>
      </c>
      <c r="B139" s="387" t="s">
        <v>948</v>
      </c>
      <c r="C139" s="386" t="s">
        <v>55</v>
      </c>
      <c r="D139" s="387" t="s">
        <v>949</v>
      </c>
      <c r="E139" s="388">
        <v>1</v>
      </c>
      <c r="F139" s="389"/>
      <c r="G139" s="390">
        <f t="shared" si="5"/>
        <v>0</v>
      </c>
      <c r="H139" s="392"/>
      <c r="I139" s="387"/>
      <c r="J139" s="392"/>
      <c r="K139" s="387" t="s">
        <v>942</v>
      </c>
      <c r="L139" s="392" t="s">
        <v>323</v>
      </c>
      <c r="M139" s="387" t="s">
        <v>323</v>
      </c>
      <c r="N139" s="392"/>
      <c r="O139" s="392"/>
      <c r="P139" s="392" t="s">
        <v>323</v>
      </c>
      <c r="Q139" s="393" t="s">
        <v>418</v>
      </c>
      <c r="R139" s="393" t="s">
        <v>671</v>
      </c>
      <c r="S139" s="394">
        <v>45616</v>
      </c>
      <c r="T139" s="394"/>
      <c r="U139" s="395"/>
      <c r="V139" s="396"/>
      <c r="W139" s="397"/>
      <c r="X139" s="397"/>
      <c r="Y139" s="398" t="s">
        <v>267</v>
      </c>
      <c r="Z139" s="440"/>
      <c r="AA139" s="395"/>
    </row>
    <row r="140" spans="1:27" s="112" customFormat="1" ht="36">
      <c r="A140" s="385">
        <v>128</v>
      </c>
      <c r="B140" s="387" t="s">
        <v>950</v>
      </c>
      <c r="C140" s="386" t="s">
        <v>55</v>
      </c>
      <c r="D140" s="387" t="s">
        <v>951</v>
      </c>
      <c r="E140" s="388">
        <v>1</v>
      </c>
      <c r="F140" s="389"/>
      <c r="G140" s="390">
        <f t="shared" si="5"/>
        <v>0</v>
      </c>
      <c r="H140" s="392"/>
      <c r="I140" s="387"/>
      <c r="J140" s="392"/>
      <c r="K140" s="387" t="s">
        <v>942</v>
      </c>
      <c r="L140" s="392" t="s">
        <v>323</v>
      </c>
      <c r="M140" s="387" t="s">
        <v>323</v>
      </c>
      <c r="N140" s="392"/>
      <c r="O140" s="392"/>
      <c r="P140" s="392" t="s">
        <v>323</v>
      </c>
      <c r="Q140" s="393" t="s">
        <v>418</v>
      </c>
      <c r="R140" s="393"/>
      <c r="S140" s="394"/>
      <c r="T140" s="394"/>
      <c r="U140" s="395"/>
      <c r="V140" s="396"/>
      <c r="W140" s="397"/>
      <c r="X140" s="397"/>
      <c r="Y140" s="398" t="s">
        <v>267</v>
      </c>
      <c r="Z140" s="440"/>
      <c r="AA140" s="395"/>
    </row>
    <row r="141" spans="1:27" s="112" customFormat="1" ht="36">
      <c r="A141" s="385">
        <v>129</v>
      </c>
      <c r="B141" s="387" t="s">
        <v>952</v>
      </c>
      <c r="C141" s="386" t="s">
        <v>55</v>
      </c>
      <c r="D141" s="387" t="s">
        <v>953</v>
      </c>
      <c r="E141" s="388">
        <v>1</v>
      </c>
      <c r="F141" s="389"/>
      <c r="G141" s="390">
        <f t="shared" si="5"/>
        <v>0</v>
      </c>
      <c r="H141" s="392"/>
      <c r="I141" s="387"/>
      <c r="J141" s="392"/>
      <c r="K141" s="387" t="s">
        <v>942</v>
      </c>
      <c r="L141" s="392" t="s">
        <v>323</v>
      </c>
      <c r="M141" s="387" t="s">
        <v>323</v>
      </c>
      <c r="N141" s="392"/>
      <c r="O141" s="392"/>
      <c r="P141" s="392" t="s">
        <v>323</v>
      </c>
      <c r="Q141" s="393" t="s">
        <v>418</v>
      </c>
      <c r="R141" s="393"/>
      <c r="S141" s="394"/>
      <c r="T141" s="394" t="s">
        <v>954</v>
      </c>
      <c r="U141" s="395"/>
      <c r="V141" s="396"/>
      <c r="W141" s="397"/>
      <c r="X141" s="397"/>
      <c r="Y141" s="398" t="s">
        <v>267</v>
      </c>
      <c r="Z141" s="440"/>
      <c r="AA141" s="395">
        <v>1</v>
      </c>
    </row>
    <row r="142" spans="1:27" s="112" customFormat="1" ht="36">
      <c r="A142" s="385">
        <v>130</v>
      </c>
      <c r="B142" s="387" t="s">
        <v>955</v>
      </c>
      <c r="C142" s="386" t="s">
        <v>55</v>
      </c>
      <c r="D142" s="387" t="s">
        <v>956</v>
      </c>
      <c r="E142" s="388">
        <v>1</v>
      </c>
      <c r="F142" s="389"/>
      <c r="G142" s="390">
        <f t="shared" si="5"/>
        <v>0</v>
      </c>
      <c r="H142" s="392"/>
      <c r="I142" s="387"/>
      <c r="J142" s="392"/>
      <c r="K142" s="387" t="s">
        <v>942</v>
      </c>
      <c r="L142" s="392" t="s">
        <v>323</v>
      </c>
      <c r="M142" s="387" t="s">
        <v>323</v>
      </c>
      <c r="N142" s="392"/>
      <c r="O142" s="392"/>
      <c r="P142" s="392" t="s">
        <v>323</v>
      </c>
      <c r="Q142" s="393" t="s">
        <v>418</v>
      </c>
      <c r="R142" s="393"/>
      <c r="S142" s="394"/>
      <c r="T142" s="394"/>
      <c r="U142" s="395"/>
      <c r="V142" s="396"/>
      <c r="W142" s="397"/>
      <c r="X142" s="397"/>
      <c r="Y142" s="398" t="s">
        <v>267</v>
      </c>
      <c r="Z142" s="440"/>
      <c r="AA142" s="395"/>
    </row>
    <row r="143" spans="1:27" s="112" customFormat="1" ht="36">
      <c r="A143" s="385">
        <v>131</v>
      </c>
      <c r="B143" s="387" t="s">
        <v>957</v>
      </c>
      <c r="C143" s="386" t="s">
        <v>55</v>
      </c>
      <c r="D143" s="387" t="s">
        <v>958</v>
      </c>
      <c r="E143" s="388">
        <v>1</v>
      </c>
      <c r="F143" s="389"/>
      <c r="G143" s="390">
        <f t="shared" si="5"/>
        <v>0</v>
      </c>
      <c r="H143" s="392"/>
      <c r="I143" s="387"/>
      <c r="J143" s="392"/>
      <c r="K143" s="387" t="s">
        <v>942</v>
      </c>
      <c r="L143" s="392" t="s">
        <v>323</v>
      </c>
      <c r="M143" s="387" t="s">
        <v>323</v>
      </c>
      <c r="N143" s="392"/>
      <c r="O143" s="392"/>
      <c r="P143" s="392" t="s">
        <v>323</v>
      </c>
      <c r="Q143" s="393" t="s">
        <v>418</v>
      </c>
      <c r="R143" s="393"/>
      <c r="S143" s="394"/>
      <c r="T143" s="394" t="s">
        <v>954</v>
      </c>
      <c r="U143" s="395"/>
      <c r="V143" s="396"/>
      <c r="W143" s="397"/>
      <c r="X143" s="397"/>
      <c r="Y143" s="398" t="s">
        <v>267</v>
      </c>
      <c r="Z143" s="440"/>
      <c r="AA143" s="395">
        <v>1</v>
      </c>
    </row>
    <row r="144" spans="1:27" s="112" customFormat="1" ht="36">
      <c r="A144" s="385">
        <v>132</v>
      </c>
      <c r="B144" s="387" t="s">
        <v>959</v>
      </c>
      <c r="C144" s="386" t="s">
        <v>55</v>
      </c>
      <c r="D144" s="387" t="s">
        <v>960</v>
      </c>
      <c r="E144" s="388">
        <v>1</v>
      </c>
      <c r="F144" s="389"/>
      <c r="G144" s="390">
        <f t="shared" si="5"/>
        <v>0</v>
      </c>
      <c r="H144" s="392"/>
      <c r="I144" s="387"/>
      <c r="J144" s="392"/>
      <c r="K144" s="387" t="s">
        <v>942</v>
      </c>
      <c r="L144" s="392" t="s">
        <v>323</v>
      </c>
      <c r="M144" s="387" t="s">
        <v>323</v>
      </c>
      <c r="N144" s="392"/>
      <c r="O144" s="392"/>
      <c r="P144" s="392" t="s">
        <v>323</v>
      </c>
      <c r="Q144" s="393" t="s">
        <v>418</v>
      </c>
      <c r="R144" s="393"/>
      <c r="S144" s="394"/>
      <c r="T144" s="394"/>
      <c r="U144" s="395"/>
      <c r="V144" s="396"/>
      <c r="W144" s="397"/>
      <c r="X144" s="397"/>
      <c r="Y144" s="398" t="s">
        <v>267</v>
      </c>
      <c r="Z144" s="440"/>
      <c r="AA144" s="395"/>
    </row>
    <row r="145" spans="1:27" s="112" customFormat="1" ht="36">
      <c r="A145" s="385">
        <v>133</v>
      </c>
      <c r="B145" s="387" t="s">
        <v>961</v>
      </c>
      <c r="C145" s="386" t="s">
        <v>55</v>
      </c>
      <c r="D145" s="387" t="s">
        <v>962</v>
      </c>
      <c r="E145" s="388">
        <v>1</v>
      </c>
      <c r="F145" s="389"/>
      <c r="G145" s="390">
        <f t="shared" si="5"/>
        <v>0</v>
      </c>
      <c r="H145" s="392"/>
      <c r="I145" s="387"/>
      <c r="J145" s="392"/>
      <c r="K145" s="387" t="s">
        <v>942</v>
      </c>
      <c r="L145" s="392" t="s">
        <v>323</v>
      </c>
      <c r="M145" s="387" t="s">
        <v>323</v>
      </c>
      <c r="N145" s="392"/>
      <c r="O145" s="392"/>
      <c r="P145" s="392" t="s">
        <v>323</v>
      </c>
      <c r="Q145" s="393" t="s">
        <v>418</v>
      </c>
      <c r="R145" s="393"/>
      <c r="S145" s="394"/>
      <c r="T145" s="394"/>
      <c r="U145" s="395"/>
      <c r="V145" s="396"/>
      <c r="W145" s="397"/>
      <c r="X145" s="397"/>
      <c r="Y145" s="398" t="s">
        <v>267</v>
      </c>
      <c r="Z145" s="440"/>
      <c r="AA145" s="395"/>
    </row>
    <row r="146" spans="1:27" s="112" customFormat="1" ht="36">
      <c r="A146" s="385">
        <v>134</v>
      </c>
      <c r="B146" s="387" t="s">
        <v>963</v>
      </c>
      <c r="C146" s="386" t="s">
        <v>55</v>
      </c>
      <c r="D146" s="387" t="s">
        <v>964</v>
      </c>
      <c r="E146" s="388">
        <v>1</v>
      </c>
      <c r="F146" s="389"/>
      <c r="G146" s="390">
        <f t="shared" si="5"/>
        <v>0</v>
      </c>
      <c r="H146" s="392"/>
      <c r="I146" s="387"/>
      <c r="J146" s="392"/>
      <c r="K146" s="387" t="s">
        <v>942</v>
      </c>
      <c r="L146" s="392" t="s">
        <v>323</v>
      </c>
      <c r="M146" s="387" t="s">
        <v>323</v>
      </c>
      <c r="N146" s="392"/>
      <c r="O146" s="392"/>
      <c r="P146" s="392" t="s">
        <v>323</v>
      </c>
      <c r="Q146" s="393" t="s">
        <v>418</v>
      </c>
      <c r="R146" s="393"/>
      <c r="S146" s="394"/>
      <c r="T146" s="394"/>
      <c r="U146" s="395"/>
      <c r="V146" s="396"/>
      <c r="W146" s="397"/>
      <c r="X146" s="397"/>
      <c r="Y146" s="398" t="s">
        <v>267</v>
      </c>
      <c r="Z146" s="440"/>
      <c r="AA146" s="395"/>
    </row>
    <row r="147" spans="1:27" s="112" customFormat="1" ht="36">
      <c r="A147" s="385">
        <v>135</v>
      </c>
      <c r="B147" s="387" t="s">
        <v>965</v>
      </c>
      <c r="C147" s="386" t="s">
        <v>55</v>
      </c>
      <c r="D147" s="387" t="s">
        <v>966</v>
      </c>
      <c r="E147" s="388">
        <v>1</v>
      </c>
      <c r="F147" s="389"/>
      <c r="G147" s="390">
        <f t="shared" si="5"/>
        <v>0</v>
      </c>
      <c r="H147" s="392"/>
      <c r="I147" s="387"/>
      <c r="J147" s="392"/>
      <c r="K147" s="387" t="s">
        <v>942</v>
      </c>
      <c r="L147" s="392" t="s">
        <v>323</v>
      </c>
      <c r="M147" s="387" t="s">
        <v>323</v>
      </c>
      <c r="N147" s="392"/>
      <c r="O147" s="392"/>
      <c r="P147" s="392" t="s">
        <v>323</v>
      </c>
      <c r="Q147" s="393" t="s">
        <v>418</v>
      </c>
      <c r="R147" s="393"/>
      <c r="S147" s="394"/>
      <c r="T147" s="394"/>
      <c r="U147" s="395"/>
      <c r="V147" s="396"/>
      <c r="W147" s="397"/>
      <c r="X147" s="397"/>
      <c r="Y147" s="398" t="s">
        <v>267</v>
      </c>
      <c r="Z147" s="440"/>
      <c r="AA147" s="395"/>
    </row>
    <row r="148" spans="1:27" s="112" customFormat="1" ht="36">
      <c r="A148" s="385">
        <v>136</v>
      </c>
      <c r="B148" s="387" t="s">
        <v>967</v>
      </c>
      <c r="C148" s="386" t="s">
        <v>55</v>
      </c>
      <c r="D148" s="387" t="s">
        <v>968</v>
      </c>
      <c r="E148" s="388">
        <v>1</v>
      </c>
      <c r="F148" s="389"/>
      <c r="G148" s="390">
        <f t="shared" si="5"/>
        <v>0</v>
      </c>
      <c r="H148" s="392"/>
      <c r="I148" s="387"/>
      <c r="J148" s="392"/>
      <c r="K148" s="387" t="s">
        <v>942</v>
      </c>
      <c r="L148" s="392" t="s">
        <v>323</v>
      </c>
      <c r="M148" s="387" t="s">
        <v>323</v>
      </c>
      <c r="N148" s="392"/>
      <c r="O148" s="392"/>
      <c r="P148" s="392" t="s">
        <v>323</v>
      </c>
      <c r="Q148" s="393" t="s">
        <v>418</v>
      </c>
      <c r="R148" s="393"/>
      <c r="S148" s="394"/>
      <c r="T148" s="394"/>
      <c r="U148" s="395"/>
      <c r="V148" s="396"/>
      <c r="W148" s="397"/>
      <c r="X148" s="397"/>
      <c r="Y148" s="398" t="s">
        <v>267</v>
      </c>
      <c r="Z148" s="440"/>
      <c r="AA148" s="395"/>
    </row>
    <row r="149" spans="1:27" s="112" customFormat="1" ht="36">
      <c r="A149" s="385">
        <v>137</v>
      </c>
      <c r="B149" s="387" t="s">
        <v>969</v>
      </c>
      <c r="C149" s="386" t="s">
        <v>55</v>
      </c>
      <c r="D149" s="387" t="s">
        <v>970</v>
      </c>
      <c r="E149" s="388">
        <v>1</v>
      </c>
      <c r="F149" s="389"/>
      <c r="G149" s="390">
        <f t="shared" si="5"/>
        <v>0</v>
      </c>
      <c r="H149" s="392"/>
      <c r="I149" s="387"/>
      <c r="J149" s="392"/>
      <c r="K149" s="387" t="s">
        <v>942</v>
      </c>
      <c r="L149" s="392" t="s">
        <v>323</v>
      </c>
      <c r="M149" s="387" t="s">
        <v>323</v>
      </c>
      <c r="N149" s="392"/>
      <c r="O149" s="392"/>
      <c r="P149" s="392" t="s">
        <v>323</v>
      </c>
      <c r="Q149" s="393" t="s">
        <v>418</v>
      </c>
      <c r="R149" s="393"/>
      <c r="S149" s="394"/>
      <c r="T149" s="394" t="s">
        <v>954</v>
      </c>
      <c r="U149" s="395"/>
      <c r="V149" s="396"/>
      <c r="W149" s="397"/>
      <c r="X149" s="397"/>
      <c r="Y149" s="398" t="s">
        <v>267</v>
      </c>
      <c r="Z149" s="440"/>
      <c r="AA149" s="395">
        <v>1</v>
      </c>
    </row>
    <row r="150" spans="1:27" s="112" customFormat="1" ht="36">
      <c r="A150" s="385">
        <v>138</v>
      </c>
      <c r="B150" s="387" t="s">
        <v>971</v>
      </c>
      <c r="C150" s="386" t="s">
        <v>55</v>
      </c>
      <c r="D150" s="387" t="s">
        <v>972</v>
      </c>
      <c r="E150" s="388">
        <v>1</v>
      </c>
      <c r="F150" s="389"/>
      <c r="G150" s="390">
        <f>E150*F150</f>
        <v>0</v>
      </c>
      <c r="H150" s="392"/>
      <c r="I150" s="387"/>
      <c r="J150" s="392"/>
      <c r="K150" s="387" t="s">
        <v>942</v>
      </c>
      <c r="L150" s="392" t="s">
        <v>323</v>
      </c>
      <c r="M150" s="387" t="s">
        <v>323</v>
      </c>
      <c r="N150" s="392"/>
      <c r="O150" s="392"/>
      <c r="P150" s="392" t="s">
        <v>323</v>
      </c>
      <c r="Q150" s="393" t="s">
        <v>418</v>
      </c>
      <c r="R150" s="393"/>
      <c r="S150" s="394"/>
      <c r="T150" s="394"/>
      <c r="U150" s="395"/>
      <c r="V150" s="396"/>
      <c r="W150" s="397"/>
      <c r="X150" s="397"/>
      <c r="Y150" s="398" t="s">
        <v>267</v>
      </c>
      <c r="Z150" s="440"/>
      <c r="AA150" s="395"/>
    </row>
    <row r="151" spans="1:27" s="112" customFormat="1" ht="36">
      <c r="A151" s="385">
        <v>139</v>
      </c>
      <c r="B151" s="387" t="s">
        <v>973</v>
      </c>
      <c r="C151" s="386" t="s">
        <v>55</v>
      </c>
      <c r="D151" s="387" t="s">
        <v>974</v>
      </c>
      <c r="E151" s="388">
        <v>1</v>
      </c>
      <c r="F151" s="389"/>
      <c r="G151" s="390">
        <f>E151*F151</f>
        <v>0</v>
      </c>
      <c r="H151" s="392"/>
      <c r="I151" s="387"/>
      <c r="J151" s="392"/>
      <c r="K151" s="387" t="s">
        <v>942</v>
      </c>
      <c r="L151" s="392" t="s">
        <v>323</v>
      </c>
      <c r="M151" s="387" t="s">
        <v>323</v>
      </c>
      <c r="N151" s="392"/>
      <c r="O151" s="392"/>
      <c r="P151" s="392" t="s">
        <v>323</v>
      </c>
      <c r="Q151" s="393" t="s">
        <v>418</v>
      </c>
      <c r="R151" s="393"/>
      <c r="S151" s="394"/>
      <c r="T151" s="394"/>
      <c r="U151" s="395"/>
      <c r="V151" s="396"/>
      <c r="W151" s="397"/>
      <c r="X151" s="397"/>
      <c r="Y151" s="398" t="s">
        <v>267</v>
      </c>
      <c r="Z151" s="440"/>
      <c r="AA151" s="395"/>
    </row>
    <row r="152" spans="1:27">
      <c r="A152" s="367"/>
      <c r="B152" s="368" t="s">
        <v>568</v>
      </c>
      <c r="C152" s="369"/>
      <c r="D152" s="370"/>
      <c r="E152" s="371"/>
      <c r="F152" s="372"/>
      <c r="G152" s="373">
        <f t="shared" si="3"/>
        <v>0</v>
      </c>
      <c r="H152" s="383"/>
      <c r="I152" s="370"/>
      <c r="J152" s="383"/>
      <c r="K152" s="370"/>
      <c r="L152" s="375"/>
      <c r="M152" s="370"/>
      <c r="N152" s="375"/>
      <c r="O152" s="375"/>
      <c r="P152" s="375"/>
      <c r="Q152" s="376"/>
      <c r="R152" s="376"/>
      <c r="S152" s="377"/>
      <c r="T152" s="377"/>
      <c r="U152" s="378"/>
      <c r="V152" s="379"/>
      <c r="W152" s="380"/>
      <c r="X152" s="380"/>
      <c r="Y152" s="381"/>
      <c r="Z152" s="382"/>
      <c r="AA152" s="474"/>
    </row>
  </sheetData>
  <sheetProtection password="83EF" sheet="1" objects="1" scenarios="1" formatColumns="0" autoFilter="0"/>
  <mergeCells count="2">
    <mergeCell ref="A1:B1"/>
    <mergeCell ref="A2:B2"/>
  </mergeCells>
  <pageMargins left="0.23622047244094491" right="0.23622047244094491" top="0.74803149606299213" bottom="0.74803149606299213" header="0.31496062992125984" footer="0.31496062992125984"/>
  <pageSetup paperSize="9" scale="61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FabParts_Button1_Click">
                <anchor>
                  <from>
                    <xdr:col>1</xdr:col>
                    <xdr:colOff>885825</xdr:colOff>
                    <xdr:row>1</xdr:row>
                    <xdr:rowOff>9525</xdr:rowOff>
                  </from>
                  <to>
                    <xdr:col>1</xdr:col>
                    <xdr:colOff>2314575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A145"/>
  <sheetViews>
    <sheetView tabSelected="1" zoomScale="80" zoomScaleNormal="80" workbookViewId="0">
      <selection sqref="A1:B1"/>
    </sheetView>
  </sheetViews>
  <sheetFormatPr defaultColWidth="9" defaultRowHeight="18"/>
  <cols>
    <col min="1" max="1" width="8.59765625" style="79" customWidth="1"/>
    <col min="2" max="2" width="116.33203125" style="14" bestFit="1" customWidth="1"/>
    <col min="3" max="3" width="15.796875" style="14" bestFit="1" customWidth="1"/>
    <col min="4" max="4" width="25.59765625" style="14" customWidth="1"/>
    <col min="5" max="5" width="10.73046875" style="14" bestFit="1" customWidth="1"/>
    <col min="6" max="6" width="20.73046875" style="65" hidden="1" customWidth="1"/>
    <col min="7" max="7" width="29.73046875" style="48" hidden="1" customWidth="1"/>
    <col min="8" max="8" width="35.73046875" style="41" hidden="1" customWidth="1"/>
    <col min="9" max="9" width="15" style="14" hidden="1" customWidth="1"/>
    <col min="10" max="10" width="41.73046875" style="41" hidden="1" customWidth="1"/>
    <col min="11" max="11" width="14.73046875" style="14" hidden="1" customWidth="1"/>
    <col min="12" max="12" width="41.265625" style="41" hidden="1" customWidth="1"/>
    <col min="13" max="13" width="11.59765625" style="14" hidden="1" customWidth="1"/>
    <col min="14" max="14" width="40" style="41" hidden="1" customWidth="1"/>
    <col min="15" max="15" width="46.265625" style="41" hidden="1" customWidth="1"/>
    <col min="16" max="16" width="21.265625" style="41" hidden="1" customWidth="1"/>
    <col min="17" max="17" width="18" style="14" bestFit="1" customWidth="1"/>
    <col min="18" max="18" width="47.73046875" style="66" bestFit="1" customWidth="1"/>
    <col min="19" max="19" width="13" style="99" bestFit="1" customWidth="1"/>
    <col min="20" max="20" width="36.33203125" style="99" bestFit="1" customWidth="1"/>
    <col min="21" max="21" width="30.265625" style="90" hidden="1" customWidth="1"/>
    <col min="22" max="22" width="0.265625" style="91" hidden="1" customWidth="1"/>
    <col min="23" max="23" width="16.73046875" style="90" bestFit="1" customWidth="1"/>
    <col min="24" max="24" width="19.6640625" style="100" bestFit="1" customWidth="1"/>
    <col min="25" max="25" width="17.1328125" style="90" bestFit="1" customWidth="1"/>
    <col min="26" max="26" width="17.1328125" style="90" customWidth="1"/>
    <col min="27" max="43" width="9" style="14" customWidth="1"/>
    <col min="44" max="16384" width="9" style="14"/>
  </cols>
  <sheetData>
    <row r="1" spans="1:27" ht="19.5" customHeight="1">
      <c r="A1" s="512" t="s">
        <v>0</v>
      </c>
      <c r="B1" s="512"/>
      <c r="C1" s="35"/>
      <c r="D1" s="36" t="s">
        <v>227</v>
      </c>
      <c r="E1" s="37"/>
      <c r="F1" s="38"/>
      <c r="G1" s="39"/>
      <c r="H1" s="40"/>
      <c r="K1" s="42"/>
      <c r="L1" s="40"/>
      <c r="M1" s="42"/>
      <c r="N1" s="40"/>
      <c r="O1" s="40"/>
      <c r="P1" s="40"/>
      <c r="Q1" s="43"/>
      <c r="R1" s="43"/>
      <c r="S1" s="89"/>
      <c r="T1" s="89"/>
      <c r="Z1" s="93"/>
    </row>
    <row r="2" spans="1:27" ht="19.5" customHeight="1">
      <c r="A2" s="512" t="s">
        <v>1</v>
      </c>
      <c r="B2" s="512"/>
      <c r="C2" s="44"/>
      <c r="D2" s="36" t="s">
        <v>228</v>
      </c>
      <c r="E2" s="37"/>
      <c r="F2" s="38"/>
      <c r="G2" s="39"/>
      <c r="H2" s="40"/>
      <c r="K2" s="42"/>
      <c r="L2" s="40"/>
      <c r="M2" s="42"/>
      <c r="N2" s="40"/>
      <c r="O2" s="40"/>
      <c r="P2" s="40"/>
      <c r="Q2" s="43"/>
      <c r="R2" s="43"/>
      <c r="S2" s="89"/>
      <c r="T2" s="89"/>
      <c r="Z2" s="93"/>
    </row>
    <row r="3" spans="1:27">
      <c r="A3" s="67"/>
      <c r="B3" s="46"/>
      <c r="C3" s="47"/>
      <c r="D3" s="36" t="s">
        <v>229</v>
      </c>
      <c r="E3" s="37"/>
      <c r="F3" s="38"/>
      <c r="H3" s="40"/>
      <c r="K3" s="42"/>
      <c r="L3" s="40"/>
      <c r="M3" s="42"/>
      <c r="N3" s="40"/>
      <c r="O3" s="40"/>
      <c r="P3" s="40"/>
      <c r="Q3" s="43"/>
      <c r="R3" s="43"/>
      <c r="S3" s="89"/>
      <c r="T3" s="89"/>
      <c r="Z3" s="93"/>
    </row>
    <row r="4" spans="1:27" ht="19.5" customHeight="1">
      <c r="A4" s="513" t="s">
        <v>230</v>
      </c>
      <c r="B4" s="513"/>
      <c r="C4" s="50"/>
      <c r="D4" s="46" t="s">
        <v>231</v>
      </c>
      <c r="E4" s="37"/>
      <c r="F4" s="38"/>
      <c r="G4" s="39"/>
      <c r="H4" s="40"/>
      <c r="K4" s="42"/>
      <c r="L4" s="40"/>
      <c r="M4" s="42"/>
      <c r="N4" s="40"/>
      <c r="O4" s="40"/>
      <c r="P4" s="40"/>
      <c r="Q4" s="43"/>
      <c r="R4" s="43"/>
      <c r="S4" s="89"/>
      <c r="T4" s="89"/>
      <c r="Z4" s="93"/>
    </row>
    <row r="5" spans="1:27">
      <c r="A5" s="68"/>
      <c r="B5" s="37"/>
      <c r="C5" s="69"/>
      <c r="D5" s="46" t="s">
        <v>232</v>
      </c>
      <c r="E5" s="37"/>
      <c r="F5" s="38"/>
      <c r="G5" s="39"/>
      <c r="H5" s="40"/>
      <c r="K5" s="42"/>
      <c r="L5" s="40"/>
      <c r="M5" s="42"/>
      <c r="N5" s="40"/>
      <c r="O5" s="40"/>
      <c r="P5" s="40"/>
      <c r="Q5" s="43"/>
      <c r="R5" s="43"/>
      <c r="S5" s="89"/>
      <c r="T5" s="89"/>
      <c r="Z5" s="93"/>
    </row>
    <row r="6" spans="1:27">
      <c r="A6" s="68"/>
      <c r="B6" s="37"/>
      <c r="C6" s="53"/>
      <c r="D6" s="46" t="s">
        <v>233</v>
      </c>
      <c r="E6" s="37"/>
      <c r="F6" s="38" t="s">
        <v>234</v>
      </c>
      <c r="G6" s="39"/>
      <c r="H6" s="40"/>
      <c r="I6" s="42"/>
      <c r="J6" s="40"/>
      <c r="K6" s="42"/>
      <c r="L6" s="40"/>
      <c r="M6" s="42"/>
      <c r="N6" s="40"/>
      <c r="O6" s="40"/>
      <c r="P6" s="40"/>
      <c r="Q6" s="43"/>
      <c r="R6" s="43"/>
      <c r="S6" s="89"/>
      <c r="T6" s="89"/>
      <c r="Z6" s="93"/>
    </row>
    <row r="7" spans="1:27">
      <c r="A7" s="68"/>
      <c r="B7" s="37"/>
      <c r="C7" s="54"/>
      <c r="D7" s="46" t="s">
        <v>235</v>
      </c>
      <c r="E7" s="37"/>
      <c r="F7" s="38"/>
      <c r="G7" s="39"/>
      <c r="H7" s="40"/>
      <c r="I7" s="42"/>
      <c r="J7" s="40"/>
      <c r="K7" s="42"/>
      <c r="L7" s="40"/>
      <c r="M7" s="42"/>
      <c r="N7" s="40"/>
      <c r="O7" s="40"/>
      <c r="P7" s="40"/>
      <c r="Q7" s="43"/>
      <c r="R7" s="43"/>
      <c r="S7" s="89"/>
      <c r="T7" s="89"/>
      <c r="Z7" s="93"/>
    </row>
    <row r="8" spans="1:27">
      <c r="A8" s="70"/>
      <c r="B8" s="37"/>
      <c r="C8" s="37"/>
      <c r="D8" s="37"/>
      <c r="E8" s="37"/>
      <c r="F8" s="38"/>
      <c r="G8" s="39"/>
      <c r="H8" s="40"/>
      <c r="I8" s="42"/>
      <c r="J8" s="40"/>
      <c r="K8" s="42"/>
      <c r="L8" s="40"/>
      <c r="M8" s="42"/>
      <c r="N8" s="40"/>
      <c r="O8" s="40"/>
      <c r="P8" s="40"/>
      <c r="Q8" s="43"/>
      <c r="R8" s="43"/>
      <c r="S8" s="89"/>
      <c r="T8" s="89"/>
      <c r="Z8" s="93"/>
    </row>
    <row r="9" spans="1:27" ht="47.25" customHeight="1">
      <c r="A9" s="71" t="s">
        <v>111</v>
      </c>
      <c r="B9" s="56" t="s">
        <v>236</v>
      </c>
      <c r="C9" s="56" t="s">
        <v>237</v>
      </c>
      <c r="D9" s="56" t="s">
        <v>238</v>
      </c>
      <c r="E9" s="56" t="s">
        <v>239</v>
      </c>
      <c r="F9" s="57" t="s">
        <v>240</v>
      </c>
      <c r="G9" s="58" t="s">
        <v>241</v>
      </c>
      <c r="H9" s="59" t="s">
        <v>242</v>
      </c>
      <c r="I9" s="60" t="s">
        <v>243</v>
      </c>
      <c r="J9" s="59" t="s">
        <v>244</v>
      </c>
      <c r="K9" s="60" t="s">
        <v>245</v>
      </c>
      <c r="L9" s="59" t="s">
        <v>246</v>
      </c>
      <c r="M9" s="60" t="s">
        <v>247</v>
      </c>
      <c r="N9" s="59" t="s">
        <v>248</v>
      </c>
      <c r="O9" s="59" t="s">
        <v>249</v>
      </c>
      <c r="P9" s="59" t="s">
        <v>250</v>
      </c>
      <c r="Q9" s="61" t="s">
        <v>251</v>
      </c>
      <c r="R9" s="61" t="s">
        <v>252</v>
      </c>
      <c r="S9" s="95" t="s">
        <v>223</v>
      </c>
      <c r="T9" s="104" t="s">
        <v>253</v>
      </c>
      <c r="U9" s="105" t="s">
        <v>254</v>
      </c>
      <c r="V9" s="106" t="s">
        <v>255</v>
      </c>
      <c r="W9" s="105" t="s">
        <v>256</v>
      </c>
      <c r="X9" s="110" t="s">
        <v>257</v>
      </c>
      <c r="Y9" s="108" t="s">
        <v>258</v>
      </c>
      <c r="Z9" s="109" t="s">
        <v>259</v>
      </c>
      <c r="AA9" s="109" t="s">
        <v>225</v>
      </c>
    </row>
    <row r="10" spans="1:27">
      <c r="A10" s="367"/>
      <c r="B10" s="368" t="s">
        <v>260</v>
      </c>
      <c r="C10" s="369"/>
      <c r="D10" s="370"/>
      <c r="E10" s="371"/>
      <c r="F10" s="372"/>
      <c r="G10" s="373">
        <f>E10*F10</f>
        <v>0</v>
      </c>
      <c r="H10" s="374"/>
      <c r="I10" s="370"/>
      <c r="J10" s="374"/>
      <c r="K10" s="370"/>
      <c r="L10" s="375"/>
      <c r="M10" s="370"/>
      <c r="N10" s="375"/>
      <c r="O10" s="375"/>
      <c r="P10" s="375"/>
      <c r="Q10" s="376"/>
      <c r="R10" s="376"/>
      <c r="S10" s="377"/>
      <c r="T10" s="377"/>
      <c r="U10" s="378"/>
      <c r="V10" s="379"/>
      <c r="W10" s="380"/>
      <c r="X10" s="380"/>
      <c r="Y10" s="381"/>
      <c r="Z10" s="382"/>
      <c r="AA10" s="436"/>
    </row>
    <row r="11" spans="1:27">
      <c r="A11" s="367"/>
      <c r="B11" s="368" t="s">
        <v>261</v>
      </c>
      <c r="C11" s="369"/>
      <c r="D11" s="370"/>
      <c r="E11" s="371"/>
      <c r="F11" s="372"/>
      <c r="G11" s="373">
        <f>E11*F11</f>
        <v>0</v>
      </c>
      <c r="H11" s="374"/>
      <c r="I11" s="370"/>
      <c r="J11" s="374"/>
      <c r="K11" s="370"/>
      <c r="L11" s="375"/>
      <c r="M11" s="370"/>
      <c r="N11" s="375"/>
      <c r="O11" s="375"/>
      <c r="P11" s="375"/>
      <c r="Q11" s="376"/>
      <c r="R11" s="376"/>
      <c r="S11" s="377"/>
      <c r="T11" s="377"/>
      <c r="U11" s="378"/>
      <c r="V11" s="379"/>
      <c r="W11" s="380"/>
      <c r="X11" s="380"/>
      <c r="Y11" s="381"/>
      <c r="Z11" s="382"/>
      <c r="AA11" s="436"/>
    </row>
    <row r="12" spans="1:27">
      <c r="A12" s="367"/>
      <c r="B12" s="368" t="s">
        <v>262</v>
      </c>
      <c r="C12" s="369"/>
      <c r="D12" s="370"/>
      <c r="E12" s="371"/>
      <c r="F12" s="372"/>
      <c r="G12" s="373">
        <f>E12*F12</f>
        <v>0</v>
      </c>
      <c r="H12" s="374"/>
      <c r="I12" s="370"/>
      <c r="J12" s="374"/>
      <c r="K12" s="370"/>
      <c r="L12" s="375"/>
      <c r="M12" s="370"/>
      <c r="N12" s="375"/>
      <c r="O12" s="375"/>
      <c r="P12" s="375"/>
      <c r="Q12" s="376"/>
      <c r="R12" s="376"/>
      <c r="S12" s="377"/>
      <c r="T12" s="377"/>
      <c r="U12" s="378"/>
      <c r="V12" s="379"/>
      <c r="W12" s="380"/>
      <c r="X12" s="380"/>
      <c r="Y12" s="381"/>
      <c r="Z12" s="382"/>
      <c r="AA12" s="436"/>
    </row>
    <row r="13" spans="1:27" s="112" customFormat="1">
      <c r="A13" s="421">
        <v>1</v>
      </c>
      <c r="B13" s="422" t="s">
        <v>263</v>
      </c>
      <c r="C13" s="423" t="s">
        <v>55</v>
      </c>
      <c r="D13" s="422" t="s">
        <v>264</v>
      </c>
      <c r="E13" s="424">
        <v>1</v>
      </c>
      <c r="F13" s="425"/>
      <c r="G13" s="426">
        <f t="shared" ref="G13:G44" si="0">E13*F13</f>
        <v>0</v>
      </c>
      <c r="H13" s="427"/>
      <c r="I13" s="422"/>
      <c r="J13" s="427"/>
      <c r="K13" s="422"/>
      <c r="L13" s="428"/>
      <c r="M13" s="422"/>
      <c r="N13" s="428"/>
      <c r="O13" s="428"/>
      <c r="P13" s="428"/>
      <c r="Q13" s="429" t="s">
        <v>265</v>
      </c>
      <c r="R13" s="429"/>
      <c r="S13" s="430"/>
      <c r="T13" s="430"/>
      <c r="U13" s="431"/>
      <c r="V13" s="432"/>
      <c r="W13" s="433" t="s">
        <v>266</v>
      </c>
      <c r="X13" s="433">
        <v>45582</v>
      </c>
      <c r="Y13" s="434" t="s">
        <v>267</v>
      </c>
      <c r="Z13" s="435"/>
      <c r="AA13" s="437"/>
    </row>
    <row r="14" spans="1:27" s="112" customFormat="1" ht="36">
      <c r="A14" s="421">
        <v>2</v>
      </c>
      <c r="B14" s="422" t="s">
        <v>268</v>
      </c>
      <c r="C14" s="423" t="s">
        <v>55</v>
      </c>
      <c r="D14" s="422" t="s">
        <v>269</v>
      </c>
      <c r="E14" s="424">
        <v>1</v>
      </c>
      <c r="F14" s="425"/>
      <c r="G14" s="426">
        <f t="shared" si="0"/>
        <v>0</v>
      </c>
      <c r="H14" s="427"/>
      <c r="I14" s="422"/>
      <c r="J14" s="427"/>
      <c r="K14" s="422" t="s">
        <v>270</v>
      </c>
      <c r="L14" s="428" t="s">
        <v>271</v>
      </c>
      <c r="M14" s="422" t="s">
        <v>272</v>
      </c>
      <c r="N14" s="428"/>
      <c r="O14" s="428"/>
      <c r="P14" s="428" t="s">
        <v>273</v>
      </c>
      <c r="Q14" s="429" t="s">
        <v>265</v>
      </c>
      <c r="R14" s="429" t="s">
        <v>157</v>
      </c>
      <c r="S14" s="430" t="s">
        <v>274</v>
      </c>
      <c r="T14" s="430"/>
      <c r="U14" s="431"/>
      <c r="V14" s="432"/>
      <c r="W14" s="433" t="s">
        <v>266</v>
      </c>
      <c r="X14" s="433">
        <v>45587</v>
      </c>
      <c r="Y14" s="434" t="s">
        <v>267</v>
      </c>
      <c r="Z14" s="435"/>
      <c r="AA14" s="437"/>
    </row>
    <row r="15" spans="1:27" s="112" customFormat="1" ht="36">
      <c r="A15" s="421">
        <v>3</v>
      </c>
      <c r="B15" s="422" t="s">
        <v>275</v>
      </c>
      <c r="C15" s="423" t="s">
        <v>55</v>
      </c>
      <c r="D15" s="422" t="s">
        <v>276</v>
      </c>
      <c r="E15" s="424">
        <v>1</v>
      </c>
      <c r="F15" s="425"/>
      <c r="G15" s="426">
        <f t="shared" si="0"/>
        <v>0</v>
      </c>
      <c r="H15" s="427"/>
      <c r="I15" s="422"/>
      <c r="J15" s="427"/>
      <c r="K15" s="422" t="s">
        <v>277</v>
      </c>
      <c r="L15" s="428" t="s">
        <v>278</v>
      </c>
      <c r="M15" s="422" t="s">
        <v>279</v>
      </c>
      <c r="N15" s="428"/>
      <c r="O15" s="428"/>
      <c r="P15" s="428" t="s">
        <v>280</v>
      </c>
      <c r="Q15" s="429" t="s">
        <v>265</v>
      </c>
      <c r="R15" s="429" t="s">
        <v>143</v>
      </c>
      <c r="S15" s="430" t="s">
        <v>281</v>
      </c>
      <c r="T15" s="430"/>
      <c r="U15" s="431"/>
      <c r="V15" s="432"/>
      <c r="W15" s="433" t="s">
        <v>266</v>
      </c>
      <c r="X15" s="433">
        <v>45604</v>
      </c>
      <c r="Y15" s="434" t="s">
        <v>267</v>
      </c>
      <c r="Z15" s="435"/>
      <c r="AA15" s="437"/>
    </row>
    <row r="16" spans="1:27" s="112" customFormat="1" ht="36">
      <c r="A16" s="421">
        <v>4</v>
      </c>
      <c r="B16" s="422" t="s">
        <v>282</v>
      </c>
      <c r="C16" s="423" t="s">
        <v>55</v>
      </c>
      <c r="D16" s="422" t="s">
        <v>283</v>
      </c>
      <c r="E16" s="424">
        <v>2</v>
      </c>
      <c r="F16" s="425"/>
      <c r="G16" s="426">
        <f t="shared" si="0"/>
        <v>0</v>
      </c>
      <c r="H16" s="427"/>
      <c r="I16" s="422"/>
      <c r="J16" s="427"/>
      <c r="K16" s="422" t="s">
        <v>270</v>
      </c>
      <c r="L16" s="428" t="s">
        <v>271</v>
      </c>
      <c r="M16" s="422" t="s">
        <v>284</v>
      </c>
      <c r="N16" s="428"/>
      <c r="O16" s="428"/>
      <c r="P16" s="428" t="s">
        <v>273</v>
      </c>
      <c r="Q16" s="429" t="s">
        <v>265</v>
      </c>
      <c r="R16" s="429" t="s">
        <v>143</v>
      </c>
      <c r="S16" s="430" t="s">
        <v>285</v>
      </c>
      <c r="T16" s="430"/>
      <c r="U16" s="431"/>
      <c r="V16" s="432"/>
      <c r="W16" s="433" t="s">
        <v>266</v>
      </c>
      <c r="X16" s="433">
        <v>45604</v>
      </c>
      <c r="Y16" s="434" t="s">
        <v>267</v>
      </c>
      <c r="Z16" s="435"/>
      <c r="AA16" s="437"/>
    </row>
    <row r="17" spans="1:27" s="112" customFormat="1" ht="36">
      <c r="A17" s="421">
        <v>5</v>
      </c>
      <c r="B17" s="422" t="s">
        <v>286</v>
      </c>
      <c r="C17" s="423" t="s">
        <v>55</v>
      </c>
      <c r="D17" s="422" t="s">
        <v>287</v>
      </c>
      <c r="E17" s="424">
        <v>2</v>
      </c>
      <c r="F17" s="425"/>
      <c r="G17" s="426">
        <f t="shared" si="0"/>
        <v>0</v>
      </c>
      <c r="H17" s="427"/>
      <c r="I17" s="422"/>
      <c r="J17" s="427"/>
      <c r="K17" s="422" t="s">
        <v>270</v>
      </c>
      <c r="L17" s="428" t="s">
        <v>271</v>
      </c>
      <c r="M17" s="422" t="s">
        <v>284</v>
      </c>
      <c r="N17" s="428"/>
      <c r="O17" s="428"/>
      <c r="P17" s="428" t="s">
        <v>273</v>
      </c>
      <c r="Q17" s="429" t="s">
        <v>265</v>
      </c>
      <c r="R17" s="429" t="s">
        <v>143</v>
      </c>
      <c r="S17" s="430" t="s">
        <v>285</v>
      </c>
      <c r="T17" s="430"/>
      <c r="U17" s="431"/>
      <c r="V17" s="432"/>
      <c r="W17" s="433" t="s">
        <v>266</v>
      </c>
      <c r="X17" s="433">
        <v>45604</v>
      </c>
      <c r="Y17" s="434" t="s">
        <v>267</v>
      </c>
      <c r="Z17" s="435"/>
      <c r="AA17" s="437"/>
    </row>
    <row r="18" spans="1:27" s="112" customFormat="1" ht="36">
      <c r="A18" s="421">
        <v>6</v>
      </c>
      <c r="B18" s="422" t="s">
        <v>288</v>
      </c>
      <c r="C18" s="423" t="s">
        <v>55</v>
      </c>
      <c r="D18" s="422" t="s">
        <v>289</v>
      </c>
      <c r="E18" s="424">
        <v>1</v>
      </c>
      <c r="F18" s="425"/>
      <c r="G18" s="426">
        <f t="shared" si="0"/>
        <v>0</v>
      </c>
      <c r="H18" s="427"/>
      <c r="I18" s="422"/>
      <c r="J18" s="427"/>
      <c r="K18" s="422" t="s">
        <v>270</v>
      </c>
      <c r="L18" s="428" t="s">
        <v>271</v>
      </c>
      <c r="M18" s="422" t="s">
        <v>272</v>
      </c>
      <c r="N18" s="428"/>
      <c r="O18" s="428"/>
      <c r="P18" s="428" t="s">
        <v>273</v>
      </c>
      <c r="Q18" s="429" t="s">
        <v>265</v>
      </c>
      <c r="R18" s="429" t="s">
        <v>157</v>
      </c>
      <c r="S18" s="430" t="s">
        <v>274</v>
      </c>
      <c r="T18" s="430"/>
      <c r="U18" s="431"/>
      <c r="V18" s="432"/>
      <c r="W18" s="433" t="s">
        <v>266</v>
      </c>
      <c r="X18" s="433">
        <v>45587</v>
      </c>
      <c r="Y18" s="434" t="s">
        <v>267</v>
      </c>
      <c r="Z18" s="435"/>
      <c r="AA18" s="437"/>
    </row>
    <row r="19" spans="1:27" s="112" customFormat="1" ht="36">
      <c r="A19" s="421">
        <v>7</v>
      </c>
      <c r="B19" s="422" t="s">
        <v>290</v>
      </c>
      <c r="C19" s="423" t="s">
        <v>55</v>
      </c>
      <c r="D19" s="422" t="s">
        <v>291</v>
      </c>
      <c r="E19" s="424">
        <v>1</v>
      </c>
      <c r="F19" s="425"/>
      <c r="G19" s="426">
        <f t="shared" si="0"/>
        <v>0</v>
      </c>
      <c r="H19" s="427"/>
      <c r="I19" s="422"/>
      <c r="J19" s="427"/>
      <c r="K19" s="422" t="s">
        <v>270</v>
      </c>
      <c r="L19" s="428" t="s">
        <v>271</v>
      </c>
      <c r="M19" s="422" t="s">
        <v>292</v>
      </c>
      <c r="N19" s="428"/>
      <c r="O19" s="428"/>
      <c r="P19" s="428" t="s">
        <v>273</v>
      </c>
      <c r="Q19" s="429" t="s">
        <v>293</v>
      </c>
      <c r="R19" s="429" t="s">
        <v>294</v>
      </c>
      <c r="S19" s="430" t="s">
        <v>281</v>
      </c>
      <c r="T19" s="430" t="s">
        <v>596</v>
      </c>
      <c r="U19" s="431"/>
      <c r="V19" s="432"/>
      <c r="W19" s="433" t="s">
        <v>266</v>
      </c>
      <c r="X19" s="433">
        <v>45609</v>
      </c>
      <c r="Y19" s="434" t="s">
        <v>267</v>
      </c>
      <c r="Z19" s="435"/>
      <c r="AA19" s="437"/>
    </row>
    <row r="20" spans="1:27" s="112" customFormat="1" ht="36">
      <c r="A20" s="421">
        <v>8</v>
      </c>
      <c r="B20" s="422" t="s">
        <v>295</v>
      </c>
      <c r="C20" s="423" t="s">
        <v>55</v>
      </c>
      <c r="D20" s="422" t="s">
        <v>296</v>
      </c>
      <c r="E20" s="424">
        <v>1</v>
      </c>
      <c r="F20" s="425"/>
      <c r="G20" s="426">
        <f t="shared" si="0"/>
        <v>0</v>
      </c>
      <c r="H20" s="427"/>
      <c r="I20" s="422"/>
      <c r="J20" s="427"/>
      <c r="K20" s="422" t="s">
        <v>297</v>
      </c>
      <c r="L20" s="428" t="s">
        <v>298</v>
      </c>
      <c r="M20" s="422" t="s">
        <v>299</v>
      </c>
      <c r="N20" s="428"/>
      <c r="O20" s="428"/>
      <c r="P20" s="428" t="s">
        <v>300</v>
      </c>
      <c r="Q20" s="429" t="s">
        <v>293</v>
      </c>
      <c r="R20" s="429" t="s">
        <v>294</v>
      </c>
      <c r="S20" s="430" t="s">
        <v>281</v>
      </c>
      <c r="T20" s="430" t="s">
        <v>596</v>
      </c>
      <c r="U20" s="431"/>
      <c r="V20" s="432"/>
      <c r="W20" s="433" t="s">
        <v>266</v>
      </c>
      <c r="X20" s="433">
        <v>45609</v>
      </c>
      <c r="Y20" s="434" t="s">
        <v>267</v>
      </c>
      <c r="Z20" s="435"/>
      <c r="AA20" s="437"/>
    </row>
    <row r="21" spans="1:27" s="415" customFormat="1" ht="36">
      <c r="A21" s="400">
        <v>9</v>
      </c>
      <c r="B21" s="401" t="s">
        <v>301</v>
      </c>
      <c r="C21" s="402" t="s">
        <v>55</v>
      </c>
      <c r="D21" s="401" t="s">
        <v>302</v>
      </c>
      <c r="E21" s="403">
        <v>1</v>
      </c>
      <c r="F21" s="404"/>
      <c r="G21" s="405">
        <f t="shared" si="0"/>
        <v>0</v>
      </c>
      <c r="H21" s="406"/>
      <c r="I21" s="401"/>
      <c r="J21" s="406"/>
      <c r="K21" s="401" t="s">
        <v>270</v>
      </c>
      <c r="L21" s="407" t="s">
        <v>271</v>
      </c>
      <c r="M21" s="401" t="s">
        <v>292</v>
      </c>
      <c r="N21" s="407"/>
      <c r="O21" s="407"/>
      <c r="P21" s="407" t="s">
        <v>273</v>
      </c>
      <c r="Q21" s="408" t="s">
        <v>293</v>
      </c>
      <c r="R21" s="408" t="s">
        <v>294</v>
      </c>
      <c r="S21" s="409" t="s">
        <v>303</v>
      </c>
      <c r="T21" s="409"/>
      <c r="U21" s="410"/>
      <c r="V21" s="411"/>
      <c r="W21" s="412"/>
      <c r="X21" s="412"/>
      <c r="Y21" s="413" t="s">
        <v>304</v>
      </c>
      <c r="Z21" s="414"/>
      <c r="AA21" s="438"/>
    </row>
    <row r="22" spans="1:27" s="415" customFormat="1" ht="36">
      <c r="A22" s="400">
        <v>10</v>
      </c>
      <c r="B22" s="401" t="s">
        <v>305</v>
      </c>
      <c r="C22" s="402" t="s">
        <v>55</v>
      </c>
      <c r="D22" s="401" t="s">
        <v>306</v>
      </c>
      <c r="E22" s="403">
        <v>1</v>
      </c>
      <c r="F22" s="404"/>
      <c r="G22" s="405">
        <f t="shared" si="0"/>
        <v>0</v>
      </c>
      <c r="H22" s="406"/>
      <c r="I22" s="401"/>
      <c r="J22" s="406"/>
      <c r="K22" s="401" t="s">
        <v>270</v>
      </c>
      <c r="L22" s="407" t="s">
        <v>271</v>
      </c>
      <c r="M22" s="401" t="s">
        <v>292</v>
      </c>
      <c r="N22" s="407"/>
      <c r="O22" s="407"/>
      <c r="P22" s="407" t="s">
        <v>273</v>
      </c>
      <c r="Q22" s="408" t="s">
        <v>293</v>
      </c>
      <c r="R22" s="408" t="s">
        <v>294</v>
      </c>
      <c r="S22" s="409" t="s">
        <v>303</v>
      </c>
      <c r="T22" s="409"/>
      <c r="U22" s="410"/>
      <c r="V22" s="411"/>
      <c r="W22" s="412"/>
      <c r="X22" s="412"/>
      <c r="Y22" s="413" t="s">
        <v>304</v>
      </c>
      <c r="Z22" s="414"/>
      <c r="AA22" s="438"/>
    </row>
    <row r="23" spans="1:27" s="415" customFormat="1" ht="36">
      <c r="A23" s="400">
        <v>11</v>
      </c>
      <c r="B23" s="401" t="s">
        <v>307</v>
      </c>
      <c r="C23" s="402" t="s">
        <v>55</v>
      </c>
      <c r="D23" s="401" t="s">
        <v>308</v>
      </c>
      <c r="E23" s="403">
        <v>1</v>
      </c>
      <c r="F23" s="404"/>
      <c r="G23" s="405">
        <f t="shared" si="0"/>
        <v>0</v>
      </c>
      <c r="H23" s="406"/>
      <c r="I23" s="401"/>
      <c r="J23" s="406"/>
      <c r="K23" s="401" t="s">
        <v>270</v>
      </c>
      <c r="L23" s="407" t="s">
        <v>271</v>
      </c>
      <c r="M23" s="401" t="s">
        <v>292</v>
      </c>
      <c r="N23" s="407"/>
      <c r="O23" s="407"/>
      <c r="P23" s="407" t="s">
        <v>273</v>
      </c>
      <c r="Q23" s="408" t="s">
        <v>293</v>
      </c>
      <c r="R23" s="408" t="s">
        <v>294</v>
      </c>
      <c r="S23" s="409" t="s">
        <v>303</v>
      </c>
      <c r="T23" s="409"/>
      <c r="U23" s="410"/>
      <c r="V23" s="411"/>
      <c r="W23" s="412"/>
      <c r="X23" s="412"/>
      <c r="Y23" s="413" t="s">
        <v>304</v>
      </c>
      <c r="Z23" s="414"/>
      <c r="AA23" s="438"/>
    </row>
    <row r="24" spans="1:27" s="112" customFormat="1" ht="36">
      <c r="A24" s="421">
        <v>12</v>
      </c>
      <c r="B24" s="422" t="s">
        <v>309</v>
      </c>
      <c r="C24" s="423" t="s">
        <v>55</v>
      </c>
      <c r="D24" s="422" t="s">
        <v>310</v>
      </c>
      <c r="E24" s="424">
        <v>2</v>
      </c>
      <c r="F24" s="425"/>
      <c r="G24" s="426">
        <f t="shared" si="0"/>
        <v>0</v>
      </c>
      <c r="H24" s="427"/>
      <c r="I24" s="422"/>
      <c r="J24" s="427"/>
      <c r="K24" s="422" t="s">
        <v>270</v>
      </c>
      <c r="L24" s="428" t="s">
        <v>271</v>
      </c>
      <c r="M24" s="422" t="s">
        <v>284</v>
      </c>
      <c r="N24" s="428"/>
      <c r="O24" s="428"/>
      <c r="P24" s="428" t="s">
        <v>273</v>
      </c>
      <c r="Q24" s="429" t="s">
        <v>265</v>
      </c>
      <c r="R24" s="429" t="s">
        <v>143</v>
      </c>
      <c r="S24" s="430" t="s">
        <v>285</v>
      </c>
      <c r="T24" s="430"/>
      <c r="U24" s="431"/>
      <c r="V24" s="432"/>
      <c r="W24" s="433" t="s">
        <v>266</v>
      </c>
      <c r="X24" s="433">
        <v>45604</v>
      </c>
      <c r="Y24" s="434" t="s">
        <v>267</v>
      </c>
      <c r="Z24" s="435"/>
      <c r="AA24" s="437"/>
    </row>
    <row r="25" spans="1:27" s="112" customFormat="1" ht="36">
      <c r="A25" s="421">
        <v>13</v>
      </c>
      <c r="B25" s="422" t="s">
        <v>311</v>
      </c>
      <c r="C25" s="423" t="s">
        <v>55</v>
      </c>
      <c r="D25" s="422" t="s">
        <v>312</v>
      </c>
      <c r="E25" s="424">
        <v>1</v>
      </c>
      <c r="F25" s="425"/>
      <c r="G25" s="426">
        <f t="shared" si="0"/>
        <v>0</v>
      </c>
      <c r="H25" s="427"/>
      <c r="I25" s="422"/>
      <c r="J25" s="427"/>
      <c r="K25" s="422" t="s">
        <v>270</v>
      </c>
      <c r="L25" s="428" t="s">
        <v>271</v>
      </c>
      <c r="M25" s="422" t="s">
        <v>284</v>
      </c>
      <c r="N25" s="428"/>
      <c r="O25" s="428"/>
      <c r="P25" s="428" t="s">
        <v>273</v>
      </c>
      <c r="Q25" s="429" t="s">
        <v>265</v>
      </c>
      <c r="R25" s="429" t="s">
        <v>143</v>
      </c>
      <c r="S25" s="430" t="s">
        <v>285</v>
      </c>
      <c r="T25" s="430"/>
      <c r="U25" s="431"/>
      <c r="V25" s="432"/>
      <c r="W25" s="433" t="s">
        <v>266</v>
      </c>
      <c r="X25" s="433">
        <v>45604</v>
      </c>
      <c r="Y25" s="434" t="s">
        <v>267</v>
      </c>
      <c r="Z25" s="435"/>
      <c r="AA25" s="437"/>
    </row>
    <row r="26" spans="1:27" s="112" customFormat="1" ht="36">
      <c r="A26" s="421">
        <v>14</v>
      </c>
      <c r="B26" s="422" t="s">
        <v>313</v>
      </c>
      <c r="C26" s="423" t="s">
        <v>55</v>
      </c>
      <c r="D26" s="422" t="s">
        <v>314</v>
      </c>
      <c r="E26" s="424">
        <v>1</v>
      </c>
      <c r="F26" s="425"/>
      <c r="G26" s="426">
        <f t="shared" si="0"/>
        <v>0</v>
      </c>
      <c r="H26" s="427"/>
      <c r="I26" s="422"/>
      <c r="J26" s="427"/>
      <c r="K26" s="422" t="s">
        <v>270</v>
      </c>
      <c r="L26" s="428" t="s">
        <v>271</v>
      </c>
      <c r="M26" s="422" t="s">
        <v>284</v>
      </c>
      <c r="N26" s="428"/>
      <c r="O26" s="428"/>
      <c r="P26" s="428" t="s">
        <v>273</v>
      </c>
      <c r="Q26" s="429" t="s">
        <v>265</v>
      </c>
      <c r="R26" s="429" t="s">
        <v>143</v>
      </c>
      <c r="S26" s="430" t="s">
        <v>285</v>
      </c>
      <c r="T26" s="430"/>
      <c r="U26" s="431"/>
      <c r="V26" s="432"/>
      <c r="W26" s="433" t="s">
        <v>266</v>
      </c>
      <c r="X26" s="433">
        <v>45604</v>
      </c>
      <c r="Y26" s="434" t="s">
        <v>267</v>
      </c>
      <c r="Z26" s="435"/>
      <c r="AA26" s="437"/>
    </row>
    <row r="27" spans="1:27" s="112" customFormat="1" ht="36">
      <c r="A27" s="421">
        <v>15</v>
      </c>
      <c r="B27" s="422" t="s">
        <v>315</v>
      </c>
      <c r="C27" s="423" t="s">
        <v>55</v>
      </c>
      <c r="D27" s="422" t="s">
        <v>316</v>
      </c>
      <c r="E27" s="424">
        <v>1</v>
      </c>
      <c r="F27" s="425"/>
      <c r="G27" s="426">
        <f t="shared" si="0"/>
        <v>0</v>
      </c>
      <c r="H27" s="427"/>
      <c r="I27" s="422"/>
      <c r="J27" s="427"/>
      <c r="K27" s="422" t="s">
        <v>270</v>
      </c>
      <c r="L27" s="428" t="s">
        <v>271</v>
      </c>
      <c r="M27" s="422" t="s">
        <v>272</v>
      </c>
      <c r="N27" s="428"/>
      <c r="O27" s="428"/>
      <c r="P27" s="428" t="s">
        <v>273</v>
      </c>
      <c r="Q27" s="429" t="s">
        <v>265</v>
      </c>
      <c r="R27" s="429" t="s">
        <v>157</v>
      </c>
      <c r="S27" s="430" t="s">
        <v>274</v>
      </c>
      <c r="T27" s="430"/>
      <c r="U27" s="431"/>
      <c r="V27" s="432"/>
      <c r="W27" s="433" t="s">
        <v>266</v>
      </c>
      <c r="X27" s="433">
        <v>45587</v>
      </c>
      <c r="Y27" s="434" t="s">
        <v>267</v>
      </c>
      <c r="Z27" s="435"/>
      <c r="AA27" s="437"/>
    </row>
    <row r="28" spans="1:27" s="112" customFormat="1" ht="36">
      <c r="A28" s="421">
        <v>16</v>
      </c>
      <c r="B28" s="422" t="s">
        <v>317</v>
      </c>
      <c r="C28" s="423" t="s">
        <v>55</v>
      </c>
      <c r="D28" s="422" t="s">
        <v>318</v>
      </c>
      <c r="E28" s="424">
        <v>1</v>
      </c>
      <c r="F28" s="425"/>
      <c r="G28" s="426">
        <f t="shared" si="0"/>
        <v>0</v>
      </c>
      <c r="H28" s="427"/>
      <c r="I28" s="422"/>
      <c r="J28" s="427"/>
      <c r="K28" s="422" t="s">
        <v>270</v>
      </c>
      <c r="L28" s="428" t="s">
        <v>271</v>
      </c>
      <c r="M28" s="422" t="s">
        <v>292</v>
      </c>
      <c r="N28" s="428"/>
      <c r="O28" s="428"/>
      <c r="P28" s="428" t="s">
        <v>273</v>
      </c>
      <c r="Q28" s="429" t="s">
        <v>293</v>
      </c>
      <c r="R28" s="429" t="s">
        <v>294</v>
      </c>
      <c r="S28" s="430" t="s">
        <v>281</v>
      </c>
      <c r="T28" s="430" t="s">
        <v>596</v>
      </c>
      <c r="U28" s="431"/>
      <c r="V28" s="432"/>
      <c r="W28" s="433" t="s">
        <v>266</v>
      </c>
      <c r="X28" s="433">
        <v>45609</v>
      </c>
      <c r="Y28" s="434" t="s">
        <v>267</v>
      </c>
      <c r="Z28" s="435"/>
      <c r="AA28" s="437"/>
    </row>
    <row r="29" spans="1:27" s="112" customFormat="1" ht="36">
      <c r="A29" s="421">
        <v>17</v>
      </c>
      <c r="B29" s="422" t="s">
        <v>319</v>
      </c>
      <c r="C29" s="423" t="s">
        <v>55</v>
      </c>
      <c r="D29" s="422" t="s">
        <v>320</v>
      </c>
      <c r="E29" s="424">
        <v>1</v>
      </c>
      <c r="F29" s="425"/>
      <c r="G29" s="426">
        <f t="shared" si="0"/>
        <v>0</v>
      </c>
      <c r="H29" s="427"/>
      <c r="I29" s="422"/>
      <c r="J29" s="427"/>
      <c r="K29" s="422" t="s">
        <v>297</v>
      </c>
      <c r="L29" s="428" t="s">
        <v>298</v>
      </c>
      <c r="M29" s="422" t="s">
        <v>299</v>
      </c>
      <c r="N29" s="428"/>
      <c r="O29" s="428"/>
      <c r="P29" s="428" t="s">
        <v>300</v>
      </c>
      <c r="Q29" s="429" t="s">
        <v>293</v>
      </c>
      <c r="R29" s="429" t="s">
        <v>294</v>
      </c>
      <c r="S29" s="430" t="s">
        <v>281</v>
      </c>
      <c r="T29" s="430" t="s">
        <v>596</v>
      </c>
      <c r="U29" s="431"/>
      <c r="V29" s="432"/>
      <c r="W29" s="433" t="s">
        <v>266</v>
      </c>
      <c r="X29" s="433">
        <v>45609</v>
      </c>
      <c r="Y29" s="434" t="s">
        <v>267</v>
      </c>
      <c r="Z29" s="435"/>
      <c r="AA29" s="437"/>
    </row>
    <row r="30" spans="1:27" s="415" customFormat="1" ht="36">
      <c r="A30" s="400">
        <v>18</v>
      </c>
      <c r="B30" s="401" t="s">
        <v>301</v>
      </c>
      <c r="C30" s="402" t="s">
        <v>55</v>
      </c>
      <c r="D30" s="401" t="s">
        <v>302</v>
      </c>
      <c r="E30" s="403">
        <v>1</v>
      </c>
      <c r="F30" s="404"/>
      <c r="G30" s="405">
        <f t="shared" si="0"/>
        <v>0</v>
      </c>
      <c r="H30" s="406"/>
      <c r="I30" s="401"/>
      <c r="J30" s="406"/>
      <c r="K30" s="401"/>
      <c r="L30" s="407"/>
      <c r="M30" s="401"/>
      <c r="N30" s="407"/>
      <c r="O30" s="407"/>
      <c r="P30" s="407"/>
      <c r="Q30" s="408"/>
      <c r="R30" s="408"/>
      <c r="S30" s="409"/>
      <c r="T30" s="409"/>
      <c r="U30" s="410"/>
      <c r="V30" s="411"/>
      <c r="W30" s="412"/>
      <c r="X30" s="412"/>
      <c r="Y30" s="413" t="s">
        <v>304</v>
      </c>
      <c r="Z30" s="414"/>
      <c r="AA30" s="438"/>
    </row>
    <row r="31" spans="1:27" s="415" customFormat="1">
      <c r="A31" s="400">
        <v>19</v>
      </c>
      <c r="B31" s="401" t="s">
        <v>305</v>
      </c>
      <c r="C31" s="402" t="s">
        <v>55</v>
      </c>
      <c r="D31" s="401" t="s">
        <v>306</v>
      </c>
      <c r="E31" s="403">
        <v>1</v>
      </c>
      <c r="F31" s="404"/>
      <c r="G31" s="405">
        <f t="shared" si="0"/>
        <v>0</v>
      </c>
      <c r="H31" s="406"/>
      <c r="I31" s="401"/>
      <c r="J31" s="406"/>
      <c r="K31" s="401"/>
      <c r="L31" s="407"/>
      <c r="M31" s="401"/>
      <c r="N31" s="407"/>
      <c r="O31" s="407"/>
      <c r="P31" s="407"/>
      <c r="Q31" s="408"/>
      <c r="R31" s="408"/>
      <c r="S31" s="409"/>
      <c r="T31" s="409"/>
      <c r="U31" s="410"/>
      <c r="V31" s="411"/>
      <c r="W31" s="412"/>
      <c r="X31" s="412"/>
      <c r="Y31" s="413" t="s">
        <v>304</v>
      </c>
      <c r="Z31" s="414"/>
      <c r="AA31" s="438"/>
    </row>
    <row r="32" spans="1:27" s="415" customFormat="1" ht="36">
      <c r="A32" s="400">
        <v>20</v>
      </c>
      <c r="B32" s="401" t="s">
        <v>321</v>
      </c>
      <c r="C32" s="402" t="s">
        <v>55</v>
      </c>
      <c r="D32" s="401" t="s">
        <v>322</v>
      </c>
      <c r="E32" s="403">
        <v>1</v>
      </c>
      <c r="F32" s="404"/>
      <c r="G32" s="405">
        <f t="shared" si="0"/>
        <v>0</v>
      </c>
      <c r="H32" s="406"/>
      <c r="I32" s="401"/>
      <c r="J32" s="406"/>
      <c r="K32" s="401" t="s">
        <v>270</v>
      </c>
      <c r="L32" s="407" t="s">
        <v>271</v>
      </c>
      <c r="M32" s="401" t="s">
        <v>323</v>
      </c>
      <c r="N32" s="407"/>
      <c r="O32" s="407"/>
      <c r="P32" s="407" t="s">
        <v>323</v>
      </c>
      <c r="Q32" s="408" t="s">
        <v>324</v>
      </c>
      <c r="R32" s="408"/>
      <c r="S32" s="409" t="s">
        <v>323</v>
      </c>
      <c r="T32" s="409"/>
      <c r="U32" s="410"/>
      <c r="V32" s="411"/>
      <c r="W32" s="412"/>
      <c r="X32" s="412"/>
      <c r="Y32" s="413" t="s">
        <v>304</v>
      </c>
      <c r="Z32" s="414"/>
      <c r="AA32" s="438"/>
    </row>
    <row r="33" spans="1:27" s="112" customFormat="1" ht="36">
      <c r="A33" s="385">
        <v>21</v>
      </c>
      <c r="B33" s="387" t="s">
        <v>301</v>
      </c>
      <c r="C33" s="386" t="s">
        <v>55</v>
      </c>
      <c r="D33" s="387" t="s">
        <v>302</v>
      </c>
      <c r="E33" s="388">
        <v>1</v>
      </c>
      <c r="F33" s="389"/>
      <c r="G33" s="390">
        <f t="shared" si="0"/>
        <v>0</v>
      </c>
      <c r="H33" s="391"/>
      <c r="I33" s="387"/>
      <c r="J33" s="391"/>
      <c r="K33" s="387" t="s">
        <v>270</v>
      </c>
      <c r="L33" s="392" t="s">
        <v>271</v>
      </c>
      <c r="M33" s="387" t="s">
        <v>292</v>
      </c>
      <c r="N33" s="392"/>
      <c r="O33" s="392"/>
      <c r="P33" s="392" t="s">
        <v>273</v>
      </c>
      <c r="Q33" s="393" t="s">
        <v>293</v>
      </c>
      <c r="R33" s="393" t="s">
        <v>294</v>
      </c>
      <c r="S33" s="394" t="s">
        <v>281</v>
      </c>
      <c r="T33" s="394" t="s">
        <v>596</v>
      </c>
      <c r="U33" s="395"/>
      <c r="V33" s="396"/>
      <c r="W33" s="397"/>
      <c r="X33" s="397"/>
      <c r="Y33" s="398" t="s">
        <v>267</v>
      </c>
      <c r="Z33" s="399"/>
      <c r="AA33" s="436"/>
    </row>
    <row r="34" spans="1:27" s="112" customFormat="1" ht="36">
      <c r="A34" s="421">
        <v>22</v>
      </c>
      <c r="B34" s="422" t="s">
        <v>325</v>
      </c>
      <c r="C34" s="423" t="s">
        <v>55</v>
      </c>
      <c r="D34" s="422" t="s">
        <v>306</v>
      </c>
      <c r="E34" s="424">
        <v>1</v>
      </c>
      <c r="F34" s="425"/>
      <c r="G34" s="426">
        <f t="shared" si="0"/>
        <v>0</v>
      </c>
      <c r="H34" s="427"/>
      <c r="I34" s="422"/>
      <c r="J34" s="427"/>
      <c r="K34" s="422" t="s">
        <v>270</v>
      </c>
      <c r="L34" s="428" t="s">
        <v>271</v>
      </c>
      <c r="M34" s="422" t="s">
        <v>292</v>
      </c>
      <c r="N34" s="428"/>
      <c r="O34" s="428"/>
      <c r="P34" s="428" t="s">
        <v>273</v>
      </c>
      <c r="Q34" s="429" t="s">
        <v>293</v>
      </c>
      <c r="R34" s="429" t="s">
        <v>294</v>
      </c>
      <c r="S34" s="430" t="s">
        <v>281</v>
      </c>
      <c r="T34" s="430" t="s">
        <v>596</v>
      </c>
      <c r="U34" s="431"/>
      <c r="V34" s="432"/>
      <c r="W34" s="433" t="s">
        <v>266</v>
      </c>
      <c r="X34" s="433">
        <v>45609</v>
      </c>
      <c r="Y34" s="434" t="s">
        <v>267</v>
      </c>
      <c r="Z34" s="435"/>
      <c r="AA34" s="437"/>
    </row>
    <row r="35" spans="1:27" s="112" customFormat="1" ht="36">
      <c r="A35" s="421">
        <v>23</v>
      </c>
      <c r="B35" s="422" t="s">
        <v>326</v>
      </c>
      <c r="C35" s="423" t="s">
        <v>55</v>
      </c>
      <c r="D35" s="422" t="s">
        <v>308</v>
      </c>
      <c r="E35" s="424">
        <v>1</v>
      </c>
      <c r="F35" s="425"/>
      <c r="G35" s="426">
        <f t="shared" si="0"/>
        <v>0</v>
      </c>
      <c r="H35" s="427"/>
      <c r="I35" s="422"/>
      <c r="J35" s="427"/>
      <c r="K35" s="422" t="s">
        <v>270</v>
      </c>
      <c r="L35" s="428" t="s">
        <v>271</v>
      </c>
      <c r="M35" s="422" t="s">
        <v>292</v>
      </c>
      <c r="N35" s="428"/>
      <c r="O35" s="428"/>
      <c r="P35" s="428" t="s">
        <v>273</v>
      </c>
      <c r="Q35" s="429" t="s">
        <v>293</v>
      </c>
      <c r="R35" s="429" t="s">
        <v>294</v>
      </c>
      <c r="S35" s="430" t="s">
        <v>281</v>
      </c>
      <c r="T35" s="430" t="s">
        <v>596</v>
      </c>
      <c r="U35" s="431"/>
      <c r="V35" s="432"/>
      <c r="W35" s="433" t="s">
        <v>266</v>
      </c>
      <c r="X35" s="433">
        <v>45609</v>
      </c>
      <c r="Y35" s="434" t="s">
        <v>267</v>
      </c>
      <c r="Z35" s="435"/>
      <c r="AA35" s="437"/>
    </row>
    <row r="36" spans="1:27" s="112" customFormat="1" ht="36">
      <c r="A36" s="421">
        <v>24</v>
      </c>
      <c r="B36" s="422" t="s">
        <v>327</v>
      </c>
      <c r="C36" s="423" t="s">
        <v>55</v>
      </c>
      <c r="D36" s="422" t="s">
        <v>302</v>
      </c>
      <c r="E36" s="424">
        <v>1</v>
      </c>
      <c r="F36" s="425"/>
      <c r="G36" s="426">
        <f t="shared" si="0"/>
        <v>0</v>
      </c>
      <c r="H36" s="427"/>
      <c r="I36" s="422"/>
      <c r="J36" s="427"/>
      <c r="K36" s="422" t="s">
        <v>270</v>
      </c>
      <c r="L36" s="428" t="s">
        <v>271</v>
      </c>
      <c r="M36" s="422" t="s">
        <v>292</v>
      </c>
      <c r="N36" s="428"/>
      <c r="O36" s="428"/>
      <c r="P36" s="428" t="s">
        <v>273</v>
      </c>
      <c r="Q36" s="429" t="s">
        <v>293</v>
      </c>
      <c r="R36" s="429" t="s">
        <v>294</v>
      </c>
      <c r="S36" s="430" t="s">
        <v>281</v>
      </c>
      <c r="T36" s="430" t="s">
        <v>596</v>
      </c>
      <c r="U36" s="431"/>
      <c r="V36" s="432"/>
      <c r="W36" s="433" t="s">
        <v>266</v>
      </c>
      <c r="X36" s="433">
        <v>45609</v>
      </c>
      <c r="Y36" s="434" t="s">
        <v>267</v>
      </c>
      <c r="Z36" s="435"/>
      <c r="AA36" s="437"/>
    </row>
    <row r="37" spans="1:27" s="112" customFormat="1" ht="36">
      <c r="A37" s="421">
        <v>25</v>
      </c>
      <c r="B37" s="422" t="s">
        <v>325</v>
      </c>
      <c r="C37" s="423" t="s">
        <v>55</v>
      </c>
      <c r="D37" s="422" t="s">
        <v>306</v>
      </c>
      <c r="E37" s="424">
        <v>1</v>
      </c>
      <c r="F37" s="425"/>
      <c r="G37" s="426">
        <f t="shared" si="0"/>
        <v>0</v>
      </c>
      <c r="H37" s="427"/>
      <c r="I37" s="422"/>
      <c r="J37" s="427"/>
      <c r="K37" s="422" t="s">
        <v>270</v>
      </c>
      <c r="L37" s="428" t="s">
        <v>271</v>
      </c>
      <c r="M37" s="422" t="s">
        <v>292</v>
      </c>
      <c r="N37" s="428"/>
      <c r="O37" s="428"/>
      <c r="P37" s="428" t="s">
        <v>273</v>
      </c>
      <c r="Q37" s="429" t="s">
        <v>293</v>
      </c>
      <c r="R37" s="429" t="s">
        <v>294</v>
      </c>
      <c r="S37" s="430" t="s">
        <v>281</v>
      </c>
      <c r="T37" s="430" t="s">
        <v>596</v>
      </c>
      <c r="U37" s="431"/>
      <c r="V37" s="432"/>
      <c r="W37" s="433" t="s">
        <v>266</v>
      </c>
      <c r="X37" s="433">
        <v>45609</v>
      </c>
      <c r="Y37" s="434" t="s">
        <v>267</v>
      </c>
      <c r="Z37" s="435"/>
      <c r="AA37" s="437"/>
    </row>
    <row r="38" spans="1:27" s="112" customFormat="1" ht="36">
      <c r="A38" s="421">
        <v>26</v>
      </c>
      <c r="B38" s="422" t="s">
        <v>328</v>
      </c>
      <c r="C38" s="423" t="s">
        <v>55</v>
      </c>
      <c r="D38" s="422" t="s">
        <v>329</v>
      </c>
      <c r="E38" s="424">
        <v>4</v>
      </c>
      <c r="F38" s="425"/>
      <c r="G38" s="426">
        <f t="shared" si="0"/>
        <v>0</v>
      </c>
      <c r="H38" s="427"/>
      <c r="I38" s="422"/>
      <c r="J38" s="427"/>
      <c r="K38" s="422" t="s">
        <v>297</v>
      </c>
      <c r="L38" s="428" t="s">
        <v>298</v>
      </c>
      <c r="M38" s="422" t="s">
        <v>330</v>
      </c>
      <c r="N38" s="428"/>
      <c r="O38" s="428"/>
      <c r="P38" s="428" t="s">
        <v>273</v>
      </c>
      <c r="Q38" s="429" t="s">
        <v>265</v>
      </c>
      <c r="R38" s="429" t="s">
        <v>143</v>
      </c>
      <c r="S38" s="430" t="s">
        <v>274</v>
      </c>
      <c r="T38" s="430"/>
      <c r="U38" s="431"/>
      <c r="V38" s="432"/>
      <c r="W38" s="433" t="s">
        <v>331</v>
      </c>
      <c r="X38" s="433">
        <v>45603</v>
      </c>
      <c r="Y38" s="434" t="s">
        <v>267</v>
      </c>
      <c r="Z38" s="435"/>
      <c r="AA38" s="437"/>
    </row>
    <row r="39" spans="1:27" s="112" customFormat="1" ht="36">
      <c r="A39" s="421">
        <v>27</v>
      </c>
      <c r="B39" s="422" t="s">
        <v>332</v>
      </c>
      <c r="C39" s="423" t="s">
        <v>55</v>
      </c>
      <c r="D39" s="422" t="s">
        <v>333</v>
      </c>
      <c r="E39" s="424">
        <v>1</v>
      </c>
      <c r="F39" s="425"/>
      <c r="G39" s="426">
        <f t="shared" si="0"/>
        <v>0</v>
      </c>
      <c r="H39" s="427"/>
      <c r="I39" s="422"/>
      <c r="J39" s="427"/>
      <c r="K39" s="422" t="s">
        <v>297</v>
      </c>
      <c r="L39" s="428" t="s">
        <v>298</v>
      </c>
      <c r="M39" s="422" t="s">
        <v>330</v>
      </c>
      <c r="N39" s="428"/>
      <c r="O39" s="428"/>
      <c r="P39" s="428" t="s">
        <v>273</v>
      </c>
      <c r="Q39" s="429" t="s">
        <v>265</v>
      </c>
      <c r="R39" s="429" t="s">
        <v>143</v>
      </c>
      <c r="S39" s="430" t="s">
        <v>274</v>
      </c>
      <c r="T39" s="430"/>
      <c r="U39" s="431"/>
      <c r="V39" s="432"/>
      <c r="W39" s="433" t="s">
        <v>331</v>
      </c>
      <c r="X39" s="433">
        <v>45603</v>
      </c>
      <c r="Y39" s="434" t="s">
        <v>267</v>
      </c>
      <c r="Z39" s="435"/>
      <c r="AA39" s="437"/>
    </row>
    <row r="40" spans="1:27" s="112" customFormat="1" ht="36">
      <c r="A40" s="421">
        <v>28</v>
      </c>
      <c r="B40" s="422" t="s">
        <v>334</v>
      </c>
      <c r="C40" s="423" t="s">
        <v>55</v>
      </c>
      <c r="D40" s="422" t="s">
        <v>335</v>
      </c>
      <c r="E40" s="424">
        <v>1</v>
      </c>
      <c r="F40" s="425"/>
      <c r="G40" s="426">
        <f t="shared" si="0"/>
        <v>0</v>
      </c>
      <c r="H40" s="427"/>
      <c r="I40" s="422"/>
      <c r="J40" s="427"/>
      <c r="K40" s="422" t="s">
        <v>297</v>
      </c>
      <c r="L40" s="428" t="s">
        <v>298</v>
      </c>
      <c r="M40" s="422" t="s">
        <v>330</v>
      </c>
      <c r="N40" s="428"/>
      <c r="O40" s="428"/>
      <c r="P40" s="428" t="s">
        <v>273</v>
      </c>
      <c r="Q40" s="429" t="s">
        <v>265</v>
      </c>
      <c r="R40" s="429" t="s">
        <v>143</v>
      </c>
      <c r="S40" s="430" t="s">
        <v>274</v>
      </c>
      <c r="T40" s="430"/>
      <c r="U40" s="431"/>
      <c r="V40" s="432"/>
      <c r="W40" s="433" t="s">
        <v>331</v>
      </c>
      <c r="X40" s="433">
        <v>45603</v>
      </c>
      <c r="Y40" s="434" t="s">
        <v>267</v>
      </c>
      <c r="Z40" s="435"/>
      <c r="AA40" s="437"/>
    </row>
    <row r="41" spans="1:27" s="112" customFormat="1">
      <c r="A41" s="421">
        <v>29</v>
      </c>
      <c r="B41" s="422" t="s">
        <v>336</v>
      </c>
      <c r="C41" s="423" t="s">
        <v>55</v>
      </c>
      <c r="D41" s="422" t="s">
        <v>337</v>
      </c>
      <c r="E41" s="424">
        <v>1</v>
      </c>
      <c r="F41" s="425"/>
      <c r="G41" s="426">
        <f t="shared" si="0"/>
        <v>0</v>
      </c>
      <c r="H41" s="427"/>
      <c r="I41" s="422"/>
      <c r="J41" s="427"/>
      <c r="K41" s="422"/>
      <c r="L41" s="428"/>
      <c r="M41" s="422"/>
      <c r="N41" s="428"/>
      <c r="O41" s="428"/>
      <c r="P41" s="428"/>
      <c r="Q41" s="429" t="s">
        <v>265</v>
      </c>
      <c r="R41" s="429"/>
      <c r="S41" s="430"/>
      <c r="T41" s="430"/>
      <c r="U41" s="431"/>
      <c r="V41" s="432"/>
      <c r="W41" s="433" t="s">
        <v>266</v>
      </c>
      <c r="X41" s="433">
        <v>45582</v>
      </c>
      <c r="Y41" s="434" t="s">
        <v>267</v>
      </c>
      <c r="Z41" s="435"/>
      <c r="AA41" s="437"/>
    </row>
    <row r="42" spans="1:27" s="112" customFormat="1" ht="36">
      <c r="A42" s="421">
        <v>30</v>
      </c>
      <c r="B42" s="422" t="s">
        <v>338</v>
      </c>
      <c r="C42" s="423" t="s">
        <v>55</v>
      </c>
      <c r="D42" s="422" t="s">
        <v>339</v>
      </c>
      <c r="E42" s="424">
        <v>1</v>
      </c>
      <c r="F42" s="425"/>
      <c r="G42" s="426">
        <f t="shared" si="0"/>
        <v>0</v>
      </c>
      <c r="H42" s="427"/>
      <c r="I42" s="422"/>
      <c r="J42" s="427"/>
      <c r="K42" s="422" t="s">
        <v>297</v>
      </c>
      <c r="L42" s="428" t="s">
        <v>298</v>
      </c>
      <c r="M42" s="422" t="s">
        <v>330</v>
      </c>
      <c r="N42" s="428"/>
      <c r="O42" s="428"/>
      <c r="P42" s="428" t="s">
        <v>273</v>
      </c>
      <c r="Q42" s="429" t="s">
        <v>265</v>
      </c>
      <c r="R42" s="429" t="s">
        <v>143</v>
      </c>
      <c r="S42" s="430" t="s">
        <v>274</v>
      </c>
      <c r="T42" s="430"/>
      <c r="U42" s="431"/>
      <c r="V42" s="432"/>
      <c r="W42" s="433" t="s">
        <v>331</v>
      </c>
      <c r="X42" s="433">
        <v>45603</v>
      </c>
      <c r="Y42" s="434" t="s">
        <v>267</v>
      </c>
      <c r="Z42" s="435"/>
      <c r="AA42" s="437"/>
    </row>
    <row r="43" spans="1:27" s="112" customFormat="1" ht="36">
      <c r="A43" s="421">
        <v>31</v>
      </c>
      <c r="B43" s="422" t="s">
        <v>340</v>
      </c>
      <c r="C43" s="423" t="s">
        <v>55</v>
      </c>
      <c r="D43" s="422" t="s">
        <v>341</v>
      </c>
      <c r="E43" s="424">
        <v>1</v>
      </c>
      <c r="F43" s="425"/>
      <c r="G43" s="426">
        <f t="shared" si="0"/>
        <v>0</v>
      </c>
      <c r="H43" s="427"/>
      <c r="I43" s="422"/>
      <c r="J43" s="427"/>
      <c r="K43" s="422" t="s">
        <v>297</v>
      </c>
      <c r="L43" s="428" t="s">
        <v>298</v>
      </c>
      <c r="M43" s="422" t="s">
        <v>330</v>
      </c>
      <c r="N43" s="428"/>
      <c r="O43" s="428"/>
      <c r="P43" s="428" t="s">
        <v>273</v>
      </c>
      <c r="Q43" s="429" t="s">
        <v>265</v>
      </c>
      <c r="R43" s="429" t="s">
        <v>143</v>
      </c>
      <c r="S43" s="430" t="s">
        <v>274</v>
      </c>
      <c r="T43" s="430"/>
      <c r="U43" s="431"/>
      <c r="V43" s="432"/>
      <c r="W43" s="433" t="s">
        <v>331</v>
      </c>
      <c r="X43" s="433">
        <v>45603</v>
      </c>
      <c r="Y43" s="434" t="s">
        <v>267</v>
      </c>
      <c r="Z43" s="435"/>
      <c r="AA43" s="437"/>
    </row>
    <row r="44" spans="1:27" s="112" customFormat="1" ht="36">
      <c r="A44" s="421">
        <v>32</v>
      </c>
      <c r="B44" s="422" t="s">
        <v>342</v>
      </c>
      <c r="C44" s="423" t="s">
        <v>55</v>
      </c>
      <c r="D44" s="422" t="s">
        <v>343</v>
      </c>
      <c r="E44" s="424">
        <v>1</v>
      </c>
      <c r="F44" s="425"/>
      <c r="G44" s="426">
        <f t="shared" si="0"/>
        <v>0</v>
      </c>
      <c r="H44" s="427"/>
      <c r="I44" s="422"/>
      <c r="J44" s="427"/>
      <c r="K44" s="422" t="s">
        <v>297</v>
      </c>
      <c r="L44" s="428" t="s">
        <v>298</v>
      </c>
      <c r="M44" s="422" t="s">
        <v>330</v>
      </c>
      <c r="N44" s="428"/>
      <c r="O44" s="428"/>
      <c r="P44" s="428" t="s">
        <v>273</v>
      </c>
      <c r="Q44" s="429" t="s">
        <v>265</v>
      </c>
      <c r="R44" s="429" t="s">
        <v>143</v>
      </c>
      <c r="S44" s="430" t="s">
        <v>274</v>
      </c>
      <c r="T44" s="430"/>
      <c r="U44" s="431"/>
      <c r="V44" s="432"/>
      <c r="W44" s="433" t="s">
        <v>331</v>
      </c>
      <c r="X44" s="433">
        <v>45603</v>
      </c>
      <c r="Y44" s="434" t="s">
        <v>267</v>
      </c>
      <c r="Z44" s="435"/>
      <c r="AA44" s="437"/>
    </row>
    <row r="45" spans="1:27" s="112" customFormat="1" ht="36">
      <c r="A45" s="421">
        <v>33</v>
      </c>
      <c r="B45" s="422" t="s">
        <v>344</v>
      </c>
      <c r="C45" s="423" t="s">
        <v>55</v>
      </c>
      <c r="D45" s="422" t="s">
        <v>345</v>
      </c>
      <c r="E45" s="424">
        <v>1</v>
      </c>
      <c r="F45" s="425"/>
      <c r="G45" s="426">
        <f t="shared" ref="G45:G74" si="1">E45*F45</f>
        <v>0</v>
      </c>
      <c r="H45" s="427"/>
      <c r="I45" s="422"/>
      <c r="J45" s="427"/>
      <c r="K45" s="422" t="s">
        <v>277</v>
      </c>
      <c r="L45" s="428" t="s">
        <v>278</v>
      </c>
      <c r="M45" s="422" t="s">
        <v>279</v>
      </c>
      <c r="N45" s="428"/>
      <c r="O45" s="428"/>
      <c r="P45" s="428" t="s">
        <v>280</v>
      </c>
      <c r="Q45" s="429" t="s">
        <v>265</v>
      </c>
      <c r="R45" s="429" t="s">
        <v>143</v>
      </c>
      <c r="S45" s="430" t="s">
        <v>281</v>
      </c>
      <c r="T45" s="430"/>
      <c r="U45" s="431"/>
      <c r="V45" s="432"/>
      <c r="W45" s="433" t="s">
        <v>331</v>
      </c>
      <c r="X45" s="433">
        <v>45603</v>
      </c>
      <c r="Y45" s="434" t="s">
        <v>267</v>
      </c>
      <c r="Z45" s="435"/>
      <c r="AA45" s="437"/>
    </row>
    <row r="46" spans="1:27" s="112" customFormat="1" ht="36">
      <c r="A46" s="421">
        <v>34</v>
      </c>
      <c r="B46" s="422" t="s">
        <v>346</v>
      </c>
      <c r="C46" s="423" t="s">
        <v>55</v>
      </c>
      <c r="D46" s="422" t="s">
        <v>347</v>
      </c>
      <c r="E46" s="424">
        <v>2</v>
      </c>
      <c r="F46" s="425"/>
      <c r="G46" s="426">
        <f t="shared" si="1"/>
        <v>0</v>
      </c>
      <c r="H46" s="427"/>
      <c r="I46" s="422"/>
      <c r="J46" s="427"/>
      <c r="K46" s="422" t="s">
        <v>297</v>
      </c>
      <c r="L46" s="428" t="s">
        <v>298</v>
      </c>
      <c r="M46" s="422" t="s">
        <v>330</v>
      </c>
      <c r="N46" s="428"/>
      <c r="O46" s="428"/>
      <c r="P46" s="428" t="s">
        <v>273</v>
      </c>
      <c r="Q46" s="429" t="s">
        <v>265</v>
      </c>
      <c r="R46" s="429" t="s">
        <v>143</v>
      </c>
      <c r="S46" s="430" t="s">
        <v>274</v>
      </c>
      <c r="T46" s="430"/>
      <c r="U46" s="431"/>
      <c r="V46" s="432"/>
      <c r="W46" s="433" t="s">
        <v>331</v>
      </c>
      <c r="X46" s="433">
        <v>45603</v>
      </c>
      <c r="Y46" s="434" t="s">
        <v>267</v>
      </c>
      <c r="Z46" s="435"/>
      <c r="AA46" s="437"/>
    </row>
    <row r="47" spans="1:27" s="112" customFormat="1" ht="36">
      <c r="A47" s="421">
        <v>35</v>
      </c>
      <c r="B47" s="422" t="s">
        <v>348</v>
      </c>
      <c r="C47" s="423" t="s">
        <v>55</v>
      </c>
      <c r="D47" s="422" t="s">
        <v>349</v>
      </c>
      <c r="E47" s="424">
        <v>2</v>
      </c>
      <c r="F47" s="425"/>
      <c r="G47" s="426">
        <f t="shared" si="1"/>
        <v>0</v>
      </c>
      <c r="H47" s="427"/>
      <c r="I47" s="422"/>
      <c r="J47" s="427"/>
      <c r="K47" s="422" t="s">
        <v>297</v>
      </c>
      <c r="L47" s="428" t="s">
        <v>298</v>
      </c>
      <c r="M47" s="422" t="s">
        <v>330</v>
      </c>
      <c r="N47" s="428"/>
      <c r="O47" s="428"/>
      <c r="P47" s="428" t="s">
        <v>273</v>
      </c>
      <c r="Q47" s="429" t="s">
        <v>265</v>
      </c>
      <c r="R47" s="429" t="s">
        <v>143</v>
      </c>
      <c r="S47" s="430" t="s">
        <v>274</v>
      </c>
      <c r="T47" s="430"/>
      <c r="U47" s="431"/>
      <c r="V47" s="432"/>
      <c r="W47" s="433" t="s">
        <v>331</v>
      </c>
      <c r="X47" s="433">
        <v>45603</v>
      </c>
      <c r="Y47" s="434" t="s">
        <v>267</v>
      </c>
      <c r="Z47" s="435"/>
      <c r="AA47" s="437"/>
    </row>
    <row r="48" spans="1:27" s="112" customFormat="1" ht="36">
      <c r="A48" s="421">
        <v>36</v>
      </c>
      <c r="B48" s="422" t="s">
        <v>350</v>
      </c>
      <c r="C48" s="423" t="s">
        <v>55</v>
      </c>
      <c r="D48" s="422" t="s">
        <v>351</v>
      </c>
      <c r="E48" s="424">
        <v>2</v>
      </c>
      <c r="F48" s="425"/>
      <c r="G48" s="426">
        <f t="shared" si="1"/>
        <v>0</v>
      </c>
      <c r="H48" s="427"/>
      <c r="I48" s="422"/>
      <c r="J48" s="427"/>
      <c r="K48" s="422" t="s">
        <v>297</v>
      </c>
      <c r="L48" s="428" t="s">
        <v>298</v>
      </c>
      <c r="M48" s="422" t="s">
        <v>330</v>
      </c>
      <c r="N48" s="428"/>
      <c r="O48" s="428"/>
      <c r="P48" s="428" t="s">
        <v>273</v>
      </c>
      <c r="Q48" s="429" t="s">
        <v>265</v>
      </c>
      <c r="R48" s="429" t="s">
        <v>143</v>
      </c>
      <c r="S48" s="430" t="s">
        <v>274</v>
      </c>
      <c r="T48" s="430"/>
      <c r="U48" s="431"/>
      <c r="V48" s="432"/>
      <c r="W48" s="433" t="s">
        <v>331</v>
      </c>
      <c r="X48" s="433">
        <v>45603</v>
      </c>
      <c r="Y48" s="434" t="s">
        <v>267</v>
      </c>
      <c r="Z48" s="435"/>
      <c r="AA48" s="437"/>
    </row>
    <row r="49" spans="1:27" s="112" customFormat="1" ht="36">
      <c r="A49" s="421">
        <v>37</v>
      </c>
      <c r="B49" s="422" t="s">
        <v>352</v>
      </c>
      <c r="C49" s="423" t="s">
        <v>55</v>
      </c>
      <c r="D49" s="422" t="s">
        <v>353</v>
      </c>
      <c r="E49" s="424">
        <v>4</v>
      </c>
      <c r="F49" s="425"/>
      <c r="G49" s="426">
        <f t="shared" si="1"/>
        <v>0</v>
      </c>
      <c r="H49" s="427"/>
      <c r="I49" s="422"/>
      <c r="J49" s="427"/>
      <c r="K49" s="422" t="s">
        <v>297</v>
      </c>
      <c r="L49" s="428" t="s">
        <v>298</v>
      </c>
      <c r="M49" s="422" t="s">
        <v>330</v>
      </c>
      <c r="N49" s="428"/>
      <c r="O49" s="428"/>
      <c r="P49" s="428" t="s">
        <v>273</v>
      </c>
      <c r="Q49" s="429" t="s">
        <v>265</v>
      </c>
      <c r="R49" s="429" t="s">
        <v>143</v>
      </c>
      <c r="S49" s="430" t="s">
        <v>274</v>
      </c>
      <c r="T49" s="430"/>
      <c r="U49" s="431"/>
      <c r="V49" s="432"/>
      <c r="W49" s="433" t="s">
        <v>331</v>
      </c>
      <c r="X49" s="433">
        <v>45603</v>
      </c>
      <c r="Y49" s="434" t="s">
        <v>267</v>
      </c>
      <c r="Z49" s="435"/>
      <c r="AA49" s="437"/>
    </row>
    <row r="50" spans="1:27" s="112" customFormat="1" ht="36">
      <c r="A50" s="421">
        <v>38</v>
      </c>
      <c r="B50" s="422" t="s">
        <v>354</v>
      </c>
      <c r="C50" s="423" t="s">
        <v>55</v>
      </c>
      <c r="D50" s="422" t="s">
        <v>355</v>
      </c>
      <c r="E50" s="424">
        <v>4</v>
      </c>
      <c r="F50" s="425"/>
      <c r="G50" s="426">
        <f t="shared" si="1"/>
        <v>0</v>
      </c>
      <c r="H50" s="427"/>
      <c r="I50" s="422"/>
      <c r="J50" s="427"/>
      <c r="K50" s="422" t="s">
        <v>297</v>
      </c>
      <c r="L50" s="428" t="s">
        <v>298</v>
      </c>
      <c r="M50" s="422" t="s">
        <v>330</v>
      </c>
      <c r="N50" s="428"/>
      <c r="O50" s="428"/>
      <c r="P50" s="428" t="s">
        <v>273</v>
      </c>
      <c r="Q50" s="429" t="s">
        <v>265</v>
      </c>
      <c r="R50" s="429" t="s">
        <v>143</v>
      </c>
      <c r="S50" s="430" t="s">
        <v>274</v>
      </c>
      <c r="T50" s="430"/>
      <c r="U50" s="431"/>
      <c r="V50" s="432"/>
      <c r="W50" s="433" t="s">
        <v>331</v>
      </c>
      <c r="X50" s="433">
        <v>45603</v>
      </c>
      <c r="Y50" s="434" t="s">
        <v>267</v>
      </c>
      <c r="Z50" s="435"/>
      <c r="AA50" s="437"/>
    </row>
    <row r="51" spans="1:27" s="112" customFormat="1" ht="36">
      <c r="A51" s="421">
        <v>39</v>
      </c>
      <c r="B51" s="422" t="s">
        <v>356</v>
      </c>
      <c r="C51" s="423" t="s">
        <v>55</v>
      </c>
      <c r="D51" s="422" t="s">
        <v>357</v>
      </c>
      <c r="E51" s="424">
        <v>2</v>
      </c>
      <c r="F51" s="425"/>
      <c r="G51" s="426">
        <f t="shared" si="1"/>
        <v>0</v>
      </c>
      <c r="H51" s="427"/>
      <c r="I51" s="422"/>
      <c r="J51" s="427"/>
      <c r="K51" s="422" t="s">
        <v>277</v>
      </c>
      <c r="L51" s="428" t="s">
        <v>278</v>
      </c>
      <c r="M51" s="422" t="s">
        <v>279</v>
      </c>
      <c r="N51" s="428"/>
      <c r="O51" s="428"/>
      <c r="P51" s="428" t="s">
        <v>280</v>
      </c>
      <c r="Q51" s="429" t="s">
        <v>265</v>
      </c>
      <c r="R51" s="429" t="s">
        <v>143</v>
      </c>
      <c r="S51" s="430" t="s">
        <v>281</v>
      </c>
      <c r="T51" s="430"/>
      <c r="U51" s="431"/>
      <c r="V51" s="432"/>
      <c r="W51" s="433" t="s">
        <v>331</v>
      </c>
      <c r="X51" s="433">
        <v>45603</v>
      </c>
      <c r="Y51" s="434" t="s">
        <v>267</v>
      </c>
      <c r="Z51" s="435"/>
      <c r="AA51" s="437"/>
    </row>
    <row r="52" spans="1:27" s="112" customFormat="1" ht="36">
      <c r="A52" s="421">
        <v>40</v>
      </c>
      <c r="B52" s="422" t="s">
        <v>358</v>
      </c>
      <c r="C52" s="423" t="s">
        <v>55</v>
      </c>
      <c r="D52" s="422" t="s">
        <v>359</v>
      </c>
      <c r="E52" s="424">
        <v>1</v>
      </c>
      <c r="F52" s="425"/>
      <c r="G52" s="426">
        <f t="shared" si="1"/>
        <v>0</v>
      </c>
      <c r="H52" s="427"/>
      <c r="I52" s="422"/>
      <c r="J52" s="427"/>
      <c r="K52" s="422" t="s">
        <v>297</v>
      </c>
      <c r="L52" s="428" t="s">
        <v>298</v>
      </c>
      <c r="M52" s="422" t="s">
        <v>330</v>
      </c>
      <c r="N52" s="428"/>
      <c r="O52" s="428"/>
      <c r="P52" s="428" t="s">
        <v>273</v>
      </c>
      <c r="Q52" s="429" t="s">
        <v>265</v>
      </c>
      <c r="R52" s="429" t="s">
        <v>143</v>
      </c>
      <c r="S52" s="430" t="s">
        <v>274</v>
      </c>
      <c r="T52" s="430"/>
      <c r="U52" s="431"/>
      <c r="V52" s="432"/>
      <c r="W52" s="433" t="s">
        <v>331</v>
      </c>
      <c r="X52" s="433">
        <v>45603</v>
      </c>
      <c r="Y52" s="434" t="s">
        <v>267</v>
      </c>
      <c r="Z52" s="435"/>
      <c r="AA52" s="437"/>
    </row>
    <row r="53" spans="1:27" s="112" customFormat="1" ht="36">
      <c r="A53" s="421">
        <v>41</v>
      </c>
      <c r="B53" s="422" t="s">
        <v>360</v>
      </c>
      <c r="C53" s="423" t="s">
        <v>55</v>
      </c>
      <c r="D53" s="422" t="s">
        <v>361</v>
      </c>
      <c r="E53" s="424">
        <v>1</v>
      </c>
      <c r="F53" s="425"/>
      <c r="G53" s="426">
        <f t="shared" si="1"/>
        <v>0</v>
      </c>
      <c r="H53" s="427"/>
      <c r="I53" s="422"/>
      <c r="J53" s="427"/>
      <c r="K53" s="422" t="s">
        <v>297</v>
      </c>
      <c r="L53" s="428" t="s">
        <v>298</v>
      </c>
      <c r="M53" s="422" t="s">
        <v>362</v>
      </c>
      <c r="N53" s="428"/>
      <c r="O53" s="428"/>
      <c r="P53" s="428" t="s">
        <v>273</v>
      </c>
      <c r="Q53" s="429" t="s">
        <v>265</v>
      </c>
      <c r="R53" s="429" t="s">
        <v>157</v>
      </c>
      <c r="S53" s="430" t="s">
        <v>274</v>
      </c>
      <c r="T53" s="430"/>
      <c r="U53" s="431"/>
      <c r="V53" s="432"/>
      <c r="W53" s="433" t="s">
        <v>331</v>
      </c>
      <c r="X53" s="433">
        <v>45603</v>
      </c>
      <c r="Y53" s="434" t="s">
        <v>267</v>
      </c>
      <c r="Z53" s="435"/>
      <c r="AA53" s="437"/>
    </row>
    <row r="54" spans="1:27" s="112" customFormat="1" ht="36">
      <c r="A54" s="421">
        <v>42</v>
      </c>
      <c r="B54" s="422" t="s">
        <v>363</v>
      </c>
      <c r="C54" s="423" t="s">
        <v>55</v>
      </c>
      <c r="D54" s="422" t="s">
        <v>364</v>
      </c>
      <c r="E54" s="424">
        <v>1</v>
      </c>
      <c r="F54" s="425"/>
      <c r="G54" s="426">
        <f t="shared" si="1"/>
        <v>0</v>
      </c>
      <c r="H54" s="427"/>
      <c r="I54" s="422"/>
      <c r="J54" s="427"/>
      <c r="K54" s="422" t="s">
        <v>297</v>
      </c>
      <c r="L54" s="428" t="s">
        <v>298</v>
      </c>
      <c r="M54" s="422" t="s">
        <v>362</v>
      </c>
      <c r="N54" s="428"/>
      <c r="O54" s="428"/>
      <c r="P54" s="428" t="s">
        <v>273</v>
      </c>
      <c r="Q54" s="429" t="s">
        <v>265</v>
      </c>
      <c r="R54" s="429" t="s">
        <v>157</v>
      </c>
      <c r="S54" s="430" t="s">
        <v>274</v>
      </c>
      <c r="T54" s="430"/>
      <c r="U54" s="431"/>
      <c r="V54" s="432"/>
      <c r="W54" s="433" t="s">
        <v>266</v>
      </c>
      <c r="X54" s="433">
        <v>45587</v>
      </c>
      <c r="Y54" s="434" t="s">
        <v>267</v>
      </c>
      <c r="Z54" s="435"/>
      <c r="AA54" s="437"/>
    </row>
    <row r="55" spans="1:27" s="112" customFormat="1" ht="36">
      <c r="A55" s="421">
        <v>43</v>
      </c>
      <c r="B55" s="422" t="s">
        <v>365</v>
      </c>
      <c r="C55" s="423" t="s">
        <v>55</v>
      </c>
      <c r="D55" s="422" t="s">
        <v>366</v>
      </c>
      <c r="E55" s="424">
        <v>16</v>
      </c>
      <c r="F55" s="425"/>
      <c r="G55" s="426">
        <f t="shared" si="1"/>
        <v>0</v>
      </c>
      <c r="H55" s="427"/>
      <c r="I55" s="422"/>
      <c r="J55" s="427"/>
      <c r="K55" s="422" t="s">
        <v>297</v>
      </c>
      <c r="L55" s="428" t="s">
        <v>298</v>
      </c>
      <c r="M55" s="422" t="s">
        <v>367</v>
      </c>
      <c r="N55" s="428"/>
      <c r="O55" s="428"/>
      <c r="P55" s="428" t="s">
        <v>273</v>
      </c>
      <c r="Q55" s="429" t="s">
        <v>265</v>
      </c>
      <c r="R55" s="429" t="s">
        <v>145</v>
      </c>
      <c r="S55" s="430" t="s">
        <v>368</v>
      </c>
      <c r="T55" s="430"/>
      <c r="U55" s="431"/>
      <c r="V55" s="432"/>
      <c r="W55" s="433" t="s">
        <v>266</v>
      </c>
      <c r="X55" s="433">
        <v>45590</v>
      </c>
      <c r="Y55" s="434" t="s">
        <v>267</v>
      </c>
      <c r="Z55" s="435"/>
      <c r="AA55" s="437"/>
    </row>
    <row r="56" spans="1:27" s="112" customFormat="1" ht="36">
      <c r="A56" s="421">
        <v>44</v>
      </c>
      <c r="B56" s="422" t="s">
        <v>369</v>
      </c>
      <c r="C56" s="423" t="s">
        <v>55</v>
      </c>
      <c r="D56" s="422" t="s">
        <v>370</v>
      </c>
      <c r="E56" s="424">
        <v>1</v>
      </c>
      <c r="F56" s="425"/>
      <c r="G56" s="426">
        <f t="shared" si="1"/>
        <v>0</v>
      </c>
      <c r="H56" s="427"/>
      <c r="I56" s="422"/>
      <c r="J56" s="427"/>
      <c r="K56" s="422" t="s">
        <v>297</v>
      </c>
      <c r="L56" s="428" t="s">
        <v>298</v>
      </c>
      <c r="M56" s="422" t="s">
        <v>367</v>
      </c>
      <c r="N56" s="428"/>
      <c r="O56" s="428"/>
      <c r="P56" s="428" t="s">
        <v>273</v>
      </c>
      <c r="Q56" s="429" t="s">
        <v>265</v>
      </c>
      <c r="R56" s="429" t="s">
        <v>145</v>
      </c>
      <c r="S56" s="430" t="s">
        <v>368</v>
      </c>
      <c r="T56" s="430"/>
      <c r="U56" s="431"/>
      <c r="V56" s="432"/>
      <c r="W56" s="433" t="s">
        <v>266</v>
      </c>
      <c r="X56" s="433">
        <v>45590</v>
      </c>
      <c r="Y56" s="434" t="s">
        <v>267</v>
      </c>
      <c r="Z56" s="435"/>
      <c r="AA56" s="437"/>
    </row>
    <row r="57" spans="1:27" s="112" customFormat="1" ht="36">
      <c r="A57" s="421">
        <v>45</v>
      </c>
      <c r="B57" s="422" t="s">
        <v>371</v>
      </c>
      <c r="C57" s="423" t="s">
        <v>55</v>
      </c>
      <c r="D57" s="422" t="s">
        <v>372</v>
      </c>
      <c r="E57" s="424">
        <v>1</v>
      </c>
      <c r="F57" s="425"/>
      <c r="G57" s="426">
        <f t="shared" si="1"/>
        <v>0</v>
      </c>
      <c r="H57" s="427"/>
      <c r="I57" s="422"/>
      <c r="J57" s="427"/>
      <c r="K57" s="422" t="s">
        <v>297</v>
      </c>
      <c r="L57" s="428" t="s">
        <v>298</v>
      </c>
      <c r="M57" s="422" t="s">
        <v>373</v>
      </c>
      <c r="N57" s="428"/>
      <c r="O57" s="428"/>
      <c r="P57" s="428" t="s">
        <v>273</v>
      </c>
      <c r="Q57" s="429" t="s">
        <v>265</v>
      </c>
      <c r="R57" s="429" t="s">
        <v>374</v>
      </c>
      <c r="S57" s="430" t="s">
        <v>375</v>
      </c>
      <c r="T57" s="430"/>
      <c r="U57" s="431"/>
      <c r="V57" s="432"/>
      <c r="W57" s="433" t="s">
        <v>266</v>
      </c>
      <c r="X57" s="433">
        <v>45587</v>
      </c>
      <c r="Y57" s="434" t="s">
        <v>267</v>
      </c>
      <c r="Z57" s="435"/>
      <c r="AA57" s="437"/>
    </row>
    <row r="58" spans="1:27" s="112" customFormat="1" ht="36">
      <c r="A58" s="421">
        <v>46</v>
      </c>
      <c r="B58" s="422" t="s">
        <v>376</v>
      </c>
      <c r="C58" s="423" t="s">
        <v>55</v>
      </c>
      <c r="D58" s="422" t="s">
        <v>377</v>
      </c>
      <c r="E58" s="424">
        <v>1</v>
      </c>
      <c r="F58" s="425"/>
      <c r="G58" s="426">
        <f t="shared" si="1"/>
        <v>0</v>
      </c>
      <c r="H58" s="427"/>
      <c r="I58" s="422"/>
      <c r="J58" s="427"/>
      <c r="K58" s="422" t="s">
        <v>297</v>
      </c>
      <c r="L58" s="428" t="s">
        <v>298</v>
      </c>
      <c r="M58" s="422" t="s">
        <v>378</v>
      </c>
      <c r="N58" s="428"/>
      <c r="O58" s="428"/>
      <c r="P58" s="428" t="s">
        <v>273</v>
      </c>
      <c r="Q58" s="429" t="s">
        <v>265</v>
      </c>
      <c r="R58" s="429" t="s">
        <v>379</v>
      </c>
      <c r="S58" s="430" t="s">
        <v>380</v>
      </c>
      <c r="T58" s="430"/>
      <c r="U58" s="431"/>
      <c r="V58" s="432"/>
      <c r="W58" s="433" t="s">
        <v>266</v>
      </c>
      <c r="X58" s="433">
        <v>45590</v>
      </c>
      <c r="Y58" s="434" t="s">
        <v>267</v>
      </c>
      <c r="Z58" s="435"/>
      <c r="AA58" s="437"/>
    </row>
    <row r="59" spans="1:27" s="112" customFormat="1">
      <c r="A59" s="421">
        <v>47</v>
      </c>
      <c r="B59" s="422" t="s">
        <v>381</v>
      </c>
      <c r="C59" s="423" t="s">
        <v>55</v>
      </c>
      <c r="D59" s="422" t="s">
        <v>382</v>
      </c>
      <c r="E59" s="424">
        <v>2</v>
      </c>
      <c r="F59" s="425"/>
      <c r="G59" s="426">
        <f t="shared" si="1"/>
        <v>0</v>
      </c>
      <c r="H59" s="427"/>
      <c r="I59" s="422"/>
      <c r="J59" s="427"/>
      <c r="K59" s="422"/>
      <c r="L59" s="428"/>
      <c r="M59" s="422"/>
      <c r="N59" s="428"/>
      <c r="O59" s="428"/>
      <c r="P59" s="428"/>
      <c r="Q59" s="429" t="s">
        <v>265</v>
      </c>
      <c r="R59" s="429"/>
      <c r="S59" s="430"/>
      <c r="T59" s="430"/>
      <c r="U59" s="431"/>
      <c r="V59" s="432"/>
      <c r="W59" s="433" t="s">
        <v>266</v>
      </c>
      <c r="X59" s="433">
        <v>45582</v>
      </c>
      <c r="Y59" s="434" t="s">
        <v>267</v>
      </c>
      <c r="Z59" s="435"/>
      <c r="AA59" s="437"/>
    </row>
    <row r="60" spans="1:27" s="112" customFormat="1" ht="36">
      <c r="A60" s="421">
        <v>48</v>
      </c>
      <c r="B60" s="422" t="s">
        <v>383</v>
      </c>
      <c r="C60" s="423" t="s">
        <v>55</v>
      </c>
      <c r="D60" s="422" t="s">
        <v>384</v>
      </c>
      <c r="E60" s="424">
        <v>2</v>
      </c>
      <c r="F60" s="425"/>
      <c r="G60" s="426">
        <f t="shared" si="1"/>
        <v>0</v>
      </c>
      <c r="H60" s="427"/>
      <c r="I60" s="422"/>
      <c r="J60" s="427"/>
      <c r="K60" s="422" t="s">
        <v>297</v>
      </c>
      <c r="L60" s="428" t="s">
        <v>298</v>
      </c>
      <c r="M60" s="422" t="s">
        <v>385</v>
      </c>
      <c r="N60" s="428"/>
      <c r="O60" s="428"/>
      <c r="P60" s="428" t="s">
        <v>273</v>
      </c>
      <c r="Q60" s="429" t="s">
        <v>265</v>
      </c>
      <c r="R60" s="429" t="s">
        <v>131</v>
      </c>
      <c r="S60" s="430" t="s">
        <v>386</v>
      </c>
      <c r="T60" s="430"/>
      <c r="U60" s="431"/>
      <c r="V60" s="432"/>
      <c r="W60" s="433" t="s">
        <v>266</v>
      </c>
      <c r="X60" s="433">
        <v>45587</v>
      </c>
      <c r="Y60" s="434" t="s">
        <v>267</v>
      </c>
      <c r="Z60" s="435"/>
      <c r="AA60" s="437"/>
    </row>
    <row r="61" spans="1:27" s="112" customFormat="1" ht="36">
      <c r="A61" s="421">
        <v>49</v>
      </c>
      <c r="B61" s="422" t="s">
        <v>356</v>
      </c>
      <c r="C61" s="423" t="s">
        <v>55</v>
      </c>
      <c r="D61" s="422" t="s">
        <v>357</v>
      </c>
      <c r="E61" s="424">
        <v>3</v>
      </c>
      <c r="F61" s="425"/>
      <c r="G61" s="426">
        <f t="shared" si="1"/>
        <v>0</v>
      </c>
      <c r="H61" s="427"/>
      <c r="I61" s="422"/>
      <c r="J61" s="427"/>
      <c r="K61" s="422" t="s">
        <v>277</v>
      </c>
      <c r="L61" s="428" t="s">
        <v>278</v>
      </c>
      <c r="M61" s="422" t="s">
        <v>279</v>
      </c>
      <c r="N61" s="428"/>
      <c r="O61" s="428"/>
      <c r="P61" s="428" t="s">
        <v>280</v>
      </c>
      <c r="Q61" s="429" t="s">
        <v>265</v>
      </c>
      <c r="R61" s="429" t="s">
        <v>143</v>
      </c>
      <c r="S61" s="430" t="s">
        <v>281</v>
      </c>
      <c r="T61" s="430"/>
      <c r="U61" s="431"/>
      <c r="V61" s="432"/>
      <c r="W61" s="433" t="s">
        <v>331</v>
      </c>
      <c r="X61" s="433">
        <v>45603</v>
      </c>
      <c r="Y61" s="434" t="s">
        <v>267</v>
      </c>
      <c r="Z61" s="435"/>
      <c r="AA61" s="437"/>
    </row>
    <row r="62" spans="1:27" s="112" customFormat="1" ht="36">
      <c r="A62" s="421">
        <v>50</v>
      </c>
      <c r="B62" s="422" t="s">
        <v>387</v>
      </c>
      <c r="C62" s="423" t="s">
        <v>55</v>
      </c>
      <c r="D62" s="422" t="s">
        <v>388</v>
      </c>
      <c r="E62" s="424">
        <v>1</v>
      </c>
      <c r="F62" s="425"/>
      <c r="G62" s="426">
        <f t="shared" si="1"/>
        <v>0</v>
      </c>
      <c r="H62" s="427"/>
      <c r="I62" s="422"/>
      <c r="J62" s="427"/>
      <c r="K62" s="422" t="s">
        <v>297</v>
      </c>
      <c r="L62" s="428" t="s">
        <v>298</v>
      </c>
      <c r="M62" s="422" t="s">
        <v>389</v>
      </c>
      <c r="N62" s="428"/>
      <c r="O62" s="428"/>
      <c r="P62" s="428" t="s">
        <v>273</v>
      </c>
      <c r="Q62" s="429" t="s">
        <v>265</v>
      </c>
      <c r="R62" s="429" t="s">
        <v>390</v>
      </c>
      <c r="S62" s="430" t="s">
        <v>391</v>
      </c>
      <c r="T62" s="430"/>
      <c r="U62" s="431"/>
      <c r="V62" s="432"/>
      <c r="W62" s="433" t="s">
        <v>266</v>
      </c>
      <c r="X62" s="433">
        <v>45587</v>
      </c>
      <c r="Y62" s="434" t="s">
        <v>267</v>
      </c>
      <c r="Z62" s="435"/>
      <c r="AA62" s="437"/>
    </row>
    <row r="63" spans="1:27" s="112" customFormat="1" ht="36">
      <c r="A63" s="421">
        <v>51</v>
      </c>
      <c r="B63" s="422" t="s">
        <v>392</v>
      </c>
      <c r="C63" s="423" t="s">
        <v>55</v>
      </c>
      <c r="D63" s="422" t="s">
        <v>393</v>
      </c>
      <c r="E63" s="424">
        <v>2</v>
      </c>
      <c r="F63" s="425"/>
      <c r="G63" s="426">
        <f t="shared" si="1"/>
        <v>0</v>
      </c>
      <c r="H63" s="427"/>
      <c r="I63" s="422"/>
      <c r="J63" s="427"/>
      <c r="K63" s="422" t="s">
        <v>297</v>
      </c>
      <c r="L63" s="428" t="s">
        <v>298</v>
      </c>
      <c r="M63" s="422" t="s">
        <v>385</v>
      </c>
      <c r="N63" s="428"/>
      <c r="O63" s="428"/>
      <c r="P63" s="428" t="s">
        <v>273</v>
      </c>
      <c r="Q63" s="429" t="s">
        <v>265</v>
      </c>
      <c r="R63" s="429" t="s">
        <v>131</v>
      </c>
      <c r="S63" s="430" t="s">
        <v>386</v>
      </c>
      <c r="T63" s="430"/>
      <c r="U63" s="431"/>
      <c r="V63" s="432"/>
      <c r="W63" s="433" t="s">
        <v>266</v>
      </c>
      <c r="X63" s="433">
        <v>45587</v>
      </c>
      <c r="Y63" s="434" t="s">
        <v>267</v>
      </c>
      <c r="Z63" s="435"/>
      <c r="AA63" s="437"/>
    </row>
    <row r="64" spans="1:27" s="112" customFormat="1" ht="36">
      <c r="A64" s="421">
        <v>52</v>
      </c>
      <c r="B64" s="422" t="s">
        <v>394</v>
      </c>
      <c r="C64" s="423" t="s">
        <v>55</v>
      </c>
      <c r="D64" s="422" t="s">
        <v>395</v>
      </c>
      <c r="E64" s="424">
        <v>1</v>
      </c>
      <c r="F64" s="425"/>
      <c r="G64" s="426">
        <f t="shared" si="1"/>
        <v>0</v>
      </c>
      <c r="H64" s="427"/>
      <c r="I64" s="422"/>
      <c r="J64" s="427"/>
      <c r="K64" s="422" t="s">
        <v>297</v>
      </c>
      <c r="L64" s="428" t="s">
        <v>298</v>
      </c>
      <c r="M64" s="422" t="s">
        <v>362</v>
      </c>
      <c r="N64" s="428"/>
      <c r="O64" s="428"/>
      <c r="P64" s="428" t="s">
        <v>273</v>
      </c>
      <c r="Q64" s="429" t="s">
        <v>265</v>
      </c>
      <c r="R64" s="429" t="s">
        <v>157</v>
      </c>
      <c r="S64" s="430" t="s">
        <v>274</v>
      </c>
      <c r="T64" s="430"/>
      <c r="U64" s="431"/>
      <c r="V64" s="432"/>
      <c r="W64" s="433" t="s">
        <v>266</v>
      </c>
      <c r="X64" s="433">
        <v>45587</v>
      </c>
      <c r="Y64" s="434" t="s">
        <v>267</v>
      </c>
      <c r="Z64" s="435"/>
      <c r="AA64" s="437"/>
    </row>
    <row r="65" spans="1:27" s="112" customFormat="1" ht="36">
      <c r="A65" s="421">
        <v>53</v>
      </c>
      <c r="B65" s="422" t="s">
        <v>396</v>
      </c>
      <c r="C65" s="423" t="s">
        <v>55</v>
      </c>
      <c r="D65" s="422" t="s">
        <v>397</v>
      </c>
      <c r="E65" s="424">
        <v>1</v>
      </c>
      <c r="F65" s="425"/>
      <c r="G65" s="426">
        <f t="shared" si="1"/>
        <v>0</v>
      </c>
      <c r="H65" s="427"/>
      <c r="I65" s="422"/>
      <c r="J65" s="427"/>
      <c r="K65" s="422" t="s">
        <v>297</v>
      </c>
      <c r="L65" s="428" t="s">
        <v>298</v>
      </c>
      <c r="M65" s="422" t="s">
        <v>362</v>
      </c>
      <c r="N65" s="428"/>
      <c r="O65" s="428"/>
      <c r="P65" s="428" t="s">
        <v>273</v>
      </c>
      <c r="Q65" s="429" t="s">
        <v>265</v>
      </c>
      <c r="R65" s="429" t="s">
        <v>157</v>
      </c>
      <c r="S65" s="430" t="s">
        <v>274</v>
      </c>
      <c r="T65" s="430"/>
      <c r="U65" s="431"/>
      <c r="V65" s="432"/>
      <c r="W65" s="433" t="s">
        <v>266</v>
      </c>
      <c r="X65" s="433">
        <v>45587</v>
      </c>
      <c r="Y65" s="434" t="s">
        <v>267</v>
      </c>
      <c r="Z65" s="435"/>
      <c r="AA65" s="437"/>
    </row>
    <row r="66" spans="1:27" s="112" customFormat="1" ht="36">
      <c r="A66" s="421">
        <v>54</v>
      </c>
      <c r="B66" s="422" t="s">
        <v>398</v>
      </c>
      <c r="C66" s="423" t="s">
        <v>55</v>
      </c>
      <c r="D66" s="422" t="s">
        <v>399</v>
      </c>
      <c r="E66" s="424">
        <v>1</v>
      </c>
      <c r="F66" s="425"/>
      <c r="G66" s="426">
        <f t="shared" si="1"/>
        <v>0</v>
      </c>
      <c r="H66" s="427"/>
      <c r="I66" s="422"/>
      <c r="J66" s="427"/>
      <c r="K66" s="422" t="s">
        <v>297</v>
      </c>
      <c r="L66" s="428" t="s">
        <v>298</v>
      </c>
      <c r="M66" s="422" t="s">
        <v>362</v>
      </c>
      <c r="N66" s="428"/>
      <c r="O66" s="428"/>
      <c r="P66" s="428" t="s">
        <v>273</v>
      </c>
      <c r="Q66" s="429" t="s">
        <v>265</v>
      </c>
      <c r="R66" s="429" t="s">
        <v>157</v>
      </c>
      <c r="S66" s="430" t="s">
        <v>274</v>
      </c>
      <c r="T66" s="430"/>
      <c r="U66" s="431"/>
      <c r="V66" s="432"/>
      <c r="W66" s="433" t="s">
        <v>266</v>
      </c>
      <c r="X66" s="433">
        <v>45587</v>
      </c>
      <c r="Y66" s="434" t="s">
        <v>267</v>
      </c>
      <c r="Z66" s="435"/>
      <c r="AA66" s="437"/>
    </row>
    <row r="67" spans="1:27" s="112" customFormat="1">
      <c r="A67" s="421">
        <v>55</v>
      </c>
      <c r="B67" s="422" t="s">
        <v>400</v>
      </c>
      <c r="C67" s="423" t="s">
        <v>55</v>
      </c>
      <c r="D67" s="422" t="s">
        <v>401</v>
      </c>
      <c r="E67" s="424">
        <v>1</v>
      </c>
      <c r="F67" s="425"/>
      <c r="G67" s="426">
        <f t="shared" si="1"/>
        <v>0</v>
      </c>
      <c r="H67" s="427"/>
      <c r="I67" s="422"/>
      <c r="J67" s="427"/>
      <c r="K67" s="422"/>
      <c r="L67" s="428"/>
      <c r="M67" s="422"/>
      <c r="N67" s="428"/>
      <c r="O67" s="428"/>
      <c r="P67" s="428"/>
      <c r="Q67" s="429" t="s">
        <v>265</v>
      </c>
      <c r="R67" s="429"/>
      <c r="S67" s="430"/>
      <c r="T67" s="430"/>
      <c r="U67" s="431"/>
      <c r="V67" s="432"/>
      <c r="W67" s="433" t="s">
        <v>266</v>
      </c>
      <c r="X67" s="433">
        <v>45582</v>
      </c>
      <c r="Y67" s="434" t="s">
        <v>267</v>
      </c>
      <c r="Z67" s="435"/>
      <c r="AA67" s="437"/>
    </row>
    <row r="68" spans="1:27" s="112" customFormat="1" ht="36">
      <c r="A68" s="421">
        <v>56</v>
      </c>
      <c r="B68" s="422" t="s">
        <v>402</v>
      </c>
      <c r="C68" s="423" t="s">
        <v>55</v>
      </c>
      <c r="D68" s="422" t="s">
        <v>403</v>
      </c>
      <c r="E68" s="424">
        <v>2</v>
      </c>
      <c r="F68" s="425"/>
      <c r="G68" s="426">
        <f t="shared" si="1"/>
        <v>0</v>
      </c>
      <c r="H68" s="427"/>
      <c r="I68" s="422"/>
      <c r="J68" s="427"/>
      <c r="K68" s="422" t="s">
        <v>297</v>
      </c>
      <c r="L68" s="428" t="s">
        <v>298</v>
      </c>
      <c r="M68" s="422" t="s">
        <v>385</v>
      </c>
      <c r="N68" s="428"/>
      <c r="O68" s="428"/>
      <c r="P68" s="428" t="s">
        <v>273</v>
      </c>
      <c r="Q68" s="429" t="s">
        <v>265</v>
      </c>
      <c r="R68" s="429" t="s">
        <v>131</v>
      </c>
      <c r="S68" s="430" t="s">
        <v>386</v>
      </c>
      <c r="T68" s="430" t="s">
        <v>404</v>
      </c>
      <c r="U68" s="431"/>
      <c r="V68" s="432"/>
      <c r="W68" s="433" t="s">
        <v>266</v>
      </c>
      <c r="X68" s="433">
        <v>45587</v>
      </c>
      <c r="Y68" s="434" t="s">
        <v>267</v>
      </c>
      <c r="Z68" s="435"/>
      <c r="AA68" s="437"/>
    </row>
    <row r="69" spans="1:27" s="112" customFormat="1" ht="36">
      <c r="A69" s="421">
        <v>57</v>
      </c>
      <c r="B69" s="422" t="s">
        <v>356</v>
      </c>
      <c r="C69" s="423" t="s">
        <v>55</v>
      </c>
      <c r="D69" s="422" t="s">
        <v>357</v>
      </c>
      <c r="E69" s="424">
        <v>4</v>
      </c>
      <c r="F69" s="425"/>
      <c r="G69" s="426">
        <f t="shared" si="1"/>
        <v>0</v>
      </c>
      <c r="H69" s="427"/>
      <c r="I69" s="422"/>
      <c r="J69" s="427"/>
      <c r="K69" s="422" t="s">
        <v>277</v>
      </c>
      <c r="L69" s="428" t="s">
        <v>278</v>
      </c>
      <c r="M69" s="422" t="s">
        <v>279</v>
      </c>
      <c r="N69" s="428"/>
      <c r="O69" s="428"/>
      <c r="P69" s="428" t="s">
        <v>280</v>
      </c>
      <c r="Q69" s="429" t="s">
        <v>265</v>
      </c>
      <c r="R69" s="429" t="s">
        <v>143</v>
      </c>
      <c r="S69" s="430" t="s">
        <v>281</v>
      </c>
      <c r="T69" s="430"/>
      <c r="U69" s="431"/>
      <c r="V69" s="432"/>
      <c r="W69" s="433" t="s">
        <v>331</v>
      </c>
      <c r="X69" s="433">
        <v>45603</v>
      </c>
      <c r="Y69" s="434" t="s">
        <v>267</v>
      </c>
      <c r="Z69" s="435"/>
      <c r="AA69" s="437"/>
    </row>
    <row r="70" spans="1:27" s="112" customFormat="1" ht="36">
      <c r="A70" s="421">
        <v>58</v>
      </c>
      <c r="B70" s="422" t="s">
        <v>405</v>
      </c>
      <c r="C70" s="423" t="s">
        <v>55</v>
      </c>
      <c r="D70" s="422" t="s">
        <v>406</v>
      </c>
      <c r="E70" s="424">
        <v>1</v>
      </c>
      <c r="F70" s="425"/>
      <c r="G70" s="426">
        <f t="shared" si="1"/>
        <v>0</v>
      </c>
      <c r="H70" s="427"/>
      <c r="I70" s="422"/>
      <c r="J70" s="427"/>
      <c r="K70" s="422" t="s">
        <v>297</v>
      </c>
      <c r="L70" s="428" t="s">
        <v>298</v>
      </c>
      <c r="M70" s="422" t="s">
        <v>299</v>
      </c>
      <c r="N70" s="428"/>
      <c r="O70" s="428"/>
      <c r="P70" s="428" t="s">
        <v>300</v>
      </c>
      <c r="Q70" s="429" t="s">
        <v>293</v>
      </c>
      <c r="R70" s="429" t="s">
        <v>294</v>
      </c>
      <c r="S70" s="430" t="s">
        <v>281</v>
      </c>
      <c r="T70" s="430" t="s">
        <v>596</v>
      </c>
      <c r="U70" s="431"/>
      <c r="V70" s="432"/>
      <c r="W70" s="433" t="s">
        <v>266</v>
      </c>
      <c r="X70" s="433">
        <v>45609</v>
      </c>
      <c r="Y70" s="434" t="s">
        <v>267</v>
      </c>
      <c r="Z70" s="435"/>
      <c r="AA70" s="437"/>
    </row>
    <row r="71" spans="1:27" s="112" customFormat="1" ht="36">
      <c r="A71" s="421">
        <v>59</v>
      </c>
      <c r="B71" s="422" t="s">
        <v>407</v>
      </c>
      <c r="C71" s="423" t="s">
        <v>55</v>
      </c>
      <c r="D71" s="422" t="s">
        <v>408</v>
      </c>
      <c r="E71" s="424">
        <v>1</v>
      </c>
      <c r="F71" s="425"/>
      <c r="G71" s="426">
        <f t="shared" si="1"/>
        <v>0</v>
      </c>
      <c r="H71" s="427"/>
      <c r="I71" s="422"/>
      <c r="J71" s="427"/>
      <c r="K71" s="422" t="s">
        <v>297</v>
      </c>
      <c r="L71" s="428" t="s">
        <v>298</v>
      </c>
      <c r="M71" s="422" t="s">
        <v>299</v>
      </c>
      <c r="N71" s="428"/>
      <c r="O71" s="428"/>
      <c r="P71" s="428" t="s">
        <v>300</v>
      </c>
      <c r="Q71" s="429" t="s">
        <v>293</v>
      </c>
      <c r="R71" s="429" t="s">
        <v>294</v>
      </c>
      <c r="S71" s="430" t="s">
        <v>281</v>
      </c>
      <c r="T71" s="430" t="s">
        <v>596</v>
      </c>
      <c r="U71" s="431"/>
      <c r="V71" s="432"/>
      <c r="W71" s="433" t="s">
        <v>266</v>
      </c>
      <c r="X71" s="433">
        <v>45609</v>
      </c>
      <c r="Y71" s="434" t="s">
        <v>267</v>
      </c>
      <c r="Z71" s="435"/>
      <c r="AA71" s="437"/>
    </row>
    <row r="72" spans="1:27" s="112" customFormat="1" ht="36">
      <c r="A72" s="421">
        <v>60</v>
      </c>
      <c r="B72" s="422" t="s">
        <v>409</v>
      </c>
      <c r="C72" s="423" t="s">
        <v>55</v>
      </c>
      <c r="D72" s="422" t="s">
        <v>410</v>
      </c>
      <c r="E72" s="424">
        <v>1</v>
      </c>
      <c r="F72" s="425"/>
      <c r="G72" s="426">
        <f t="shared" si="1"/>
        <v>0</v>
      </c>
      <c r="H72" s="427"/>
      <c r="I72" s="422"/>
      <c r="J72" s="427"/>
      <c r="K72" s="422" t="s">
        <v>297</v>
      </c>
      <c r="L72" s="428" t="s">
        <v>298</v>
      </c>
      <c r="M72" s="422" t="s">
        <v>299</v>
      </c>
      <c r="N72" s="428"/>
      <c r="O72" s="428"/>
      <c r="P72" s="428" t="s">
        <v>300</v>
      </c>
      <c r="Q72" s="429" t="s">
        <v>293</v>
      </c>
      <c r="R72" s="429" t="s">
        <v>294</v>
      </c>
      <c r="S72" s="430" t="s">
        <v>281</v>
      </c>
      <c r="T72" s="430" t="s">
        <v>596</v>
      </c>
      <c r="U72" s="431"/>
      <c r="V72" s="432"/>
      <c r="W72" s="433" t="s">
        <v>266</v>
      </c>
      <c r="X72" s="433">
        <v>45609</v>
      </c>
      <c r="Y72" s="434" t="s">
        <v>267</v>
      </c>
      <c r="Z72" s="435"/>
      <c r="AA72" s="437"/>
    </row>
    <row r="73" spans="1:27" s="112" customFormat="1" ht="36">
      <c r="A73" s="421">
        <v>61</v>
      </c>
      <c r="B73" s="422" t="s">
        <v>411</v>
      </c>
      <c r="C73" s="423" t="s">
        <v>55</v>
      </c>
      <c r="D73" s="422" t="s">
        <v>412</v>
      </c>
      <c r="E73" s="424">
        <v>2</v>
      </c>
      <c r="F73" s="425"/>
      <c r="G73" s="426">
        <f t="shared" si="1"/>
        <v>0</v>
      </c>
      <c r="H73" s="427"/>
      <c r="I73" s="422"/>
      <c r="J73" s="427"/>
      <c r="K73" s="422" t="s">
        <v>297</v>
      </c>
      <c r="L73" s="428" t="s">
        <v>298</v>
      </c>
      <c r="M73" s="422" t="s">
        <v>299</v>
      </c>
      <c r="N73" s="428"/>
      <c r="O73" s="428"/>
      <c r="P73" s="428" t="s">
        <v>300</v>
      </c>
      <c r="Q73" s="429" t="s">
        <v>293</v>
      </c>
      <c r="R73" s="429" t="s">
        <v>294</v>
      </c>
      <c r="S73" s="430" t="s">
        <v>281</v>
      </c>
      <c r="T73" s="430" t="s">
        <v>596</v>
      </c>
      <c r="U73" s="431"/>
      <c r="V73" s="432"/>
      <c r="W73" s="433" t="s">
        <v>266</v>
      </c>
      <c r="X73" s="433">
        <v>45609</v>
      </c>
      <c r="Y73" s="434" t="s">
        <v>267</v>
      </c>
      <c r="Z73" s="435"/>
      <c r="AA73" s="437"/>
    </row>
    <row r="74" spans="1:27" s="112" customFormat="1" ht="36">
      <c r="A74" s="443">
        <v>62</v>
      </c>
      <c r="B74" s="444" t="s">
        <v>413</v>
      </c>
      <c r="C74" s="445" t="s">
        <v>55</v>
      </c>
      <c r="D74" s="444" t="s">
        <v>414</v>
      </c>
      <c r="E74" s="446">
        <v>2</v>
      </c>
      <c r="F74" s="447"/>
      <c r="G74" s="448">
        <f t="shared" si="1"/>
        <v>0</v>
      </c>
      <c r="H74" s="475"/>
      <c r="I74" s="444"/>
      <c r="J74" s="475"/>
      <c r="K74" s="444" t="s">
        <v>297</v>
      </c>
      <c r="L74" s="449" t="s">
        <v>298</v>
      </c>
      <c r="M74" s="444" t="s">
        <v>299</v>
      </c>
      <c r="N74" s="449"/>
      <c r="O74" s="449"/>
      <c r="P74" s="449" t="s">
        <v>300</v>
      </c>
      <c r="Q74" s="450" t="s">
        <v>293</v>
      </c>
      <c r="R74" s="450" t="s">
        <v>294</v>
      </c>
      <c r="S74" s="451" t="s">
        <v>281</v>
      </c>
      <c r="T74" s="430" t="s">
        <v>596</v>
      </c>
      <c r="U74" s="452"/>
      <c r="V74" s="453"/>
      <c r="W74" s="454" t="s">
        <v>266</v>
      </c>
      <c r="X74" s="454">
        <v>45609</v>
      </c>
      <c r="Y74" s="455" t="s">
        <v>267</v>
      </c>
      <c r="Z74" s="456"/>
      <c r="AA74" s="437"/>
    </row>
    <row r="75" spans="1:27" s="112" customFormat="1" ht="36">
      <c r="A75" s="385">
        <v>63</v>
      </c>
      <c r="B75" s="387" t="s">
        <v>415</v>
      </c>
      <c r="C75" s="386" t="s">
        <v>55</v>
      </c>
      <c r="D75" s="387" t="s">
        <v>416</v>
      </c>
      <c r="E75" s="388">
        <v>8</v>
      </c>
      <c r="F75" s="389"/>
      <c r="G75" s="390">
        <f t="shared" ref="G75:G145" si="2">E75*F75</f>
        <v>0</v>
      </c>
      <c r="H75" s="391"/>
      <c r="I75" s="387"/>
      <c r="J75" s="391"/>
      <c r="K75" s="387" t="s">
        <v>417</v>
      </c>
      <c r="L75" s="392" t="s">
        <v>323</v>
      </c>
      <c r="M75" s="387" t="s">
        <v>323</v>
      </c>
      <c r="N75" s="392"/>
      <c r="O75" s="392"/>
      <c r="P75" s="392" t="s">
        <v>323</v>
      </c>
      <c r="Q75" s="393" t="s">
        <v>418</v>
      </c>
      <c r="R75" s="393" t="s">
        <v>323</v>
      </c>
      <c r="S75" s="394" t="s">
        <v>323</v>
      </c>
      <c r="T75" s="394"/>
      <c r="U75" s="395"/>
      <c r="V75" s="396"/>
      <c r="W75" s="397"/>
      <c r="X75" s="397"/>
      <c r="Y75" s="398" t="s">
        <v>267</v>
      </c>
      <c r="Z75" s="399"/>
      <c r="AA75" s="436"/>
    </row>
    <row r="76" spans="1:27" s="112" customFormat="1" ht="36">
      <c r="A76" s="385">
        <v>64</v>
      </c>
      <c r="B76" s="387" t="s">
        <v>420</v>
      </c>
      <c r="C76" s="386" t="s">
        <v>55</v>
      </c>
      <c r="D76" s="387" t="s">
        <v>421</v>
      </c>
      <c r="E76" s="388">
        <v>4</v>
      </c>
      <c r="F76" s="389"/>
      <c r="G76" s="390">
        <f t="shared" si="2"/>
        <v>0</v>
      </c>
      <c r="H76" s="391"/>
      <c r="I76" s="387"/>
      <c r="J76" s="391"/>
      <c r="K76" s="387" t="s">
        <v>422</v>
      </c>
      <c r="L76" s="392" t="s">
        <v>285</v>
      </c>
      <c r="M76" s="387" t="s">
        <v>423</v>
      </c>
      <c r="N76" s="392"/>
      <c r="O76" s="392"/>
      <c r="P76" s="392" t="s">
        <v>424</v>
      </c>
      <c r="Q76" s="393" t="s">
        <v>293</v>
      </c>
      <c r="R76" s="393" t="s">
        <v>143</v>
      </c>
      <c r="S76" s="394" t="s">
        <v>425</v>
      </c>
      <c r="T76" s="394"/>
      <c r="U76" s="395"/>
      <c r="V76" s="396"/>
      <c r="W76" s="397"/>
      <c r="X76" s="397"/>
      <c r="Y76" s="398" t="s">
        <v>267</v>
      </c>
      <c r="Z76" s="399"/>
      <c r="AA76" s="436"/>
    </row>
    <row r="77" spans="1:27" s="112" customFormat="1" ht="36">
      <c r="A77" s="385">
        <v>65</v>
      </c>
      <c r="B77" s="387" t="s">
        <v>426</v>
      </c>
      <c r="C77" s="386" t="s">
        <v>55</v>
      </c>
      <c r="D77" s="387" t="s">
        <v>427</v>
      </c>
      <c r="E77" s="388">
        <v>4</v>
      </c>
      <c r="F77" s="389"/>
      <c r="G77" s="390">
        <f t="shared" si="2"/>
        <v>0</v>
      </c>
      <c r="H77" s="391"/>
      <c r="I77" s="387"/>
      <c r="J77" s="391"/>
      <c r="K77" s="387" t="s">
        <v>422</v>
      </c>
      <c r="L77" s="392" t="s">
        <v>285</v>
      </c>
      <c r="M77" s="387" t="s">
        <v>423</v>
      </c>
      <c r="N77" s="392"/>
      <c r="O77" s="392"/>
      <c r="P77" s="392" t="s">
        <v>424</v>
      </c>
      <c r="Q77" s="393" t="s">
        <v>293</v>
      </c>
      <c r="R77" s="393" t="s">
        <v>143</v>
      </c>
      <c r="S77" s="394" t="s">
        <v>425</v>
      </c>
      <c r="T77" s="394"/>
      <c r="U77" s="395"/>
      <c r="V77" s="396"/>
      <c r="W77" s="397"/>
      <c r="X77" s="397"/>
      <c r="Y77" s="398" t="s">
        <v>267</v>
      </c>
      <c r="Z77" s="399"/>
      <c r="AA77" s="436"/>
    </row>
    <row r="78" spans="1:27" s="112" customFormat="1" ht="36">
      <c r="A78" s="385">
        <v>66</v>
      </c>
      <c r="B78" s="387" t="s">
        <v>428</v>
      </c>
      <c r="C78" s="386" t="s">
        <v>55</v>
      </c>
      <c r="D78" s="387" t="s">
        <v>429</v>
      </c>
      <c r="E78" s="388">
        <v>4</v>
      </c>
      <c r="F78" s="389"/>
      <c r="G78" s="390">
        <f t="shared" si="2"/>
        <v>0</v>
      </c>
      <c r="H78" s="391"/>
      <c r="I78" s="387"/>
      <c r="J78" s="391"/>
      <c r="K78" s="387" t="s">
        <v>430</v>
      </c>
      <c r="L78" s="392" t="s">
        <v>285</v>
      </c>
      <c r="M78" s="387" t="s">
        <v>431</v>
      </c>
      <c r="N78" s="392"/>
      <c r="O78" s="392"/>
      <c r="P78" s="392" t="s">
        <v>424</v>
      </c>
      <c r="Q78" s="393" t="s">
        <v>293</v>
      </c>
      <c r="R78" s="393" t="s">
        <v>157</v>
      </c>
      <c r="S78" s="394" t="s">
        <v>432</v>
      </c>
      <c r="T78" s="394"/>
      <c r="U78" s="395"/>
      <c r="V78" s="396"/>
      <c r="W78" s="397"/>
      <c r="X78" s="397"/>
      <c r="Y78" s="398" t="s">
        <v>267</v>
      </c>
      <c r="Z78" s="399"/>
      <c r="AA78" s="436"/>
    </row>
    <row r="79" spans="1:27" s="112" customFormat="1" ht="36">
      <c r="A79" s="385">
        <v>67</v>
      </c>
      <c r="B79" s="387" t="s">
        <v>433</v>
      </c>
      <c r="C79" s="386" t="s">
        <v>55</v>
      </c>
      <c r="D79" s="387" t="s">
        <v>434</v>
      </c>
      <c r="E79" s="388">
        <v>1</v>
      </c>
      <c r="F79" s="389"/>
      <c r="G79" s="390">
        <f t="shared" si="2"/>
        <v>0</v>
      </c>
      <c r="H79" s="391"/>
      <c r="I79" s="387"/>
      <c r="J79" s="391"/>
      <c r="K79" s="387" t="s">
        <v>422</v>
      </c>
      <c r="L79" s="392" t="s">
        <v>285</v>
      </c>
      <c r="M79" s="387" t="s">
        <v>435</v>
      </c>
      <c r="N79" s="392"/>
      <c r="O79" s="392"/>
      <c r="P79" s="392" t="s">
        <v>424</v>
      </c>
      <c r="Q79" s="393" t="s">
        <v>293</v>
      </c>
      <c r="R79" s="393" t="s">
        <v>157</v>
      </c>
      <c r="S79" s="394" t="s">
        <v>436</v>
      </c>
      <c r="T79" s="394"/>
      <c r="U79" s="395"/>
      <c r="V79" s="396"/>
      <c r="W79" s="397"/>
      <c r="X79" s="397"/>
      <c r="Y79" s="398" t="s">
        <v>267</v>
      </c>
      <c r="Z79" s="399"/>
      <c r="AA79" s="436"/>
    </row>
    <row r="80" spans="1:27" s="112" customFormat="1" ht="36">
      <c r="A80" s="385">
        <v>68</v>
      </c>
      <c r="B80" s="387" t="s">
        <v>437</v>
      </c>
      <c r="C80" s="386" t="s">
        <v>55</v>
      </c>
      <c r="D80" s="387" t="s">
        <v>438</v>
      </c>
      <c r="E80" s="388">
        <v>2</v>
      </c>
      <c r="F80" s="389"/>
      <c r="G80" s="390">
        <f t="shared" si="2"/>
        <v>0</v>
      </c>
      <c r="H80" s="391"/>
      <c r="I80" s="387"/>
      <c r="J80" s="391"/>
      <c r="K80" s="387" t="s">
        <v>430</v>
      </c>
      <c r="L80" s="392" t="s">
        <v>285</v>
      </c>
      <c r="M80" s="387" t="s">
        <v>431</v>
      </c>
      <c r="N80" s="392"/>
      <c r="O80" s="392"/>
      <c r="P80" s="392" t="s">
        <v>424</v>
      </c>
      <c r="Q80" s="393" t="s">
        <v>293</v>
      </c>
      <c r="R80" s="393" t="s">
        <v>157</v>
      </c>
      <c r="S80" s="394" t="s">
        <v>432</v>
      </c>
      <c r="T80" s="394"/>
      <c r="U80" s="395"/>
      <c r="V80" s="396"/>
      <c r="W80" s="397"/>
      <c r="X80" s="397"/>
      <c r="Y80" s="398" t="s">
        <v>267</v>
      </c>
      <c r="Z80" s="399"/>
      <c r="AA80" s="436"/>
    </row>
    <row r="81" spans="1:27" s="112" customFormat="1" ht="36">
      <c r="A81" s="385">
        <v>69</v>
      </c>
      <c r="B81" s="387" t="s">
        <v>439</v>
      </c>
      <c r="C81" s="386" t="s">
        <v>55</v>
      </c>
      <c r="D81" s="387" t="s">
        <v>440</v>
      </c>
      <c r="E81" s="388">
        <v>2</v>
      </c>
      <c r="F81" s="389"/>
      <c r="G81" s="390">
        <f t="shared" si="2"/>
        <v>0</v>
      </c>
      <c r="H81" s="391"/>
      <c r="I81" s="387"/>
      <c r="J81" s="391"/>
      <c r="K81" s="387" t="s">
        <v>417</v>
      </c>
      <c r="L81" s="392" t="s">
        <v>323</v>
      </c>
      <c r="M81" s="387" t="s">
        <v>323</v>
      </c>
      <c r="N81" s="392"/>
      <c r="O81" s="392"/>
      <c r="P81" s="392" t="s">
        <v>323</v>
      </c>
      <c r="Q81" s="393" t="s">
        <v>418</v>
      </c>
      <c r="R81" s="393" t="s">
        <v>323</v>
      </c>
      <c r="S81" s="394" t="s">
        <v>323</v>
      </c>
      <c r="T81" s="394"/>
      <c r="U81" s="395"/>
      <c r="V81" s="396"/>
      <c r="W81" s="397"/>
      <c r="X81" s="397"/>
      <c r="Y81" s="398" t="s">
        <v>267</v>
      </c>
      <c r="Z81" s="399"/>
      <c r="AA81" s="436"/>
    </row>
    <row r="82" spans="1:27" s="112" customFormat="1" ht="36">
      <c r="A82" s="385">
        <v>70</v>
      </c>
      <c r="B82" s="387" t="s">
        <v>441</v>
      </c>
      <c r="C82" s="386" t="s">
        <v>55</v>
      </c>
      <c r="D82" s="387" t="s">
        <v>442</v>
      </c>
      <c r="E82" s="388">
        <v>1</v>
      </c>
      <c r="F82" s="389"/>
      <c r="G82" s="390">
        <f t="shared" si="2"/>
        <v>0</v>
      </c>
      <c r="H82" s="391"/>
      <c r="I82" s="387"/>
      <c r="J82" s="391"/>
      <c r="K82" s="387" t="s">
        <v>422</v>
      </c>
      <c r="L82" s="392" t="s">
        <v>285</v>
      </c>
      <c r="M82" s="387" t="s">
        <v>435</v>
      </c>
      <c r="N82" s="392"/>
      <c r="O82" s="392"/>
      <c r="P82" s="392" t="s">
        <v>424</v>
      </c>
      <c r="Q82" s="393" t="s">
        <v>293</v>
      </c>
      <c r="R82" s="393" t="s">
        <v>157</v>
      </c>
      <c r="S82" s="394" t="s">
        <v>425</v>
      </c>
      <c r="T82" s="394"/>
      <c r="U82" s="395"/>
      <c r="V82" s="396"/>
      <c r="W82" s="397"/>
      <c r="X82" s="397"/>
      <c r="Y82" s="398" t="s">
        <v>267</v>
      </c>
      <c r="Z82" s="399"/>
      <c r="AA82" s="436"/>
    </row>
    <row r="83" spans="1:27" s="112" customFormat="1" ht="36">
      <c r="A83" s="385">
        <v>71</v>
      </c>
      <c r="B83" s="387" t="s">
        <v>443</v>
      </c>
      <c r="C83" s="386" t="s">
        <v>55</v>
      </c>
      <c r="D83" s="387" t="s">
        <v>444</v>
      </c>
      <c r="E83" s="388">
        <v>2</v>
      </c>
      <c r="F83" s="389"/>
      <c r="G83" s="390">
        <f t="shared" si="2"/>
        <v>0</v>
      </c>
      <c r="H83" s="391"/>
      <c r="I83" s="387"/>
      <c r="J83" s="391"/>
      <c r="K83" s="387" t="s">
        <v>422</v>
      </c>
      <c r="L83" s="392" t="s">
        <v>285</v>
      </c>
      <c r="M83" s="387" t="s">
        <v>445</v>
      </c>
      <c r="N83" s="392"/>
      <c r="O83" s="392"/>
      <c r="P83" s="392" t="s">
        <v>424</v>
      </c>
      <c r="Q83" s="393" t="s">
        <v>293</v>
      </c>
      <c r="R83" s="393" t="s">
        <v>374</v>
      </c>
      <c r="S83" s="394" t="s">
        <v>446</v>
      </c>
      <c r="T83" s="394"/>
      <c r="U83" s="395"/>
      <c r="V83" s="396"/>
      <c r="W83" s="397"/>
      <c r="X83" s="397"/>
      <c r="Y83" s="398" t="s">
        <v>267</v>
      </c>
      <c r="Z83" s="399"/>
      <c r="AA83" s="436"/>
    </row>
    <row r="84" spans="1:27" s="112" customFormat="1" ht="36">
      <c r="A84" s="385">
        <v>72</v>
      </c>
      <c r="B84" s="387" t="s">
        <v>447</v>
      </c>
      <c r="C84" s="386" t="s">
        <v>55</v>
      </c>
      <c r="D84" s="387" t="s">
        <v>448</v>
      </c>
      <c r="E84" s="388">
        <v>2</v>
      </c>
      <c r="F84" s="389"/>
      <c r="G84" s="390">
        <f t="shared" si="2"/>
        <v>0</v>
      </c>
      <c r="H84" s="391"/>
      <c r="I84" s="387"/>
      <c r="J84" s="391"/>
      <c r="K84" s="387" t="s">
        <v>422</v>
      </c>
      <c r="L84" s="392" t="s">
        <v>285</v>
      </c>
      <c r="M84" s="387" t="s">
        <v>449</v>
      </c>
      <c r="N84" s="392"/>
      <c r="O84" s="392"/>
      <c r="P84" s="392" t="s">
        <v>424</v>
      </c>
      <c r="Q84" s="393" t="s">
        <v>293</v>
      </c>
      <c r="R84" s="393" t="s">
        <v>379</v>
      </c>
      <c r="S84" s="394" t="s">
        <v>446</v>
      </c>
      <c r="T84" s="394"/>
      <c r="U84" s="395"/>
      <c r="V84" s="396"/>
      <c r="W84" s="397"/>
      <c r="X84" s="397"/>
      <c r="Y84" s="398" t="s">
        <v>267</v>
      </c>
      <c r="Z84" s="399"/>
      <c r="AA84" s="436"/>
    </row>
    <row r="85" spans="1:27" s="112" customFormat="1" ht="36">
      <c r="A85" s="385">
        <v>73</v>
      </c>
      <c r="B85" s="387" t="s">
        <v>450</v>
      </c>
      <c r="C85" s="386" t="s">
        <v>55</v>
      </c>
      <c r="D85" s="387" t="s">
        <v>451</v>
      </c>
      <c r="E85" s="388">
        <v>1</v>
      </c>
      <c r="F85" s="389"/>
      <c r="G85" s="390">
        <f t="shared" si="2"/>
        <v>0</v>
      </c>
      <c r="H85" s="391"/>
      <c r="I85" s="387"/>
      <c r="J85" s="391"/>
      <c r="K85" s="387" t="s">
        <v>422</v>
      </c>
      <c r="L85" s="392" t="s">
        <v>285</v>
      </c>
      <c r="M85" s="387" t="s">
        <v>449</v>
      </c>
      <c r="N85" s="392"/>
      <c r="O85" s="392"/>
      <c r="P85" s="392" t="s">
        <v>424</v>
      </c>
      <c r="Q85" s="393" t="s">
        <v>293</v>
      </c>
      <c r="R85" s="393" t="s">
        <v>379</v>
      </c>
      <c r="S85" s="394" t="s">
        <v>446</v>
      </c>
      <c r="T85" s="394"/>
      <c r="U85" s="395"/>
      <c r="V85" s="396"/>
      <c r="W85" s="397"/>
      <c r="X85" s="397"/>
      <c r="Y85" s="398" t="s">
        <v>267</v>
      </c>
      <c r="Z85" s="399"/>
      <c r="AA85" s="436"/>
    </row>
    <row r="86" spans="1:27" s="112" customFormat="1" ht="36">
      <c r="A86" s="385">
        <v>74</v>
      </c>
      <c r="B86" s="387" t="s">
        <v>452</v>
      </c>
      <c r="C86" s="386" t="s">
        <v>55</v>
      </c>
      <c r="D86" s="387" t="s">
        <v>453</v>
      </c>
      <c r="E86" s="388">
        <v>6</v>
      </c>
      <c r="F86" s="389"/>
      <c r="G86" s="390">
        <f t="shared" si="2"/>
        <v>0</v>
      </c>
      <c r="H86" s="391"/>
      <c r="I86" s="387"/>
      <c r="J86" s="391"/>
      <c r="K86" s="387" t="s">
        <v>417</v>
      </c>
      <c r="L86" s="392" t="s">
        <v>323</v>
      </c>
      <c r="M86" s="387" t="s">
        <v>323</v>
      </c>
      <c r="N86" s="392"/>
      <c r="O86" s="392"/>
      <c r="P86" s="392" t="s">
        <v>323</v>
      </c>
      <c r="Q86" s="393" t="s">
        <v>418</v>
      </c>
      <c r="R86" s="393" t="s">
        <v>323</v>
      </c>
      <c r="S86" s="394" t="s">
        <v>323</v>
      </c>
      <c r="T86" s="394"/>
      <c r="U86" s="395"/>
      <c r="V86" s="396"/>
      <c r="W86" s="397"/>
      <c r="X86" s="397"/>
      <c r="Y86" s="398" t="s">
        <v>267</v>
      </c>
      <c r="Z86" s="399"/>
      <c r="AA86" s="436"/>
    </row>
    <row r="87" spans="1:27" s="112" customFormat="1" ht="36">
      <c r="A87" s="385">
        <v>75</v>
      </c>
      <c r="B87" s="387" t="s">
        <v>454</v>
      </c>
      <c r="C87" s="386" t="s">
        <v>55</v>
      </c>
      <c r="D87" s="387" t="s">
        <v>455</v>
      </c>
      <c r="E87" s="388">
        <v>2</v>
      </c>
      <c r="F87" s="389"/>
      <c r="G87" s="390">
        <f t="shared" si="2"/>
        <v>0</v>
      </c>
      <c r="H87" s="391"/>
      <c r="I87" s="387"/>
      <c r="J87" s="391"/>
      <c r="K87" s="387" t="s">
        <v>417</v>
      </c>
      <c r="L87" s="392" t="s">
        <v>323</v>
      </c>
      <c r="M87" s="387" t="s">
        <v>323</v>
      </c>
      <c r="N87" s="392"/>
      <c r="O87" s="392"/>
      <c r="P87" s="392" t="s">
        <v>323</v>
      </c>
      <c r="Q87" s="393" t="s">
        <v>418</v>
      </c>
      <c r="R87" s="393" t="s">
        <v>323</v>
      </c>
      <c r="S87" s="394" t="s">
        <v>323</v>
      </c>
      <c r="T87" s="394"/>
      <c r="U87" s="395"/>
      <c r="V87" s="396"/>
      <c r="W87" s="397"/>
      <c r="X87" s="397"/>
      <c r="Y87" s="398" t="s">
        <v>267</v>
      </c>
      <c r="Z87" s="399"/>
      <c r="AA87" s="436"/>
    </row>
    <row r="88" spans="1:27" s="415" customFormat="1" ht="36">
      <c r="A88" s="400">
        <v>76</v>
      </c>
      <c r="B88" s="401" t="s">
        <v>456</v>
      </c>
      <c r="C88" s="402" t="s">
        <v>55</v>
      </c>
      <c r="D88" s="401" t="s">
        <v>457</v>
      </c>
      <c r="E88" s="403">
        <v>1</v>
      </c>
      <c r="F88" s="404"/>
      <c r="G88" s="405">
        <f t="shared" si="2"/>
        <v>0</v>
      </c>
      <c r="H88" s="406"/>
      <c r="I88" s="401"/>
      <c r="J88" s="406"/>
      <c r="K88" s="401" t="s">
        <v>422</v>
      </c>
      <c r="L88" s="407" t="s">
        <v>323</v>
      </c>
      <c r="M88" s="401" t="s">
        <v>323</v>
      </c>
      <c r="N88" s="407"/>
      <c r="O88" s="407"/>
      <c r="P88" s="407" t="s">
        <v>323</v>
      </c>
      <c r="Q88" s="408" t="s">
        <v>418</v>
      </c>
      <c r="R88" s="408"/>
      <c r="S88" s="409" t="s">
        <v>323</v>
      </c>
      <c r="T88" s="409" t="s">
        <v>422</v>
      </c>
      <c r="U88" s="410"/>
      <c r="V88" s="411"/>
      <c r="W88" s="412"/>
      <c r="X88" s="412"/>
      <c r="Y88" s="413" t="s">
        <v>304</v>
      </c>
      <c r="Z88" s="414"/>
      <c r="AA88" s="438"/>
    </row>
    <row r="89" spans="1:27" s="112" customFormat="1" ht="36">
      <c r="A89" s="385">
        <v>77</v>
      </c>
      <c r="B89" s="387" t="s">
        <v>458</v>
      </c>
      <c r="C89" s="386" t="s">
        <v>55</v>
      </c>
      <c r="D89" s="387" t="s">
        <v>459</v>
      </c>
      <c r="E89" s="388">
        <v>1</v>
      </c>
      <c r="F89" s="389"/>
      <c r="G89" s="390">
        <f t="shared" si="2"/>
        <v>0</v>
      </c>
      <c r="H89" s="391"/>
      <c r="I89" s="387"/>
      <c r="J89" s="391"/>
      <c r="K89" s="387" t="s">
        <v>417</v>
      </c>
      <c r="L89" s="392" t="s">
        <v>323</v>
      </c>
      <c r="M89" s="387" t="s">
        <v>323</v>
      </c>
      <c r="N89" s="392"/>
      <c r="O89" s="392"/>
      <c r="P89" s="392" t="s">
        <v>323</v>
      </c>
      <c r="Q89" s="393" t="s">
        <v>418</v>
      </c>
      <c r="R89" s="393" t="s">
        <v>323</v>
      </c>
      <c r="S89" s="394" t="s">
        <v>323</v>
      </c>
      <c r="T89" s="394"/>
      <c r="U89" s="395"/>
      <c r="V89" s="396"/>
      <c r="W89" s="397"/>
      <c r="X89" s="397"/>
      <c r="Y89" s="398" t="s">
        <v>267</v>
      </c>
      <c r="Z89" s="399"/>
      <c r="AA89" s="436"/>
    </row>
    <row r="90" spans="1:27" s="112" customFormat="1" ht="36">
      <c r="A90" s="385">
        <v>78</v>
      </c>
      <c r="B90" s="387" t="s">
        <v>460</v>
      </c>
      <c r="C90" s="386" t="s">
        <v>55</v>
      </c>
      <c r="D90" s="387" t="s">
        <v>461</v>
      </c>
      <c r="E90" s="388">
        <v>2</v>
      </c>
      <c r="F90" s="389"/>
      <c r="G90" s="390">
        <f t="shared" si="2"/>
        <v>0</v>
      </c>
      <c r="H90" s="391"/>
      <c r="I90" s="387"/>
      <c r="J90" s="391"/>
      <c r="K90" s="387" t="s">
        <v>422</v>
      </c>
      <c r="L90" s="392" t="s">
        <v>285</v>
      </c>
      <c r="M90" s="387" t="s">
        <v>435</v>
      </c>
      <c r="N90" s="392"/>
      <c r="O90" s="392"/>
      <c r="P90" s="392" t="s">
        <v>424</v>
      </c>
      <c r="Q90" s="393" t="s">
        <v>293</v>
      </c>
      <c r="R90" s="393" t="s">
        <v>157</v>
      </c>
      <c r="S90" s="394" t="s">
        <v>425</v>
      </c>
      <c r="T90" s="394"/>
      <c r="U90" s="395"/>
      <c r="V90" s="396"/>
      <c r="W90" s="397"/>
      <c r="X90" s="397"/>
      <c r="Y90" s="398" t="s">
        <v>267</v>
      </c>
      <c r="Z90" s="399"/>
      <c r="AA90" s="436"/>
    </row>
    <row r="91" spans="1:27" s="112" customFormat="1" ht="36">
      <c r="A91" s="385">
        <v>79</v>
      </c>
      <c r="B91" s="387" t="s">
        <v>462</v>
      </c>
      <c r="C91" s="386" t="s">
        <v>55</v>
      </c>
      <c r="D91" s="387" t="s">
        <v>463</v>
      </c>
      <c r="E91" s="388">
        <v>1</v>
      </c>
      <c r="F91" s="389"/>
      <c r="G91" s="390">
        <f t="shared" si="2"/>
        <v>0</v>
      </c>
      <c r="H91" s="391"/>
      <c r="I91" s="387"/>
      <c r="J91" s="391"/>
      <c r="K91" s="387" t="s">
        <v>422</v>
      </c>
      <c r="L91" s="392" t="s">
        <v>285</v>
      </c>
      <c r="M91" s="387" t="s">
        <v>435</v>
      </c>
      <c r="N91" s="392"/>
      <c r="O91" s="392"/>
      <c r="P91" s="392" t="s">
        <v>424</v>
      </c>
      <c r="Q91" s="393" t="s">
        <v>293</v>
      </c>
      <c r="R91" s="393" t="s">
        <v>157</v>
      </c>
      <c r="S91" s="394" t="s">
        <v>425</v>
      </c>
      <c r="T91" s="394"/>
      <c r="U91" s="395"/>
      <c r="V91" s="396"/>
      <c r="W91" s="397"/>
      <c r="X91" s="397"/>
      <c r="Y91" s="398" t="s">
        <v>267</v>
      </c>
      <c r="Z91" s="399"/>
      <c r="AA91" s="436"/>
    </row>
    <row r="92" spans="1:27" s="112" customFormat="1" ht="36">
      <c r="A92" s="385">
        <v>80</v>
      </c>
      <c r="B92" s="387" t="s">
        <v>441</v>
      </c>
      <c r="C92" s="386" t="s">
        <v>55</v>
      </c>
      <c r="D92" s="387" t="s">
        <v>442</v>
      </c>
      <c r="E92" s="388">
        <v>2</v>
      </c>
      <c r="F92" s="389"/>
      <c r="G92" s="390">
        <f t="shared" si="2"/>
        <v>0</v>
      </c>
      <c r="H92" s="391"/>
      <c r="I92" s="387"/>
      <c r="J92" s="391"/>
      <c r="K92" s="387" t="s">
        <v>422</v>
      </c>
      <c r="L92" s="392" t="s">
        <v>285</v>
      </c>
      <c r="M92" s="387" t="s">
        <v>435</v>
      </c>
      <c r="N92" s="392"/>
      <c r="O92" s="392"/>
      <c r="P92" s="392" t="s">
        <v>424</v>
      </c>
      <c r="Q92" s="393" t="s">
        <v>293</v>
      </c>
      <c r="R92" s="393" t="s">
        <v>157</v>
      </c>
      <c r="S92" s="394" t="s">
        <v>425</v>
      </c>
      <c r="T92" s="394"/>
      <c r="U92" s="395"/>
      <c r="V92" s="396"/>
      <c r="W92" s="397"/>
      <c r="X92" s="397"/>
      <c r="Y92" s="398" t="s">
        <v>267</v>
      </c>
      <c r="Z92" s="399"/>
      <c r="AA92" s="436"/>
    </row>
    <row r="93" spans="1:27" s="112" customFormat="1" ht="36">
      <c r="A93" s="385">
        <v>81</v>
      </c>
      <c r="B93" s="387" t="s">
        <v>464</v>
      </c>
      <c r="C93" s="386" t="s">
        <v>55</v>
      </c>
      <c r="D93" s="387" t="s">
        <v>465</v>
      </c>
      <c r="E93" s="388">
        <v>2</v>
      </c>
      <c r="F93" s="389"/>
      <c r="G93" s="390">
        <f t="shared" si="2"/>
        <v>0</v>
      </c>
      <c r="H93" s="391"/>
      <c r="I93" s="387"/>
      <c r="J93" s="391"/>
      <c r="K93" s="387" t="s">
        <v>422</v>
      </c>
      <c r="L93" s="392" t="s">
        <v>285</v>
      </c>
      <c r="M93" s="387" t="s">
        <v>435</v>
      </c>
      <c r="N93" s="392"/>
      <c r="O93" s="392"/>
      <c r="P93" s="392" t="s">
        <v>424</v>
      </c>
      <c r="Q93" s="393" t="s">
        <v>293</v>
      </c>
      <c r="R93" s="393" t="s">
        <v>157</v>
      </c>
      <c r="S93" s="394" t="s">
        <v>425</v>
      </c>
      <c r="T93" s="394"/>
      <c r="U93" s="395"/>
      <c r="V93" s="396"/>
      <c r="W93" s="397"/>
      <c r="X93" s="397"/>
      <c r="Y93" s="398" t="s">
        <v>267</v>
      </c>
      <c r="Z93" s="399"/>
      <c r="AA93" s="436"/>
    </row>
    <row r="94" spans="1:27" s="112" customFormat="1" ht="36">
      <c r="A94" s="385">
        <v>82</v>
      </c>
      <c r="B94" s="387" t="s">
        <v>466</v>
      </c>
      <c r="C94" s="386" t="s">
        <v>55</v>
      </c>
      <c r="D94" s="387" t="s">
        <v>467</v>
      </c>
      <c r="E94" s="388">
        <v>6</v>
      </c>
      <c r="F94" s="389"/>
      <c r="G94" s="390">
        <f t="shared" si="2"/>
        <v>0</v>
      </c>
      <c r="H94" s="391"/>
      <c r="I94" s="387"/>
      <c r="J94" s="391"/>
      <c r="K94" s="387" t="s">
        <v>417</v>
      </c>
      <c r="L94" s="392" t="s">
        <v>323</v>
      </c>
      <c r="M94" s="387" t="s">
        <v>323</v>
      </c>
      <c r="N94" s="392"/>
      <c r="O94" s="392"/>
      <c r="P94" s="392" t="s">
        <v>323</v>
      </c>
      <c r="Q94" s="393" t="s">
        <v>418</v>
      </c>
      <c r="R94" s="393" t="s">
        <v>323</v>
      </c>
      <c r="S94" s="394" t="s">
        <v>323</v>
      </c>
      <c r="T94" s="394"/>
      <c r="U94" s="395"/>
      <c r="V94" s="396"/>
      <c r="W94" s="397"/>
      <c r="X94" s="397"/>
      <c r="Y94" s="398" t="s">
        <v>267</v>
      </c>
      <c r="Z94" s="399"/>
      <c r="AA94" s="436"/>
    </row>
    <row r="95" spans="1:27" s="112" customFormat="1" ht="36">
      <c r="A95" s="385">
        <v>83</v>
      </c>
      <c r="B95" s="387" t="s">
        <v>468</v>
      </c>
      <c r="C95" s="386" t="s">
        <v>55</v>
      </c>
      <c r="D95" s="387" t="s">
        <v>469</v>
      </c>
      <c r="E95" s="388">
        <v>2</v>
      </c>
      <c r="F95" s="389"/>
      <c r="G95" s="390">
        <f t="shared" si="2"/>
        <v>0</v>
      </c>
      <c r="H95" s="391"/>
      <c r="I95" s="387"/>
      <c r="J95" s="391"/>
      <c r="K95" s="387" t="s">
        <v>422</v>
      </c>
      <c r="L95" s="392" t="s">
        <v>285</v>
      </c>
      <c r="M95" s="387" t="s">
        <v>435</v>
      </c>
      <c r="N95" s="392"/>
      <c r="O95" s="392"/>
      <c r="P95" s="392" t="s">
        <v>424</v>
      </c>
      <c r="Q95" s="393" t="s">
        <v>293</v>
      </c>
      <c r="R95" s="393" t="s">
        <v>157</v>
      </c>
      <c r="S95" s="394" t="s">
        <v>425</v>
      </c>
      <c r="T95" s="394"/>
      <c r="U95" s="395"/>
      <c r="V95" s="396"/>
      <c r="W95" s="397"/>
      <c r="X95" s="397"/>
      <c r="Y95" s="398" t="s">
        <v>267</v>
      </c>
      <c r="Z95" s="399"/>
      <c r="AA95" s="436"/>
    </row>
    <row r="96" spans="1:27" s="112" customFormat="1">
      <c r="A96" s="385">
        <v>84</v>
      </c>
      <c r="B96" s="387" t="s">
        <v>470</v>
      </c>
      <c r="C96" s="386" t="s">
        <v>55</v>
      </c>
      <c r="D96" s="387" t="s">
        <v>471</v>
      </c>
      <c r="E96" s="388">
        <v>2</v>
      </c>
      <c r="F96" s="389"/>
      <c r="G96" s="390">
        <f t="shared" si="2"/>
        <v>0</v>
      </c>
      <c r="H96" s="391"/>
      <c r="I96" s="387"/>
      <c r="J96" s="391"/>
      <c r="K96" s="387"/>
      <c r="L96" s="392"/>
      <c r="M96" s="387"/>
      <c r="N96" s="392"/>
      <c r="O96" s="392"/>
      <c r="P96" s="392"/>
      <c r="Q96" s="393"/>
      <c r="R96" s="393"/>
      <c r="S96" s="394"/>
      <c r="T96" s="394" t="s">
        <v>419</v>
      </c>
      <c r="U96" s="395"/>
      <c r="V96" s="396"/>
      <c r="W96" s="397"/>
      <c r="X96" s="397"/>
      <c r="Y96" s="398" t="s">
        <v>267</v>
      </c>
      <c r="Z96" s="399"/>
      <c r="AA96" s="436"/>
    </row>
    <row r="97" spans="1:27" s="112" customFormat="1" ht="36">
      <c r="A97" s="385">
        <v>85</v>
      </c>
      <c r="B97" s="387" t="s">
        <v>472</v>
      </c>
      <c r="C97" s="386" t="s">
        <v>55</v>
      </c>
      <c r="D97" s="387" t="s">
        <v>473</v>
      </c>
      <c r="E97" s="388">
        <v>2</v>
      </c>
      <c r="F97" s="389"/>
      <c r="G97" s="390">
        <f t="shared" si="2"/>
        <v>0</v>
      </c>
      <c r="H97" s="391"/>
      <c r="I97" s="387"/>
      <c r="J97" s="391"/>
      <c r="K97" s="387" t="s">
        <v>422</v>
      </c>
      <c r="L97" s="392" t="s">
        <v>285</v>
      </c>
      <c r="M97" s="387" t="s">
        <v>449</v>
      </c>
      <c r="N97" s="392"/>
      <c r="O97" s="392"/>
      <c r="P97" s="392" t="s">
        <v>424</v>
      </c>
      <c r="Q97" s="393" t="s">
        <v>293</v>
      </c>
      <c r="R97" s="393" t="s">
        <v>379</v>
      </c>
      <c r="S97" s="394" t="s">
        <v>446</v>
      </c>
      <c r="T97" s="394"/>
      <c r="U97" s="395"/>
      <c r="V97" s="396"/>
      <c r="W97" s="397"/>
      <c r="X97" s="397"/>
      <c r="Y97" s="398" t="s">
        <v>267</v>
      </c>
      <c r="Z97" s="399"/>
      <c r="AA97" s="436"/>
    </row>
    <row r="98" spans="1:27" s="112" customFormat="1" ht="36">
      <c r="A98" s="385">
        <v>86</v>
      </c>
      <c r="B98" s="387" t="s">
        <v>474</v>
      </c>
      <c r="C98" s="386" t="s">
        <v>55</v>
      </c>
      <c r="D98" s="387" t="s">
        <v>475</v>
      </c>
      <c r="E98" s="388">
        <v>2</v>
      </c>
      <c r="F98" s="389"/>
      <c r="G98" s="390">
        <f t="shared" si="2"/>
        <v>0</v>
      </c>
      <c r="H98" s="391"/>
      <c r="I98" s="387"/>
      <c r="J98" s="391"/>
      <c r="K98" s="387" t="s">
        <v>422</v>
      </c>
      <c r="L98" s="392" t="s">
        <v>285</v>
      </c>
      <c r="M98" s="387" t="s">
        <v>435</v>
      </c>
      <c r="N98" s="392"/>
      <c r="O98" s="392"/>
      <c r="P98" s="392" t="s">
        <v>424</v>
      </c>
      <c r="Q98" s="393" t="s">
        <v>293</v>
      </c>
      <c r="R98" s="393" t="s">
        <v>157</v>
      </c>
      <c r="S98" s="394" t="s">
        <v>425</v>
      </c>
      <c r="T98" s="394"/>
      <c r="U98" s="395"/>
      <c r="V98" s="396"/>
      <c r="W98" s="397"/>
      <c r="X98" s="397"/>
      <c r="Y98" s="398" t="s">
        <v>267</v>
      </c>
      <c r="Z98" s="399"/>
      <c r="AA98" s="436"/>
    </row>
    <row r="99" spans="1:27" s="112" customFormat="1" ht="36">
      <c r="A99" s="421">
        <v>87</v>
      </c>
      <c r="B99" s="422" t="s">
        <v>476</v>
      </c>
      <c r="C99" s="423" t="s">
        <v>55</v>
      </c>
      <c r="D99" s="422" t="s">
        <v>477</v>
      </c>
      <c r="E99" s="424">
        <v>1</v>
      </c>
      <c r="F99" s="425"/>
      <c r="G99" s="426">
        <f t="shared" si="2"/>
        <v>0</v>
      </c>
      <c r="H99" s="427"/>
      <c r="I99" s="422"/>
      <c r="J99" s="427"/>
      <c r="K99" s="422" t="s">
        <v>422</v>
      </c>
      <c r="L99" s="428" t="s">
        <v>285</v>
      </c>
      <c r="M99" s="422" t="s">
        <v>478</v>
      </c>
      <c r="N99" s="428"/>
      <c r="O99" s="428"/>
      <c r="P99" s="428" t="s">
        <v>424</v>
      </c>
      <c r="Q99" s="429" t="s">
        <v>293</v>
      </c>
      <c r="R99" s="429" t="s">
        <v>131</v>
      </c>
      <c r="S99" s="430" t="s">
        <v>479</v>
      </c>
      <c r="T99" s="430"/>
      <c r="U99" s="431"/>
      <c r="V99" s="432"/>
      <c r="W99" s="433" t="s">
        <v>266</v>
      </c>
      <c r="X99" s="433">
        <v>45609</v>
      </c>
      <c r="Y99" s="434" t="s">
        <v>267</v>
      </c>
      <c r="Z99" s="435"/>
      <c r="AA99" s="437"/>
    </row>
    <row r="100" spans="1:27" s="112" customFormat="1" ht="36">
      <c r="A100" s="421">
        <v>88</v>
      </c>
      <c r="B100" s="422" t="s">
        <v>480</v>
      </c>
      <c r="C100" s="423" t="s">
        <v>55</v>
      </c>
      <c r="D100" s="422" t="s">
        <v>481</v>
      </c>
      <c r="E100" s="424">
        <v>1</v>
      </c>
      <c r="F100" s="425"/>
      <c r="G100" s="426">
        <f t="shared" si="2"/>
        <v>0</v>
      </c>
      <c r="H100" s="427"/>
      <c r="I100" s="422"/>
      <c r="J100" s="427"/>
      <c r="K100" s="422" t="s">
        <v>422</v>
      </c>
      <c r="L100" s="428" t="s">
        <v>285</v>
      </c>
      <c r="M100" s="422" t="s">
        <v>478</v>
      </c>
      <c r="N100" s="428"/>
      <c r="O100" s="428"/>
      <c r="P100" s="428" t="s">
        <v>424</v>
      </c>
      <c r="Q100" s="429" t="s">
        <v>293</v>
      </c>
      <c r="R100" s="429" t="s">
        <v>131</v>
      </c>
      <c r="S100" s="430" t="s">
        <v>479</v>
      </c>
      <c r="T100" s="430"/>
      <c r="U100" s="431"/>
      <c r="V100" s="432"/>
      <c r="W100" s="433" t="s">
        <v>266</v>
      </c>
      <c r="X100" s="433">
        <v>45609</v>
      </c>
      <c r="Y100" s="434" t="s">
        <v>267</v>
      </c>
      <c r="Z100" s="435"/>
      <c r="AA100" s="437"/>
    </row>
    <row r="101" spans="1:27" s="112" customFormat="1" ht="36">
      <c r="A101" s="421">
        <v>89</v>
      </c>
      <c r="B101" s="422" t="s">
        <v>402</v>
      </c>
      <c r="C101" s="423" t="s">
        <v>55</v>
      </c>
      <c r="D101" s="422" t="s">
        <v>403</v>
      </c>
      <c r="E101" s="424">
        <v>1</v>
      </c>
      <c r="F101" s="425"/>
      <c r="G101" s="426">
        <f t="shared" si="2"/>
        <v>0</v>
      </c>
      <c r="H101" s="427"/>
      <c r="I101" s="422"/>
      <c r="J101" s="427"/>
      <c r="K101" s="422" t="s">
        <v>422</v>
      </c>
      <c r="L101" s="428" t="s">
        <v>285</v>
      </c>
      <c r="M101" s="422" t="s">
        <v>478</v>
      </c>
      <c r="N101" s="428"/>
      <c r="O101" s="428"/>
      <c r="P101" s="428" t="s">
        <v>424</v>
      </c>
      <c r="Q101" s="429" t="s">
        <v>293</v>
      </c>
      <c r="R101" s="429" t="s">
        <v>131</v>
      </c>
      <c r="S101" s="430" t="s">
        <v>479</v>
      </c>
      <c r="T101" s="430"/>
      <c r="U101" s="431"/>
      <c r="V101" s="432"/>
      <c r="W101" s="433" t="s">
        <v>266</v>
      </c>
      <c r="X101" s="433">
        <v>45609</v>
      </c>
      <c r="Y101" s="434" t="s">
        <v>267</v>
      </c>
      <c r="Z101" s="435"/>
      <c r="AA101" s="437"/>
    </row>
    <row r="102" spans="1:27" s="112" customFormat="1" ht="36">
      <c r="A102" s="385">
        <v>90</v>
      </c>
      <c r="B102" s="387" t="s">
        <v>482</v>
      </c>
      <c r="C102" s="386" t="s">
        <v>55</v>
      </c>
      <c r="D102" s="387" t="s">
        <v>483</v>
      </c>
      <c r="E102" s="388">
        <v>2</v>
      </c>
      <c r="F102" s="389"/>
      <c r="G102" s="390">
        <f t="shared" si="2"/>
        <v>0</v>
      </c>
      <c r="H102" s="391"/>
      <c r="I102" s="387"/>
      <c r="J102" s="391"/>
      <c r="K102" s="387" t="s">
        <v>422</v>
      </c>
      <c r="L102" s="392" t="s">
        <v>285</v>
      </c>
      <c r="M102" s="387" t="s">
        <v>435</v>
      </c>
      <c r="N102" s="392"/>
      <c r="O102" s="392"/>
      <c r="P102" s="392" t="s">
        <v>424</v>
      </c>
      <c r="Q102" s="393" t="s">
        <v>293</v>
      </c>
      <c r="R102" s="393" t="s">
        <v>157</v>
      </c>
      <c r="S102" s="394" t="s">
        <v>425</v>
      </c>
      <c r="T102" s="394"/>
      <c r="U102" s="395"/>
      <c r="V102" s="396"/>
      <c r="W102" s="397"/>
      <c r="X102" s="397"/>
      <c r="Y102" s="398" t="s">
        <v>267</v>
      </c>
      <c r="Z102" s="399"/>
      <c r="AA102" s="436"/>
    </row>
    <row r="103" spans="1:27" s="112" customFormat="1" ht="36">
      <c r="A103" s="385">
        <v>91</v>
      </c>
      <c r="B103" s="387" t="s">
        <v>484</v>
      </c>
      <c r="C103" s="386" t="s">
        <v>55</v>
      </c>
      <c r="D103" s="387" t="s">
        <v>485</v>
      </c>
      <c r="E103" s="388">
        <v>2</v>
      </c>
      <c r="F103" s="389"/>
      <c r="G103" s="390">
        <f t="shared" si="2"/>
        <v>0</v>
      </c>
      <c r="H103" s="391"/>
      <c r="I103" s="387"/>
      <c r="J103" s="391"/>
      <c r="K103" s="387" t="s">
        <v>422</v>
      </c>
      <c r="L103" s="392" t="s">
        <v>285</v>
      </c>
      <c r="M103" s="387" t="s">
        <v>423</v>
      </c>
      <c r="N103" s="392"/>
      <c r="O103" s="392"/>
      <c r="P103" s="392" t="s">
        <v>424</v>
      </c>
      <c r="Q103" s="393" t="s">
        <v>293</v>
      </c>
      <c r="R103" s="393" t="s">
        <v>143</v>
      </c>
      <c r="S103" s="394" t="s">
        <v>425</v>
      </c>
      <c r="T103" s="394"/>
      <c r="U103" s="395"/>
      <c r="V103" s="396"/>
      <c r="W103" s="397"/>
      <c r="X103" s="397"/>
      <c r="Y103" s="398" t="s">
        <v>267</v>
      </c>
      <c r="Z103" s="399"/>
      <c r="AA103" s="436"/>
    </row>
    <row r="104" spans="1:27" s="112" customFormat="1" ht="36">
      <c r="A104" s="385">
        <v>92</v>
      </c>
      <c r="B104" s="387" t="s">
        <v>486</v>
      </c>
      <c r="C104" s="386" t="s">
        <v>55</v>
      </c>
      <c r="D104" s="387" t="s">
        <v>487</v>
      </c>
      <c r="E104" s="388">
        <v>1</v>
      </c>
      <c r="F104" s="389"/>
      <c r="G104" s="390">
        <f t="shared" si="2"/>
        <v>0</v>
      </c>
      <c r="H104" s="391"/>
      <c r="I104" s="387"/>
      <c r="J104" s="391"/>
      <c r="K104" s="387" t="s">
        <v>422</v>
      </c>
      <c r="L104" s="392" t="s">
        <v>285</v>
      </c>
      <c r="M104" s="387" t="s">
        <v>423</v>
      </c>
      <c r="N104" s="392"/>
      <c r="O104" s="392"/>
      <c r="P104" s="392" t="s">
        <v>424</v>
      </c>
      <c r="Q104" s="393" t="s">
        <v>293</v>
      </c>
      <c r="R104" s="393" t="s">
        <v>143</v>
      </c>
      <c r="S104" s="394" t="s">
        <v>425</v>
      </c>
      <c r="T104" s="394"/>
      <c r="U104" s="395"/>
      <c r="V104" s="396"/>
      <c r="W104" s="397"/>
      <c r="X104" s="397"/>
      <c r="Y104" s="398" t="s">
        <v>267</v>
      </c>
      <c r="Z104" s="399"/>
      <c r="AA104" s="436"/>
    </row>
    <row r="105" spans="1:27" s="112" customFormat="1" ht="36">
      <c r="A105" s="385">
        <v>93</v>
      </c>
      <c r="B105" s="387" t="s">
        <v>488</v>
      </c>
      <c r="C105" s="386" t="s">
        <v>55</v>
      </c>
      <c r="D105" s="387" t="s">
        <v>489</v>
      </c>
      <c r="E105" s="388">
        <v>1</v>
      </c>
      <c r="F105" s="389"/>
      <c r="G105" s="390">
        <f t="shared" si="2"/>
        <v>0</v>
      </c>
      <c r="H105" s="391"/>
      <c r="I105" s="387"/>
      <c r="J105" s="391"/>
      <c r="K105" s="387" t="s">
        <v>430</v>
      </c>
      <c r="L105" s="392" t="s">
        <v>285</v>
      </c>
      <c r="M105" s="387" t="s">
        <v>431</v>
      </c>
      <c r="N105" s="392"/>
      <c r="O105" s="392"/>
      <c r="P105" s="392" t="s">
        <v>424</v>
      </c>
      <c r="Q105" s="393" t="s">
        <v>293</v>
      </c>
      <c r="R105" s="393" t="s">
        <v>157</v>
      </c>
      <c r="S105" s="394" t="s">
        <v>432</v>
      </c>
      <c r="T105" s="394"/>
      <c r="U105" s="395"/>
      <c r="V105" s="396"/>
      <c r="W105" s="397"/>
      <c r="X105" s="397"/>
      <c r="Y105" s="398" t="s">
        <v>267</v>
      </c>
      <c r="Z105" s="399"/>
      <c r="AA105" s="436"/>
    </row>
    <row r="106" spans="1:27" s="112" customFormat="1" ht="36">
      <c r="A106" s="385">
        <v>94</v>
      </c>
      <c r="B106" s="387" t="s">
        <v>490</v>
      </c>
      <c r="C106" s="386" t="s">
        <v>55</v>
      </c>
      <c r="D106" s="387" t="s">
        <v>491</v>
      </c>
      <c r="E106" s="388">
        <v>1</v>
      </c>
      <c r="F106" s="389"/>
      <c r="G106" s="390">
        <f t="shared" si="2"/>
        <v>0</v>
      </c>
      <c r="H106" s="391"/>
      <c r="I106" s="387"/>
      <c r="J106" s="391"/>
      <c r="K106" s="387" t="s">
        <v>417</v>
      </c>
      <c r="L106" s="392" t="s">
        <v>323</v>
      </c>
      <c r="M106" s="387" t="s">
        <v>323</v>
      </c>
      <c r="N106" s="392"/>
      <c r="O106" s="392"/>
      <c r="P106" s="392" t="s">
        <v>323</v>
      </c>
      <c r="Q106" s="393" t="s">
        <v>418</v>
      </c>
      <c r="R106" s="393" t="s">
        <v>323</v>
      </c>
      <c r="S106" s="394" t="s">
        <v>323</v>
      </c>
      <c r="T106" s="394"/>
      <c r="U106" s="395"/>
      <c r="V106" s="396"/>
      <c r="W106" s="397"/>
      <c r="X106" s="397"/>
      <c r="Y106" s="398" t="s">
        <v>267</v>
      </c>
      <c r="Z106" s="399"/>
      <c r="AA106" s="436"/>
    </row>
    <row r="107" spans="1:27" s="112" customFormat="1" ht="36">
      <c r="A107" s="385">
        <v>95</v>
      </c>
      <c r="B107" s="387" t="s">
        <v>452</v>
      </c>
      <c r="C107" s="386" t="s">
        <v>55</v>
      </c>
      <c r="D107" s="387" t="s">
        <v>453</v>
      </c>
      <c r="E107" s="388">
        <v>2</v>
      </c>
      <c r="F107" s="389"/>
      <c r="G107" s="390">
        <f t="shared" ref="G107:G121" si="3">E107*F107</f>
        <v>0</v>
      </c>
      <c r="H107" s="391"/>
      <c r="I107" s="387"/>
      <c r="J107" s="391"/>
      <c r="K107" s="387" t="s">
        <v>417</v>
      </c>
      <c r="L107" s="392" t="s">
        <v>323</v>
      </c>
      <c r="M107" s="387" t="s">
        <v>323</v>
      </c>
      <c r="N107" s="392"/>
      <c r="O107" s="392"/>
      <c r="P107" s="392" t="s">
        <v>323</v>
      </c>
      <c r="Q107" s="393" t="s">
        <v>418</v>
      </c>
      <c r="R107" s="393" t="s">
        <v>323</v>
      </c>
      <c r="S107" s="394" t="s">
        <v>323</v>
      </c>
      <c r="T107" s="394"/>
      <c r="U107" s="395"/>
      <c r="V107" s="396"/>
      <c r="W107" s="397"/>
      <c r="X107" s="397"/>
      <c r="Y107" s="398" t="s">
        <v>267</v>
      </c>
      <c r="Z107" s="399"/>
      <c r="AA107" s="436"/>
    </row>
    <row r="108" spans="1:27" s="112" customFormat="1" ht="36">
      <c r="A108" s="385">
        <v>96</v>
      </c>
      <c r="B108" s="387" t="s">
        <v>454</v>
      </c>
      <c r="C108" s="386" t="s">
        <v>55</v>
      </c>
      <c r="D108" s="387" t="s">
        <v>455</v>
      </c>
      <c r="E108" s="388">
        <v>7</v>
      </c>
      <c r="F108" s="389"/>
      <c r="G108" s="390">
        <f t="shared" si="3"/>
        <v>0</v>
      </c>
      <c r="H108" s="391"/>
      <c r="I108" s="387"/>
      <c r="J108" s="391"/>
      <c r="K108" s="387" t="s">
        <v>417</v>
      </c>
      <c r="L108" s="392" t="s">
        <v>323</v>
      </c>
      <c r="M108" s="387" t="s">
        <v>323</v>
      </c>
      <c r="N108" s="392"/>
      <c r="O108" s="392"/>
      <c r="P108" s="392" t="s">
        <v>323</v>
      </c>
      <c r="Q108" s="393" t="s">
        <v>418</v>
      </c>
      <c r="R108" s="393" t="s">
        <v>323</v>
      </c>
      <c r="S108" s="394" t="s">
        <v>323</v>
      </c>
      <c r="T108" s="394"/>
      <c r="U108" s="395"/>
      <c r="V108" s="396"/>
      <c r="W108" s="397"/>
      <c r="X108" s="397"/>
      <c r="Y108" s="398" t="s">
        <v>267</v>
      </c>
      <c r="Z108" s="399"/>
      <c r="AA108" s="436"/>
    </row>
    <row r="109" spans="1:27" s="112" customFormat="1">
      <c r="A109" s="385">
        <v>97</v>
      </c>
      <c r="B109" s="387" t="s">
        <v>492</v>
      </c>
      <c r="C109" s="386" t="s">
        <v>55</v>
      </c>
      <c r="D109" s="387" t="s">
        <v>493</v>
      </c>
      <c r="E109" s="388">
        <v>1</v>
      </c>
      <c r="F109" s="389"/>
      <c r="G109" s="390">
        <f t="shared" si="3"/>
        <v>0</v>
      </c>
      <c r="H109" s="391"/>
      <c r="I109" s="387"/>
      <c r="J109" s="391"/>
      <c r="K109" s="387"/>
      <c r="L109" s="392"/>
      <c r="M109" s="387"/>
      <c r="N109" s="392"/>
      <c r="O109" s="392"/>
      <c r="P109" s="392"/>
      <c r="Q109" s="393"/>
      <c r="R109" s="393"/>
      <c r="S109" s="394"/>
      <c r="T109" s="394" t="s">
        <v>979</v>
      </c>
      <c r="U109" s="395"/>
      <c r="V109" s="396"/>
      <c r="W109" s="397"/>
      <c r="X109" s="397"/>
      <c r="Y109" s="398" t="s">
        <v>267</v>
      </c>
      <c r="Z109" s="399"/>
      <c r="AA109" s="436"/>
    </row>
    <row r="110" spans="1:27" s="112" customFormat="1" ht="36">
      <c r="A110" s="385">
        <v>98</v>
      </c>
      <c r="B110" s="387" t="s">
        <v>494</v>
      </c>
      <c r="C110" s="386" t="s">
        <v>55</v>
      </c>
      <c r="D110" s="387" t="s">
        <v>495</v>
      </c>
      <c r="E110" s="388">
        <v>2</v>
      </c>
      <c r="F110" s="389"/>
      <c r="G110" s="390">
        <f t="shared" si="3"/>
        <v>0</v>
      </c>
      <c r="H110" s="391"/>
      <c r="I110" s="387"/>
      <c r="J110" s="391"/>
      <c r="K110" s="387" t="s">
        <v>496</v>
      </c>
      <c r="L110" s="392" t="s">
        <v>497</v>
      </c>
      <c r="M110" s="387" t="s">
        <v>498</v>
      </c>
      <c r="N110" s="392"/>
      <c r="O110" s="392"/>
      <c r="P110" s="392" t="s">
        <v>424</v>
      </c>
      <c r="Q110" s="393" t="s">
        <v>293</v>
      </c>
      <c r="R110" s="393" t="s">
        <v>157</v>
      </c>
      <c r="S110" s="394" t="s">
        <v>499</v>
      </c>
      <c r="T110" s="394" t="s">
        <v>976</v>
      </c>
      <c r="U110" s="395"/>
      <c r="V110" s="396"/>
      <c r="W110" s="397"/>
      <c r="X110" s="397"/>
      <c r="Y110" s="398" t="s">
        <v>267</v>
      </c>
      <c r="Z110" s="399"/>
      <c r="AA110" s="436"/>
    </row>
    <row r="111" spans="1:27" s="112" customFormat="1" ht="36">
      <c r="A111" s="385">
        <v>99</v>
      </c>
      <c r="B111" s="387" t="s">
        <v>500</v>
      </c>
      <c r="C111" s="386" t="s">
        <v>55</v>
      </c>
      <c r="D111" s="387" t="s">
        <v>501</v>
      </c>
      <c r="E111" s="388">
        <v>1</v>
      </c>
      <c r="F111" s="389"/>
      <c r="G111" s="390">
        <f t="shared" si="3"/>
        <v>0</v>
      </c>
      <c r="H111" s="391"/>
      <c r="I111" s="387"/>
      <c r="J111" s="391"/>
      <c r="K111" s="387" t="s">
        <v>417</v>
      </c>
      <c r="L111" s="392" t="s">
        <v>323</v>
      </c>
      <c r="M111" s="387" t="s">
        <v>323</v>
      </c>
      <c r="N111" s="392"/>
      <c r="O111" s="392"/>
      <c r="P111" s="392" t="s">
        <v>323</v>
      </c>
      <c r="Q111" s="393" t="s">
        <v>418</v>
      </c>
      <c r="R111" s="393" t="s">
        <v>323</v>
      </c>
      <c r="S111" s="394" t="s">
        <v>323</v>
      </c>
      <c r="T111" s="394" t="s">
        <v>977</v>
      </c>
      <c r="U111" s="395"/>
      <c r="V111" s="396"/>
      <c r="W111" s="397"/>
      <c r="X111" s="397"/>
      <c r="Y111" s="398" t="s">
        <v>267</v>
      </c>
      <c r="Z111" s="399"/>
      <c r="AA111" s="436"/>
    </row>
    <row r="112" spans="1:27" s="112" customFormat="1" ht="36">
      <c r="A112" s="385">
        <v>100</v>
      </c>
      <c r="B112" s="387" t="s">
        <v>502</v>
      </c>
      <c r="C112" s="386" t="s">
        <v>55</v>
      </c>
      <c r="D112" s="387" t="s">
        <v>503</v>
      </c>
      <c r="E112" s="388">
        <v>1</v>
      </c>
      <c r="F112" s="389"/>
      <c r="G112" s="390">
        <f t="shared" si="3"/>
        <v>0</v>
      </c>
      <c r="H112" s="391"/>
      <c r="I112" s="387"/>
      <c r="J112" s="391"/>
      <c r="K112" s="387" t="s">
        <v>496</v>
      </c>
      <c r="L112" s="392" t="s">
        <v>497</v>
      </c>
      <c r="M112" s="387" t="s">
        <v>504</v>
      </c>
      <c r="N112" s="392"/>
      <c r="O112" s="392"/>
      <c r="P112" s="392" t="s">
        <v>424</v>
      </c>
      <c r="Q112" s="393" t="s">
        <v>293</v>
      </c>
      <c r="R112" s="393" t="s">
        <v>143</v>
      </c>
      <c r="S112" s="394" t="s">
        <v>425</v>
      </c>
      <c r="T112" s="394"/>
      <c r="U112" s="395"/>
      <c r="V112" s="396"/>
      <c r="W112" s="397"/>
      <c r="X112" s="397"/>
      <c r="Y112" s="398" t="s">
        <v>267</v>
      </c>
      <c r="Z112" s="399"/>
      <c r="AA112" s="436"/>
    </row>
    <row r="113" spans="1:27" s="112" customFormat="1" ht="36">
      <c r="A113" s="385">
        <v>101</v>
      </c>
      <c r="B113" s="387" t="s">
        <v>505</v>
      </c>
      <c r="C113" s="386" t="s">
        <v>55</v>
      </c>
      <c r="D113" s="387" t="s">
        <v>506</v>
      </c>
      <c r="E113" s="388">
        <v>6</v>
      </c>
      <c r="F113" s="389"/>
      <c r="G113" s="390">
        <f t="shared" si="3"/>
        <v>0</v>
      </c>
      <c r="H113" s="391"/>
      <c r="I113" s="387"/>
      <c r="J113" s="391"/>
      <c r="K113" s="387" t="s">
        <v>417</v>
      </c>
      <c r="L113" s="392" t="s">
        <v>323</v>
      </c>
      <c r="M113" s="387" t="s">
        <v>323</v>
      </c>
      <c r="N113" s="392"/>
      <c r="O113" s="392"/>
      <c r="P113" s="392" t="s">
        <v>323</v>
      </c>
      <c r="Q113" s="393" t="s">
        <v>418</v>
      </c>
      <c r="R113" s="393" t="s">
        <v>323</v>
      </c>
      <c r="S113" s="394" t="s">
        <v>323</v>
      </c>
      <c r="T113" s="394"/>
      <c r="U113" s="395"/>
      <c r="V113" s="396"/>
      <c r="W113" s="397"/>
      <c r="X113" s="397"/>
      <c r="Y113" s="398" t="s">
        <v>267</v>
      </c>
      <c r="Z113" s="399"/>
      <c r="AA113" s="436"/>
    </row>
    <row r="114" spans="1:27" s="112" customFormat="1" ht="36">
      <c r="A114" s="385">
        <v>102</v>
      </c>
      <c r="B114" s="387" t="s">
        <v>507</v>
      </c>
      <c r="C114" s="386" t="s">
        <v>55</v>
      </c>
      <c r="D114" s="387" t="s">
        <v>508</v>
      </c>
      <c r="E114" s="388">
        <v>2</v>
      </c>
      <c r="F114" s="389"/>
      <c r="G114" s="390">
        <f t="shared" si="3"/>
        <v>0</v>
      </c>
      <c r="H114" s="391"/>
      <c r="I114" s="387"/>
      <c r="J114" s="391"/>
      <c r="K114" s="387" t="s">
        <v>417</v>
      </c>
      <c r="L114" s="392" t="s">
        <v>323</v>
      </c>
      <c r="M114" s="387" t="s">
        <v>323</v>
      </c>
      <c r="N114" s="392"/>
      <c r="O114" s="392"/>
      <c r="P114" s="392" t="s">
        <v>323</v>
      </c>
      <c r="Q114" s="393" t="s">
        <v>418</v>
      </c>
      <c r="R114" s="393" t="s">
        <v>323</v>
      </c>
      <c r="S114" s="394" t="s">
        <v>323</v>
      </c>
      <c r="T114" s="394"/>
      <c r="U114" s="395"/>
      <c r="V114" s="396"/>
      <c r="W114" s="397"/>
      <c r="X114" s="397"/>
      <c r="Y114" s="398" t="s">
        <v>267</v>
      </c>
      <c r="Z114" s="399"/>
      <c r="AA114" s="436"/>
    </row>
    <row r="115" spans="1:27" s="112" customFormat="1" ht="36">
      <c r="A115" s="385">
        <v>103</v>
      </c>
      <c r="B115" s="387" t="s">
        <v>509</v>
      </c>
      <c r="C115" s="386" t="s">
        <v>55</v>
      </c>
      <c r="D115" s="387" t="s">
        <v>510</v>
      </c>
      <c r="E115" s="388">
        <v>2</v>
      </c>
      <c r="F115" s="389"/>
      <c r="G115" s="390">
        <f t="shared" si="3"/>
        <v>0</v>
      </c>
      <c r="H115" s="391"/>
      <c r="I115" s="387"/>
      <c r="J115" s="391"/>
      <c r="K115" s="387" t="s">
        <v>496</v>
      </c>
      <c r="L115" s="392" t="s">
        <v>497</v>
      </c>
      <c r="M115" s="387" t="s">
        <v>498</v>
      </c>
      <c r="N115" s="392"/>
      <c r="O115" s="392"/>
      <c r="P115" s="392" t="s">
        <v>424</v>
      </c>
      <c r="Q115" s="393" t="s">
        <v>293</v>
      </c>
      <c r="R115" s="393" t="s">
        <v>157</v>
      </c>
      <c r="S115" s="394" t="s">
        <v>425</v>
      </c>
      <c r="T115" s="394"/>
      <c r="U115" s="395"/>
      <c r="V115" s="396"/>
      <c r="W115" s="397"/>
      <c r="X115" s="397"/>
      <c r="Y115" s="398" t="s">
        <v>267</v>
      </c>
      <c r="Z115" s="399"/>
      <c r="AA115" s="436"/>
    </row>
    <row r="116" spans="1:27" s="112" customFormat="1" ht="36">
      <c r="A116" s="385">
        <v>104</v>
      </c>
      <c r="B116" s="387" t="s">
        <v>511</v>
      </c>
      <c r="C116" s="386" t="s">
        <v>55</v>
      </c>
      <c r="D116" s="387" t="s">
        <v>512</v>
      </c>
      <c r="E116" s="388">
        <v>2</v>
      </c>
      <c r="F116" s="389"/>
      <c r="G116" s="390">
        <f t="shared" si="3"/>
        <v>0</v>
      </c>
      <c r="H116" s="391"/>
      <c r="I116" s="387"/>
      <c r="J116" s="391"/>
      <c r="K116" s="387" t="s">
        <v>496</v>
      </c>
      <c r="L116" s="392" t="s">
        <v>497</v>
      </c>
      <c r="M116" s="387" t="s">
        <v>504</v>
      </c>
      <c r="N116" s="392"/>
      <c r="O116" s="392"/>
      <c r="P116" s="392" t="s">
        <v>424</v>
      </c>
      <c r="Q116" s="393" t="s">
        <v>293</v>
      </c>
      <c r="R116" s="393" t="s">
        <v>143</v>
      </c>
      <c r="S116" s="394" t="s">
        <v>425</v>
      </c>
      <c r="T116" s="394"/>
      <c r="U116" s="395"/>
      <c r="V116" s="396"/>
      <c r="W116" s="397"/>
      <c r="X116" s="397"/>
      <c r="Y116" s="398" t="s">
        <v>267</v>
      </c>
      <c r="Z116" s="399"/>
      <c r="AA116" s="436"/>
    </row>
    <row r="117" spans="1:27" s="112" customFormat="1" ht="36">
      <c r="A117" s="385">
        <v>105</v>
      </c>
      <c r="B117" s="387" t="s">
        <v>513</v>
      </c>
      <c r="C117" s="386" t="s">
        <v>55</v>
      </c>
      <c r="D117" s="387" t="s">
        <v>514</v>
      </c>
      <c r="E117" s="388">
        <v>2</v>
      </c>
      <c r="F117" s="389"/>
      <c r="G117" s="390">
        <f t="shared" si="3"/>
        <v>0</v>
      </c>
      <c r="H117" s="391"/>
      <c r="I117" s="387"/>
      <c r="J117" s="391"/>
      <c r="K117" s="387" t="s">
        <v>496</v>
      </c>
      <c r="L117" s="392" t="s">
        <v>497</v>
      </c>
      <c r="M117" s="387" t="s">
        <v>504</v>
      </c>
      <c r="N117" s="392"/>
      <c r="O117" s="392"/>
      <c r="P117" s="392" t="s">
        <v>424</v>
      </c>
      <c r="Q117" s="393" t="s">
        <v>293</v>
      </c>
      <c r="R117" s="393" t="s">
        <v>143</v>
      </c>
      <c r="S117" s="394" t="s">
        <v>425</v>
      </c>
      <c r="T117" s="394"/>
      <c r="U117" s="395"/>
      <c r="V117" s="396"/>
      <c r="W117" s="397"/>
      <c r="X117" s="397"/>
      <c r="Y117" s="398" t="s">
        <v>267</v>
      </c>
      <c r="Z117" s="399"/>
      <c r="AA117" s="436"/>
    </row>
    <row r="118" spans="1:27" s="112" customFormat="1" ht="36">
      <c r="A118" s="385">
        <v>106</v>
      </c>
      <c r="B118" s="387" t="s">
        <v>515</v>
      </c>
      <c r="C118" s="386" t="s">
        <v>55</v>
      </c>
      <c r="D118" s="387" t="s">
        <v>516</v>
      </c>
      <c r="E118" s="388">
        <v>6</v>
      </c>
      <c r="F118" s="389"/>
      <c r="G118" s="390">
        <f t="shared" si="3"/>
        <v>0</v>
      </c>
      <c r="H118" s="391"/>
      <c r="I118" s="387"/>
      <c r="J118" s="391"/>
      <c r="K118" s="387" t="s">
        <v>496</v>
      </c>
      <c r="L118" s="392" t="s">
        <v>497</v>
      </c>
      <c r="M118" s="387" t="s">
        <v>504</v>
      </c>
      <c r="N118" s="392"/>
      <c r="O118" s="392"/>
      <c r="P118" s="392" t="s">
        <v>424</v>
      </c>
      <c r="Q118" s="393" t="s">
        <v>293</v>
      </c>
      <c r="R118" s="393" t="s">
        <v>143</v>
      </c>
      <c r="S118" s="394" t="s">
        <v>425</v>
      </c>
      <c r="T118" s="394"/>
      <c r="U118" s="395"/>
      <c r="V118" s="396"/>
      <c r="W118" s="397"/>
      <c r="X118" s="397"/>
      <c r="Y118" s="398" t="s">
        <v>267</v>
      </c>
      <c r="Z118" s="399"/>
      <c r="AA118" s="436"/>
    </row>
    <row r="119" spans="1:27" s="112" customFormat="1" ht="36">
      <c r="A119" s="385">
        <v>107</v>
      </c>
      <c r="B119" s="387" t="s">
        <v>517</v>
      </c>
      <c r="C119" s="386" t="s">
        <v>55</v>
      </c>
      <c r="D119" s="387" t="s">
        <v>518</v>
      </c>
      <c r="E119" s="388">
        <v>4</v>
      </c>
      <c r="F119" s="389"/>
      <c r="G119" s="390">
        <f t="shared" si="3"/>
        <v>0</v>
      </c>
      <c r="H119" s="391"/>
      <c r="I119" s="387"/>
      <c r="J119" s="391"/>
      <c r="K119" s="387" t="s">
        <v>496</v>
      </c>
      <c r="L119" s="392" t="s">
        <v>497</v>
      </c>
      <c r="M119" s="387" t="s">
        <v>519</v>
      </c>
      <c r="N119" s="392"/>
      <c r="O119" s="392"/>
      <c r="P119" s="392" t="s">
        <v>323</v>
      </c>
      <c r="Q119" s="393" t="s">
        <v>324</v>
      </c>
      <c r="R119" s="393" t="s">
        <v>520</v>
      </c>
      <c r="S119" s="394" t="s">
        <v>521</v>
      </c>
      <c r="T119" s="394"/>
      <c r="U119" s="395"/>
      <c r="V119" s="396"/>
      <c r="W119" s="397"/>
      <c r="X119" s="397"/>
      <c r="Y119" s="398" t="s">
        <v>267</v>
      </c>
      <c r="Z119" s="399"/>
      <c r="AA119" s="436"/>
    </row>
    <row r="120" spans="1:27" s="112" customFormat="1" ht="36">
      <c r="A120" s="421">
        <v>108</v>
      </c>
      <c r="B120" s="422" t="s">
        <v>522</v>
      </c>
      <c r="C120" s="423" t="s">
        <v>55</v>
      </c>
      <c r="D120" s="422" t="s">
        <v>523</v>
      </c>
      <c r="E120" s="424">
        <v>4</v>
      </c>
      <c r="F120" s="425"/>
      <c r="G120" s="426">
        <f t="shared" si="3"/>
        <v>0</v>
      </c>
      <c r="H120" s="427"/>
      <c r="I120" s="422"/>
      <c r="J120" s="427"/>
      <c r="K120" s="422" t="s">
        <v>496</v>
      </c>
      <c r="L120" s="428" t="s">
        <v>497</v>
      </c>
      <c r="M120" s="422" t="s">
        <v>498</v>
      </c>
      <c r="N120" s="428"/>
      <c r="O120" s="428"/>
      <c r="P120" s="428" t="s">
        <v>424</v>
      </c>
      <c r="Q120" s="429" t="s">
        <v>524</v>
      </c>
      <c r="R120" s="429" t="s">
        <v>157</v>
      </c>
      <c r="S120" s="430" t="s">
        <v>425</v>
      </c>
      <c r="T120" s="430" t="s">
        <v>525</v>
      </c>
      <c r="U120" s="431"/>
      <c r="V120" s="432"/>
      <c r="W120" s="433" t="s">
        <v>266</v>
      </c>
      <c r="X120" s="433">
        <v>45608</v>
      </c>
      <c r="Y120" s="434" t="s">
        <v>267</v>
      </c>
      <c r="Z120" s="435" t="s">
        <v>526</v>
      </c>
      <c r="AA120" s="437"/>
    </row>
    <row r="121" spans="1:27" s="112" customFormat="1" ht="36">
      <c r="A121" s="385">
        <v>109</v>
      </c>
      <c r="B121" s="387" t="s">
        <v>527</v>
      </c>
      <c r="C121" s="386" t="s">
        <v>55</v>
      </c>
      <c r="D121" s="387" t="s">
        <v>528</v>
      </c>
      <c r="E121" s="388">
        <v>2</v>
      </c>
      <c r="F121" s="389"/>
      <c r="G121" s="390">
        <f t="shared" si="3"/>
        <v>0</v>
      </c>
      <c r="H121" s="391"/>
      <c r="I121" s="387"/>
      <c r="J121" s="391"/>
      <c r="K121" s="387" t="s">
        <v>496</v>
      </c>
      <c r="L121" s="392" t="s">
        <v>497</v>
      </c>
      <c r="M121" s="387" t="s">
        <v>504</v>
      </c>
      <c r="N121" s="392"/>
      <c r="O121" s="392"/>
      <c r="P121" s="392" t="s">
        <v>424</v>
      </c>
      <c r="Q121" s="393" t="s">
        <v>293</v>
      </c>
      <c r="R121" s="393" t="s">
        <v>143</v>
      </c>
      <c r="S121" s="394" t="s">
        <v>425</v>
      </c>
      <c r="T121" s="394"/>
      <c r="U121" s="395"/>
      <c r="V121" s="396"/>
      <c r="W121" s="397"/>
      <c r="X121" s="397"/>
      <c r="Y121" s="398" t="s">
        <v>267</v>
      </c>
      <c r="Z121" s="399"/>
      <c r="AA121" s="436"/>
    </row>
    <row r="122" spans="1:27" s="112" customFormat="1" ht="36">
      <c r="A122" s="385">
        <v>110</v>
      </c>
      <c r="B122" s="387" t="s">
        <v>529</v>
      </c>
      <c r="C122" s="386" t="s">
        <v>55</v>
      </c>
      <c r="D122" s="387" t="s">
        <v>530</v>
      </c>
      <c r="E122" s="388">
        <v>2</v>
      </c>
      <c r="F122" s="389"/>
      <c r="G122" s="390">
        <f t="shared" ref="G122:G141" si="4">E122*F122</f>
        <v>0</v>
      </c>
      <c r="H122" s="391"/>
      <c r="I122" s="387"/>
      <c r="J122" s="391"/>
      <c r="K122" s="387" t="s">
        <v>417</v>
      </c>
      <c r="L122" s="392" t="s">
        <v>323</v>
      </c>
      <c r="M122" s="387" t="s">
        <v>323</v>
      </c>
      <c r="N122" s="392"/>
      <c r="O122" s="392"/>
      <c r="P122" s="392" t="s">
        <v>323</v>
      </c>
      <c r="Q122" s="393" t="s">
        <v>418</v>
      </c>
      <c r="R122" s="393" t="s">
        <v>323</v>
      </c>
      <c r="S122" s="394" t="s">
        <v>323</v>
      </c>
      <c r="T122" s="394"/>
      <c r="U122" s="395"/>
      <c r="V122" s="396"/>
      <c r="W122" s="397"/>
      <c r="X122" s="397"/>
      <c r="Y122" s="398" t="s">
        <v>267</v>
      </c>
      <c r="Z122" s="399"/>
      <c r="AA122" s="436"/>
    </row>
    <row r="123" spans="1:27" s="112" customFormat="1" ht="36">
      <c r="A123" s="385">
        <v>111</v>
      </c>
      <c r="B123" s="387" t="s">
        <v>531</v>
      </c>
      <c r="C123" s="386" t="s">
        <v>55</v>
      </c>
      <c r="D123" s="387" t="s">
        <v>532</v>
      </c>
      <c r="E123" s="388">
        <v>8</v>
      </c>
      <c r="F123" s="389"/>
      <c r="G123" s="390">
        <f t="shared" si="4"/>
        <v>0</v>
      </c>
      <c r="H123" s="391"/>
      <c r="I123" s="387"/>
      <c r="J123" s="391"/>
      <c r="K123" s="387" t="s">
        <v>417</v>
      </c>
      <c r="L123" s="392" t="s">
        <v>323</v>
      </c>
      <c r="M123" s="387" t="s">
        <v>323</v>
      </c>
      <c r="N123" s="392"/>
      <c r="O123" s="392"/>
      <c r="P123" s="392" t="s">
        <v>323</v>
      </c>
      <c r="Q123" s="393" t="s">
        <v>418</v>
      </c>
      <c r="R123" s="393" t="s">
        <v>323</v>
      </c>
      <c r="S123" s="394" t="s">
        <v>323</v>
      </c>
      <c r="T123" s="394"/>
      <c r="U123" s="395"/>
      <c r="V123" s="396"/>
      <c r="W123" s="397"/>
      <c r="X123" s="397"/>
      <c r="Y123" s="398" t="s">
        <v>267</v>
      </c>
      <c r="Z123" s="399"/>
      <c r="AA123" s="436"/>
    </row>
    <row r="124" spans="1:27" s="112" customFormat="1" ht="36">
      <c r="A124" s="385">
        <v>112</v>
      </c>
      <c r="B124" s="387" t="s">
        <v>452</v>
      </c>
      <c r="C124" s="386" t="s">
        <v>55</v>
      </c>
      <c r="D124" s="387" t="s">
        <v>453</v>
      </c>
      <c r="E124" s="388">
        <v>1</v>
      </c>
      <c r="F124" s="389"/>
      <c r="G124" s="390">
        <f t="shared" si="4"/>
        <v>0</v>
      </c>
      <c r="H124" s="391"/>
      <c r="I124" s="387"/>
      <c r="J124" s="391"/>
      <c r="K124" s="387" t="s">
        <v>417</v>
      </c>
      <c r="L124" s="392" t="s">
        <v>323</v>
      </c>
      <c r="M124" s="387" t="s">
        <v>323</v>
      </c>
      <c r="N124" s="392"/>
      <c r="O124" s="392"/>
      <c r="P124" s="392" t="s">
        <v>323</v>
      </c>
      <c r="Q124" s="393" t="s">
        <v>418</v>
      </c>
      <c r="R124" s="393" t="s">
        <v>323</v>
      </c>
      <c r="S124" s="394" t="s">
        <v>323</v>
      </c>
      <c r="T124" s="394"/>
      <c r="U124" s="395"/>
      <c r="V124" s="396"/>
      <c r="W124" s="397"/>
      <c r="X124" s="397"/>
      <c r="Y124" s="398" t="s">
        <v>267</v>
      </c>
      <c r="Z124" s="399"/>
      <c r="AA124" s="436"/>
    </row>
    <row r="125" spans="1:27" s="112" customFormat="1" ht="36">
      <c r="A125" s="385">
        <v>113</v>
      </c>
      <c r="B125" s="387" t="s">
        <v>533</v>
      </c>
      <c r="C125" s="386" t="s">
        <v>55</v>
      </c>
      <c r="D125" s="387" t="s">
        <v>534</v>
      </c>
      <c r="E125" s="388">
        <v>2</v>
      </c>
      <c r="F125" s="389"/>
      <c r="G125" s="390">
        <f t="shared" si="4"/>
        <v>0</v>
      </c>
      <c r="H125" s="391"/>
      <c r="I125" s="387"/>
      <c r="J125" s="391"/>
      <c r="K125" s="387" t="s">
        <v>417</v>
      </c>
      <c r="L125" s="392" t="s">
        <v>323</v>
      </c>
      <c r="M125" s="387" t="s">
        <v>323</v>
      </c>
      <c r="N125" s="392"/>
      <c r="O125" s="392"/>
      <c r="P125" s="392" t="s">
        <v>323</v>
      </c>
      <c r="Q125" s="393" t="s">
        <v>265</v>
      </c>
      <c r="R125" s="393" t="s">
        <v>323</v>
      </c>
      <c r="S125" s="394" t="s">
        <v>323</v>
      </c>
      <c r="T125" s="394" t="s">
        <v>975</v>
      </c>
      <c r="U125" s="395"/>
      <c r="V125" s="396"/>
      <c r="W125" s="397"/>
      <c r="X125" s="397"/>
      <c r="Y125" s="398" t="s">
        <v>267</v>
      </c>
      <c r="Z125" s="399"/>
      <c r="AA125" s="436"/>
    </row>
    <row r="126" spans="1:27" s="112" customFormat="1" ht="36">
      <c r="A126" s="385">
        <v>114</v>
      </c>
      <c r="B126" s="387" t="s">
        <v>535</v>
      </c>
      <c r="C126" s="386" t="s">
        <v>55</v>
      </c>
      <c r="D126" s="387" t="s">
        <v>536</v>
      </c>
      <c r="E126" s="388">
        <v>1</v>
      </c>
      <c r="F126" s="389"/>
      <c r="G126" s="390">
        <f t="shared" si="4"/>
        <v>0</v>
      </c>
      <c r="H126" s="391"/>
      <c r="I126" s="387"/>
      <c r="J126" s="391"/>
      <c r="K126" s="387" t="s">
        <v>417</v>
      </c>
      <c r="L126" s="392" t="s">
        <v>323</v>
      </c>
      <c r="M126" s="387" t="s">
        <v>323</v>
      </c>
      <c r="N126" s="392"/>
      <c r="O126" s="392"/>
      <c r="P126" s="392" t="s">
        <v>323</v>
      </c>
      <c r="Q126" s="393" t="s">
        <v>418</v>
      </c>
      <c r="R126" s="393" t="s">
        <v>323</v>
      </c>
      <c r="S126" s="394" t="s">
        <v>323</v>
      </c>
      <c r="T126" s="394"/>
      <c r="U126" s="395"/>
      <c r="V126" s="396"/>
      <c r="W126" s="397"/>
      <c r="X126" s="397"/>
      <c r="Y126" s="398" t="s">
        <v>267</v>
      </c>
      <c r="Z126" s="399"/>
      <c r="AA126" s="436"/>
    </row>
    <row r="127" spans="1:27" s="112" customFormat="1" ht="36">
      <c r="A127" s="385">
        <v>115</v>
      </c>
      <c r="B127" s="387" t="s">
        <v>537</v>
      </c>
      <c r="C127" s="386" t="s">
        <v>55</v>
      </c>
      <c r="D127" s="387" t="s">
        <v>538</v>
      </c>
      <c r="E127" s="388">
        <v>1</v>
      </c>
      <c r="F127" s="389"/>
      <c r="G127" s="390">
        <f t="shared" si="4"/>
        <v>0</v>
      </c>
      <c r="H127" s="391"/>
      <c r="I127" s="387"/>
      <c r="J127" s="391"/>
      <c r="K127" s="387" t="s">
        <v>417</v>
      </c>
      <c r="L127" s="392" t="s">
        <v>323</v>
      </c>
      <c r="M127" s="387" t="s">
        <v>323</v>
      </c>
      <c r="N127" s="392"/>
      <c r="O127" s="392"/>
      <c r="P127" s="392" t="s">
        <v>323</v>
      </c>
      <c r="Q127" s="393" t="s">
        <v>418</v>
      </c>
      <c r="R127" s="393" t="s">
        <v>323</v>
      </c>
      <c r="S127" s="394" t="s">
        <v>323</v>
      </c>
      <c r="T127" s="394"/>
      <c r="U127" s="395"/>
      <c r="V127" s="396"/>
      <c r="W127" s="397"/>
      <c r="X127" s="397"/>
      <c r="Y127" s="398" t="s">
        <v>267</v>
      </c>
      <c r="Z127" s="399"/>
      <c r="AA127" s="436"/>
    </row>
    <row r="128" spans="1:27" s="415" customFormat="1">
      <c r="A128" s="400">
        <v>116</v>
      </c>
      <c r="B128" s="401" t="s">
        <v>539</v>
      </c>
      <c r="C128" s="402" t="s">
        <v>55</v>
      </c>
      <c r="D128" s="401" t="s">
        <v>540</v>
      </c>
      <c r="E128" s="403">
        <v>1</v>
      </c>
      <c r="F128" s="404"/>
      <c r="G128" s="405">
        <f t="shared" si="4"/>
        <v>0</v>
      </c>
      <c r="H128" s="406"/>
      <c r="I128" s="401"/>
      <c r="J128" s="406"/>
      <c r="K128" s="401"/>
      <c r="L128" s="407"/>
      <c r="M128" s="401"/>
      <c r="N128" s="407"/>
      <c r="O128" s="407"/>
      <c r="P128" s="407"/>
      <c r="Q128" s="408"/>
      <c r="R128" s="408"/>
      <c r="S128" s="409"/>
      <c r="T128" s="409"/>
      <c r="U128" s="410"/>
      <c r="V128" s="411"/>
      <c r="W128" s="412"/>
      <c r="X128" s="412"/>
      <c r="Y128" s="413" t="s">
        <v>304</v>
      </c>
      <c r="Z128" s="414"/>
      <c r="AA128" s="438"/>
    </row>
    <row r="129" spans="1:27" s="112" customFormat="1" ht="36">
      <c r="A129" s="385">
        <v>117</v>
      </c>
      <c r="B129" s="387" t="s">
        <v>541</v>
      </c>
      <c r="C129" s="386" t="s">
        <v>55</v>
      </c>
      <c r="D129" s="387" t="s">
        <v>542</v>
      </c>
      <c r="E129" s="388">
        <v>2</v>
      </c>
      <c r="F129" s="389"/>
      <c r="G129" s="390">
        <f t="shared" si="4"/>
        <v>0</v>
      </c>
      <c r="H129" s="391"/>
      <c r="I129" s="387"/>
      <c r="J129" s="391"/>
      <c r="K129" s="387" t="s">
        <v>417</v>
      </c>
      <c r="L129" s="392" t="s">
        <v>323</v>
      </c>
      <c r="M129" s="387" t="s">
        <v>323</v>
      </c>
      <c r="N129" s="392"/>
      <c r="O129" s="392"/>
      <c r="P129" s="392" t="s">
        <v>323</v>
      </c>
      <c r="Q129" s="393" t="s">
        <v>418</v>
      </c>
      <c r="R129" s="393" t="s">
        <v>323</v>
      </c>
      <c r="S129" s="394" t="s">
        <v>323</v>
      </c>
      <c r="T129" s="394"/>
      <c r="U129" s="395"/>
      <c r="V129" s="396"/>
      <c r="W129" s="397"/>
      <c r="X129" s="397"/>
      <c r="Y129" s="398" t="s">
        <v>267</v>
      </c>
      <c r="Z129" s="399"/>
      <c r="AA129" s="436"/>
    </row>
    <row r="130" spans="1:27" s="112" customFormat="1" ht="36">
      <c r="A130" s="385">
        <v>118</v>
      </c>
      <c r="B130" s="387" t="s">
        <v>458</v>
      </c>
      <c r="C130" s="386" t="s">
        <v>55</v>
      </c>
      <c r="D130" s="387" t="s">
        <v>459</v>
      </c>
      <c r="E130" s="388">
        <v>1</v>
      </c>
      <c r="F130" s="389"/>
      <c r="G130" s="390">
        <f t="shared" si="4"/>
        <v>0</v>
      </c>
      <c r="H130" s="391"/>
      <c r="I130" s="387"/>
      <c r="J130" s="391"/>
      <c r="K130" s="387" t="s">
        <v>417</v>
      </c>
      <c r="L130" s="392" t="s">
        <v>323</v>
      </c>
      <c r="M130" s="387" t="s">
        <v>323</v>
      </c>
      <c r="N130" s="392"/>
      <c r="O130" s="392"/>
      <c r="P130" s="392" t="s">
        <v>323</v>
      </c>
      <c r="Q130" s="393" t="s">
        <v>418</v>
      </c>
      <c r="R130" s="393" t="s">
        <v>323</v>
      </c>
      <c r="S130" s="394" t="s">
        <v>323</v>
      </c>
      <c r="T130" s="394"/>
      <c r="U130" s="395"/>
      <c r="V130" s="396"/>
      <c r="W130" s="397"/>
      <c r="X130" s="397"/>
      <c r="Y130" s="398" t="s">
        <v>267</v>
      </c>
      <c r="Z130" s="399"/>
      <c r="AA130" s="436"/>
    </row>
    <row r="131" spans="1:27" s="112" customFormat="1" ht="36">
      <c r="A131" s="385">
        <v>119</v>
      </c>
      <c r="B131" s="387" t="s">
        <v>398</v>
      </c>
      <c r="C131" s="386" t="s">
        <v>55</v>
      </c>
      <c r="D131" s="387" t="s">
        <v>399</v>
      </c>
      <c r="E131" s="388">
        <v>1</v>
      </c>
      <c r="F131" s="389"/>
      <c r="G131" s="390">
        <f t="shared" si="4"/>
        <v>0</v>
      </c>
      <c r="H131" s="391"/>
      <c r="I131" s="387"/>
      <c r="J131" s="391"/>
      <c r="K131" s="387" t="s">
        <v>297</v>
      </c>
      <c r="L131" s="392" t="s">
        <v>298</v>
      </c>
      <c r="M131" s="387" t="s">
        <v>362</v>
      </c>
      <c r="N131" s="392"/>
      <c r="O131" s="392"/>
      <c r="P131" s="392" t="s">
        <v>273</v>
      </c>
      <c r="Q131" s="393"/>
      <c r="R131" s="393"/>
      <c r="S131" s="394"/>
      <c r="T131" s="394" t="s">
        <v>419</v>
      </c>
      <c r="U131" s="395"/>
      <c r="V131" s="396"/>
      <c r="W131" s="397"/>
      <c r="X131" s="397"/>
      <c r="Y131" s="398" t="s">
        <v>267</v>
      </c>
      <c r="Z131" s="399"/>
      <c r="AA131" s="436"/>
    </row>
    <row r="132" spans="1:27" s="112" customFormat="1" ht="36">
      <c r="A132" s="385">
        <v>120</v>
      </c>
      <c r="B132" s="387" t="s">
        <v>543</v>
      </c>
      <c r="C132" s="386" t="s">
        <v>55</v>
      </c>
      <c r="D132" s="387" t="s">
        <v>544</v>
      </c>
      <c r="E132" s="388">
        <v>1</v>
      </c>
      <c r="F132" s="389"/>
      <c r="G132" s="390">
        <f t="shared" si="4"/>
        <v>0</v>
      </c>
      <c r="H132" s="391"/>
      <c r="I132" s="387"/>
      <c r="J132" s="391"/>
      <c r="K132" s="387" t="s">
        <v>417</v>
      </c>
      <c r="L132" s="392" t="s">
        <v>323</v>
      </c>
      <c r="M132" s="387" t="s">
        <v>323</v>
      </c>
      <c r="N132" s="392"/>
      <c r="O132" s="392"/>
      <c r="P132" s="392" t="s">
        <v>323</v>
      </c>
      <c r="Q132" s="393" t="s">
        <v>418</v>
      </c>
      <c r="R132" s="393" t="s">
        <v>323</v>
      </c>
      <c r="S132" s="394" t="s">
        <v>323</v>
      </c>
      <c r="T132" s="394"/>
      <c r="U132" s="395"/>
      <c r="V132" s="396"/>
      <c r="W132" s="397"/>
      <c r="X132" s="397"/>
      <c r="Y132" s="398" t="s">
        <v>267</v>
      </c>
      <c r="Z132" s="399"/>
      <c r="AA132" s="436"/>
    </row>
    <row r="133" spans="1:27" s="112" customFormat="1" ht="36">
      <c r="A133" s="385">
        <v>121</v>
      </c>
      <c r="B133" s="387" t="s">
        <v>545</v>
      </c>
      <c r="C133" s="386" t="s">
        <v>55</v>
      </c>
      <c r="D133" s="387" t="s">
        <v>546</v>
      </c>
      <c r="E133" s="388">
        <v>1</v>
      </c>
      <c r="F133" s="389"/>
      <c r="G133" s="390">
        <f t="shared" si="4"/>
        <v>0</v>
      </c>
      <c r="H133" s="391"/>
      <c r="I133" s="387"/>
      <c r="J133" s="391"/>
      <c r="K133" s="387" t="s">
        <v>417</v>
      </c>
      <c r="L133" s="392" t="s">
        <v>323</v>
      </c>
      <c r="M133" s="387" t="s">
        <v>323</v>
      </c>
      <c r="N133" s="392"/>
      <c r="O133" s="392"/>
      <c r="P133" s="392" t="s">
        <v>323</v>
      </c>
      <c r="Q133" s="393" t="s">
        <v>418</v>
      </c>
      <c r="R133" s="393" t="s">
        <v>323</v>
      </c>
      <c r="S133" s="394" t="s">
        <v>323</v>
      </c>
      <c r="T133" s="394"/>
      <c r="U133" s="395"/>
      <c r="V133" s="396"/>
      <c r="W133" s="397"/>
      <c r="X133" s="397"/>
      <c r="Y133" s="398" t="s">
        <v>267</v>
      </c>
      <c r="Z133" s="399"/>
      <c r="AA133" s="436"/>
    </row>
    <row r="134" spans="1:27" s="112" customFormat="1" ht="36">
      <c r="A134" s="385">
        <v>122</v>
      </c>
      <c r="B134" s="387" t="s">
        <v>547</v>
      </c>
      <c r="C134" s="386" t="s">
        <v>55</v>
      </c>
      <c r="D134" s="387" t="s">
        <v>548</v>
      </c>
      <c r="E134" s="388">
        <v>1</v>
      </c>
      <c r="F134" s="389"/>
      <c r="G134" s="390">
        <f t="shared" si="4"/>
        <v>0</v>
      </c>
      <c r="H134" s="391"/>
      <c r="I134" s="387"/>
      <c r="J134" s="391"/>
      <c r="K134" s="387" t="s">
        <v>417</v>
      </c>
      <c r="L134" s="392" t="s">
        <v>323</v>
      </c>
      <c r="M134" s="387" t="s">
        <v>323</v>
      </c>
      <c r="N134" s="392"/>
      <c r="O134" s="392"/>
      <c r="P134" s="392" t="s">
        <v>323</v>
      </c>
      <c r="Q134" s="393" t="s">
        <v>418</v>
      </c>
      <c r="R134" s="393" t="s">
        <v>323</v>
      </c>
      <c r="S134" s="394" t="s">
        <v>323</v>
      </c>
      <c r="T134" s="394"/>
      <c r="U134" s="395"/>
      <c r="V134" s="396"/>
      <c r="W134" s="397"/>
      <c r="X134" s="397"/>
      <c r="Y134" s="398" t="s">
        <v>267</v>
      </c>
      <c r="Z134" s="399"/>
      <c r="AA134" s="436"/>
    </row>
    <row r="135" spans="1:27" s="112" customFormat="1" ht="36">
      <c r="A135" s="385">
        <v>123</v>
      </c>
      <c r="B135" s="387" t="s">
        <v>549</v>
      </c>
      <c r="C135" s="386" t="s">
        <v>55</v>
      </c>
      <c r="D135" s="387" t="s">
        <v>550</v>
      </c>
      <c r="E135" s="388">
        <v>1</v>
      </c>
      <c r="F135" s="389"/>
      <c r="G135" s="390">
        <f t="shared" si="4"/>
        <v>0</v>
      </c>
      <c r="H135" s="391"/>
      <c r="I135" s="387"/>
      <c r="J135" s="391"/>
      <c r="K135" s="387" t="s">
        <v>417</v>
      </c>
      <c r="L135" s="392" t="s">
        <v>323</v>
      </c>
      <c r="M135" s="387" t="s">
        <v>323</v>
      </c>
      <c r="N135" s="392"/>
      <c r="O135" s="392"/>
      <c r="P135" s="392" t="s">
        <v>323</v>
      </c>
      <c r="Q135" s="393" t="s">
        <v>418</v>
      </c>
      <c r="R135" s="393" t="s">
        <v>323</v>
      </c>
      <c r="S135" s="394" t="s">
        <v>323</v>
      </c>
      <c r="T135" s="394"/>
      <c r="U135" s="395"/>
      <c r="V135" s="396"/>
      <c r="W135" s="397"/>
      <c r="X135" s="397"/>
      <c r="Y135" s="398" t="s">
        <v>267</v>
      </c>
      <c r="Z135" s="399"/>
      <c r="AA135" s="436"/>
    </row>
    <row r="136" spans="1:27" s="112" customFormat="1" ht="36">
      <c r="A136" s="385">
        <v>124</v>
      </c>
      <c r="B136" s="387" t="s">
        <v>551</v>
      </c>
      <c r="C136" s="386" t="s">
        <v>55</v>
      </c>
      <c r="D136" s="387" t="s">
        <v>552</v>
      </c>
      <c r="E136" s="388">
        <v>1</v>
      </c>
      <c r="F136" s="389"/>
      <c r="G136" s="390">
        <f t="shared" si="4"/>
        <v>0</v>
      </c>
      <c r="H136" s="391"/>
      <c r="I136" s="387"/>
      <c r="J136" s="391"/>
      <c r="K136" s="387" t="s">
        <v>417</v>
      </c>
      <c r="L136" s="392" t="s">
        <v>323</v>
      </c>
      <c r="M136" s="387" t="s">
        <v>323</v>
      </c>
      <c r="N136" s="392"/>
      <c r="O136" s="392"/>
      <c r="P136" s="392" t="s">
        <v>323</v>
      </c>
      <c r="Q136" s="393" t="s">
        <v>418</v>
      </c>
      <c r="R136" s="393" t="s">
        <v>323</v>
      </c>
      <c r="S136" s="394" t="s">
        <v>323</v>
      </c>
      <c r="T136" s="394"/>
      <c r="U136" s="395"/>
      <c r="V136" s="396"/>
      <c r="W136" s="397"/>
      <c r="X136" s="397"/>
      <c r="Y136" s="398" t="s">
        <v>267</v>
      </c>
      <c r="Z136" s="399"/>
      <c r="AA136" s="436"/>
    </row>
    <row r="137" spans="1:27" s="112" customFormat="1" ht="36">
      <c r="A137" s="385">
        <v>125</v>
      </c>
      <c r="B137" s="387" t="s">
        <v>553</v>
      </c>
      <c r="C137" s="386" t="s">
        <v>55</v>
      </c>
      <c r="D137" s="387" t="s">
        <v>554</v>
      </c>
      <c r="E137" s="388">
        <v>1</v>
      </c>
      <c r="F137" s="389"/>
      <c r="G137" s="390">
        <f t="shared" si="4"/>
        <v>0</v>
      </c>
      <c r="H137" s="391"/>
      <c r="I137" s="387"/>
      <c r="J137" s="391"/>
      <c r="K137" s="387" t="s">
        <v>417</v>
      </c>
      <c r="L137" s="392" t="s">
        <v>323</v>
      </c>
      <c r="M137" s="387" t="s">
        <v>323</v>
      </c>
      <c r="N137" s="392"/>
      <c r="O137" s="392"/>
      <c r="P137" s="392" t="s">
        <v>323</v>
      </c>
      <c r="Q137" s="393" t="s">
        <v>418</v>
      </c>
      <c r="R137" s="393" t="s">
        <v>323</v>
      </c>
      <c r="S137" s="394" t="s">
        <v>323</v>
      </c>
      <c r="T137" s="394"/>
      <c r="U137" s="395"/>
      <c r="V137" s="396"/>
      <c r="W137" s="397"/>
      <c r="X137" s="397"/>
      <c r="Y137" s="398" t="s">
        <v>267</v>
      </c>
      <c r="Z137" s="399"/>
      <c r="AA137" s="436"/>
    </row>
    <row r="138" spans="1:27" s="112" customFormat="1" ht="36">
      <c r="A138" s="385">
        <v>126</v>
      </c>
      <c r="B138" s="387" t="s">
        <v>555</v>
      </c>
      <c r="C138" s="386" t="s">
        <v>55</v>
      </c>
      <c r="D138" s="387" t="s">
        <v>556</v>
      </c>
      <c r="E138" s="388">
        <v>2</v>
      </c>
      <c r="F138" s="389"/>
      <c r="G138" s="390">
        <f t="shared" si="4"/>
        <v>0</v>
      </c>
      <c r="H138" s="391"/>
      <c r="I138" s="387"/>
      <c r="J138" s="391"/>
      <c r="K138" s="387" t="s">
        <v>417</v>
      </c>
      <c r="L138" s="392" t="s">
        <v>323</v>
      </c>
      <c r="M138" s="387" t="s">
        <v>323</v>
      </c>
      <c r="N138" s="392"/>
      <c r="O138" s="392"/>
      <c r="P138" s="392" t="s">
        <v>323</v>
      </c>
      <c r="Q138" s="393" t="s">
        <v>418</v>
      </c>
      <c r="R138" s="393" t="s">
        <v>323</v>
      </c>
      <c r="S138" s="394" t="s">
        <v>323</v>
      </c>
      <c r="T138" s="394"/>
      <c r="U138" s="395"/>
      <c r="V138" s="396"/>
      <c r="W138" s="397"/>
      <c r="X138" s="397"/>
      <c r="Y138" s="398" t="s">
        <v>267</v>
      </c>
      <c r="Z138" s="399"/>
      <c r="AA138" s="436"/>
    </row>
    <row r="139" spans="1:27" s="112" customFormat="1" ht="36">
      <c r="A139" s="385">
        <v>127</v>
      </c>
      <c r="B139" s="387" t="s">
        <v>557</v>
      </c>
      <c r="C139" s="386" t="s">
        <v>55</v>
      </c>
      <c r="D139" s="387" t="s">
        <v>558</v>
      </c>
      <c r="E139" s="388">
        <v>1</v>
      </c>
      <c r="F139" s="389"/>
      <c r="G139" s="390">
        <f t="shared" si="4"/>
        <v>0</v>
      </c>
      <c r="H139" s="391"/>
      <c r="I139" s="387"/>
      <c r="J139" s="391"/>
      <c r="K139" s="387" t="s">
        <v>417</v>
      </c>
      <c r="L139" s="392" t="s">
        <v>323</v>
      </c>
      <c r="M139" s="387" t="s">
        <v>323</v>
      </c>
      <c r="N139" s="392"/>
      <c r="O139" s="392"/>
      <c r="P139" s="392" t="s">
        <v>323</v>
      </c>
      <c r="Q139" s="393" t="s">
        <v>418</v>
      </c>
      <c r="R139" s="393" t="s">
        <v>323</v>
      </c>
      <c r="S139" s="394" t="s">
        <v>323</v>
      </c>
      <c r="T139" s="394"/>
      <c r="U139" s="395"/>
      <c r="V139" s="396"/>
      <c r="W139" s="397"/>
      <c r="X139" s="397"/>
      <c r="Y139" s="398" t="s">
        <v>267</v>
      </c>
      <c r="Z139" s="399"/>
      <c r="AA139" s="436"/>
    </row>
    <row r="140" spans="1:27" s="112" customFormat="1" ht="36">
      <c r="A140" s="385">
        <v>128</v>
      </c>
      <c r="B140" s="387" t="s">
        <v>559</v>
      </c>
      <c r="C140" s="386" t="s">
        <v>55</v>
      </c>
      <c r="D140" s="387" t="s">
        <v>560</v>
      </c>
      <c r="E140" s="388">
        <v>1</v>
      </c>
      <c r="F140" s="389"/>
      <c r="G140" s="390">
        <f t="shared" si="4"/>
        <v>0</v>
      </c>
      <c r="H140" s="391"/>
      <c r="I140" s="387"/>
      <c r="J140" s="391"/>
      <c r="K140" s="387" t="s">
        <v>417</v>
      </c>
      <c r="L140" s="392" t="s">
        <v>323</v>
      </c>
      <c r="M140" s="387" t="s">
        <v>323</v>
      </c>
      <c r="N140" s="392"/>
      <c r="O140" s="392"/>
      <c r="P140" s="392" t="s">
        <v>323</v>
      </c>
      <c r="Q140" s="393" t="s">
        <v>418</v>
      </c>
      <c r="R140" s="393" t="s">
        <v>323</v>
      </c>
      <c r="S140" s="394" t="s">
        <v>323</v>
      </c>
      <c r="T140" s="394"/>
      <c r="U140" s="395"/>
      <c r="V140" s="396"/>
      <c r="W140" s="397"/>
      <c r="X140" s="397"/>
      <c r="Y140" s="398" t="s">
        <v>267</v>
      </c>
      <c r="Z140" s="399"/>
      <c r="AA140" s="436"/>
    </row>
    <row r="141" spans="1:27" s="112" customFormat="1" ht="36">
      <c r="A141" s="385">
        <v>129</v>
      </c>
      <c r="B141" s="387" t="s">
        <v>561</v>
      </c>
      <c r="C141" s="386" t="s">
        <v>55</v>
      </c>
      <c r="D141" s="387" t="s">
        <v>562</v>
      </c>
      <c r="E141" s="388">
        <v>1</v>
      </c>
      <c r="F141" s="389"/>
      <c r="G141" s="390">
        <f t="shared" si="4"/>
        <v>0</v>
      </c>
      <c r="H141" s="391"/>
      <c r="I141" s="387"/>
      <c r="J141" s="391"/>
      <c r="K141" s="387" t="s">
        <v>417</v>
      </c>
      <c r="L141" s="392" t="s">
        <v>323</v>
      </c>
      <c r="M141" s="387" t="s">
        <v>323</v>
      </c>
      <c r="N141" s="392"/>
      <c r="O141" s="392"/>
      <c r="P141" s="392" t="s">
        <v>323</v>
      </c>
      <c r="Q141" s="393" t="s">
        <v>418</v>
      </c>
      <c r="R141" s="393" t="s">
        <v>323</v>
      </c>
      <c r="S141" s="394" t="s">
        <v>323</v>
      </c>
      <c r="T141" s="394"/>
      <c r="U141" s="395"/>
      <c r="V141" s="396"/>
      <c r="W141" s="397"/>
      <c r="X141" s="397"/>
      <c r="Y141" s="398" t="s">
        <v>267</v>
      </c>
      <c r="Z141" s="399"/>
      <c r="AA141" s="436"/>
    </row>
    <row r="142" spans="1:27" s="112" customFormat="1" ht="36">
      <c r="A142" s="385">
        <v>130</v>
      </c>
      <c r="B142" s="387" t="s">
        <v>563</v>
      </c>
      <c r="C142" s="386" t="s">
        <v>55</v>
      </c>
      <c r="D142" s="387" t="s">
        <v>564</v>
      </c>
      <c r="E142" s="388">
        <v>2</v>
      </c>
      <c r="F142" s="389"/>
      <c r="G142" s="390">
        <f>E142*F142</f>
        <v>0</v>
      </c>
      <c r="H142" s="391"/>
      <c r="I142" s="387"/>
      <c r="J142" s="391"/>
      <c r="K142" s="387" t="s">
        <v>417</v>
      </c>
      <c r="L142" s="392" t="s">
        <v>323</v>
      </c>
      <c r="M142" s="387" t="s">
        <v>323</v>
      </c>
      <c r="N142" s="392"/>
      <c r="O142" s="392"/>
      <c r="P142" s="392" t="s">
        <v>323</v>
      </c>
      <c r="Q142" s="393" t="s">
        <v>418</v>
      </c>
      <c r="R142" s="393" t="s">
        <v>323</v>
      </c>
      <c r="S142" s="394" t="s">
        <v>323</v>
      </c>
      <c r="T142" s="394"/>
      <c r="U142" s="395"/>
      <c r="V142" s="396"/>
      <c r="W142" s="397"/>
      <c r="X142" s="397"/>
      <c r="Y142" s="398" t="s">
        <v>267</v>
      </c>
      <c r="Z142" s="399"/>
      <c r="AA142" s="436"/>
    </row>
    <row r="143" spans="1:27" s="112" customFormat="1" ht="36">
      <c r="A143" s="385">
        <v>131</v>
      </c>
      <c r="B143" s="387" t="s">
        <v>565</v>
      </c>
      <c r="C143" s="386" t="s">
        <v>55</v>
      </c>
      <c r="D143" s="387" t="s">
        <v>566</v>
      </c>
      <c r="E143" s="388">
        <v>4</v>
      </c>
      <c r="F143" s="389"/>
      <c r="G143" s="390">
        <f>E143*F143</f>
        <v>0</v>
      </c>
      <c r="H143" s="391"/>
      <c r="I143" s="387"/>
      <c r="J143" s="391"/>
      <c r="K143" s="387" t="s">
        <v>417</v>
      </c>
      <c r="L143" s="392" t="s">
        <v>323</v>
      </c>
      <c r="M143" s="387" t="s">
        <v>323</v>
      </c>
      <c r="N143" s="392"/>
      <c r="O143" s="392"/>
      <c r="P143" s="392" t="s">
        <v>323</v>
      </c>
      <c r="Q143" s="393" t="s">
        <v>418</v>
      </c>
      <c r="R143" s="393" t="s">
        <v>323</v>
      </c>
      <c r="S143" s="394" t="s">
        <v>323</v>
      </c>
      <c r="T143" s="394"/>
      <c r="U143" s="395"/>
      <c r="V143" s="396"/>
      <c r="W143" s="397"/>
      <c r="X143" s="397"/>
      <c r="Y143" s="398" t="s">
        <v>267</v>
      </c>
      <c r="Z143" s="399"/>
      <c r="AA143" s="436"/>
    </row>
    <row r="144" spans="1:27" s="112" customFormat="1" ht="36">
      <c r="A144" s="385">
        <v>132</v>
      </c>
      <c r="B144" s="387" t="s">
        <v>981</v>
      </c>
      <c r="C144" s="386" t="s">
        <v>55</v>
      </c>
      <c r="D144" s="387" t="s">
        <v>567</v>
      </c>
      <c r="E144" s="388">
        <v>1</v>
      </c>
      <c r="F144" s="389"/>
      <c r="G144" s="390">
        <f>E144*F144</f>
        <v>0</v>
      </c>
      <c r="H144" s="391"/>
      <c r="I144" s="387"/>
      <c r="J144" s="391"/>
      <c r="K144" s="387" t="s">
        <v>417</v>
      </c>
      <c r="L144" s="392" t="s">
        <v>323</v>
      </c>
      <c r="M144" s="387" t="s">
        <v>323</v>
      </c>
      <c r="N144" s="392"/>
      <c r="O144" s="392"/>
      <c r="P144" s="392" t="s">
        <v>323</v>
      </c>
      <c r="Q144" s="393" t="s">
        <v>418</v>
      </c>
      <c r="R144" s="393" t="s">
        <v>323</v>
      </c>
      <c r="S144" s="394" t="s">
        <v>323</v>
      </c>
      <c r="T144" s="394"/>
      <c r="U144" s="395"/>
      <c r="V144" s="396"/>
      <c r="W144" s="397"/>
      <c r="X144" s="397"/>
      <c r="Y144" s="398" t="s">
        <v>267</v>
      </c>
      <c r="Z144" s="399"/>
      <c r="AA144" s="436"/>
    </row>
    <row r="145" spans="1:27">
      <c r="A145" s="367"/>
      <c r="B145" s="368" t="s">
        <v>568</v>
      </c>
      <c r="C145" s="369"/>
      <c r="D145" s="370"/>
      <c r="E145" s="371"/>
      <c r="F145" s="372"/>
      <c r="G145" s="373">
        <f t="shared" si="2"/>
        <v>0</v>
      </c>
      <c r="H145" s="374"/>
      <c r="I145" s="370"/>
      <c r="J145" s="374"/>
      <c r="K145" s="370"/>
      <c r="L145" s="375"/>
      <c r="M145" s="370"/>
      <c r="N145" s="375"/>
      <c r="O145" s="375"/>
      <c r="P145" s="375"/>
      <c r="Q145" s="376"/>
      <c r="R145" s="376"/>
      <c r="S145" s="377"/>
      <c r="T145" s="377"/>
      <c r="U145" s="378"/>
      <c r="V145" s="379"/>
      <c r="W145" s="380"/>
      <c r="X145" s="380"/>
      <c r="Y145" s="381"/>
      <c r="Z145" s="382"/>
      <c r="AA145" s="436"/>
    </row>
  </sheetData>
  <sheetProtection algorithmName="SHA-512" hashValue="Nkk31zaBMUM3fr80DCkG8cX80TzAEgfTH/HzT+0lzVJTIT3tFDvjc7pvn6ISlFKzUBKahDJmdZOUgvnkpBsLNg==" saltValue="7ed+N0mHRM3bDKbw+F9nLg==" spinCount="100000" sheet="1" objects="1" scenarios="1" formatColumns="0" autoFilter="0"/>
  <mergeCells count="3">
    <mergeCell ref="A1:B1"/>
    <mergeCell ref="A2:B2"/>
    <mergeCell ref="A4:B4"/>
  </mergeCells>
  <printOptions horizontalCentered="1" verticalCentered="1"/>
  <pageMargins left="0.70866141732283505" right="0.70866141732283505" top="0.74803149606299202" bottom="0.74803149606299202" header="0.31496062992126" footer="0.31496062992126"/>
  <pageSetup paperSize="9" scale="25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tdParts_Button1_Click">
                <anchor>
                  <from>
                    <xdr:col>1</xdr:col>
                    <xdr:colOff>914400</xdr:colOff>
                    <xdr:row>1</xdr:row>
                    <xdr:rowOff>0</xdr:rowOff>
                  </from>
                  <to>
                    <xdr:col>1</xdr:col>
                    <xdr:colOff>2343150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A78"/>
  <sheetViews>
    <sheetView zoomScale="80" zoomScaleNormal="80" zoomScaleSheetLayoutView="70" workbookViewId="0">
      <selection activeCell="T4" sqref="T4"/>
    </sheetView>
  </sheetViews>
  <sheetFormatPr defaultColWidth="9" defaultRowHeight="18"/>
  <cols>
    <col min="1" max="1" width="8.73046875" style="14" customWidth="1"/>
    <col min="2" max="2" width="78" style="66" customWidth="1"/>
    <col min="3" max="3" width="16.73046875" style="79" bestFit="1" customWidth="1"/>
    <col min="4" max="4" width="25.73046875" style="14" customWidth="1"/>
    <col min="5" max="5" width="11.3984375" style="14" bestFit="1" customWidth="1"/>
    <col min="6" max="6" width="15.265625" style="65" hidden="1" customWidth="1"/>
    <col min="7" max="7" width="21.265625" style="48" hidden="1" customWidth="1"/>
    <col min="8" max="8" width="27.265625" style="41" hidden="1" customWidth="1"/>
    <col min="9" max="9" width="11.59765625" style="14" hidden="1" customWidth="1"/>
    <col min="10" max="10" width="31" style="41" hidden="1" customWidth="1"/>
    <col min="11" max="11" width="10.73046875" style="14" hidden="1" customWidth="1"/>
    <col min="12" max="12" width="30.265625" style="41" hidden="1" customWidth="1"/>
    <col min="13" max="13" width="11" style="14" hidden="1" customWidth="1"/>
    <col min="14" max="14" width="27.265625" style="41" hidden="1" customWidth="1"/>
    <col min="15" max="15" width="34.86328125" style="41" hidden="1" customWidth="1"/>
    <col min="16" max="16" width="28" style="41" hidden="1" customWidth="1"/>
    <col min="17" max="17" width="15.73046875" style="14" customWidth="1"/>
    <col min="18" max="18" width="15.73046875" style="66" customWidth="1"/>
    <col min="19" max="19" width="11" style="99" customWidth="1"/>
    <col min="20" max="20" width="20.86328125" style="99" bestFit="1" customWidth="1"/>
    <col min="21" max="21" width="21.73046875" style="90" hidden="1" customWidth="1"/>
    <col min="22" max="22" width="24.86328125" style="91" hidden="1" customWidth="1"/>
    <col min="23" max="23" width="17.73046875" style="90" bestFit="1" customWidth="1"/>
    <col min="24" max="24" width="20.73046875" style="92" bestFit="1" customWidth="1"/>
    <col min="25" max="25" width="18" style="91" bestFit="1" customWidth="1"/>
    <col min="26" max="26" width="18.59765625" style="90" bestFit="1" customWidth="1"/>
    <col min="27" max="43" width="9" style="14" customWidth="1"/>
    <col min="44" max="16384" width="9" style="14"/>
  </cols>
  <sheetData>
    <row r="1" spans="1:27" ht="18" customHeight="1">
      <c r="A1" s="512" t="s">
        <v>0</v>
      </c>
      <c r="B1" s="512"/>
      <c r="C1" s="80"/>
      <c r="D1" s="36" t="s">
        <v>227</v>
      </c>
      <c r="E1" s="37"/>
      <c r="F1" s="38"/>
      <c r="G1" s="39"/>
      <c r="H1" s="40"/>
      <c r="K1" s="42"/>
      <c r="L1" s="40"/>
      <c r="M1" s="42"/>
      <c r="N1" s="40"/>
      <c r="O1" s="40"/>
      <c r="P1" s="40"/>
      <c r="Q1" s="43"/>
      <c r="R1" s="43"/>
      <c r="S1" s="89"/>
      <c r="T1" s="89"/>
      <c r="Z1" s="93"/>
    </row>
    <row r="2" spans="1:27">
      <c r="A2" s="512" t="s">
        <v>1</v>
      </c>
      <c r="B2" s="512"/>
      <c r="C2" s="81"/>
      <c r="D2" s="36" t="s">
        <v>228</v>
      </c>
      <c r="E2" s="37"/>
      <c r="F2" s="38"/>
      <c r="G2" s="39"/>
      <c r="H2" s="40"/>
      <c r="K2" s="42"/>
      <c r="L2" s="40"/>
      <c r="M2" s="42"/>
      <c r="N2" s="40"/>
      <c r="O2" s="40"/>
      <c r="P2" s="40"/>
      <c r="Q2" s="43"/>
      <c r="R2" s="43"/>
      <c r="S2" s="89"/>
      <c r="T2" s="89"/>
      <c r="Z2" s="93"/>
    </row>
    <row r="3" spans="1:27">
      <c r="A3" s="45"/>
      <c r="B3" s="82"/>
      <c r="C3" s="83"/>
      <c r="D3" s="36" t="s">
        <v>229</v>
      </c>
      <c r="E3" s="37"/>
      <c r="F3" s="38"/>
      <c r="H3" s="40"/>
      <c r="K3" s="42"/>
      <c r="L3" s="40"/>
      <c r="M3" s="42"/>
      <c r="N3" s="40"/>
      <c r="O3" s="40"/>
      <c r="P3" s="40"/>
      <c r="Q3" s="43"/>
      <c r="R3" s="43"/>
      <c r="S3" s="89"/>
      <c r="T3" s="89"/>
      <c r="Z3" s="93"/>
    </row>
    <row r="4" spans="1:27">
      <c r="A4" s="49" t="s">
        <v>569</v>
      </c>
      <c r="C4" s="84"/>
      <c r="D4" s="46" t="s">
        <v>231</v>
      </c>
      <c r="E4" s="37"/>
      <c r="F4" s="38"/>
      <c r="G4" s="39"/>
      <c r="H4" s="40"/>
      <c r="K4" s="42"/>
      <c r="L4" s="40"/>
      <c r="M4" s="42"/>
      <c r="N4" s="40"/>
      <c r="O4" s="40"/>
      <c r="P4" s="40"/>
      <c r="Q4" s="43"/>
      <c r="R4" s="43"/>
      <c r="S4" s="89"/>
      <c r="T4" s="89"/>
      <c r="Z4" s="93"/>
    </row>
    <row r="5" spans="1:27">
      <c r="A5" s="51"/>
      <c r="B5" s="42"/>
      <c r="C5" s="85"/>
      <c r="D5" s="46" t="s">
        <v>232</v>
      </c>
      <c r="E5" s="37"/>
      <c r="F5" s="38"/>
      <c r="G5" s="39"/>
      <c r="H5" s="40"/>
      <c r="K5" s="42"/>
      <c r="L5" s="40"/>
      <c r="M5" s="42"/>
      <c r="N5" s="40"/>
      <c r="O5" s="40"/>
      <c r="P5" s="40"/>
      <c r="Q5" s="43"/>
      <c r="R5" s="43"/>
      <c r="S5" s="89"/>
      <c r="T5" s="89"/>
      <c r="Z5" s="93"/>
    </row>
    <row r="6" spans="1:27">
      <c r="A6" s="51"/>
      <c r="B6" s="42"/>
      <c r="C6" s="86"/>
      <c r="D6" s="46" t="s">
        <v>233</v>
      </c>
      <c r="E6" s="37"/>
      <c r="F6" s="38" t="s">
        <v>234</v>
      </c>
      <c r="G6" s="39"/>
      <c r="H6" s="40"/>
      <c r="I6" s="42"/>
      <c r="J6" s="40"/>
      <c r="K6" s="42"/>
      <c r="L6" s="40"/>
      <c r="M6" s="42"/>
      <c r="N6" s="40"/>
      <c r="O6" s="40"/>
      <c r="P6" s="40"/>
      <c r="Q6" s="43"/>
      <c r="R6" s="43"/>
      <c r="S6" s="89"/>
      <c r="T6" s="89"/>
      <c r="Z6" s="93"/>
    </row>
    <row r="7" spans="1:27">
      <c r="A7" s="51"/>
      <c r="B7" s="42"/>
      <c r="C7" s="87"/>
      <c r="D7" s="46" t="s">
        <v>235</v>
      </c>
      <c r="E7" s="37"/>
      <c r="F7" s="38"/>
      <c r="G7" s="39"/>
      <c r="H7" s="40"/>
      <c r="I7" s="42"/>
      <c r="J7" s="40"/>
      <c r="K7" s="42"/>
      <c r="L7" s="40"/>
      <c r="M7" s="42"/>
      <c r="N7" s="40"/>
      <c r="O7" s="40"/>
      <c r="P7" s="40"/>
      <c r="Q7" s="43"/>
      <c r="R7" s="43"/>
      <c r="S7" s="89"/>
      <c r="T7" s="89"/>
      <c r="Z7" s="93"/>
    </row>
    <row r="8" spans="1:27">
      <c r="A8" s="37"/>
      <c r="B8" s="42"/>
      <c r="C8" s="70"/>
      <c r="D8" s="37"/>
      <c r="E8" s="37"/>
      <c r="F8" s="38"/>
      <c r="G8" s="39"/>
      <c r="H8" s="40"/>
      <c r="I8" s="42"/>
      <c r="J8" s="40"/>
      <c r="K8" s="42"/>
      <c r="L8" s="40"/>
      <c r="M8" s="42"/>
      <c r="N8" s="40"/>
      <c r="O8" s="40"/>
      <c r="P8" s="40"/>
      <c r="Q8" s="43"/>
      <c r="R8" s="43"/>
      <c r="S8" s="89"/>
      <c r="T8" s="89"/>
      <c r="Z8" s="93"/>
    </row>
    <row r="9" spans="1:27" ht="36">
      <c r="A9" s="55" t="s">
        <v>111</v>
      </c>
      <c r="B9" s="56" t="s">
        <v>236</v>
      </c>
      <c r="C9" s="88" t="s">
        <v>237</v>
      </c>
      <c r="D9" s="56" t="s">
        <v>238</v>
      </c>
      <c r="E9" s="56" t="s">
        <v>239</v>
      </c>
      <c r="F9" s="57" t="s">
        <v>240</v>
      </c>
      <c r="G9" s="58" t="s">
        <v>241</v>
      </c>
      <c r="H9" s="59" t="s">
        <v>242</v>
      </c>
      <c r="I9" s="60" t="s">
        <v>243</v>
      </c>
      <c r="J9" s="59" t="s">
        <v>244</v>
      </c>
      <c r="K9" s="60" t="s">
        <v>245</v>
      </c>
      <c r="L9" s="59" t="s">
        <v>246</v>
      </c>
      <c r="M9" s="60" t="s">
        <v>247</v>
      </c>
      <c r="N9" s="59" t="s">
        <v>248</v>
      </c>
      <c r="O9" s="59" t="s">
        <v>249</v>
      </c>
      <c r="P9" s="59" t="s">
        <v>250</v>
      </c>
      <c r="Q9" s="61" t="s">
        <v>251</v>
      </c>
      <c r="R9" s="61" t="s">
        <v>252</v>
      </c>
      <c r="S9" s="95" t="s">
        <v>223</v>
      </c>
      <c r="T9" s="104" t="s">
        <v>253</v>
      </c>
      <c r="U9" s="105" t="s">
        <v>254</v>
      </c>
      <c r="V9" s="106" t="s">
        <v>255</v>
      </c>
      <c r="W9" s="105" t="s">
        <v>256</v>
      </c>
      <c r="X9" s="107" t="s">
        <v>257</v>
      </c>
      <c r="Y9" s="106" t="s">
        <v>258</v>
      </c>
      <c r="Z9" s="109" t="s">
        <v>259</v>
      </c>
      <c r="AA9" s="109" t="s">
        <v>225</v>
      </c>
    </row>
    <row r="10" spans="1:27" s="112" customFormat="1" ht="47.25" customHeight="1">
      <c r="A10" s="72"/>
      <c r="B10" s="73" t="s">
        <v>570</v>
      </c>
      <c r="C10" s="62"/>
      <c r="D10" s="74"/>
      <c r="E10" s="75"/>
      <c r="F10" s="76"/>
      <c r="G10" s="77">
        <f>E10*F10</f>
        <v>0</v>
      </c>
      <c r="H10" s="63"/>
      <c r="I10" s="74"/>
      <c r="J10" s="63"/>
      <c r="K10" s="74"/>
      <c r="L10" s="64"/>
      <c r="M10" s="74"/>
      <c r="N10" s="64"/>
      <c r="O10" s="64"/>
      <c r="P10" s="64"/>
      <c r="Q10" s="78"/>
      <c r="R10" s="78"/>
      <c r="S10" s="96"/>
      <c r="T10" s="96"/>
      <c r="U10" s="101"/>
      <c r="V10" s="97"/>
      <c r="W10" s="102"/>
      <c r="X10" s="102"/>
      <c r="Y10" s="98"/>
      <c r="Z10" s="103"/>
      <c r="AA10" s="388"/>
    </row>
    <row r="11" spans="1:27" s="112" customFormat="1" ht="47.25" customHeight="1">
      <c r="A11" s="421">
        <v>1</v>
      </c>
      <c r="B11" s="422" t="s">
        <v>571</v>
      </c>
      <c r="C11" s="423" t="s">
        <v>61</v>
      </c>
      <c r="D11" s="422" t="s">
        <v>572</v>
      </c>
      <c r="E11" s="424">
        <v>1</v>
      </c>
      <c r="F11" s="425"/>
      <c r="G11" s="426">
        <f t="shared" ref="G11:G42" si="0">E11*F11</f>
        <v>0</v>
      </c>
      <c r="H11" s="428"/>
      <c r="I11" s="422"/>
      <c r="J11" s="428"/>
      <c r="K11" s="422"/>
      <c r="L11" s="428"/>
      <c r="M11" s="422"/>
      <c r="N11" s="428"/>
      <c r="O11" s="428"/>
      <c r="P11" s="428"/>
      <c r="Q11" s="429" t="s">
        <v>265</v>
      </c>
      <c r="R11" s="429"/>
      <c r="S11" s="430"/>
      <c r="T11" s="430"/>
      <c r="U11" s="431"/>
      <c r="V11" s="432"/>
      <c r="W11" s="433" t="s">
        <v>266</v>
      </c>
      <c r="X11" s="433">
        <v>45582</v>
      </c>
      <c r="Y11" s="434" t="s">
        <v>267</v>
      </c>
      <c r="Z11" s="435"/>
      <c r="AA11" s="424"/>
    </row>
    <row r="12" spans="1:27" s="112" customFormat="1" ht="47.25" customHeight="1">
      <c r="A12" s="421">
        <v>2</v>
      </c>
      <c r="B12" s="422" t="s">
        <v>573</v>
      </c>
      <c r="C12" s="423" t="s">
        <v>61</v>
      </c>
      <c r="D12" s="422" t="s">
        <v>574</v>
      </c>
      <c r="E12" s="424">
        <v>1</v>
      </c>
      <c r="F12" s="425"/>
      <c r="G12" s="426">
        <f t="shared" si="0"/>
        <v>0</v>
      </c>
      <c r="H12" s="428"/>
      <c r="I12" s="422"/>
      <c r="J12" s="428"/>
      <c r="K12" s="422" t="s">
        <v>575</v>
      </c>
      <c r="L12" s="428" t="s">
        <v>298</v>
      </c>
      <c r="M12" s="422" t="s">
        <v>576</v>
      </c>
      <c r="N12" s="428"/>
      <c r="O12" s="428"/>
      <c r="P12" s="428" t="s">
        <v>273</v>
      </c>
      <c r="Q12" s="429" t="s">
        <v>265</v>
      </c>
      <c r="R12" s="429" t="s">
        <v>141</v>
      </c>
      <c r="S12" s="430" t="s">
        <v>380</v>
      </c>
      <c r="T12" s="430"/>
      <c r="U12" s="431"/>
      <c r="V12" s="432"/>
      <c r="W12" s="433" t="s">
        <v>266</v>
      </c>
      <c r="X12" s="433">
        <v>45587</v>
      </c>
      <c r="Y12" s="434" t="s">
        <v>267</v>
      </c>
      <c r="Z12" s="435"/>
      <c r="AA12" s="424"/>
    </row>
    <row r="13" spans="1:27" s="112" customFormat="1" ht="47.25" customHeight="1">
      <c r="A13" s="421">
        <v>3</v>
      </c>
      <c r="B13" s="422" t="s">
        <v>577</v>
      </c>
      <c r="C13" s="423" t="s">
        <v>61</v>
      </c>
      <c r="D13" s="422" t="s">
        <v>578</v>
      </c>
      <c r="E13" s="424">
        <v>1</v>
      </c>
      <c r="F13" s="425"/>
      <c r="G13" s="426">
        <f t="shared" si="0"/>
        <v>0</v>
      </c>
      <c r="H13" s="428"/>
      <c r="I13" s="422"/>
      <c r="J13" s="428"/>
      <c r="K13" s="422"/>
      <c r="L13" s="428"/>
      <c r="M13" s="422"/>
      <c r="N13" s="428"/>
      <c r="O13" s="428"/>
      <c r="P13" s="428"/>
      <c r="Q13" s="429" t="s">
        <v>265</v>
      </c>
      <c r="R13" s="429"/>
      <c r="S13" s="430"/>
      <c r="T13" s="430"/>
      <c r="U13" s="431"/>
      <c r="V13" s="432"/>
      <c r="W13" s="433" t="s">
        <v>266</v>
      </c>
      <c r="X13" s="433">
        <v>45582</v>
      </c>
      <c r="Y13" s="434" t="s">
        <v>267</v>
      </c>
      <c r="Z13" s="435"/>
      <c r="AA13" s="424"/>
    </row>
    <row r="14" spans="1:27" s="112" customFormat="1" ht="47.25" customHeight="1">
      <c r="A14" s="421">
        <v>4</v>
      </c>
      <c r="B14" s="422" t="s">
        <v>579</v>
      </c>
      <c r="C14" s="423" t="s">
        <v>61</v>
      </c>
      <c r="D14" s="422" t="s">
        <v>580</v>
      </c>
      <c r="E14" s="424">
        <v>1</v>
      </c>
      <c r="F14" s="425"/>
      <c r="G14" s="426">
        <f t="shared" si="0"/>
        <v>0</v>
      </c>
      <c r="H14" s="428"/>
      <c r="I14" s="422"/>
      <c r="J14" s="428"/>
      <c r="K14" s="422" t="s">
        <v>575</v>
      </c>
      <c r="L14" s="428" t="s">
        <v>298</v>
      </c>
      <c r="M14" s="422" t="s">
        <v>581</v>
      </c>
      <c r="N14" s="428"/>
      <c r="O14" s="428"/>
      <c r="P14" s="428" t="s">
        <v>273</v>
      </c>
      <c r="Q14" s="429" t="s">
        <v>265</v>
      </c>
      <c r="R14" s="429" t="s">
        <v>582</v>
      </c>
      <c r="S14" s="430" t="s">
        <v>274</v>
      </c>
      <c r="T14" s="430"/>
      <c r="U14" s="431"/>
      <c r="V14" s="432"/>
      <c r="W14" s="433" t="s">
        <v>266</v>
      </c>
      <c r="X14" s="433">
        <v>45587</v>
      </c>
      <c r="Y14" s="434" t="s">
        <v>267</v>
      </c>
      <c r="Z14" s="435"/>
      <c r="AA14" s="424"/>
    </row>
    <row r="15" spans="1:27" s="112" customFormat="1" ht="47.25" customHeight="1">
      <c r="A15" s="385">
        <v>5</v>
      </c>
      <c r="B15" s="387" t="s">
        <v>583</v>
      </c>
      <c r="C15" s="386" t="s">
        <v>61</v>
      </c>
      <c r="D15" s="387" t="s">
        <v>584</v>
      </c>
      <c r="E15" s="388">
        <v>4</v>
      </c>
      <c r="F15" s="389"/>
      <c r="G15" s="390">
        <f t="shared" si="0"/>
        <v>0</v>
      </c>
      <c r="H15" s="392"/>
      <c r="I15" s="387"/>
      <c r="J15" s="392"/>
      <c r="K15" s="387"/>
      <c r="L15" s="392"/>
      <c r="M15" s="387"/>
      <c r="N15" s="392"/>
      <c r="O15" s="392"/>
      <c r="P15" s="392"/>
      <c r="Q15" s="393" t="s">
        <v>265</v>
      </c>
      <c r="R15" s="393"/>
      <c r="S15" s="394"/>
      <c r="T15" s="394" t="s">
        <v>975</v>
      </c>
      <c r="U15" s="395"/>
      <c r="V15" s="396"/>
      <c r="W15" s="397"/>
      <c r="X15" s="397"/>
      <c r="Y15" s="398" t="s">
        <v>267</v>
      </c>
      <c r="Z15" s="399"/>
      <c r="AA15" s="388"/>
    </row>
    <row r="16" spans="1:27" s="112" customFormat="1" ht="47.25" customHeight="1">
      <c r="A16" s="421">
        <v>6</v>
      </c>
      <c r="B16" s="422" t="s">
        <v>585</v>
      </c>
      <c r="C16" s="423" t="s">
        <v>61</v>
      </c>
      <c r="D16" s="422" t="s">
        <v>586</v>
      </c>
      <c r="E16" s="424">
        <v>2</v>
      </c>
      <c r="F16" s="425"/>
      <c r="G16" s="426">
        <f t="shared" si="0"/>
        <v>0</v>
      </c>
      <c r="H16" s="428"/>
      <c r="I16" s="422"/>
      <c r="J16" s="428"/>
      <c r="K16" s="422"/>
      <c r="L16" s="428"/>
      <c r="M16" s="422"/>
      <c r="N16" s="428"/>
      <c r="O16" s="428"/>
      <c r="P16" s="428"/>
      <c r="Q16" s="429" t="s">
        <v>265</v>
      </c>
      <c r="R16" s="429"/>
      <c r="S16" s="430"/>
      <c r="T16" s="430"/>
      <c r="U16" s="431"/>
      <c r="V16" s="432"/>
      <c r="W16" s="433" t="s">
        <v>266</v>
      </c>
      <c r="X16" s="433">
        <v>45582</v>
      </c>
      <c r="Y16" s="434" t="s">
        <v>267</v>
      </c>
      <c r="Z16" s="435"/>
      <c r="AA16" s="424"/>
    </row>
    <row r="17" spans="1:27" s="112" customFormat="1" ht="47.25" customHeight="1">
      <c r="A17" s="421">
        <v>7</v>
      </c>
      <c r="B17" s="422" t="s">
        <v>587</v>
      </c>
      <c r="C17" s="423" t="s">
        <v>61</v>
      </c>
      <c r="D17" s="422" t="s">
        <v>588</v>
      </c>
      <c r="E17" s="424">
        <v>2</v>
      </c>
      <c r="F17" s="425"/>
      <c r="G17" s="426">
        <f t="shared" si="0"/>
        <v>0</v>
      </c>
      <c r="H17" s="428"/>
      <c r="I17" s="422"/>
      <c r="J17" s="428"/>
      <c r="K17" s="422"/>
      <c r="L17" s="428"/>
      <c r="M17" s="422"/>
      <c r="N17" s="428"/>
      <c r="O17" s="428"/>
      <c r="P17" s="428"/>
      <c r="Q17" s="429" t="s">
        <v>265</v>
      </c>
      <c r="R17" s="429"/>
      <c r="S17" s="430"/>
      <c r="T17" s="430"/>
      <c r="U17" s="431"/>
      <c r="V17" s="432"/>
      <c r="W17" s="433" t="s">
        <v>266</v>
      </c>
      <c r="X17" s="433">
        <v>45582</v>
      </c>
      <c r="Y17" s="434" t="s">
        <v>267</v>
      </c>
      <c r="Z17" s="435"/>
      <c r="AA17" s="424"/>
    </row>
    <row r="18" spans="1:27" s="112" customFormat="1" ht="47.25" customHeight="1">
      <c r="A18" s="421">
        <v>8</v>
      </c>
      <c r="B18" s="422" t="s">
        <v>585</v>
      </c>
      <c r="C18" s="423" t="s">
        <v>61</v>
      </c>
      <c r="D18" s="422" t="s">
        <v>586</v>
      </c>
      <c r="E18" s="424">
        <v>1</v>
      </c>
      <c r="F18" s="425"/>
      <c r="G18" s="426">
        <f t="shared" si="0"/>
        <v>0</v>
      </c>
      <c r="H18" s="428"/>
      <c r="I18" s="422"/>
      <c r="J18" s="428"/>
      <c r="K18" s="422"/>
      <c r="L18" s="428"/>
      <c r="M18" s="422"/>
      <c r="N18" s="428"/>
      <c r="O18" s="428"/>
      <c r="P18" s="428"/>
      <c r="Q18" s="429" t="s">
        <v>265</v>
      </c>
      <c r="R18" s="429"/>
      <c r="S18" s="430"/>
      <c r="T18" s="430"/>
      <c r="U18" s="431"/>
      <c r="V18" s="432"/>
      <c r="W18" s="433" t="s">
        <v>266</v>
      </c>
      <c r="X18" s="433">
        <v>45582</v>
      </c>
      <c r="Y18" s="434" t="s">
        <v>267</v>
      </c>
      <c r="Z18" s="435"/>
      <c r="AA18" s="424"/>
    </row>
    <row r="19" spans="1:27" s="112" customFormat="1" ht="47.25" customHeight="1">
      <c r="A19" s="421">
        <v>9</v>
      </c>
      <c r="B19" s="422" t="s">
        <v>589</v>
      </c>
      <c r="C19" s="423" t="s">
        <v>61</v>
      </c>
      <c r="D19" s="422" t="s">
        <v>590</v>
      </c>
      <c r="E19" s="424">
        <v>2</v>
      </c>
      <c r="F19" s="425"/>
      <c r="G19" s="426">
        <f t="shared" si="0"/>
        <v>0</v>
      </c>
      <c r="H19" s="428"/>
      <c r="I19" s="422"/>
      <c r="J19" s="428"/>
      <c r="K19" s="422"/>
      <c r="L19" s="428"/>
      <c r="M19" s="422"/>
      <c r="N19" s="428"/>
      <c r="O19" s="428"/>
      <c r="P19" s="428"/>
      <c r="Q19" s="429" t="s">
        <v>265</v>
      </c>
      <c r="R19" s="429"/>
      <c r="S19" s="430"/>
      <c r="T19" s="430"/>
      <c r="U19" s="431"/>
      <c r="V19" s="432"/>
      <c r="W19" s="433" t="s">
        <v>266</v>
      </c>
      <c r="X19" s="433">
        <v>45582</v>
      </c>
      <c r="Y19" s="434" t="s">
        <v>267</v>
      </c>
      <c r="Z19" s="435"/>
      <c r="AA19" s="424"/>
    </row>
    <row r="20" spans="1:27" s="112" customFormat="1" ht="47.25" customHeight="1">
      <c r="A20" s="421">
        <v>10</v>
      </c>
      <c r="B20" s="422" t="s">
        <v>591</v>
      </c>
      <c r="C20" s="423" t="s">
        <v>61</v>
      </c>
      <c r="D20" s="422" t="s">
        <v>592</v>
      </c>
      <c r="E20" s="424">
        <v>3</v>
      </c>
      <c r="F20" s="425"/>
      <c r="G20" s="426">
        <f t="shared" si="0"/>
        <v>0</v>
      </c>
      <c r="H20" s="428"/>
      <c r="I20" s="422"/>
      <c r="J20" s="428"/>
      <c r="K20" s="422"/>
      <c r="L20" s="428"/>
      <c r="M20" s="422"/>
      <c r="N20" s="428"/>
      <c r="O20" s="428"/>
      <c r="P20" s="428"/>
      <c r="Q20" s="429" t="s">
        <v>265</v>
      </c>
      <c r="R20" s="429"/>
      <c r="S20" s="430"/>
      <c r="T20" s="430"/>
      <c r="U20" s="431"/>
      <c r="V20" s="432"/>
      <c r="W20" s="433" t="s">
        <v>266</v>
      </c>
      <c r="X20" s="433">
        <v>45582</v>
      </c>
      <c r="Y20" s="434" t="s">
        <v>267</v>
      </c>
      <c r="Z20" s="435"/>
      <c r="AA20" s="424"/>
    </row>
    <row r="21" spans="1:27" s="112" customFormat="1" ht="47.25" customHeight="1">
      <c r="A21" s="385">
        <v>11</v>
      </c>
      <c r="B21" s="387" t="s">
        <v>593</v>
      </c>
      <c r="C21" s="386" t="s">
        <v>61</v>
      </c>
      <c r="D21" s="387" t="s">
        <v>594</v>
      </c>
      <c r="E21" s="388">
        <v>1</v>
      </c>
      <c r="F21" s="389"/>
      <c r="G21" s="390">
        <f t="shared" si="0"/>
        <v>0</v>
      </c>
      <c r="H21" s="392"/>
      <c r="I21" s="387"/>
      <c r="J21" s="392"/>
      <c r="K21" s="387" t="s">
        <v>575</v>
      </c>
      <c r="L21" s="392" t="s">
        <v>298</v>
      </c>
      <c r="M21" s="387" t="s">
        <v>595</v>
      </c>
      <c r="N21" s="392"/>
      <c r="O21" s="392"/>
      <c r="P21" s="392" t="s">
        <v>273</v>
      </c>
      <c r="Q21" s="393" t="s">
        <v>596</v>
      </c>
      <c r="R21" s="393" t="s">
        <v>597</v>
      </c>
      <c r="S21" s="394" t="s">
        <v>303</v>
      </c>
      <c r="T21" s="394" t="s">
        <v>419</v>
      </c>
      <c r="U21" s="395"/>
      <c r="V21" s="396"/>
      <c r="W21" s="397"/>
      <c r="X21" s="397"/>
      <c r="Y21" s="398" t="s">
        <v>267</v>
      </c>
      <c r="Z21" s="399"/>
      <c r="AA21" s="388"/>
    </row>
    <row r="22" spans="1:27" s="112" customFormat="1" ht="47.25" customHeight="1">
      <c r="A22" s="385">
        <v>12</v>
      </c>
      <c r="B22" s="387" t="s">
        <v>598</v>
      </c>
      <c r="C22" s="386" t="s">
        <v>61</v>
      </c>
      <c r="D22" s="387" t="s">
        <v>599</v>
      </c>
      <c r="E22" s="388">
        <v>1</v>
      </c>
      <c r="F22" s="389"/>
      <c r="G22" s="390">
        <f t="shared" si="0"/>
        <v>0</v>
      </c>
      <c r="H22" s="392"/>
      <c r="I22" s="387"/>
      <c r="J22" s="392"/>
      <c r="K22" s="387" t="s">
        <v>575</v>
      </c>
      <c r="L22" s="392" t="s">
        <v>298</v>
      </c>
      <c r="M22" s="387" t="s">
        <v>595</v>
      </c>
      <c r="N22" s="392"/>
      <c r="O22" s="392"/>
      <c r="P22" s="392" t="s">
        <v>273</v>
      </c>
      <c r="Q22" s="393" t="s">
        <v>596</v>
      </c>
      <c r="R22" s="393" t="s">
        <v>597</v>
      </c>
      <c r="S22" s="394" t="s">
        <v>303</v>
      </c>
      <c r="T22" s="394" t="s">
        <v>419</v>
      </c>
      <c r="U22" s="395"/>
      <c r="V22" s="396"/>
      <c r="W22" s="397"/>
      <c r="X22" s="397"/>
      <c r="Y22" s="398" t="s">
        <v>267</v>
      </c>
      <c r="Z22" s="399"/>
      <c r="AA22" s="388"/>
    </row>
    <row r="23" spans="1:27" s="112" customFormat="1" ht="47.25" customHeight="1">
      <c r="A23" s="421">
        <v>13</v>
      </c>
      <c r="B23" s="422" t="s">
        <v>583</v>
      </c>
      <c r="C23" s="423" t="s">
        <v>61</v>
      </c>
      <c r="D23" s="422" t="s">
        <v>584</v>
      </c>
      <c r="E23" s="424">
        <v>8</v>
      </c>
      <c r="F23" s="425"/>
      <c r="G23" s="426">
        <f t="shared" si="0"/>
        <v>0</v>
      </c>
      <c r="H23" s="428"/>
      <c r="I23" s="422"/>
      <c r="J23" s="428"/>
      <c r="K23" s="422"/>
      <c r="L23" s="428"/>
      <c r="M23" s="422"/>
      <c r="N23" s="428"/>
      <c r="O23" s="428"/>
      <c r="P23" s="428"/>
      <c r="Q23" s="429" t="s">
        <v>265</v>
      </c>
      <c r="R23" s="429"/>
      <c r="S23" s="430"/>
      <c r="T23" s="430"/>
      <c r="U23" s="431"/>
      <c r="V23" s="432"/>
      <c r="W23" s="433" t="s">
        <v>266</v>
      </c>
      <c r="X23" s="433">
        <v>45582</v>
      </c>
      <c r="Y23" s="434" t="s">
        <v>267</v>
      </c>
      <c r="Z23" s="435"/>
      <c r="AA23" s="424"/>
    </row>
    <row r="24" spans="1:27" s="112" customFormat="1" ht="47.25" customHeight="1">
      <c r="A24" s="385">
        <v>14</v>
      </c>
      <c r="B24" s="387" t="s">
        <v>585</v>
      </c>
      <c r="C24" s="386" t="s">
        <v>61</v>
      </c>
      <c r="D24" s="387" t="s">
        <v>586</v>
      </c>
      <c r="E24" s="388">
        <v>2</v>
      </c>
      <c r="F24" s="389"/>
      <c r="G24" s="390">
        <f t="shared" si="0"/>
        <v>0</v>
      </c>
      <c r="H24" s="392"/>
      <c r="I24" s="387"/>
      <c r="J24" s="392"/>
      <c r="K24" s="387"/>
      <c r="L24" s="392"/>
      <c r="M24" s="387"/>
      <c r="N24" s="392"/>
      <c r="O24" s="392"/>
      <c r="P24" s="392"/>
      <c r="Q24" s="393" t="s">
        <v>265</v>
      </c>
      <c r="R24" s="393"/>
      <c r="S24" s="394"/>
      <c r="T24" s="394" t="s">
        <v>975</v>
      </c>
      <c r="U24" s="395"/>
      <c r="V24" s="396"/>
      <c r="W24" s="397"/>
      <c r="X24" s="397"/>
      <c r="Y24" s="398" t="s">
        <v>267</v>
      </c>
      <c r="Z24" s="399"/>
      <c r="AA24" s="388"/>
    </row>
    <row r="25" spans="1:27" s="112" customFormat="1" ht="47.25" customHeight="1">
      <c r="A25" s="385">
        <v>15</v>
      </c>
      <c r="B25" s="387" t="s">
        <v>583</v>
      </c>
      <c r="C25" s="386" t="s">
        <v>61</v>
      </c>
      <c r="D25" s="387" t="s">
        <v>584</v>
      </c>
      <c r="E25" s="388">
        <v>2</v>
      </c>
      <c r="F25" s="389"/>
      <c r="G25" s="390">
        <f t="shared" si="0"/>
        <v>0</v>
      </c>
      <c r="H25" s="392"/>
      <c r="I25" s="387"/>
      <c r="J25" s="392"/>
      <c r="K25" s="387"/>
      <c r="L25" s="392"/>
      <c r="M25" s="387"/>
      <c r="N25" s="392"/>
      <c r="O25" s="392"/>
      <c r="P25" s="392"/>
      <c r="Q25" s="393" t="s">
        <v>265</v>
      </c>
      <c r="R25" s="393"/>
      <c r="S25" s="394"/>
      <c r="T25" s="394" t="s">
        <v>975</v>
      </c>
      <c r="U25" s="395"/>
      <c r="V25" s="396"/>
      <c r="W25" s="397"/>
      <c r="X25" s="397"/>
      <c r="Y25" s="398" t="s">
        <v>267</v>
      </c>
      <c r="Z25" s="399"/>
      <c r="AA25" s="388"/>
    </row>
    <row r="26" spans="1:27" s="112" customFormat="1" ht="47.25" customHeight="1">
      <c r="A26" s="385">
        <v>16</v>
      </c>
      <c r="B26" s="387" t="s">
        <v>585</v>
      </c>
      <c r="C26" s="386" t="s">
        <v>61</v>
      </c>
      <c r="D26" s="387" t="s">
        <v>586</v>
      </c>
      <c r="E26" s="388">
        <v>2</v>
      </c>
      <c r="F26" s="389"/>
      <c r="G26" s="390">
        <f t="shared" si="0"/>
        <v>0</v>
      </c>
      <c r="H26" s="392"/>
      <c r="I26" s="387"/>
      <c r="J26" s="392"/>
      <c r="K26" s="387"/>
      <c r="L26" s="392"/>
      <c r="M26" s="387"/>
      <c r="N26" s="392"/>
      <c r="O26" s="392"/>
      <c r="P26" s="392"/>
      <c r="Q26" s="393" t="s">
        <v>265</v>
      </c>
      <c r="R26" s="393"/>
      <c r="S26" s="394"/>
      <c r="T26" s="394" t="s">
        <v>975</v>
      </c>
      <c r="U26" s="395"/>
      <c r="V26" s="396"/>
      <c r="W26" s="397"/>
      <c r="X26" s="397"/>
      <c r="Y26" s="398" t="s">
        <v>267</v>
      </c>
      <c r="Z26" s="399"/>
      <c r="AA26" s="388"/>
    </row>
    <row r="27" spans="1:27" s="112" customFormat="1" ht="47.25" customHeight="1">
      <c r="A27" s="421">
        <v>17</v>
      </c>
      <c r="B27" s="422" t="s">
        <v>589</v>
      </c>
      <c r="C27" s="423" t="s">
        <v>61</v>
      </c>
      <c r="D27" s="422" t="s">
        <v>590</v>
      </c>
      <c r="E27" s="424">
        <v>3</v>
      </c>
      <c r="F27" s="425"/>
      <c r="G27" s="426">
        <f t="shared" si="0"/>
        <v>0</v>
      </c>
      <c r="H27" s="428"/>
      <c r="I27" s="422"/>
      <c r="J27" s="428"/>
      <c r="K27" s="422"/>
      <c r="L27" s="428"/>
      <c r="M27" s="422"/>
      <c r="N27" s="428"/>
      <c r="O27" s="428"/>
      <c r="P27" s="428"/>
      <c r="Q27" s="429" t="s">
        <v>265</v>
      </c>
      <c r="R27" s="429"/>
      <c r="S27" s="430"/>
      <c r="T27" s="430"/>
      <c r="U27" s="431"/>
      <c r="V27" s="432"/>
      <c r="W27" s="433" t="s">
        <v>266</v>
      </c>
      <c r="X27" s="433">
        <v>45582</v>
      </c>
      <c r="Y27" s="434" t="s">
        <v>267</v>
      </c>
      <c r="Z27" s="435"/>
      <c r="AA27" s="424"/>
    </row>
    <row r="28" spans="1:27" s="112" customFormat="1" ht="47.25" customHeight="1">
      <c r="A28" s="421">
        <v>18</v>
      </c>
      <c r="B28" s="422" t="s">
        <v>591</v>
      </c>
      <c r="C28" s="423" t="s">
        <v>61</v>
      </c>
      <c r="D28" s="422" t="s">
        <v>592</v>
      </c>
      <c r="E28" s="424">
        <v>4</v>
      </c>
      <c r="F28" s="425"/>
      <c r="G28" s="426">
        <f t="shared" si="0"/>
        <v>0</v>
      </c>
      <c r="H28" s="428"/>
      <c r="I28" s="422"/>
      <c r="J28" s="428"/>
      <c r="K28" s="422"/>
      <c r="L28" s="428"/>
      <c r="M28" s="422"/>
      <c r="N28" s="428"/>
      <c r="O28" s="428"/>
      <c r="P28" s="428"/>
      <c r="Q28" s="429" t="s">
        <v>265</v>
      </c>
      <c r="R28" s="429"/>
      <c r="S28" s="430"/>
      <c r="T28" s="430"/>
      <c r="U28" s="431"/>
      <c r="V28" s="432"/>
      <c r="W28" s="433" t="s">
        <v>266</v>
      </c>
      <c r="X28" s="433">
        <v>45582</v>
      </c>
      <c r="Y28" s="434" t="s">
        <v>267</v>
      </c>
      <c r="Z28" s="435"/>
      <c r="AA28" s="424"/>
    </row>
    <row r="29" spans="1:27" s="112" customFormat="1" ht="47.25" customHeight="1">
      <c r="A29" s="385">
        <v>19</v>
      </c>
      <c r="B29" s="387" t="s">
        <v>600</v>
      </c>
      <c r="C29" s="386" t="s">
        <v>61</v>
      </c>
      <c r="D29" s="387" t="s">
        <v>601</v>
      </c>
      <c r="E29" s="388">
        <v>2</v>
      </c>
      <c r="F29" s="389"/>
      <c r="G29" s="390">
        <f t="shared" si="0"/>
        <v>0</v>
      </c>
      <c r="H29" s="392"/>
      <c r="I29" s="387"/>
      <c r="J29" s="392"/>
      <c r="K29" s="387"/>
      <c r="L29" s="392"/>
      <c r="M29" s="387"/>
      <c r="N29" s="392"/>
      <c r="O29" s="392"/>
      <c r="P29" s="392"/>
      <c r="Q29" s="393" t="s">
        <v>265</v>
      </c>
      <c r="R29" s="393"/>
      <c r="S29" s="394"/>
      <c r="T29" s="394" t="s">
        <v>975</v>
      </c>
      <c r="U29" s="395"/>
      <c r="V29" s="396"/>
      <c r="W29" s="397"/>
      <c r="X29" s="397"/>
      <c r="Y29" s="398" t="s">
        <v>267</v>
      </c>
      <c r="Z29" s="399"/>
      <c r="AA29" s="388"/>
    </row>
    <row r="30" spans="1:27" s="112" customFormat="1" ht="47.25" customHeight="1">
      <c r="A30" s="421">
        <v>20</v>
      </c>
      <c r="B30" s="422" t="s">
        <v>602</v>
      </c>
      <c r="C30" s="423" t="s">
        <v>61</v>
      </c>
      <c r="D30" s="422" t="s">
        <v>603</v>
      </c>
      <c r="E30" s="424">
        <v>1</v>
      </c>
      <c r="F30" s="425"/>
      <c r="G30" s="426">
        <f t="shared" si="0"/>
        <v>0</v>
      </c>
      <c r="H30" s="428"/>
      <c r="I30" s="422"/>
      <c r="J30" s="428"/>
      <c r="K30" s="422"/>
      <c r="L30" s="428"/>
      <c r="M30" s="422"/>
      <c r="N30" s="428"/>
      <c r="O30" s="428"/>
      <c r="P30" s="428"/>
      <c r="Q30" s="429" t="s">
        <v>265</v>
      </c>
      <c r="R30" s="429"/>
      <c r="S30" s="430"/>
      <c r="T30" s="430"/>
      <c r="U30" s="431"/>
      <c r="V30" s="432"/>
      <c r="W30" s="433" t="s">
        <v>266</v>
      </c>
      <c r="X30" s="433">
        <v>45582</v>
      </c>
      <c r="Y30" s="434" t="s">
        <v>267</v>
      </c>
      <c r="Z30" s="435"/>
      <c r="AA30" s="424"/>
    </row>
    <row r="31" spans="1:27" s="112" customFormat="1" ht="47.25" customHeight="1">
      <c r="A31" s="421">
        <v>21</v>
      </c>
      <c r="B31" s="422" t="s">
        <v>604</v>
      </c>
      <c r="C31" s="423" t="s">
        <v>61</v>
      </c>
      <c r="D31" s="422" t="s">
        <v>605</v>
      </c>
      <c r="E31" s="424">
        <v>1</v>
      </c>
      <c r="F31" s="425"/>
      <c r="G31" s="426">
        <f t="shared" si="0"/>
        <v>0</v>
      </c>
      <c r="H31" s="428"/>
      <c r="I31" s="422"/>
      <c r="J31" s="428"/>
      <c r="K31" s="422" t="s">
        <v>575</v>
      </c>
      <c r="L31" s="428" t="s">
        <v>298</v>
      </c>
      <c r="M31" s="422" t="s">
        <v>606</v>
      </c>
      <c r="N31" s="428"/>
      <c r="O31" s="428"/>
      <c r="P31" s="428" t="s">
        <v>273</v>
      </c>
      <c r="Q31" s="429" t="s">
        <v>265</v>
      </c>
      <c r="R31" s="429" t="s">
        <v>163</v>
      </c>
      <c r="S31" s="430" t="s">
        <v>607</v>
      </c>
      <c r="T31" s="430"/>
      <c r="U31" s="431"/>
      <c r="V31" s="432"/>
      <c r="W31" s="433" t="s">
        <v>266</v>
      </c>
      <c r="X31" s="433">
        <v>45587</v>
      </c>
      <c r="Y31" s="434" t="s">
        <v>267</v>
      </c>
      <c r="Z31" s="435"/>
      <c r="AA31" s="424"/>
    </row>
    <row r="32" spans="1:27" s="112" customFormat="1" ht="47.25" customHeight="1">
      <c r="A32" s="421">
        <v>22</v>
      </c>
      <c r="B32" s="422" t="s">
        <v>608</v>
      </c>
      <c r="C32" s="423" t="s">
        <v>61</v>
      </c>
      <c r="D32" s="422" t="s">
        <v>609</v>
      </c>
      <c r="E32" s="424">
        <v>2</v>
      </c>
      <c r="F32" s="425"/>
      <c r="G32" s="426">
        <f t="shared" si="0"/>
        <v>0</v>
      </c>
      <c r="H32" s="428"/>
      <c r="I32" s="422"/>
      <c r="J32" s="428"/>
      <c r="K32" s="422" t="s">
        <v>575</v>
      </c>
      <c r="L32" s="428" t="s">
        <v>298</v>
      </c>
      <c r="M32" s="422" t="s">
        <v>323</v>
      </c>
      <c r="N32" s="428"/>
      <c r="O32" s="428"/>
      <c r="P32" s="428" t="s">
        <v>323</v>
      </c>
      <c r="Q32" s="429" t="s">
        <v>324</v>
      </c>
      <c r="R32" s="429" t="s">
        <v>323</v>
      </c>
      <c r="S32" s="430" t="s">
        <v>323</v>
      </c>
      <c r="T32" s="430" t="s">
        <v>404</v>
      </c>
      <c r="U32" s="431"/>
      <c r="V32" s="432"/>
      <c r="W32" s="433" t="s">
        <v>266</v>
      </c>
      <c r="X32" s="433">
        <v>45594</v>
      </c>
      <c r="Y32" s="434" t="s">
        <v>267</v>
      </c>
      <c r="Z32" s="435"/>
      <c r="AA32" s="424"/>
    </row>
    <row r="33" spans="1:27" s="112" customFormat="1" ht="47.25" customHeight="1">
      <c r="A33" s="421">
        <v>23</v>
      </c>
      <c r="B33" s="422" t="s">
        <v>610</v>
      </c>
      <c r="C33" s="423" t="s">
        <v>61</v>
      </c>
      <c r="D33" s="422" t="s">
        <v>611</v>
      </c>
      <c r="E33" s="424">
        <v>2</v>
      </c>
      <c r="F33" s="425"/>
      <c r="G33" s="426">
        <f t="shared" si="0"/>
        <v>0</v>
      </c>
      <c r="H33" s="428"/>
      <c r="I33" s="422"/>
      <c r="J33" s="428"/>
      <c r="K33" s="422"/>
      <c r="L33" s="428"/>
      <c r="M33" s="422"/>
      <c r="N33" s="428"/>
      <c r="O33" s="428"/>
      <c r="P33" s="428"/>
      <c r="Q33" s="429"/>
      <c r="R33" s="429"/>
      <c r="S33" s="430"/>
      <c r="T33" s="430" t="s">
        <v>404</v>
      </c>
      <c r="U33" s="431"/>
      <c r="V33" s="432"/>
      <c r="W33" s="433" t="s">
        <v>266</v>
      </c>
      <c r="X33" s="433">
        <v>45594</v>
      </c>
      <c r="Y33" s="434" t="s">
        <v>267</v>
      </c>
      <c r="Z33" s="435"/>
      <c r="AA33" s="424"/>
    </row>
    <row r="34" spans="1:27" s="112" customFormat="1" ht="47.25" customHeight="1">
      <c r="A34" s="421">
        <v>24</v>
      </c>
      <c r="B34" s="422" t="s">
        <v>612</v>
      </c>
      <c r="C34" s="423" t="s">
        <v>61</v>
      </c>
      <c r="D34" s="422" t="s">
        <v>613</v>
      </c>
      <c r="E34" s="424">
        <v>1</v>
      </c>
      <c r="F34" s="425"/>
      <c r="G34" s="426">
        <f t="shared" si="0"/>
        <v>0</v>
      </c>
      <c r="H34" s="428"/>
      <c r="I34" s="422"/>
      <c r="J34" s="428"/>
      <c r="K34" s="422"/>
      <c r="L34" s="428"/>
      <c r="M34" s="422"/>
      <c r="N34" s="428"/>
      <c r="O34" s="428"/>
      <c r="P34" s="428"/>
      <c r="Q34" s="429" t="s">
        <v>265</v>
      </c>
      <c r="R34" s="429"/>
      <c r="S34" s="430"/>
      <c r="T34" s="430"/>
      <c r="U34" s="431"/>
      <c r="V34" s="432"/>
      <c r="W34" s="433" t="s">
        <v>266</v>
      </c>
      <c r="X34" s="433">
        <v>45582</v>
      </c>
      <c r="Y34" s="434" t="s">
        <v>267</v>
      </c>
      <c r="Z34" s="435"/>
      <c r="AA34" s="424"/>
    </row>
    <row r="35" spans="1:27" s="112" customFormat="1" ht="47.25" customHeight="1">
      <c r="A35" s="421">
        <v>25</v>
      </c>
      <c r="B35" s="422" t="s">
        <v>614</v>
      </c>
      <c r="C35" s="423" t="s">
        <v>61</v>
      </c>
      <c r="D35" s="422" t="s">
        <v>615</v>
      </c>
      <c r="E35" s="424">
        <v>4</v>
      </c>
      <c r="F35" s="425"/>
      <c r="G35" s="426">
        <f t="shared" si="0"/>
        <v>0</v>
      </c>
      <c r="H35" s="428"/>
      <c r="I35" s="422"/>
      <c r="J35" s="428"/>
      <c r="K35" s="422"/>
      <c r="L35" s="428"/>
      <c r="M35" s="422"/>
      <c r="N35" s="428"/>
      <c r="O35" s="428"/>
      <c r="P35" s="428"/>
      <c r="Q35" s="429" t="s">
        <v>265</v>
      </c>
      <c r="R35" s="429"/>
      <c r="S35" s="430"/>
      <c r="T35" s="430"/>
      <c r="U35" s="431"/>
      <c r="V35" s="432"/>
      <c r="W35" s="433" t="s">
        <v>266</v>
      </c>
      <c r="X35" s="433">
        <v>45582</v>
      </c>
      <c r="Y35" s="434" t="s">
        <v>267</v>
      </c>
      <c r="Z35" s="435"/>
      <c r="AA35" s="424"/>
    </row>
    <row r="36" spans="1:27" s="112" customFormat="1" ht="47.25" customHeight="1">
      <c r="A36" s="421">
        <v>26</v>
      </c>
      <c r="B36" s="422" t="s">
        <v>616</v>
      </c>
      <c r="C36" s="423" t="s">
        <v>61</v>
      </c>
      <c r="D36" s="422" t="s">
        <v>617</v>
      </c>
      <c r="E36" s="424">
        <v>1</v>
      </c>
      <c r="F36" s="425"/>
      <c r="G36" s="426">
        <f t="shared" si="0"/>
        <v>0</v>
      </c>
      <c r="H36" s="428"/>
      <c r="I36" s="422"/>
      <c r="J36" s="428"/>
      <c r="K36" s="422"/>
      <c r="L36" s="428"/>
      <c r="M36" s="422"/>
      <c r="N36" s="428"/>
      <c r="O36" s="428"/>
      <c r="P36" s="428"/>
      <c r="Q36" s="429" t="s">
        <v>265</v>
      </c>
      <c r="R36" s="429"/>
      <c r="S36" s="430"/>
      <c r="T36" s="430"/>
      <c r="U36" s="431"/>
      <c r="V36" s="432"/>
      <c r="W36" s="433" t="s">
        <v>266</v>
      </c>
      <c r="X36" s="433">
        <v>45582</v>
      </c>
      <c r="Y36" s="434" t="s">
        <v>267</v>
      </c>
      <c r="Z36" s="435"/>
      <c r="AA36" s="424"/>
    </row>
    <row r="37" spans="1:27" s="112" customFormat="1" ht="47.25" customHeight="1">
      <c r="A37" s="421">
        <v>27</v>
      </c>
      <c r="B37" s="422" t="s">
        <v>618</v>
      </c>
      <c r="C37" s="423" t="s">
        <v>61</v>
      </c>
      <c r="D37" s="422" t="s">
        <v>619</v>
      </c>
      <c r="E37" s="424">
        <v>1</v>
      </c>
      <c r="F37" s="425"/>
      <c r="G37" s="426">
        <f t="shared" si="0"/>
        <v>0</v>
      </c>
      <c r="H37" s="428"/>
      <c r="I37" s="422"/>
      <c r="J37" s="428"/>
      <c r="K37" s="422"/>
      <c r="L37" s="428"/>
      <c r="M37" s="422"/>
      <c r="N37" s="428"/>
      <c r="O37" s="428"/>
      <c r="P37" s="428"/>
      <c r="Q37" s="429" t="s">
        <v>265</v>
      </c>
      <c r="R37" s="429"/>
      <c r="S37" s="430"/>
      <c r="T37" s="430"/>
      <c r="U37" s="431"/>
      <c r="V37" s="432"/>
      <c r="W37" s="433" t="s">
        <v>266</v>
      </c>
      <c r="X37" s="433">
        <v>45582</v>
      </c>
      <c r="Y37" s="434" t="s">
        <v>267</v>
      </c>
      <c r="Z37" s="435"/>
      <c r="AA37" s="424"/>
    </row>
    <row r="38" spans="1:27" s="112" customFormat="1" ht="47.25" customHeight="1">
      <c r="A38" s="421">
        <v>28</v>
      </c>
      <c r="B38" s="422" t="s">
        <v>608</v>
      </c>
      <c r="C38" s="423" t="s">
        <v>61</v>
      </c>
      <c r="D38" s="422" t="s">
        <v>609</v>
      </c>
      <c r="E38" s="424">
        <v>2</v>
      </c>
      <c r="F38" s="425"/>
      <c r="G38" s="426">
        <f t="shared" si="0"/>
        <v>0</v>
      </c>
      <c r="H38" s="428"/>
      <c r="I38" s="422"/>
      <c r="J38" s="428"/>
      <c r="K38" s="422" t="s">
        <v>575</v>
      </c>
      <c r="L38" s="428" t="s">
        <v>298</v>
      </c>
      <c r="M38" s="422" t="s">
        <v>323</v>
      </c>
      <c r="N38" s="428"/>
      <c r="O38" s="428"/>
      <c r="P38" s="428" t="s">
        <v>323</v>
      </c>
      <c r="Q38" s="429" t="s">
        <v>324</v>
      </c>
      <c r="R38" s="429" t="s">
        <v>323</v>
      </c>
      <c r="S38" s="430" t="s">
        <v>323</v>
      </c>
      <c r="T38" s="430" t="s">
        <v>404</v>
      </c>
      <c r="U38" s="431"/>
      <c r="V38" s="432"/>
      <c r="W38" s="433" t="s">
        <v>266</v>
      </c>
      <c r="X38" s="433">
        <v>45594</v>
      </c>
      <c r="Y38" s="434" t="s">
        <v>267</v>
      </c>
      <c r="Z38" s="435"/>
      <c r="AA38" s="424"/>
    </row>
    <row r="39" spans="1:27" s="112" customFormat="1" ht="47.25" customHeight="1">
      <c r="A39" s="421">
        <v>29</v>
      </c>
      <c r="B39" s="422" t="s">
        <v>602</v>
      </c>
      <c r="C39" s="423" t="s">
        <v>61</v>
      </c>
      <c r="D39" s="422" t="s">
        <v>603</v>
      </c>
      <c r="E39" s="424">
        <v>1</v>
      </c>
      <c r="F39" s="425"/>
      <c r="G39" s="426">
        <f t="shared" si="0"/>
        <v>0</v>
      </c>
      <c r="H39" s="428"/>
      <c r="I39" s="422"/>
      <c r="J39" s="428"/>
      <c r="K39" s="422"/>
      <c r="L39" s="428"/>
      <c r="M39" s="422"/>
      <c r="N39" s="428"/>
      <c r="O39" s="428"/>
      <c r="P39" s="428"/>
      <c r="Q39" s="429" t="s">
        <v>265</v>
      </c>
      <c r="R39" s="429"/>
      <c r="S39" s="430"/>
      <c r="T39" s="430"/>
      <c r="U39" s="431"/>
      <c r="V39" s="432"/>
      <c r="W39" s="433" t="s">
        <v>266</v>
      </c>
      <c r="X39" s="433">
        <v>45582</v>
      </c>
      <c r="Y39" s="434" t="s">
        <v>267</v>
      </c>
      <c r="Z39" s="435"/>
      <c r="AA39" s="424"/>
    </row>
    <row r="40" spans="1:27" s="112" customFormat="1" ht="47.25" customHeight="1">
      <c r="A40" s="421">
        <v>30</v>
      </c>
      <c r="B40" s="422" t="s">
        <v>608</v>
      </c>
      <c r="C40" s="423" t="s">
        <v>61</v>
      </c>
      <c r="D40" s="422" t="s">
        <v>609</v>
      </c>
      <c r="E40" s="424">
        <v>2</v>
      </c>
      <c r="F40" s="425"/>
      <c r="G40" s="426">
        <f t="shared" si="0"/>
        <v>0</v>
      </c>
      <c r="H40" s="428"/>
      <c r="I40" s="422"/>
      <c r="J40" s="428"/>
      <c r="K40" s="422" t="s">
        <v>575</v>
      </c>
      <c r="L40" s="428" t="s">
        <v>298</v>
      </c>
      <c r="M40" s="422" t="s">
        <v>323</v>
      </c>
      <c r="N40" s="428"/>
      <c r="O40" s="428"/>
      <c r="P40" s="428" t="s">
        <v>323</v>
      </c>
      <c r="Q40" s="429" t="s">
        <v>324</v>
      </c>
      <c r="R40" s="429" t="s">
        <v>323</v>
      </c>
      <c r="S40" s="430" t="s">
        <v>323</v>
      </c>
      <c r="T40" s="430" t="s">
        <v>404</v>
      </c>
      <c r="U40" s="431"/>
      <c r="V40" s="432"/>
      <c r="W40" s="433" t="s">
        <v>266</v>
      </c>
      <c r="X40" s="433">
        <v>45594</v>
      </c>
      <c r="Y40" s="434" t="s">
        <v>267</v>
      </c>
      <c r="Z40" s="435"/>
      <c r="AA40" s="424"/>
    </row>
    <row r="41" spans="1:27" s="112" customFormat="1" ht="47.25" customHeight="1">
      <c r="A41" s="421">
        <v>31</v>
      </c>
      <c r="B41" s="422" t="s">
        <v>610</v>
      </c>
      <c r="C41" s="423" t="s">
        <v>61</v>
      </c>
      <c r="D41" s="422" t="s">
        <v>611</v>
      </c>
      <c r="E41" s="424">
        <v>2</v>
      </c>
      <c r="F41" s="425"/>
      <c r="G41" s="426">
        <f t="shared" si="0"/>
        <v>0</v>
      </c>
      <c r="H41" s="428"/>
      <c r="I41" s="422"/>
      <c r="J41" s="428"/>
      <c r="K41" s="422"/>
      <c r="L41" s="428"/>
      <c r="M41" s="422"/>
      <c r="N41" s="428"/>
      <c r="O41" s="428"/>
      <c r="P41" s="428"/>
      <c r="Q41" s="429"/>
      <c r="R41" s="429"/>
      <c r="S41" s="430"/>
      <c r="T41" s="430" t="s">
        <v>404</v>
      </c>
      <c r="U41" s="431"/>
      <c r="V41" s="432"/>
      <c r="W41" s="433" t="s">
        <v>266</v>
      </c>
      <c r="X41" s="433">
        <v>45594</v>
      </c>
      <c r="Y41" s="434" t="s">
        <v>267</v>
      </c>
      <c r="Z41" s="435"/>
      <c r="AA41" s="424"/>
    </row>
    <row r="42" spans="1:27" s="112" customFormat="1" ht="47.25" customHeight="1">
      <c r="A42" s="421">
        <v>32</v>
      </c>
      <c r="B42" s="422" t="s">
        <v>612</v>
      </c>
      <c r="C42" s="423" t="s">
        <v>61</v>
      </c>
      <c r="D42" s="422" t="s">
        <v>613</v>
      </c>
      <c r="E42" s="424">
        <v>1</v>
      </c>
      <c r="F42" s="425"/>
      <c r="G42" s="426">
        <f t="shared" si="0"/>
        <v>0</v>
      </c>
      <c r="H42" s="428"/>
      <c r="I42" s="422"/>
      <c r="J42" s="428"/>
      <c r="K42" s="422"/>
      <c r="L42" s="428"/>
      <c r="M42" s="422"/>
      <c r="N42" s="428"/>
      <c r="O42" s="428"/>
      <c r="P42" s="428"/>
      <c r="Q42" s="429" t="s">
        <v>265</v>
      </c>
      <c r="R42" s="429"/>
      <c r="S42" s="430"/>
      <c r="T42" s="430"/>
      <c r="U42" s="431"/>
      <c r="V42" s="432"/>
      <c r="W42" s="433" t="s">
        <v>266</v>
      </c>
      <c r="X42" s="433">
        <v>45582</v>
      </c>
      <c r="Y42" s="434" t="s">
        <v>267</v>
      </c>
      <c r="Z42" s="435"/>
      <c r="AA42" s="424"/>
    </row>
    <row r="43" spans="1:27" s="112" customFormat="1" ht="47.25" customHeight="1">
      <c r="A43" s="421">
        <v>33</v>
      </c>
      <c r="B43" s="422" t="s">
        <v>614</v>
      </c>
      <c r="C43" s="423" t="s">
        <v>61</v>
      </c>
      <c r="D43" s="422" t="s">
        <v>615</v>
      </c>
      <c r="E43" s="424">
        <v>4</v>
      </c>
      <c r="F43" s="425"/>
      <c r="G43" s="426">
        <f t="shared" ref="G43:G60" si="1">E43*F43</f>
        <v>0</v>
      </c>
      <c r="H43" s="428"/>
      <c r="I43" s="422"/>
      <c r="J43" s="428"/>
      <c r="K43" s="422"/>
      <c r="L43" s="428"/>
      <c r="M43" s="422"/>
      <c r="N43" s="428"/>
      <c r="O43" s="428"/>
      <c r="P43" s="428"/>
      <c r="Q43" s="429" t="s">
        <v>265</v>
      </c>
      <c r="R43" s="429"/>
      <c r="S43" s="430"/>
      <c r="T43" s="430"/>
      <c r="U43" s="431"/>
      <c r="V43" s="432"/>
      <c r="W43" s="433" t="s">
        <v>266</v>
      </c>
      <c r="X43" s="433">
        <v>45582</v>
      </c>
      <c r="Y43" s="434" t="s">
        <v>267</v>
      </c>
      <c r="Z43" s="435"/>
      <c r="AA43" s="424"/>
    </row>
    <row r="44" spans="1:27" s="112" customFormat="1" ht="47.25" customHeight="1">
      <c r="A44" s="421">
        <v>34</v>
      </c>
      <c r="B44" s="422" t="s">
        <v>616</v>
      </c>
      <c r="C44" s="423" t="s">
        <v>61</v>
      </c>
      <c r="D44" s="422" t="s">
        <v>617</v>
      </c>
      <c r="E44" s="424">
        <v>1</v>
      </c>
      <c r="F44" s="425"/>
      <c r="G44" s="426">
        <f t="shared" si="1"/>
        <v>0</v>
      </c>
      <c r="H44" s="428"/>
      <c r="I44" s="422"/>
      <c r="J44" s="428"/>
      <c r="K44" s="422"/>
      <c r="L44" s="428"/>
      <c r="M44" s="422"/>
      <c r="N44" s="428"/>
      <c r="O44" s="428"/>
      <c r="P44" s="428"/>
      <c r="Q44" s="429" t="s">
        <v>265</v>
      </c>
      <c r="R44" s="429"/>
      <c r="S44" s="430"/>
      <c r="T44" s="430"/>
      <c r="U44" s="431"/>
      <c r="V44" s="432"/>
      <c r="W44" s="433" t="s">
        <v>266</v>
      </c>
      <c r="X44" s="433">
        <v>45582</v>
      </c>
      <c r="Y44" s="434" t="s">
        <v>267</v>
      </c>
      <c r="Z44" s="435"/>
      <c r="AA44" s="424"/>
    </row>
    <row r="45" spans="1:27" s="112" customFormat="1" ht="47.25" customHeight="1">
      <c r="A45" s="421">
        <v>35</v>
      </c>
      <c r="B45" s="422" t="s">
        <v>618</v>
      </c>
      <c r="C45" s="423" t="s">
        <v>61</v>
      </c>
      <c r="D45" s="422" t="s">
        <v>619</v>
      </c>
      <c r="E45" s="424">
        <v>1</v>
      </c>
      <c r="F45" s="425"/>
      <c r="G45" s="426">
        <f t="shared" si="1"/>
        <v>0</v>
      </c>
      <c r="H45" s="428"/>
      <c r="I45" s="422"/>
      <c r="J45" s="428"/>
      <c r="K45" s="422"/>
      <c r="L45" s="428"/>
      <c r="M45" s="422"/>
      <c r="N45" s="428"/>
      <c r="O45" s="428"/>
      <c r="P45" s="428"/>
      <c r="Q45" s="429" t="s">
        <v>265</v>
      </c>
      <c r="R45" s="429"/>
      <c r="S45" s="430"/>
      <c r="T45" s="430"/>
      <c r="U45" s="431"/>
      <c r="V45" s="432"/>
      <c r="W45" s="433" t="s">
        <v>266</v>
      </c>
      <c r="X45" s="433">
        <v>45582</v>
      </c>
      <c r="Y45" s="434" t="s">
        <v>267</v>
      </c>
      <c r="Z45" s="435"/>
      <c r="AA45" s="424"/>
    </row>
    <row r="46" spans="1:27" s="112" customFormat="1" ht="47.25" customHeight="1">
      <c r="A46" s="421">
        <v>36</v>
      </c>
      <c r="B46" s="422" t="s">
        <v>608</v>
      </c>
      <c r="C46" s="423" t="s">
        <v>61</v>
      </c>
      <c r="D46" s="422" t="s">
        <v>609</v>
      </c>
      <c r="E46" s="424">
        <v>2</v>
      </c>
      <c r="F46" s="425"/>
      <c r="G46" s="426">
        <f t="shared" si="1"/>
        <v>0</v>
      </c>
      <c r="H46" s="428"/>
      <c r="I46" s="422"/>
      <c r="J46" s="428"/>
      <c r="K46" s="422" t="s">
        <v>575</v>
      </c>
      <c r="L46" s="428" t="s">
        <v>298</v>
      </c>
      <c r="M46" s="422" t="s">
        <v>323</v>
      </c>
      <c r="N46" s="428"/>
      <c r="O46" s="428"/>
      <c r="P46" s="428" t="s">
        <v>323</v>
      </c>
      <c r="Q46" s="429" t="s">
        <v>324</v>
      </c>
      <c r="R46" s="429" t="s">
        <v>323</v>
      </c>
      <c r="S46" s="430" t="s">
        <v>323</v>
      </c>
      <c r="T46" s="430" t="s">
        <v>404</v>
      </c>
      <c r="U46" s="431"/>
      <c r="V46" s="432"/>
      <c r="W46" s="433" t="s">
        <v>266</v>
      </c>
      <c r="X46" s="433">
        <v>45594</v>
      </c>
      <c r="Y46" s="434" t="s">
        <v>267</v>
      </c>
      <c r="Z46" s="435"/>
      <c r="AA46" s="424"/>
    </row>
    <row r="47" spans="1:27" s="112" customFormat="1" ht="47.25" customHeight="1">
      <c r="A47" s="421">
        <v>37</v>
      </c>
      <c r="B47" s="422" t="s">
        <v>620</v>
      </c>
      <c r="C47" s="423" t="s">
        <v>61</v>
      </c>
      <c r="D47" s="422" t="s">
        <v>621</v>
      </c>
      <c r="E47" s="424">
        <v>1</v>
      </c>
      <c r="F47" s="425"/>
      <c r="G47" s="426">
        <f t="shared" si="1"/>
        <v>0</v>
      </c>
      <c r="H47" s="428"/>
      <c r="I47" s="422"/>
      <c r="J47" s="428"/>
      <c r="K47" s="422"/>
      <c r="L47" s="428"/>
      <c r="M47" s="422"/>
      <c r="N47" s="428"/>
      <c r="O47" s="428"/>
      <c r="P47" s="428"/>
      <c r="Q47" s="429" t="s">
        <v>265</v>
      </c>
      <c r="R47" s="429"/>
      <c r="S47" s="430"/>
      <c r="T47" s="430"/>
      <c r="U47" s="431"/>
      <c r="V47" s="432"/>
      <c r="W47" s="433" t="s">
        <v>266</v>
      </c>
      <c r="X47" s="433">
        <v>45582</v>
      </c>
      <c r="Y47" s="434" t="s">
        <v>267</v>
      </c>
      <c r="Z47" s="435"/>
      <c r="AA47" s="424"/>
    </row>
    <row r="48" spans="1:27" s="112" customFormat="1" ht="47.25" customHeight="1">
      <c r="A48" s="421">
        <v>38</v>
      </c>
      <c r="B48" s="422" t="s">
        <v>622</v>
      </c>
      <c r="C48" s="423" t="s">
        <v>61</v>
      </c>
      <c r="D48" s="422" t="s">
        <v>623</v>
      </c>
      <c r="E48" s="424">
        <v>1</v>
      </c>
      <c r="F48" s="425"/>
      <c r="G48" s="426">
        <f t="shared" si="1"/>
        <v>0</v>
      </c>
      <c r="H48" s="428"/>
      <c r="I48" s="422"/>
      <c r="J48" s="428"/>
      <c r="K48" s="422"/>
      <c r="L48" s="428"/>
      <c r="M48" s="422"/>
      <c r="N48" s="428"/>
      <c r="O48" s="428"/>
      <c r="P48" s="428"/>
      <c r="Q48" s="429" t="s">
        <v>265</v>
      </c>
      <c r="R48" s="429"/>
      <c r="S48" s="430"/>
      <c r="T48" s="430"/>
      <c r="U48" s="431"/>
      <c r="V48" s="432"/>
      <c r="W48" s="433" t="s">
        <v>266</v>
      </c>
      <c r="X48" s="433">
        <v>45582</v>
      </c>
      <c r="Y48" s="434" t="s">
        <v>267</v>
      </c>
      <c r="Z48" s="435"/>
      <c r="AA48" s="424"/>
    </row>
    <row r="49" spans="1:27" s="112" customFormat="1" ht="47.25" customHeight="1">
      <c r="A49" s="421">
        <v>39</v>
      </c>
      <c r="B49" s="422" t="s">
        <v>624</v>
      </c>
      <c r="C49" s="423" t="s">
        <v>61</v>
      </c>
      <c r="D49" s="422" t="s">
        <v>625</v>
      </c>
      <c r="E49" s="424">
        <v>1</v>
      </c>
      <c r="F49" s="425"/>
      <c r="G49" s="426">
        <f t="shared" si="1"/>
        <v>0</v>
      </c>
      <c r="H49" s="428"/>
      <c r="I49" s="422"/>
      <c r="J49" s="428"/>
      <c r="K49" s="422"/>
      <c r="L49" s="428"/>
      <c r="M49" s="422"/>
      <c r="N49" s="428"/>
      <c r="O49" s="428"/>
      <c r="P49" s="428"/>
      <c r="Q49" s="429" t="s">
        <v>265</v>
      </c>
      <c r="R49" s="429"/>
      <c r="S49" s="430"/>
      <c r="T49" s="430"/>
      <c r="U49" s="431"/>
      <c r="V49" s="432"/>
      <c r="W49" s="433" t="s">
        <v>266</v>
      </c>
      <c r="X49" s="433">
        <v>45582</v>
      </c>
      <c r="Y49" s="434" t="s">
        <v>267</v>
      </c>
      <c r="Z49" s="435"/>
      <c r="AA49" s="424"/>
    </row>
    <row r="50" spans="1:27" s="112" customFormat="1" ht="47.25" customHeight="1">
      <c r="A50" s="421">
        <v>40</v>
      </c>
      <c r="B50" s="422" t="s">
        <v>626</v>
      </c>
      <c r="C50" s="423" t="s">
        <v>61</v>
      </c>
      <c r="D50" s="422" t="s">
        <v>627</v>
      </c>
      <c r="E50" s="424">
        <v>10</v>
      </c>
      <c r="F50" s="425"/>
      <c r="G50" s="426">
        <f t="shared" si="1"/>
        <v>0</v>
      </c>
      <c r="H50" s="428"/>
      <c r="I50" s="422"/>
      <c r="J50" s="428"/>
      <c r="K50" s="422"/>
      <c r="L50" s="428"/>
      <c r="M50" s="422"/>
      <c r="N50" s="428"/>
      <c r="O50" s="428"/>
      <c r="P50" s="428"/>
      <c r="Q50" s="429" t="s">
        <v>265</v>
      </c>
      <c r="R50" s="429"/>
      <c r="S50" s="430"/>
      <c r="T50" s="430"/>
      <c r="U50" s="431"/>
      <c r="V50" s="432"/>
      <c r="W50" s="433" t="s">
        <v>266</v>
      </c>
      <c r="X50" s="433">
        <v>45582</v>
      </c>
      <c r="Y50" s="434" t="s">
        <v>267</v>
      </c>
      <c r="Z50" s="435"/>
      <c r="AA50" s="424"/>
    </row>
    <row r="51" spans="1:27" s="112" customFormat="1" ht="47.25" customHeight="1">
      <c r="A51" s="421">
        <v>41</v>
      </c>
      <c r="B51" s="422" t="s">
        <v>628</v>
      </c>
      <c r="C51" s="423" t="s">
        <v>61</v>
      </c>
      <c r="D51" s="422" t="s">
        <v>629</v>
      </c>
      <c r="E51" s="424">
        <v>30</v>
      </c>
      <c r="F51" s="425"/>
      <c r="G51" s="426">
        <f t="shared" si="1"/>
        <v>0</v>
      </c>
      <c r="H51" s="428"/>
      <c r="I51" s="422"/>
      <c r="J51" s="428"/>
      <c r="K51" s="422"/>
      <c r="L51" s="428"/>
      <c r="M51" s="422"/>
      <c r="N51" s="428"/>
      <c r="O51" s="428"/>
      <c r="P51" s="428"/>
      <c r="Q51" s="429" t="s">
        <v>265</v>
      </c>
      <c r="R51" s="429"/>
      <c r="S51" s="430"/>
      <c r="T51" s="430"/>
      <c r="U51" s="431"/>
      <c r="V51" s="432"/>
      <c r="W51" s="433" t="s">
        <v>266</v>
      </c>
      <c r="X51" s="433">
        <v>45582</v>
      </c>
      <c r="Y51" s="434" t="s">
        <v>267</v>
      </c>
      <c r="Z51" s="435"/>
      <c r="AA51" s="424"/>
    </row>
    <row r="52" spans="1:27" s="112" customFormat="1" ht="47.25" customHeight="1">
      <c r="A52" s="421">
        <v>42</v>
      </c>
      <c r="B52" s="422" t="s">
        <v>620</v>
      </c>
      <c r="C52" s="423" t="s">
        <v>61</v>
      </c>
      <c r="D52" s="422" t="s">
        <v>621</v>
      </c>
      <c r="E52" s="424">
        <v>1</v>
      </c>
      <c r="F52" s="425"/>
      <c r="G52" s="426">
        <f t="shared" si="1"/>
        <v>0</v>
      </c>
      <c r="H52" s="428"/>
      <c r="I52" s="422"/>
      <c r="J52" s="428"/>
      <c r="K52" s="422"/>
      <c r="L52" s="428"/>
      <c r="M52" s="422"/>
      <c r="N52" s="428"/>
      <c r="O52" s="428"/>
      <c r="P52" s="428"/>
      <c r="Q52" s="429" t="s">
        <v>265</v>
      </c>
      <c r="R52" s="429"/>
      <c r="S52" s="430"/>
      <c r="T52" s="430"/>
      <c r="U52" s="431"/>
      <c r="V52" s="432"/>
      <c r="W52" s="433" t="s">
        <v>266</v>
      </c>
      <c r="X52" s="433">
        <v>45582</v>
      </c>
      <c r="Y52" s="434" t="s">
        <v>267</v>
      </c>
      <c r="Z52" s="435"/>
      <c r="AA52" s="424"/>
    </row>
    <row r="53" spans="1:27" s="112" customFormat="1" ht="47.25" customHeight="1">
      <c r="A53" s="421">
        <v>43</v>
      </c>
      <c r="B53" s="422" t="s">
        <v>622</v>
      </c>
      <c r="C53" s="423" t="s">
        <v>61</v>
      </c>
      <c r="D53" s="422" t="s">
        <v>623</v>
      </c>
      <c r="E53" s="424">
        <v>1</v>
      </c>
      <c r="F53" s="425"/>
      <c r="G53" s="426">
        <f t="shared" si="1"/>
        <v>0</v>
      </c>
      <c r="H53" s="428"/>
      <c r="I53" s="422"/>
      <c r="J53" s="428"/>
      <c r="K53" s="422"/>
      <c r="L53" s="428"/>
      <c r="M53" s="422"/>
      <c r="N53" s="428"/>
      <c r="O53" s="428"/>
      <c r="P53" s="428"/>
      <c r="Q53" s="429" t="s">
        <v>265</v>
      </c>
      <c r="R53" s="429"/>
      <c r="S53" s="430"/>
      <c r="T53" s="430"/>
      <c r="U53" s="431"/>
      <c r="V53" s="432"/>
      <c r="W53" s="433" t="s">
        <v>266</v>
      </c>
      <c r="X53" s="433">
        <v>45582</v>
      </c>
      <c r="Y53" s="434" t="s">
        <v>267</v>
      </c>
      <c r="Z53" s="435"/>
      <c r="AA53" s="424"/>
    </row>
    <row r="54" spans="1:27" s="112" customFormat="1" ht="47.25" customHeight="1">
      <c r="A54" s="421">
        <v>44</v>
      </c>
      <c r="B54" s="422" t="s">
        <v>624</v>
      </c>
      <c r="C54" s="423" t="s">
        <v>61</v>
      </c>
      <c r="D54" s="422" t="s">
        <v>625</v>
      </c>
      <c r="E54" s="424">
        <v>1</v>
      </c>
      <c r="F54" s="425"/>
      <c r="G54" s="426">
        <f t="shared" si="1"/>
        <v>0</v>
      </c>
      <c r="H54" s="428"/>
      <c r="I54" s="422"/>
      <c r="J54" s="428"/>
      <c r="K54" s="422"/>
      <c r="L54" s="428"/>
      <c r="M54" s="422"/>
      <c r="N54" s="428"/>
      <c r="O54" s="428"/>
      <c r="P54" s="428"/>
      <c r="Q54" s="429" t="s">
        <v>265</v>
      </c>
      <c r="R54" s="429"/>
      <c r="S54" s="430"/>
      <c r="T54" s="430"/>
      <c r="U54" s="431"/>
      <c r="V54" s="432"/>
      <c r="W54" s="433" t="s">
        <v>266</v>
      </c>
      <c r="X54" s="433">
        <v>45582</v>
      </c>
      <c r="Y54" s="434" t="s">
        <v>267</v>
      </c>
      <c r="Z54" s="435"/>
      <c r="AA54" s="424"/>
    </row>
    <row r="55" spans="1:27" s="112" customFormat="1" ht="47.25" customHeight="1">
      <c r="A55" s="421">
        <v>45</v>
      </c>
      <c r="B55" s="422" t="s">
        <v>626</v>
      </c>
      <c r="C55" s="423" t="s">
        <v>61</v>
      </c>
      <c r="D55" s="422" t="s">
        <v>627</v>
      </c>
      <c r="E55" s="424">
        <v>10</v>
      </c>
      <c r="F55" s="425"/>
      <c r="G55" s="426">
        <f t="shared" si="1"/>
        <v>0</v>
      </c>
      <c r="H55" s="428"/>
      <c r="I55" s="422"/>
      <c r="J55" s="428"/>
      <c r="K55" s="422"/>
      <c r="L55" s="428"/>
      <c r="M55" s="422"/>
      <c r="N55" s="428"/>
      <c r="O55" s="428"/>
      <c r="P55" s="428"/>
      <c r="Q55" s="429" t="s">
        <v>265</v>
      </c>
      <c r="R55" s="429"/>
      <c r="S55" s="430"/>
      <c r="T55" s="430"/>
      <c r="U55" s="431"/>
      <c r="V55" s="432"/>
      <c r="W55" s="433" t="s">
        <v>266</v>
      </c>
      <c r="X55" s="433">
        <v>45582</v>
      </c>
      <c r="Y55" s="434" t="s">
        <v>267</v>
      </c>
      <c r="Z55" s="435"/>
      <c r="AA55" s="424"/>
    </row>
    <row r="56" spans="1:27" s="112" customFormat="1" ht="47.25" customHeight="1">
      <c r="A56" s="421">
        <v>46</v>
      </c>
      <c r="B56" s="422" t="s">
        <v>628</v>
      </c>
      <c r="C56" s="423" t="s">
        <v>61</v>
      </c>
      <c r="D56" s="422" t="s">
        <v>629</v>
      </c>
      <c r="E56" s="424">
        <v>30</v>
      </c>
      <c r="F56" s="425"/>
      <c r="G56" s="426">
        <f t="shared" si="1"/>
        <v>0</v>
      </c>
      <c r="H56" s="428"/>
      <c r="I56" s="422"/>
      <c r="J56" s="428"/>
      <c r="K56" s="422"/>
      <c r="L56" s="428"/>
      <c r="M56" s="422"/>
      <c r="N56" s="428"/>
      <c r="O56" s="428"/>
      <c r="P56" s="428"/>
      <c r="Q56" s="429" t="s">
        <v>265</v>
      </c>
      <c r="R56" s="429"/>
      <c r="S56" s="430"/>
      <c r="T56" s="430"/>
      <c r="U56" s="431"/>
      <c r="V56" s="432"/>
      <c r="W56" s="433" t="s">
        <v>266</v>
      </c>
      <c r="X56" s="433">
        <v>45582</v>
      </c>
      <c r="Y56" s="434" t="s">
        <v>267</v>
      </c>
      <c r="Z56" s="435"/>
      <c r="AA56" s="424"/>
    </row>
    <row r="57" spans="1:27" s="112" customFormat="1" ht="47.25" customHeight="1">
      <c r="A57" s="421">
        <v>47</v>
      </c>
      <c r="B57" s="422" t="s">
        <v>630</v>
      </c>
      <c r="C57" s="423" t="s">
        <v>61</v>
      </c>
      <c r="D57" s="422" t="s">
        <v>631</v>
      </c>
      <c r="E57" s="424">
        <v>10</v>
      </c>
      <c r="F57" s="425"/>
      <c r="G57" s="426">
        <f t="shared" si="1"/>
        <v>0</v>
      </c>
      <c r="H57" s="428"/>
      <c r="I57" s="422"/>
      <c r="J57" s="428"/>
      <c r="K57" s="422" t="s">
        <v>575</v>
      </c>
      <c r="L57" s="428" t="s">
        <v>298</v>
      </c>
      <c r="M57" s="422" t="s">
        <v>595</v>
      </c>
      <c r="N57" s="428"/>
      <c r="O57" s="428"/>
      <c r="P57" s="428" t="s">
        <v>273</v>
      </c>
      <c r="Q57" s="429" t="s">
        <v>265</v>
      </c>
      <c r="R57" s="429" t="s">
        <v>597</v>
      </c>
      <c r="S57" s="430" t="s">
        <v>303</v>
      </c>
      <c r="T57" s="430"/>
      <c r="U57" s="431"/>
      <c r="V57" s="432"/>
      <c r="W57" s="433" t="s">
        <v>331</v>
      </c>
      <c r="X57" s="433">
        <v>45603</v>
      </c>
      <c r="Y57" s="434" t="s">
        <v>267</v>
      </c>
      <c r="Z57" s="435"/>
      <c r="AA57" s="424"/>
    </row>
    <row r="58" spans="1:27" s="112" customFormat="1" ht="47.25" customHeight="1">
      <c r="A58" s="421">
        <v>48</v>
      </c>
      <c r="B58" s="422" t="s">
        <v>632</v>
      </c>
      <c r="C58" s="423" t="s">
        <v>61</v>
      </c>
      <c r="D58" s="422" t="s">
        <v>633</v>
      </c>
      <c r="E58" s="424">
        <v>10</v>
      </c>
      <c r="F58" s="425"/>
      <c r="G58" s="426">
        <f t="shared" si="1"/>
        <v>0</v>
      </c>
      <c r="H58" s="428"/>
      <c r="I58" s="422"/>
      <c r="J58" s="428"/>
      <c r="K58" s="422" t="s">
        <v>575</v>
      </c>
      <c r="L58" s="428" t="s">
        <v>298</v>
      </c>
      <c r="M58" s="422" t="s">
        <v>595</v>
      </c>
      <c r="N58" s="428"/>
      <c r="O58" s="428"/>
      <c r="P58" s="428" t="s">
        <v>273</v>
      </c>
      <c r="Q58" s="429" t="s">
        <v>265</v>
      </c>
      <c r="R58" s="429" t="s">
        <v>597</v>
      </c>
      <c r="S58" s="430" t="s">
        <v>303</v>
      </c>
      <c r="T58" s="430"/>
      <c r="U58" s="431"/>
      <c r="V58" s="432"/>
      <c r="W58" s="433" t="s">
        <v>331</v>
      </c>
      <c r="X58" s="433">
        <v>45603</v>
      </c>
      <c r="Y58" s="434" t="s">
        <v>267</v>
      </c>
      <c r="Z58" s="435"/>
      <c r="AA58" s="424"/>
    </row>
    <row r="59" spans="1:27" s="112" customFormat="1" ht="47.25" customHeight="1">
      <c r="A59" s="421">
        <v>49</v>
      </c>
      <c r="B59" s="422" t="s">
        <v>630</v>
      </c>
      <c r="C59" s="423" t="s">
        <v>61</v>
      </c>
      <c r="D59" s="422" t="s">
        <v>631</v>
      </c>
      <c r="E59" s="424">
        <v>10</v>
      </c>
      <c r="F59" s="425"/>
      <c r="G59" s="426">
        <f t="shared" si="1"/>
        <v>0</v>
      </c>
      <c r="H59" s="428"/>
      <c r="I59" s="422"/>
      <c r="J59" s="428"/>
      <c r="K59" s="422" t="s">
        <v>575</v>
      </c>
      <c r="L59" s="428" t="s">
        <v>298</v>
      </c>
      <c r="M59" s="422" t="s">
        <v>595</v>
      </c>
      <c r="N59" s="428"/>
      <c r="O59" s="428"/>
      <c r="P59" s="428" t="s">
        <v>273</v>
      </c>
      <c r="Q59" s="429" t="s">
        <v>265</v>
      </c>
      <c r="R59" s="429" t="s">
        <v>597</v>
      </c>
      <c r="S59" s="430" t="s">
        <v>303</v>
      </c>
      <c r="T59" s="430"/>
      <c r="U59" s="431"/>
      <c r="V59" s="432"/>
      <c r="W59" s="433" t="s">
        <v>331</v>
      </c>
      <c r="X59" s="433">
        <v>45603</v>
      </c>
      <c r="Y59" s="434" t="s">
        <v>267</v>
      </c>
      <c r="Z59" s="435"/>
      <c r="AA59" s="424"/>
    </row>
    <row r="60" spans="1:27" s="112" customFormat="1" ht="47.25" customHeight="1">
      <c r="A60" s="443">
        <v>50</v>
      </c>
      <c r="B60" s="444" t="s">
        <v>632</v>
      </c>
      <c r="C60" s="445" t="s">
        <v>61</v>
      </c>
      <c r="D60" s="444" t="s">
        <v>633</v>
      </c>
      <c r="E60" s="446">
        <v>10</v>
      </c>
      <c r="F60" s="447"/>
      <c r="G60" s="448">
        <f t="shared" si="1"/>
        <v>0</v>
      </c>
      <c r="H60" s="449"/>
      <c r="I60" s="444"/>
      <c r="J60" s="449"/>
      <c r="K60" s="444" t="s">
        <v>575</v>
      </c>
      <c r="L60" s="449" t="s">
        <v>298</v>
      </c>
      <c r="M60" s="444" t="s">
        <v>595</v>
      </c>
      <c r="N60" s="449"/>
      <c r="O60" s="449"/>
      <c r="P60" s="449" t="s">
        <v>273</v>
      </c>
      <c r="Q60" s="450" t="s">
        <v>265</v>
      </c>
      <c r="R60" s="450" t="s">
        <v>597</v>
      </c>
      <c r="S60" s="451" t="s">
        <v>303</v>
      </c>
      <c r="T60" s="430"/>
      <c r="U60" s="452"/>
      <c r="V60" s="453"/>
      <c r="W60" s="454" t="s">
        <v>331</v>
      </c>
      <c r="X60" s="454">
        <v>45603</v>
      </c>
      <c r="Y60" s="455" t="s">
        <v>267</v>
      </c>
      <c r="Z60" s="456"/>
      <c r="AA60" s="424"/>
    </row>
    <row r="61" spans="1:27" s="112" customFormat="1" ht="47.25" customHeight="1">
      <c r="A61" s="421">
        <v>51</v>
      </c>
      <c r="B61" s="422" t="s">
        <v>634</v>
      </c>
      <c r="C61" s="423" t="s">
        <v>61</v>
      </c>
      <c r="D61" s="422" t="s">
        <v>635</v>
      </c>
      <c r="E61" s="424">
        <v>1</v>
      </c>
      <c r="F61" s="425"/>
      <c r="G61" s="426">
        <f t="shared" ref="G61:G78" si="2">E61*F61</f>
        <v>0</v>
      </c>
      <c r="H61" s="428"/>
      <c r="I61" s="422"/>
      <c r="J61" s="428"/>
      <c r="K61" s="422"/>
      <c r="L61" s="428"/>
      <c r="M61" s="422"/>
      <c r="N61" s="428"/>
      <c r="O61" s="428"/>
      <c r="P61" s="428"/>
      <c r="Q61" s="429" t="s">
        <v>265</v>
      </c>
      <c r="R61" s="429"/>
      <c r="S61" s="430"/>
      <c r="T61" s="430" t="s">
        <v>419</v>
      </c>
      <c r="U61" s="431"/>
      <c r="V61" s="432"/>
      <c r="W61" s="433" t="s">
        <v>266</v>
      </c>
      <c r="X61" s="433">
        <v>45608</v>
      </c>
      <c r="Y61" s="434" t="s">
        <v>267</v>
      </c>
      <c r="Z61" s="435"/>
      <c r="AA61" s="424"/>
    </row>
    <row r="62" spans="1:27" s="112" customFormat="1" ht="47.25" customHeight="1">
      <c r="A62" s="421">
        <v>52</v>
      </c>
      <c r="B62" s="422" t="s">
        <v>636</v>
      </c>
      <c r="C62" s="423" t="s">
        <v>61</v>
      </c>
      <c r="D62" s="422" t="s">
        <v>637</v>
      </c>
      <c r="E62" s="424">
        <v>1</v>
      </c>
      <c r="F62" s="425"/>
      <c r="G62" s="426">
        <f t="shared" si="2"/>
        <v>0</v>
      </c>
      <c r="H62" s="428"/>
      <c r="I62" s="422"/>
      <c r="J62" s="428"/>
      <c r="K62" s="422"/>
      <c r="L62" s="428"/>
      <c r="M62" s="422"/>
      <c r="N62" s="428"/>
      <c r="O62" s="428"/>
      <c r="P62" s="428"/>
      <c r="Q62" s="429" t="s">
        <v>265</v>
      </c>
      <c r="R62" s="429"/>
      <c r="S62" s="430"/>
      <c r="T62" s="430" t="s">
        <v>419</v>
      </c>
      <c r="U62" s="431"/>
      <c r="V62" s="432"/>
      <c r="W62" s="433" t="s">
        <v>266</v>
      </c>
      <c r="X62" s="433">
        <v>45608</v>
      </c>
      <c r="Y62" s="434" t="s">
        <v>267</v>
      </c>
      <c r="Z62" s="435"/>
      <c r="AA62" s="424"/>
    </row>
    <row r="63" spans="1:27" s="112" customFormat="1" ht="47.25" customHeight="1">
      <c r="A63" s="385">
        <v>53</v>
      </c>
      <c r="B63" s="387" t="s">
        <v>638</v>
      </c>
      <c r="C63" s="386" t="s">
        <v>61</v>
      </c>
      <c r="D63" s="387" t="s">
        <v>639</v>
      </c>
      <c r="E63" s="388">
        <v>1</v>
      </c>
      <c r="F63" s="389"/>
      <c r="G63" s="390">
        <f t="shared" si="2"/>
        <v>0</v>
      </c>
      <c r="H63" s="392"/>
      <c r="I63" s="387"/>
      <c r="J63" s="392"/>
      <c r="K63" s="387" t="s">
        <v>640</v>
      </c>
      <c r="L63" s="392" t="s">
        <v>285</v>
      </c>
      <c r="M63" s="387" t="s">
        <v>641</v>
      </c>
      <c r="N63" s="392"/>
      <c r="O63" s="392"/>
      <c r="P63" s="392" t="s">
        <v>424</v>
      </c>
      <c r="Q63" s="393" t="s">
        <v>293</v>
      </c>
      <c r="R63" s="393" t="s">
        <v>582</v>
      </c>
      <c r="S63" s="394" t="s">
        <v>642</v>
      </c>
      <c r="T63" s="394"/>
      <c r="U63" s="395"/>
      <c r="V63" s="396"/>
      <c r="W63" s="397"/>
      <c r="X63" s="397"/>
      <c r="Y63" s="398" t="s">
        <v>267</v>
      </c>
      <c r="Z63" s="399"/>
      <c r="AA63" s="388"/>
    </row>
    <row r="64" spans="1:27" s="112" customFormat="1" ht="47.25" customHeight="1">
      <c r="A64" s="385">
        <v>54</v>
      </c>
      <c r="B64" s="387" t="s">
        <v>616</v>
      </c>
      <c r="C64" s="386" t="s">
        <v>61</v>
      </c>
      <c r="D64" s="387" t="s">
        <v>617</v>
      </c>
      <c r="E64" s="388">
        <v>1</v>
      </c>
      <c r="F64" s="389"/>
      <c r="G64" s="390">
        <f t="shared" si="2"/>
        <v>0</v>
      </c>
      <c r="H64" s="392"/>
      <c r="I64" s="387"/>
      <c r="J64" s="392"/>
      <c r="K64" s="387"/>
      <c r="L64" s="392"/>
      <c r="M64" s="387"/>
      <c r="N64" s="392"/>
      <c r="O64" s="392"/>
      <c r="P64" s="392"/>
      <c r="Q64" s="393" t="s">
        <v>265</v>
      </c>
      <c r="R64" s="393"/>
      <c r="S64" s="394"/>
      <c r="T64" s="394" t="s">
        <v>975</v>
      </c>
      <c r="U64" s="395"/>
      <c r="V64" s="396"/>
      <c r="W64" s="397"/>
      <c r="X64" s="397"/>
      <c r="Y64" s="398" t="s">
        <v>267</v>
      </c>
      <c r="Z64" s="399"/>
      <c r="AA64" s="388"/>
    </row>
    <row r="65" spans="1:27" s="112" customFormat="1" ht="47.25" customHeight="1">
      <c r="A65" s="385">
        <v>55</v>
      </c>
      <c r="B65" s="387" t="s">
        <v>618</v>
      </c>
      <c r="C65" s="386" t="s">
        <v>61</v>
      </c>
      <c r="D65" s="387" t="s">
        <v>619</v>
      </c>
      <c r="E65" s="388">
        <v>1</v>
      </c>
      <c r="F65" s="389"/>
      <c r="G65" s="390">
        <f t="shared" si="2"/>
        <v>0</v>
      </c>
      <c r="H65" s="392"/>
      <c r="I65" s="387"/>
      <c r="J65" s="392"/>
      <c r="K65" s="387"/>
      <c r="L65" s="392"/>
      <c r="M65" s="387"/>
      <c r="N65" s="392"/>
      <c r="O65" s="392"/>
      <c r="P65" s="392"/>
      <c r="Q65" s="393" t="s">
        <v>265</v>
      </c>
      <c r="R65" s="393"/>
      <c r="S65" s="394"/>
      <c r="T65" s="394" t="s">
        <v>975</v>
      </c>
      <c r="U65" s="395"/>
      <c r="V65" s="396"/>
      <c r="W65" s="397"/>
      <c r="X65" s="397"/>
      <c r="Y65" s="398" t="s">
        <v>267</v>
      </c>
      <c r="Z65" s="399"/>
      <c r="AA65" s="388"/>
    </row>
    <row r="66" spans="1:27" s="112" customFormat="1" ht="47.25" customHeight="1">
      <c r="A66" s="385">
        <v>56</v>
      </c>
      <c r="B66" s="387" t="s">
        <v>616</v>
      </c>
      <c r="C66" s="386" t="s">
        <v>61</v>
      </c>
      <c r="D66" s="387" t="s">
        <v>617</v>
      </c>
      <c r="E66" s="388">
        <v>1</v>
      </c>
      <c r="F66" s="389"/>
      <c r="G66" s="390">
        <f t="shared" si="2"/>
        <v>0</v>
      </c>
      <c r="H66" s="392"/>
      <c r="I66" s="387"/>
      <c r="J66" s="392"/>
      <c r="K66" s="387"/>
      <c r="L66" s="392"/>
      <c r="M66" s="387"/>
      <c r="N66" s="392"/>
      <c r="O66" s="392"/>
      <c r="P66" s="392"/>
      <c r="Q66" s="393" t="s">
        <v>265</v>
      </c>
      <c r="R66" s="393"/>
      <c r="S66" s="394"/>
      <c r="T66" s="394" t="s">
        <v>975</v>
      </c>
      <c r="U66" s="395"/>
      <c r="V66" s="396"/>
      <c r="W66" s="397"/>
      <c r="X66" s="397"/>
      <c r="Y66" s="398" t="s">
        <v>267</v>
      </c>
      <c r="Z66" s="399"/>
      <c r="AA66" s="388"/>
    </row>
    <row r="67" spans="1:27" s="112" customFormat="1" ht="47.25" customHeight="1">
      <c r="A67" s="385">
        <v>57</v>
      </c>
      <c r="B67" s="387" t="s">
        <v>618</v>
      </c>
      <c r="C67" s="386" t="s">
        <v>61</v>
      </c>
      <c r="D67" s="387" t="s">
        <v>619</v>
      </c>
      <c r="E67" s="388">
        <v>1</v>
      </c>
      <c r="F67" s="389"/>
      <c r="G67" s="390">
        <f t="shared" si="2"/>
        <v>0</v>
      </c>
      <c r="H67" s="392"/>
      <c r="I67" s="387"/>
      <c r="J67" s="392"/>
      <c r="K67" s="387"/>
      <c r="L67" s="392"/>
      <c r="M67" s="387"/>
      <c r="N67" s="392"/>
      <c r="O67" s="392"/>
      <c r="P67" s="392"/>
      <c r="Q67" s="393" t="s">
        <v>265</v>
      </c>
      <c r="R67" s="393"/>
      <c r="S67" s="394"/>
      <c r="T67" s="394" t="s">
        <v>975</v>
      </c>
      <c r="U67" s="395"/>
      <c r="V67" s="396"/>
      <c r="W67" s="397"/>
      <c r="X67" s="397"/>
      <c r="Y67" s="398" t="s">
        <v>267</v>
      </c>
      <c r="Z67" s="399"/>
      <c r="AA67" s="388"/>
    </row>
    <row r="68" spans="1:27" s="112" customFormat="1" ht="47.25" customHeight="1">
      <c r="A68" s="385">
        <v>58</v>
      </c>
      <c r="B68" s="387" t="s">
        <v>643</v>
      </c>
      <c r="C68" s="386" t="s">
        <v>61</v>
      </c>
      <c r="D68" s="387" t="s">
        <v>644</v>
      </c>
      <c r="E68" s="388">
        <v>1</v>
      </c>
      <c r="F68" s="389"/>
      <c r="G68" s="390">
        <f t="shared" ref="G68:G77" si="3">E68*F68</f>
        <v>0</v>
      </c>
      <c r="H68" s="392"/>
      <c r="I68" s="387"/>
      <c r="J68" s="392"/>
      <c r="K68" s="387" t="s">
        <v>645</v>
      </c>
      <c r="L68" s="392" t="s">
        <v>479</v>
      </c>
      <c r="M68" s="387" t="s">
        <v>978</v>
      </c>
      <c r="N68" s="392"/>
      <c r="O68" s="392"/>
      <c r="P68" s="392" t="s">
        <v>323</v>
      </c>
      <c r="Q68" s="393" t="s">
        <v>324</v>
      </c>
      <c r="R68" s="393" t="s">
        <v>323</v>
      </c>
      <c r="S68" s="394" t="s">
        <v>323</v>
      </c>
      <c r="T68" s="394" t="s">
        <v>648</v>
      </c>
      <c r="U68" s="395"/>
      <c r="V68" s="396"/>
      <c r="W68" s="397"/>
      <c r="X68" s="397"/>
      <c r="Y68" s="398" t="s">
        <v>267</v>
      </c>
      <c r="Z68" s="399" t="s">
        <v>978</v>
      </c>
      <c r="AA68" s="388"/>
    </row>
    <row r="69" spans="1:27" s="112" customFormat="1" ht="47.25" customHeight="1">
      <c r="A69" s="385">
        <v>59</v>
      </c>
      <c r="B69" s="387" t="s">
        <v>646</v>
      </c>
      <c r="C69" s="386" t="s">
        <v>61</v>
      </c>
      <c r="D69" s="387" t="s">
        <v>647</v>
      </c>
      <c r="E69" s="388">
        <v>1</v>
      </c>
      <c r="F69" s="389"/>
      <c r="G69" s="390">
        <f t="shared" si="3"/>
        <v>0</v>
      </c>
      <c r="H69" s="392"/>
      <c r="I69" s="387"/>
      <c r="J69" s="392"/>
      <c r="K69" s="387" t="s">
        <v>645</v>
      </c>
      <c r="L69" s="392" t="s">
        <v>479</v>
      </c>
      <c r="M69" s="387" t="s">
        <v>978</v>
      </c>
      <c r="N69" s="392"/>
      <c r="O69" s="392"/>
      <c r="P69" s="392" t="s">
        <v>323</v>
      </c>
      <c r="Q69" s="393" t="s">
        <v>324</v>
      </c>
      <c r="R69" s="393" t="s">
        <v>323</v>
      </c>
      <c r="S69" s="394" t="s">
        <v>323</v>
      </c>
      <c r="T69" s="394" t="s">
        <v>648</v>
      </c>
      <c r="U69" s="395"/>
      <c r="V69" s="396"/>
      <c r="W69" s="397"/>
      <c r="X69" s="397"/>
      <c r="Y69" s="398" t="s">
        <v>267</v>
      </c>
      <c r="Z69" s="399" t="s">
        <v>978</v>
      </c>
      <c r="AA69" s="388"/>
    </row>
    <row r="70" spans="1:27" s="473" customFormat="1" ht="47.25" customHeight="1">
      <c r="A70" s="458">
        <v>60</v>
      </c>
      <c r="B70" s="460" t="s">
        <v>649</v>
      </c>
      <c r="C70" s="459" t="s">
        <v>61</v>
      </c>
      <c r="D70" s="460" t="s">
        <v>650</v>
      </c>
      <c r="E70" s="461">
        <v>10</v>
      </c>
      <c r="F70" s="462"/>
      <c r="G70" s="463">
        <f t="shared" si="3"/>
        <v>0</v>
      </c>
      <c r="H70" s="465"/>
      <c r="I70" s="464"/>
      <c r="J70" s="465"/>
      <c r="K70" s="464"/>
      <c r="L70" s="465"/>
      <c r="M70" s="464"/>
      <c r="N70" s="465"/>
      <c r="O70" s="465"/>
      <c r="P70" s="465"/>
      <c r="Q70" s="466"/>
      <c r="R70" s="466"/>
      <c r="S70" s="467"/>
      <c r="T70" s="467" t="s">
        <v>980</v>
      </c>
      <c r="U70" s="468"/>
      <c r="V70" s="469"/>
      <c r="W70" s="470"/>
      <c r="X70" s="470"/>
      <c r="Y70" s="471" t="s">
        <v>267</v>
      </c>
      <c r="Z70" s="472"/>
      <c r="AA70" s="457"/>
    </row>
    <row r="71" spans="1:27" s="473" customFormat="1" ht="47.25" customHeight="1">
      <c r="A71" s="458">
        <v>61</v>
      </c>
      <c r="B71" s="460" t="s">
        <v>651</v>
      </c>
      <c r="C71" s="459" t="s">
        <v>61</v>
      </c>
      <c r="D71" s="460" t="s">
        <v>652</v>
      </c>
      <c r="E71" s="461">
        <v>20</v>
      </c>
      <c r="F71" s="462"/>
      <c r="G71" s="463">
        <f t="shared" si="3"/>
        <v>0</v>
      </c>
      <c r="H71" s="465"/>
      <c r="I71" s="464"/>
      <c r="J71" s="465"/>
      <c r="K71" s="464"/>
      <c r="L71" s="465"/>
      <c r="M71" s="464"/>
      <c r="N71" s="465"/>
      <c r="O71" s="465"/>
      <c r="P71" s="465"/>
      <c r="Q71" s="466"/>
      <c r="R71" s="466"/>
      <c r="S71" s="467"/>
      <c r="T71" s="467" t="s">
        <v>980</v>
      </c>
      <c r="U71" s="468"/>
      <c r="V71" s="469"/>
      <c r="W71" s="470"/>
      <c r="X71" s="470"/>
      <c r="Y71" s="471" t="s">
        <v>267</v>
      </c>
      <c r="Z71" s="472"/>
      <c r="AA71" s="457"/>
    </row>
    <row r="72" spans="1:27" s="473" customFormat="1" ht="47.25" customHeight="1">
      <c r="A72" s="458">
        <v>62</v>
      </c>
      <c r="B72" s="460" t="s">
        <v>653</v>
      </c>
      <c r="C72" s="459" t="s">
        <v>61</v>
      </c>
      <c r="D72" s="460" t="s">
        <v>654</v>
      </c>
      <c r="E72" s="461">
        <v>160</v>
      </c>
      <c r="F72" s="462"/>
      <c r="G72" s="463">
        <f t="shared" si="3"/>
        <v>0</v>
      </c>
      <c r="H72" s="465"/>
      <c r="I72" s="464"/>
      <c r="J72" s="465"/>
      <c r="K72" s="464"/>
      <c r="L72" s="465"/>
      <c r="M72" s="464"/>
      <c r="N72" s="465"/>
      <c r="O72" s="465"/>
      <c r="P72" s="465"/>
      <c r="Q72" s="466"/>
      <c r="R72" s="466"/>
      <c r="S72" s="467"/>
      <c r="T72" s="467" t="s">
        <v>980</v>
      </c>
      <c r="U72" s="468"/>
      <c r="V72" s="469"/>
      <c r="W72" s="470"/>
      <c r="X72" s="470"/>
      <c r="Y72" s="471" t="s">
        <v>267</v>
      </c>
      <c r="Z72" s="472"/>
      <c r="AA72" s="457"/>
    </row>
    <row r="73" spans="1:27" s="473" customFormat="1" ht="47.25" customHeight="1">
      <c r="A73" s="458">
        <v>63</v>
      </c>
      <c r="B73" s="460" t="s">
        <v>655</v>
      </c>
      <c r="C73" s="459" t="s">
        <v>61</v>
      </c>
      <c r="D73" s="460" t="s">
        <v>656</v>
      </c>
      <c r="E73" s="461">
        <v>20</v>
      </c>
      <c r="F73" s="462"/>
      <c r="G73" s="463">
        <f t="shared" si="3"/>
        <v>0</v>
      </c>
      <c r="H73" s="465"/>
      <c r="I73" s="464"/>
      <c r="J73" s="465"/>
      <c r="K73" s="464"/>
      <c r="L73" s="465"/>
      <c r="M73" s="464"/>
      <c r="N73" s="465"/>
      <c r="O73" s="465"/>
      <c r="P73" s="465"/>
      <c r="Q73" s="466"/>
      <c r="R73" s="466"/>
      <c r="S73" s="467"/>
      <c r="T73" s="467" t="s">
        <v>980</v>
      </c>
      <c r="U73" s="468"/>
      <c r="V73" s="469"/>
      <c r="W73" s="470"/>
      <c r="X73" s="470"/>
      <c r="Y73" s="471" t="s">
        <v>267</v>
      </c>
      <c r="Z73" s="472"/>
      <c r="AA73" s="457"/>
    </row>
    <row r="74" spans="1:27" s="473" customFormat="1" ht="47.25" customHeight="1">
      <c r="A74" s="458">
        <v>64</v>
      </c>
      <c r="B74" s="460" t="s">
        <v>657</v>
      </c>
      <c r="C74" s="459" t="s">
        <v>61</v>
      </c>
      <c r="D74" s="460" t="s">
        <v>658</v>
      </c>
      <c r="E74" s="461">
        <v>10</v>
      </c>
      <c r="F74" s="462"/>
      <c r="G74" s="463">
        <f t="shared" si="3"/>
        <v>0</v>
      </c>
      <c r="H74" s="465"/>
      <c r="I74" s="464"/>
      <c r="J74" s="465"/>
      <c r="K74" s="464"/>
      <c r="L74" s="465"/>
      <c r="M74" s="464"/>
      <c r="N74" s="465"/>
      <c r="O74" s="465"/>
      <c r="P74" s="465"/>
      <c r="Q74" s="466"/>
      <c r="R74" s="466"/>
      <c r="S74" s="467"/>
      <c r="T74" s="467" t="s">
        <v>980</v>
      </c>
      <c r="U74" s="468"/>
      <c r="V74" s="469"/>
      <c r="W74" s="470"/>
      <c r="X74" s="470"/>
      <c r="Y74" s="471" t="s">
        <v>267</v>
      </c>
      <c r="Z74" s="472"/>
      <c r="AA74" s="457"/>
    </row>
    <row r="75" spans="1:27" s="473" customFormat="1" ht="47.25" customHeight="1">
      <c r="A75" s="458">
        <v>65</v>
      </c>
      <c r="B75" s="460" t="s">
        <v>659</v>
      </c>
      <c r="C75" s="459" t="s">
        <v>61</v>
      </c>
      <c r="D75" s="460" t="s">
        <v>660</v>
      </c>
      <c r="E75" s="461">
        <v>10</v>
      </c>
      <c r="F75" s="462"/>
      <c r="G75" s="463">
        <f t="shared" si="3"/>
        <v>0</v>
      </c>
      <c r="H75" s="465"/>
      <c r="I75" s="464"/>
      <c r="J75" s="465"/>
      <c r="K75" s="464"/>
      <c r="L75" s="465"/>
      <c r="M75" s="464"/>
      <c r="N75" s="465"/>
      <c r="O75" s="465"/>
      <c r="P75" s="465"/>
      <c r="Q75" s="466"/>
      <c r="R75" s="466"/>
      <c r="S75" s="467"/>
      <c r="T75" s="467" t="s">
        <v>980</v>
      </c>
      <c r="U75" s="468"/>
      <c r="V75" s="469"/>
      <c r="W75" s="470"/>
      <c r="X75" s="470"/>
      <c r="Y75" s="471" t="s">
        <v>267</v>
      </c>
      <c r="Z75" s="472"/>
      <c r="AA75" s="457"/>
    </row>
    <row r="76" spans="1:27" s="473" customFormat="1" ht="47.25" customHeight="1">
      <c r="A76" s="458">
        <v>66</v>
      </c>
      <c r="B76" s="460" t="s">
        <v>661</v>
      </c>
      <c r="C76" s="459" t="s">
        <v>61</v>
      </c>
      <c r="D76" s="460" t="s">
        <v>662</v>
      </c>
      <c r="E76" s="461">
        <v>400</v>
      </c>
      <c r="F76" s="462"/>
      <c r="G76" s="463">
        <f t="shared" si="3"/>
        <v>0</v>
      </c>
      <c r="H76" s="465"/>
      <c r="I76" s="464"/>
      <c r="J76" s="465"/>
      <c r="K76" s="464"/>
      <c r="L76" s="465"/>
      <c r="M76" s="464"/>
      <c r="N76" s="465"/>
      <c r="O76" s="465"/>
      <c r="P76" s="465"/>
      <c r="Q76" s="466"/>
      <c r="R76" s="466"/>
      <c r="S76" s="467"/>
      <c r="T76" s="467" t="s">
        <v>980</v>
      </c>
      <c r="U76" s="468"/>
      <c r="V76" s="469"/>
      <c r="W76" s="470"/>
      <c r="X76" s="470"/>
      <c r="Y76" s="471" t="s">
        <v>267</v>
      </c>
      <c r="Z76" s="472"/>
      <c r="AA76" s="457"/>
    </row>
    <row r="77" spans="1:27" s="473" customFormat="1" ht="47.25" customHeight="1">
      <c r="A77" s="458">
        <v>67</v>
      </c>
      <c r="B77" s="460" t="s">
        <v>663</v>
      </c>
      <c r="C77" s="459" t="s">
        <v>61</v>
      </c>
      <c r="D77" s="460" t="s">
        <v>664</v>
      </c>
      <c r="E77" s="461">
        <v>500</v>
      </c>
      <c r="F77" s="462"/>
      <c r="G77" s="463">
        <f t="shared" si="3"/>
        <v>0</v>
      </c>
      <c r="H77" s="465"/>
      <c r="I77" s="464"/>
      <c r="J77" s="465"/>
      <c r="K77" s="464"/>
      <c r="L77" s="465"/>
      <c r="M77" s="464"/>
      <c r="N77" s="465"/>
      <c r="O77" s="465"/>
      <c r="P77" s="465"/>
      <c r="Q77" s="466"/>
      <c r="R77" s="466"/>
      <c r="S77" s="467"/>
      <c r="T77" s="467" t="s">
        <v>980</v>
      </c>
      <c r="U77" s="468"/>
      <c r="V77" s="469"/>
      <c r="W77" s="470"/>
      <c r="X77" s="470"/>
      <c r="Y77" s="471" t="s">
        <v>267</v>
      </c>
      <c r="Z77" s="472"/>
      <c r="AA77" s="457"/>
    </row>
    <row r="78" spans="1:27">
      <c r="A78" s="367"/>
      <c r="B78" s="368" t="s">
        <v>665</v>
      </c>
      <c r="C78" s="369"/>
      <c r="D78" s="370"/>
      <c r="E78" s="371"/>
      <c r="F78" s="372"/>
      <c r="G78" s="373">
        <f t="shared" si="2"/>
        <v>0</v>
      </c>
      <c r="H78" s="383"/>
      <c r="I78" s="370"/>
      <c r="J78" s="383"/>
      <c r="K78" s="370"/>
      <c r="L78" s="375"/>
      <c r="M78" s="370"/>
      <c r="N78" s="375"/>
      <c r="O78" s="375"/>
      <c r="P78" s="375"/>
      <c r="Q78" s="376"/>
      <c r="R78" s="376"/>
      <c r="S78" s="377"/>
      <c r="T78" s="377"/>
      <c r="U78" s="378"/>
      <c r="V78" s="379"/>
      <c r="W78" s="380"/>
      <c r="X78" s="380"/>
      <c r="Y78" s="381"/>
      <c r="Z78" s="382"/>
      <c r="AA78" s="439"/>
    </row>
  </sheetData>
  <sheetProtection password="83EF" sheet="1" objects="1" scenarios="1" formatColumns="0" autoFilter="0"/>
  <mergeCells count="2">
    <mergeCell ref="A1:B1"/>
    <mergeCell ref="A2:B2"/>
  </mergeCells>
  <pageMargins left="0.70866141732283472" right="0.70866141732283472" top="0.74803149606299213" bottom="0.74803149606299213" header="0.31496062992125984" footer="0.31496062992125984"/>
  <pageSetup paperSize="9" scale="42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EParts_Button1_Click">
                <anchor>
                  <from>
                    <xdr:col>1</xdr:col>
                    <xdr:colOff>771525</xdr:colOff>
                    <xdr:row>1</xdr:row>
                    <xdr:rowOff>19050</xdr:rowOff>
                  </from>
                  <to>
                    <xdr:col>1</xdr:col>
                    <xdr:colOff>2200275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6"/>
  <sheetViews>
    <sheetView zoomScale="50" zoomScaleNormal="50" workbookViewId="0">
      <selection activeCell="J15" sqref="J15"/>
    </sheetView>
  </sheetViews>
  <sheetFormatPr defaultRowHeight="14.25"/>
  <sheetData>
    <row r="1" spans="1:1" ht="17.649999999999999">
      <c r="A1" s="114" t="s">
        <v>0</v>
      </c>
    </row>
    <row r="2" spans="1:1" ht="17.649999999999999">
      <c r="A2" s="114" t="s">
        <v>1</v>
      </c>
    </row>
    <row r="3" spans="1:1" ht="17.649999999999999">
      <c r="A3" s="114" t="s">
        <v>65</v>
      </c>
    </row>
    <row r="4" spans="1:1" ht="17.649999999999999">
      <c r="A4" s="114" t="s">
        <v>3</v>
      </c>
    </row>
    <row r="5" spans="1:1" ht="17.649999999999999">
      <c r="A5" s="114" t="s">
        <v>4</v>
      </c>
    </row>
    <row r="6" spans="1:1" ht="17.649999999999999">
      <c r="A6" s="114" t="s">
        <v>207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T77"/>
  <sheetViews>
    <sheetView zoomScale="90" zoomScaleNormal="90" workbookViewId="0">
      <selection activeCell="A3" sqref="A3"/>
    </sheetView>
  </sheetViews>
  <sheetFormatPr defaultColWidth="9" defaultRowHeight="13.15"/>
  <cols>
    <col min="1" max="1" width="3" style="255" customWidth="1"/>
    <col min="2" max="2" width="38.73046875" style="255" customWidth="1"/>
    <col min="3" max="3" width="16.265625" style="256" customWidth="1"/>
    <col min="4" max="4" width="14.73046875" style="257" customWidth="1"/>
    <col min="5" max="14" width="4.59765625" style="256" customWidth="1"/>
    <col min="15" max="15" width="4" style="256" customWidth="1"/>
    <col min="16" max="16" width="5.59765625" style="256" customWidth="1"/>
    <col min="17" max="17" width="5" style="256" customWidth="1"/>
    <col min="18" max="18" width="4.86328125" style="256" customWidth="1"/>
    <col min="19" max="26" width="4.59765625" style="256" customWidth="1"/>
    <col min="27" max="27" width="5.59765625" style="256" customWidth="1"/>
    <col min="28" max="34" width="4.59765625" style="256" customWidth="1"/>
    <col min="35" max="35" width="5.265625" style="256" bestFit="1" customWidth="1"/>
    <col min="36" max="38" width="4.59765625" style="256" customWidth="1"/>
    <col min="39" max="39" width="6" style="256" bestFit="1" customWidth="1"/>
    <col min="40" max="41" width="4.59765625" style="256" customWidth="1"/>
    <col min="42" max="42" width="6" style="256" bestFit="1" customWidth="1"/>
    <col min="43" max="45" width="4.59765625" style="256" customWidth="1"/>
    <col min="46" max="46" width="6" style="256" customWidth="1"/>
    <col min="47" max="48" width="4.59765625" style="256" customWidth="1"/>
    <col min="49" max="50" width="5" style="256" customWidth="1"/>
    <col min="51" max="52" width="4.59765625" style="256" customWidth="1"/>
    <col min="53" max="53" width="6.59765625" style="256" customWidth="1"/>
    <col min="54" max="98" width="4.59765625" style="256" customWidth="1"/>
    <col min="99" max="115" width="9" style="255" customWidth="1"/>
    <col min="116" max="16384" width="9" style="255"/>
  </cols>
  <sheetData>
    <row r="1" spans="1:98">
      <c r="A1" s="315" t="s">
        <v>0</v>
      </c>
    </row>
    <row r="2" spans="1:98">
      <c r="A2" s="315" t="s">
        <v>1</v>
      </c>
    </row>
    <row r="3" spans="1:98">
      <c r="A3" s="315" t="s">
        <v>65</v>
      </c>
    </row>
    <row r="4" spans="1:98">
      <c r="A4" s="315" t="s">
        <v>3</v>
      </c>
    </row>
    <row r="5" spans="1:98">
      <c r="A5" s="315" t="s">
        <v>4</v>
      </c>
    </row>
    <row r="6" spans="1:98">
      <c r="A6" s="315" t="s">
        <v>207</v>
      </c>
    </row>
    <row r="7" spans="1:98">
      <c r="E7" s="258"/>
      <c r="F7" s="256" t="s">
        <v>66</v>
      </c>
      <c r="I7" s="259"/>
      <c r="J7" s="260" t="s">
        <v>208</v>
      </c>
      <c r="O7" s="261"/>
      <c r="P7" s="260" t="s">
        <v>209</v>
      </c>
      <c r="T7" s="262"/>
      <c r="U7" s="260" t="s">
        <v>210</v>
      </c>
      <c r="Y7" s="260"/>
      <c r="AC7" s="263"/>
      <c r="AD7" s="260" t="s">
        <v>211</v>
      </c>
    </row>
    <row r="8" spans="1:98">
      <c r="E8" s="255"/>
      <c r="F8" s="255"/>
      <c r="G8" s="255"/>
      <c r="H8" s="255"/>
      <c r="I8" s="255"/>
      <c r="J8" s="255"/>
      <c r="K8" s="255"/>
      <c r="L8" s="255"/>
    </row>
    <row r="10" spans="1:98" ht="22.5" customHeight="1">
      <c r="E10" s="514">
        <v>44197</v>
      </c>
      <c r="F10" s="515"/>
      <c r="G10" s="515"/>
      <c r="H10" s="515"/>
      <c r="I10" s="516"/>
      <c r="J10" s="517">
        <v>44228</v>
      </c>
      <c r="K10" s="515"/>
      <c r="L10" s="515"/>
      <c r="M10" s="515"/>
      <c r="N10" s="515"/>
      <c r="O10" s="515"/>
      <c r="P10" s="515"/>
      <c r="Q10" s="515"/>
      <c r="R10" s="515"/>
      <c r="S10" s="515"/>
      <c r="T10" s="515"/>
      <c r="U10" s="515"/>
      <c r="V10" s="515"/>
      <c r="W10" s="515"/>
      <c r="X10" s="515"/>
      <c r="Y10" s="515"/>
      <c r="Z10" s="515"/>
      <c r="AA10" s="515"/>
      <c r="AB10" s="515"/>
      <c r="AC10" s="515"/>
      <c r="AD10" s="515"/>
      <c r="AE10" s="515"/>
      <c r="AF10" s="515"/>
      <c r="AG10" s="515"/>
      <c r="AH10" s="515"/>
      <c r="AI10" s="515"/>
      <c r="AJ10" s="515"/>
      <c r="AK10" s="515"/>
      <c r="AL10" s="514">
        <v>44256</v>
      </c>
      <c r="AM10" s="515"/>
      <c r="AN10" s="515"/>
      <c r="AO10" s="515"/>
      <c r="AP10" s="515"/>
      <c r="AQ10" s="515"/>
      <c r="AR10" s="515"/>
      <c r="AS10" s="515"/>
      <c r="AT10" s="515"/>
      <c r="AU10" s="515"/>
      <c r="AV10" s="515"/>
      <c r="AW10" s="515"/>
      <c r="AX10" s="515"/>
      <c r="AY10" s="515"/>
      <c r="AZ10" s="515"/>
      <c r="BA10" s="515"/>
      <c r="BB10" s="515"/>
      <c r="BC10" s="515"/>
      <c r="BD10" s="515"/>
      <c r="BE10" s="515"/>
      <c r="BF10" s="515"/>
      <c r="BG10" s="515"/>
      <c r="BH10" s="515"/>
      <c r="BI10" s="515"/>
      <c r="BJ10" s="515"/>
      <c r="BK10" s="515"/>
      <c r="BL10" s="515"/>
      <c r="BM10" s="515"/>
      <c r="BN10" s="515"/>
      <c r="BO10" s="515"/>
      <c r="BP10" s="516"/>
      <c r="BQ10" s="514">
        <v>44287</v>
      </c>
      <c r="BR10" s="517"/>
      <c r="BS10" s="517"/>
      <c r="BT10" s="517"/>
      <c r="BU10" s="517"/>
      <c r="BV10" s="517"/>
      <c r="BW10" s="517"/>
      <c r="BX10" s="517"/>
      <c r="BY10" s="517"/>
      <c r="BZ10" s="517"/>
      <c r="CA10" s="517"/>
      <c r="CB10" s="517"/>
      <c r="CC10" s="517"/>
      <c r="CD10" s="517"/>
      <c r="CE10" s="517"/>
      <c r="CF10" s="517"/>
      <c r="CG10" s="517"/>
      <c r="CH10" s="517"/>
      <c r="CI10" s="517"/>
      <c r="CJ10" s="517"/>
      <c r="CK10" s="517"/>
      <c r="CL10" s="517"/>
      <c r="CM10" s="517"/>
      <c r="CN10" s="517"/>
      <c r="CO10" s="517"/>
      <c r="CP10" s="517"/>
      <c r="CQ10" s="517"/>
      <c r="CR10" s="517"/>
      <c r="CS10" s="517"/>
      <c r="CT10" s="518"/>
    </row>
    <row r="11" spans="1:98" s="270" customFormat="1" ht="24" customHeight="1">
      <c r="B11" s="264" t="s">
        <v>212</v>
      </c>
      <c r="C11" s="264" t="s">
        <v>213</v>
      </c>
      <c r="D11" s="264" t="s">
        <v>214</v>
      </c>
      <c r="E11" s="265">
        <v>27</v>
      </c>
      <c r="F11" s="266">
        <v>28</v>
      </c>
      <c r="G11" s="266">
        <v>29</v>
      </c>
      <c r="H11" s="266">
        <v>30</v>
      </c>
      <c r="I11" s="267">
        <v>31</v>
      </c>
      <c r="J11" s="268">
        <v>1</v>
      </c>
      <c r="K11" s="266">
        <v>2</v>
      </c>
      <c r="L11" s="266">
        <v>3</v>
      </c>
      <c r="M11" s="266">
        <v>4</v>
      </c>
      <c r="N11" s="266">
        <v>5</v>
      </c>
      <c r="O11" s="266">
        <v>6</v>
      </c>
      <c r="P11" s="266">
        <v>7</v>
      </c>
      <c r="Q11" s="266">
        <v>8</v>
      </c>
      <c r="R11" s="266">
        <v>9</v>
      </c>
      <c r="S11" s="266">
        <v>10</v>
      </c>
      <c r="T11" s="266">
        <v>11</v>
      </c>
      <c r="U11" s="266">
        <v>12</v>
      </c>
      <c r="V11" s="266">
        <v>13</v>
      </c>
      <c r="W11" s="266">
        <v>14</v>
      </c>
      <c r="X11" s="266">
        <v>15</v>
      </c>
      <c r="Y11" s="266">
        <v>16</v>
      </c>
      <c r="Z11" s="266">
        <v>17</v>
      </c>
      <c r="AA11" s="266">
        <v>18</v>
      </c>
      <c r="AB11" s="266">
        <v>19</v>
      </c>
      <c r="AC11" s="266">
        <v>20</v>
      </c>
      <c r="AD11" s="266">
        <v>21</v>
      </c>
      <c r="AE11" s="266">
        <v>22</v>
      </c>
      <c r="AF11" s="266">
        <v>23</v>
      </c>
      <c r="AG11" s="266">
        <v>24</v>
      </c>
      <c r="AH11" s="266">
        <v>25</v>
      </c>
      <c r="AI11" s="266">
        <v>26</v>
      </c>
      <c r="AJ11" s="266">
        <v>27</v>
      </c>
      <c r="AK11" s="269">
        <v>28</v>
      </c>
      <c r="AL11" s="265">
        <v>1</v>
      </c>
      <c r="AM11" s="266">
        <v>2</v>
      </c>
      <c r="AN11" s="266">
        <v>3</v>
      </c>
      <c r="AO11" s="266">
        <v>4</v>
      </c>
      <c r="AP11" s="266">
        <v>5</v>
      </c>
      <c r="AQ11" s="266">
        <v>6</v>
      </c>
      <c r="AR11" s="266">
        <v>7</v>
      </c>
      <c r="AS11" s="266">
        <v>8</v>
      </c>
      <c r="AT11" s="266">
        <v>9</v>
      </c>
      <c r="AU11" s="266">
        <v>10</v>
      </c>
      <c r="AV11" s="266">
        <v>11</v>
      </c>
      <c r="AW11" s="266">
        <v>12</v>
      </c>
      <c r="AX11" s="266">
        <v>13</v>
      </c>
      <c r="AY11" s="266">
        <v>14</v>
      </c>
      <c r="AZ11" s="266">
        <v>15</v>
      </c>
      <c r="BA11" s="266">
        <v>16</v>
      </c>
      <c r="BB11" s="266">
        <v>17</v>
      </c>
      <c r="BC11" s="266">
        <v>18</v>
      </c>
      <c r="BD11" s="266">
        <v>19</v>
      </c>
      <c r="BE11" s="266">
        <v>20</v>
      </c>
      <c r="BF11" s="266">
        <v>21</v>
      </c>
      <c r="BG11" s="266">
        <v>22</v>
      </c>
      <c r="BH11" s="266">
        <v>23</v>
      </c>
      <c r="BI11" s="266">
        <v>24</v>
      </c>
      <c r="BJ11" s="266">
        <v>25</v>
      </c>
      <c r="BK11" s="266">
        <v>26</v>
      </c>
      <c r="BL11" s="266">
        <v>27</v>
      </c>
      <c r="BM11" s="266">
        <v>28</v>
      </c>
      <c r="BN11" s="266">
        <v>29</v>
      </c>
      <c r="BO11" s="266">
        <v>30</v>
      </c>
      <c r="BP11" s="267">
        <v>31</v>
      </c>
      <c r="BQ11" s="265">
        <v>1</v>
      </c>
      <c r="BR11" s="266">
        <v>2</v>
      </c>
      <c r="BS11" s="266">
        <v>3</v>
      </c>
      <c r="BT11" s="266">
        <v>4</v>
      </c>
      <c r="BU11" s="266">
        <v>5</v>
      </c>
      <c r="BV11" s="266">
        <v>6</v>
      </c>
      <c r="BW11" s="266">
        <v>7</v>
      </c>
      <c r="BX11" s="266">
        <v>8</v>
      </c>
      <c r="BY11" s="266">
        <v>9</v>
      </c>
      <c r="BZ11" s="266">
        <v>10</v>
      </c>
      <c r="CA11" s="266">
        <v>11</v>
      </c>
      <c r="CB11" s="266">
        <v>12</v>
      </c>
      <c r="CC11" s="266">
        <v>13</v>
      </c>
      <c r="CD11" s="266">
        <v>14</v>
      </c>
      <c r="CE11" s="266">
        <v>15</v>
      </c>
      <c r="CF11" s="266">
        <v>16</v>
      </c>
      <c r="CG11" s="266">
        <v>17</v>
      </c>
      <c r="CH11" s="266">
        <v>18</v>
      </c>
      <c r="CI11" s="266">
        <v>19</v>
      </c>
      <c r="CJ11" s="266">
        <v>20</v>
      </c>
      <c r="CK11" s="266">
        <v>21</v>
      </c>
      <c r="CL11" s="266">
        <v>22</v>
      </c>
      <c r="CM11" s="266">
        <v>23</v>
      </c>
      <c r="CN11" s="266">
        <v>24</v>
      </c>
      <c r="CO11" s="266">
        <v>25</v>
      </c>
      <c r="CP11" s="266">
        <v>26</v>
      </c>
      <c r="CQ11" s="266">
        <v>27</v>
      </c>
      <c r="CR11" s="266">
        <v>28</v>
      </c>
      <c r="CS11" s="266">
        <v>29</v>
      </c>
      <c r="CT11" s="267">
        <v>30</v>
      </c>
    </row>
    <row r="12" spans="1:98" ht="22.5" customHeight="1">
      <c r="B12" s="334"/>
      <c r="C12" s="335"/>
      <c r="D12" s="336"/>
      <c r="E12" s="316"/>
      <c r="F12" s="317"/>
      <c r="G12" s="317"/>
      <c r="H12" s="317"/>
      <c r="I12" s="318"/>
      <c r="J12" s="319"/>
      <c r="K12" s="317"/>
      <c r="L12" s="317"/>
      <c r="M12" s="317"/>
      <c r="N12" s="317"/>
      <c r="O12" s="317"/>
      <c r="P12" s="317"/>
      <c r="Q12" s="317"/>
      <c r="R12" s="317"/>
      <c r="S12" s="317"/>
      <c r="T12" s="317"/>
      <c r="U12" s="317"/>
      <c r="V12" s="317"/>
      <c r="W12" s="317"/>
      <c r="X12" s="317"/>
      <c r="Y12" s="317"/>
      <c r="Z12" s="317"/>
      <c r="AA12" s="317"/>
      <c r="AB12" s="317"/>
      <c r="AC12" s="317"/>
      <c r="AD12" s="317"/>
      <c r="AE12" s="317"/>
      <c r="AF12" s="317"/>
      <c r="AG12" s="317"/>
      <c r="AH12" s="317"/>
      <c r="AI12" s="317"/>
      <c r="AJ12" s="317"/>
      <c r="AK12" s="320"/>
      <c r="AL12" s="316"/>
      <c r="AM12" s="317"/>
      <c r="AN12" s="317"/>
      <c r="AO12" s="317"/>
      <c r="AP12" s="317"/>
      <c r="AQ12" s="317"/>
      <c r="AR12" s="317"/>
      <c r="AS12" s="317"/>
      <c r="AT12" s="317"/>
      <c r="AU12" s="317"/>
      <c r="AV12" s="317"/>
      <c r="AW12" s="317"/>
      <c r="AX12" s="317"/>
      <c r="AY12" s="317"/>
      <c r="AZ12" s="317"/>
      <c r="BA12" s="317"/>
      <c r="BB12" s="317"/>
      <c r="BC12" s="317"/>
      <c r="BD12" s="317"/>
      <c r="BE12" s="317"/>
      <c r="BF12" s="317"/>
      <c r="BG12" s="317"/>
      <c r="BH12" s="317"/>
      <c r="BI12" s="317"/>
      <c r="BJ12" s="317"/>
      <c r="BK12" s="317"/>
      <c r="BL12" s="317"/>
      <c r="BM12" s="317"/>
      <c r="BN12" s="317"/>
      <c r="BO12" s="317"/>
      <c r="BP12" s="318"/>
      <c r="BQ12" s="316"/>
      <c r="BR12" s="317"/>
      <c r="BS12" s="317"/>
      <c r="BT12" s="317"/>
      <c r="BU12" s="317"/>
      <c r="BV12" s="317"/>
      <c r="BW12" s="317"/>
      <c r="BX12" s="317"/>
      <c r="BY12" s="317"/>
      <c r="BZ12" s="317"/>
      <c r="CA12" s="317"/>
      <c r="CB12" s="317"/>
      <c r="CC12" s="317"/>
      <c r="CD12" s="317"/>
      <c r="CE12" s="317"/>
      <c r="CF12" s="317"/>
      <c r="CG12" s="317"/>
      <c r="CH12" s="317"/>
      <c r="CI12" s="317"/>
      <c r="CJ12" s="317"/>
      <c r="CK12" s="317"/>
      <c r="CL12" s="317"/>
      <c r="CM12" s="317"/>
      <c r="CN12" s="317"/>
      <c r="CO12" s="317"/>
      <c r="CP12" s="317"/>
      <c r="CQ12" s="317"/>
      <c r="CR12" s="317"/>
      <c r="CS12" s="317"/>
      <c r="CT12" s="318"/>
    </row>
    <row r="13" spans="1:98" ht="18" customHeight="1">
      <c r="B13" s="337"/>
      <c r="C13" s="338"/>
      <c r="D13" s="339"/>
      <c r="E13" s="271"/>
      <c r="F13" s="282"/>
      <c r="G13" s="282"/>
      <c r="H13" s="282"/>
      <c r="I13" s="321"/>
      <c r="J13" s="322"/>
      <c r="K13" s="282"/>
      <c r="L13" s="282"/>
      <c r="M13" s="282"/>
      <c r="N13" s="282"/>
      <c r="O13" s="282"/>
      <c r="P13" s="282"/>
      <c r="Q13" s="282"/>
      <c r="R13" s="282"/>
      <c r="S13" s="282"/>
      <c r="T13" s="282"/>
      <c r="U13" s="282"/>
      <c r="V13" s="282"/>
      <c r="W13" s="282"/>
      <c r="X13" s="282"/>
      <c r="Y13" s="282"/>
      <c r="Z13" s="282"/>
      <c r="AA13" s="282"/>
      <c r="AB13" s="282"/>
      <c r="AC13" s="282"/>
      <c r="AD13" s="282"/>
      <c r="AE13" s="282"/>
      <c r="AF13" s="282"/>
      <c r="AG13" s="282"/>
      <c r="AH13" s="282"/>
      <c r="AI13" s="282"/>
      <c r="AJ13" s="282"/>
      <c r="AK13" s="323"/>
      <c r="AL13" s="271"/>
      <c r="AM13" s="282"/>
      <c r="AN13" s="282"/>
      <c r="AO13" s="282"/>
      <c r="AP13" s="282"/>
      <c r="AQ13" s="282"/>
      <c r="AR13" s="282"/>
      <c r="AS13" s="282"/>
      <c r="AT13" s="282"/>
      <c r="AU13" s="282"/>
      <c r="AV13" s="282"/>
      <c r="AW13" s="282"/>
      <c r="AX13" s="282"/>
      <c r="AY13" s="282"/>
      <c r="AZ13" s="282"/>
      <c r="BA13" s="282"/>
      <c r="BB13" s="282"/>
      <c r="BC13" s="282"/>
      <c r="BD13" s="282"/>
      <c r="BE13" s="282"/>
      <c r="BF13" s="282"/>
      <c r="BG13" s="282"/>
      <c r="BH13" s="282"/>
      <c r="BI13" s="282"/>
      <c r="BJ13" s="282"/>
      <c r="BK13" s="282"/>
      <c r="BL13" s="282"/>
      <c r="BM13" s="282"/>
      <c r="BN13" s="282"/>
      <c r="BO13" s="282"/>
      <c r="BP13" s="321"/>
      <c r="BQ13" s="271"/>
      <c r="BR13" s="282"/>
      <c r="BS13" s="282"/>
      <c r="BT13" s="282"/>
      <c r="BU13" s="282"/>
      <c r="BV13" s="282"/>
      <c r="BW13" s="282"/>
      <c r="BX13" s="282"/>
      <c r="BY13" s="282"/>
      <c r="BZ13" s="282"/>
      <c r="CA13" s="282"/>
      <c r="CB13" s="282"/>
      <c r="CC13" s="282"/>
      <c r="CD13" s="282"/>
      <c r="CE13" s="282"/>
      <c r="CF13" s="282"/>
      <c r="CG13" s="282"/>
      <c r="CH13" s="282"/>
      <c r="CI13" s="282"/>
      <c r="CJ13" s="282"/>
      <c r="CK13" s="282"/>
      <c r="CL13" s="282"/>
      <c r="CM13" s="282"/>
      <c r="CN13" s="282"/>
      <c r="CO13" s="282"/>
      <c r="CP13" s="282"/>
      <c r="CQ13" s="282"/>
      <c r="CR13" s="282"/>
      <c r="CS13" s="282"/>
      <c r="CT13" s="321"/>
    </row>
    <row r="14" spans="1:98" ht="18" customHeight="1">
      <c r="B14" s="340"/>
      <c r="C14" s="341"/>
      <c r="D14" s="342"/>
      <c r="E14" s="272"/>
      <c r="F14" s="293"/>
      <c r="G14" s="293"/>
      <c r="H14" s="293"/>
      <c r="I14" s="324"/>
      <c r="J14" s="325"/>
      <c r="K14" s="293"/>
      <c r="L14" s="293"/>
      <c r="M14" s="293"/>
      <c r="N14" s="293"/>
      <c r="O14" s="293"/>
      <c r="P14" s="326"/>
      <c r="Q14" s="317"/>
      <c r="R14" s="317"/>
      <c r="S14" s="317"/>
      <c r="T14" s="325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326"/>
      <c r="AL14" s="272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324"/>
      <c r="BQ14" s="272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  <c r="CK14" s="293"/>
      <c r="CL14" s="293"/>
      <c r="CM14" s="293"/>
      <c r="CN14" s="293"/>
      <c r="CO14" s="293"/>
      <c r="CP14" s="293"/>
      <c r="CQ14" s="293"/>
      <c r="CR14" s="293"/>
      <c r="CS14" s="293"/>
      <c r="CT14" s="324"/>
    </row>
    <row r="15" spans="1:98" ht="18" customHeight="1">
      <c r="B15" s="343"/>
      <c r="C15" s="344"/>
      <c r="D15" s="345"/>
      <c r="E15" s="285"/>
      <c r="F15" s="283"/>
      <c r="G15" s="283"/>
      <c r="H15" s="283"/>
      <c r="I15" s="327"/>
      <c r="J15" s="328"/>
      <c r="K15" s="283"/>
      <c r="L15" s="283"/>
      <c r="M15" s="283"/>
      <c r="N15" s="283"/>
      <c r="O15" s="283"/>
      <c r="P15" s="284"/>
      <c r="Q15" s="291"/>
      <c r="R15" s="291"/>
      <c r="S15" s="289"/>
      <c r="T15" s="328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300"/>
      <c r="AG15" s="283"/>
      <c r="AH15" s="283"/>
      <c r="AI15" s="300"/>
      <c r="AJ15" s="283"/>
      <c r="AK15" s="284"/>
      <c r="AL15" s="285"/>
      <c r="AM15" s="302"/>
      <c r="AN15" s="283"/>
      <c r="AO15" s="283"/>
      <c r="AP15" s="302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283"/>
      <c r="BB15" s="283"/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327"/>
      <c r="BQ15" s="285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  <c r="CK15" s="283"/>
      <c r="CL15" s="283"/>
      <c r="CM15" s="283"/>
      <c r="CN15" s="283"/>
      <c r="CO15" s="283"/>
      <c r="CP15" s="283"/>
      <c r="CQ15" s="283"/>
      <c r="CR15" s="283"/>
      <c r="CS15" s="283"/>
      <c r="CT15" s="327"/>
    </row>
    <row r="16" spans="1:98" ht="18" customHeight="1">
      <c r="B16" s="343"/>
      <c r="C16" s="344"/>
      <c r="D16" s="345"/>
      <c r="E16" s="285"/>
      <c r="F16" s="283"/>
      <c r="G16" s="283"/>
      <c r="H16" s="283"/>
      <c r="I16" s="327"/>
      <c r="J16" s="328"/>
      <c r="K16" s="283"/>
      <c r="L16" s="283"/>
      <c r="M16" s="283"/>
      <c r="N16" s="283"/>
      <c r="O16" s="283"/>
      <c r="P16" s="284"/>
      <c r="Q16" s="289"/>
      <c r="R16" s="289"/>
      <c r="S16" s="289"/>
      <c r="T16" s="328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4"/>
      <c r="AL16" s="285"/>
      <c r="AM16" s="283"/>
      <c r="AN16" s="283"/>
      <c r="AO16" s="283"/>
      <c r="AP16" s="300"/>
      <c r="AQ16" s="283"/>
      <c r="AR16" s="283"/>
      <c r="AS16" s="283"/>
      <c r="AT16" s="302"/>
      <c r="AU16" s="283"/>
      <c r="AV16" s="283"/>
      <c r="AW16" s="302"/>
      <c r="AX16" s="283"/>
      <c r="AY16" s="283"/>
      <c r="AZ16" s="283"/>
      <c r="BA16" s="283"/>
      <c r="BB16" s="283"/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327"/>
      <c r="BQ16" s="285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  <c r="CK16" s="283"/>
      <c r="CL16" s="283"/>
      <c r="CM16" s="283"/>
      <c r="CN16" s="283"/>
      <c r="CO16" s="283"/>
      <c r="CP16" s="283"/>
      <c r="CQ16" s="283"/>
      <c r="CR16" s="283"/>
      <c r="CS16" s="283"/>
      <c r="CT16" s="327"/>
    </row>
    <row r="17" spans="2:98" ht="18" customHeight="1">
      <c r="B17" s="343"/>
      <c r="C17" s="344"/>
      <c r="D17" s="345"/>
      <c r="E17" s="285"/>
      <c r="F17" s="283"/>
      <c r="G17" s="283"/>
      <c r="H17" s="283"/>
      <c r="I17" s="327"/>
      <c r="J17" s="328"/>
      <c r="K17" s="283"/>
      <c r="L17" s="283"/>
      <c r="M17" s="283"/>
      <c r="N17" s="283"/>
      <c r="O17" s="283"/>
      <c r="P17" s="284"/>
      <c r="Q17" s="300"/>
      <c r="R17" s="300"/>
      <c r="S17" s="283"/>
      <c r="T17" s="328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300"/>
      <c r="AG17" s="283"/>
      <c r="AH17" s="283"/>
      <c r="AI17" s="300"/>
      <c r="AJ17" s="283"/>
      <c r="AK17" s="284"/>
      <c r="AL17" s="285"/>
      <c r="AM17" s="302"/>
      <c r="AN17" s="283"/>
      <c r="AO17" s="283"/>
      <c r="AP17" s="302"/>
      <c r="AQ17" s="283"/>
      <c r="AR17" s="283"/>
      <c r="AS17" s="283"/>
      <c r="AT17" s="283"/>
      <c r="AU17" s="283"/>
      <c r="AV17" s="283"/>
      <c r="AW17" s="283"/>
      <c r="AX17" s="283"/>
      <c r="AY17" s="283"/>
      <c r="AZ17" s="283"/>
      <c r="BA17" s="283"/>
      <c r="BB17" s="283"/>
      <c r="BC17" s="283"/>
      <c r="BD17" s="283"/>
      <c r="BE17" s="283"/>
      <c r="BF17" s="283"/>
      <c r="BG17" s="283"/>
      <c r="BH17" s="283"/>
      <c r="BI17" s="283"/>
      <c r="BJ17" s="283"/>
      <c r="BK17" s="283"/>
      <c r="BL17" s="283"/>
      <c r="BM17" s="283"/>
      <c r="BN17" s="283"/>
      <c r="BO17" s="283"/>
      <c r="BP17" s="327"/>
      <c r="BQ17" s="285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  <c r="CK17" s="283"/>
      <c r="CL17" s="283"/>
      <c r="CM17" s="283"/>
      <c r="CN17" s="283"/>
      <c r="CO17" s="283"/>
      <c r="CP17" s="283"/>
      <c r="CQ17" s="283"/>
      <c r="CR17" s="283"/>
      <c r="CS17" s="283"/>
      <c r="CT17" s="327"/>
    </row>
    <row r="18" spans="2:98" ht="18" customHeight="1">
      <c r="B18" s="343"/>
      <c r="C18" s="344"/>
      <c r="D18" s="345"/>
      <c r="E18" s="290"/>
      <c r="F18" s="289"/>
      <c r="G18" s="289"/>
      <c r="H18" s="289"/>
      <c r="I18" s="295"/>
      <c r="J18" s="328"/>
      <c r="K18" s="283"/>
      <c r="L18" s="283"/>
      <c r="M18" s="283"/>
      <c r="N18" s="283"/>
      <c r="O18" s="283"/>
      <c r="P18" s="283"/>
      <c r="Q18" s="293"/>
      <c r="R18" s="293"/>
      <c r="S18" s="293"/>
      <c r="T18" s="283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4"/>
      <c r="AL18" s="285"/>
      <c r="AM18" s="283"/>
      <c r="AN18" s="283"/>
      <c r="AO18" s="283"/>
      <c r="AP18" s="300"/>
      <c r="AQ18" s="283"/>
      <c r="AR18" s="283"/>
      <c r="AS18" s="283"/>
      <c r="AT18" s="302"/>
      <c r="AU18" s="283"/>
      <c r="AV18" s="283"/>
      <c r="AW18" s="302"/>
      <c r="AX18" s="283"/>
      <c r="AY18" s="283"/>
      <c r="AZ18" s="283"/>
      <c r="BA18" s="283"/>
      <c r="BB18" s="283"/>
      <c r="BC18" s="283"/>
      <c r="BD18" s="283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327"/>
      <c r="BQ18" s="285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  <c r="CK18" s="283"/>
      <c r="CL18" s="283"/>
      <c r="CM18" s="283"/>
      <c r="CN18" s="283"/>
      <c r="CO18" s="283"/>
      <c r="CP18" s="283"/>
      <c r="CQ18" s="283"/>
      <c r="CR18" s="283"/>
      <c r="CS18" s="283"/>
      <c r="CT18" s="327"/>
    </row>
    <row r="19" spans="2:98" ht="18" customHeight="1">
      <c r="B19" s="286"/>
      <c r="C19" s="287"/>
      <c r="D19" s="346"/>
      <c r="E19" s="290"/>
      <c r="F19" s="289"/>
      <c r="G19" s="289"/>
      <c r="H19" s="289"/>
      <c r="I19" s="295"/>
      <c r="J19" s="296"/>
      <c r="K19" s="289"/>
      <c r="L19" s="289"/>
      <c r="M19" s="289"/>
      <c r="N19" s="289"/>
      <c r="O19" s="289"/>
      <c r="P19" s="289"/>
      <c r="Q19" s="317"/>
      <c r="R19" s="317"/>
      <c r="S19" s="317"/>
      <c r="T19" s="289"/>
      <c r="U19" s="289"/>
      <c r="V19" s="289"/>
      <c r="W19" s="289"/>
      <c r="X19" s="289"/>
      <c r="Y19" s="289"/>
      <c r="Z19" s="289"/>
      <c r="AA19" s="289"/>
      <c r="AB19" s="289"/>
      <c r="AC19" s="289"/>
      <c r="AD19" s="289"/>
      <c r="AE19" s="289"/>
      <c r="AF19" s="289"/>
      <c r="AG19" s="289"/>
      <c r="AH19" s="289"/>
      <c r="AI19" s="289"/>
      <c r="AJ19" s="289"/>
      <c r="AK19" s="297"/>
      <c r="AL19" s="290"/>
      <c r="AM19" s="289"/>
      <c r="AN19" s="289"/>
      <c r="AO19" s="289"/>
      <c r="AP19" s="300"/>
      <c r="AQ19" s="289"/>
      <c r="AR19" s="289"/>
      <c r="AS19" s="289"/>
      <c r="AT19" s="329"/>
      <c r="AU19" s="289"/>
      <c r="AV19" s="289"/>
      <c r="AW19" s="289"/>
      <c r="AX19" s="289"/>
      <c r="AY19" s="289"/>
      <c r="AZ19" s="289"/>
      <c r="BA19" s="289"/>
      <c r="BB19" s="289"/>
      <c r="BC19" s="289"/>
      <c r="BD19" s="289"/>
      <c r="BE19" s="289"/>
      <c r="BF19" s="289"/>
      <c r="BG19" s="289"/>
      <c r="BH19" s="289"/>
      <c r="BI19" s="289"/>
      <c r="BJ19" s="289"/>
      <c r="BK19" s="289"/>
      <c r="BL19" s="289"/>
      <c r="BM19" s="289"/>
      <c r="BN19" s="289"/>
      <c r="BO19" s="289"/>
      <c r="BP19" s="295"/>
      <c r="BQ19" s="290"/>
      <c r="BR19" s="289"/>
      <c r="BS19" s="289"/>
      <c r="BT19" s="289"/>
      <c r="BU19" s="289"/>
      <c r="BV19" s="289"/>
      <c r="BW19" s="289"/>
      <c r="BX19" s="289"/>
      <c r="BY19" s="289"/>
      <c r="BZ19" s="289"/>
      <c r="CA19" s="289"/>
      <c r="CB19" s="289"/>
      <c r="CC19" s="289"/>
      <c r="CD19" s="289"/>
      <c r="CE19" s="289"/>
      <c r="CF19" s="289"/>
      <c r="CG19" s="289"/>
      <c r="CH19" s="289"/>
      <c r="CI19" s="289"/>
      <c r="CJ19" s="289"/>
      <c r="CK19" s="289"/>
      <c r="CL19" s="289"/>
      <c r="CM19" s="289"/>
      <c r="CN19" s="289"/>
      <c r="CO19" s="289"/>
      <c r="CP19" s="289"/>
      <c r="CQ19" s="289"/>
      <c r="CR19" s="289"/>
      <c r="CS19" s="289"/>
      <c r="CT19" s="295"/>
    </row>
    <row r="20" spans="2:98" ht="18" customHeight="1">
      <c r="B20" s="273"/>
      <c r="C20" s="274"/>
      <c r="D20" s="275"/>
      <c r="E20" s="276"/>
      <c r="F20" s="277"/>
      <c r="G20" s="277"/>
      <c r="H20" s="277"/>
      <c r="I20" s="278"/>
      <c r="J20" s="279"/>
      <c r="K20" s="277"/>
      <c r="L20" s="277"/>
      <c r="M20" s="277"/>
      <c r="N20" s="277"/>
      <c r="O20" s="277"/>
      <c r="P20" s="277"/>
      <c r="Q20" s="277"/>
      <c r="R20" s="277"/>
      <c r="S20" s="277"/>
      <c r="T20" s="277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80"/>
      <c r="AL20" s="276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81"/>
      <c r="BE20" s="277"/>
      <c r="BF20" s="277"/>
      <c r="BG20" s="277"/>
      <c r="BH20" s="281"/>
      <c r="BI20" s="277"/>
      <c r="BJ20" s="277"/>
      <c r="BK20" s="281"/>
      <c r="BL20" s="277"/>
      <c r="BM20" s="277"/>
      <c r="BN20" s="277"/>
      <c r="BO20" s="281"/>
      <c r="BP20" s="278"/>
      <c r="BQ20" s="276"/>
      <c r="BR20" s="281"/>
      <c r="BS20" s="277"/>
      <c r="BT20" s="277"/>
      <c r="BU20" s="277"/>
      <c r="BV20" s="281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  <c r="CK20" s="277"/>
      <c r="CL20" s="277"/>
      <c r="CM20" s="277"/>
      <c r="CN20" s="277"/>
      <c r="CO20" s="277"/>
      <c r="CP20" s="277"/>
      <c r="CQ20" s="277"/>
      <c r="CR20" s="277"/>
      <c r="CS20" s="277"/>
      <c r="CT20" s="278"/>
    </row>
    <row r="21" spans="2:98" ht="18" customHeight="1">
      <c r="B21" s="337"/>
      <c r="C21" s="338"/>
      <c r="D21" s="347"/>
      <c r="E21" s="282"/>
      <c r="F21" s="282"/>
      <c r="G21" s="282"/>
      <c r="H21" s="282"/>
      <c r="I21" s="321"/>
      <c r="J21" s="322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  <c r="AF21" s="282"/>
      <c r="AG21" s="282"/>
      <c r="AH21" s="282"/>
      <c r="AI21" s="282"/>
      <c r="AJ21" s="282"/>
      <c r="AK21" s="323"/>
      <c r="AL21" s="271"/>
      <c r="AM21" s="282"/>
      <c r="AN21" s="282"/>
      <c r="AO21" s="282"/>
      <c r="AP21" s="282"/>
      <c r="AQ21" s="282"/>
      <c r="AR21" s="282"/>
      <c r="AS21" s="282"/>
      <c r="AT21" s="282"/>
      <c r="AU21" s="282"/>
      <c r="AV21" s="282"/>
      <c r="AW21" s="282"/>
      <c r="AX21" s="282"/>
      <c r="AY21" s="282"/>
      <c r="AZ21" s="282"/>
      <c r="BA21" s="282"/>
      <c r="BB21" s="282"/>
      <c r="BC21" s="282"/>
      <c r="BD21" s="282"/>
      <c r="BE21" s="282"/>
      <c r="BF21" s="282"/>
      <c r="BG21" s="282"/>
      <c r="BH21" s="282"/>
      <c r="BI21" s="282"/>
      <c r="BJ21" s="282"/>
      <c r="BK21" s="282"/>
      <c r="BL21" s="282"/>
      <c r="BM21" s="282"/>
      <c r="BN21" s="282"/>
      <c r="BO21" s="282"/>
      <c r="BP21" s="321"/>
      <c r="BQ21" s="271"/>
      <c r="BR21" s="282"/>
      <c r="BS21" s="282"/>
      <c r="BT21" s="282"/>
      <c r="BU21" s="282"/>
      <c r="BV21" s="282"/>
      <c r="BW21" s="282"/>
      <c r="BX21" s="282"/>
      <c r="BY21" s="282"/>
      <c r="BZ21" s="282"/>
      <c r="CA21" s="282"/>
      <c r="CB21" s="282"/>
      <c r="CC21" s="282"/>
      <c r="CD21" s="282"/>
      <c r="CE21" s="282"/>
      <c r="CF21" s="282"/>
      <c r="CG21" s="282"/>
      <c r="CH21" s="282"/>
      <c r="CI21" s="282"/>
      <c r="CJ21" s="282"/>
      <c r="CK21" s="282"/>
      <c r="CL21" s="282"/>
      <c r="CM21" s="282"/>
      <c r="CN21" s="282"/>
      <c r="CO21" s="282"/>
      <c r="CP21" s="282"/>
      <c r="CQ21" s="282"/>
      <c r="CR21" s="282"/>
      <c r="CS21" s="282"/>
      <c r="CT21" s="321"/>
    </row>
    <row r="22" spans="2:98" ht="18" customHeight="1">
      <c r="B22" s="286"/>
      <c r="C22" s="287"/>
      <c r="D22" s="294"/>
      <c r="E22" s="289"/>
      <c r="F22" s="289"/>
      <c r="G22" s="289"/>
      <c r="H22" s="289"/>
      <c r="I22" s="295"/>
      <c r="J22" s="296"/>
      <c r="K22" s="289"/>
      <c r="L22" s="289"/>
      <c r="M22" s="289"/>
      <c r="N22" s="289"/>
      <c r="O22" s="289"/>
      <c r="P22" s="289"/>
      <c r="Q22" s="291"/>
      <c r="R22" s="291"/>
      <c r="S22" s="289"/>
      <c r="T22" s="289"/>
      <c r="U22" s="289"/>
      <c r="V22" s="289"/>
      <c r="W22" s="289"/>
      <c r="X22" s="289"/>
      <c r="Y22" s="289"/>
      <c r="Z22" s="289"/>
      <c r="AA22" s="289"/>
      <c r="AB22" s="289"/>
      <c r="AC22" s="289"/>
      <c r="AD22" s="289"/>
      <c r="AE22" s="289"/>
      <c r="AF22" s="291"/>
      <c r="AG22" s="289"/>
      <c r="AH22" s="289"/>
      <c r="AI22" s="291"/>
      <c r="AJ22" s="289"/>
      <c r="AK22" s="297"/>
      <c r="AL22" s="290"/>
      <c r="AM22" s="291"/>
      <c r="AN22" s="289"/>
      <c r="AO22" s="289"/>
      <c r="AP22" s="291"/>
      <c r="AQ22" s="289"/>
      <c r="AR22" s="289"/>
      <c r="AS22" s="289"/>
      <c r="AT22" s="329"/>
      <c r="AU22" s="289"/>
      <c r="AV22" s="289"/>
      <c r="AW22" s="289"/>
      <c r="AX22" s="289"/>
      <c r="AY22" s="289"/>
      <c r="AZ22" s="289"/>
      <c r="BA22" s="289"/>
      <c r="BB22" s="289"/>
      <c r="BC22" s="289"/>
      <c r="BD22" s="289"/>
      <c r="BE22" s="289"/>
      <c r="BF22" s="289"/>
      <c r="BG22" s="289"/>
      <c r="BH22" s="289"/>
      <c r="BI22" s="289"/>
      <c r="BJ22" s="289"/>
      <c r="BK22" s="289"/>
      <c r="BL22" s="289"/>
      <c r="BM22" s="289"/>
      <c r="BN22" s="289"/>
      <c r="BO22" s="289"/>
      <c r="BP22" s="295"/>
      <c r="BQ22" s="290"/>
      <c r="BR22" s="289"/>
      <c r="BS22" s="289"/>
      <c r="BT22" s="289"/>
      <c r="BU22" s="289"/>
      <c r="BV22" s="289"/>
      <c r="BW22" s="289"/>
      <c r="BX22" s="289"/>
      <c r="BY22" s="289"/>
      <c r="BZ22" s="289"/>
      <c r="CA22" s="289"/>
      <c r="CB22" s="289"/>
      <c r="CC22" s="289"/>
      <c r="CD22" s="289"/>
      <c r="CE22" s="289"/>
      <c r="CF22" s="289"/>
      <c r="CG22" s="289"/>
      <c r="CH22" s="289"/>
      <c r="CI22" s="289"/>
      <c r="CJ22" s="289"/>
      <c r="CK22" s="289"/>
      <c r="CL22" s="289"/>
      <c r="CM22" s="289"/>
      <c r="CN22" s="289"/>
      <c r="CO22" s="289"/>
      <c r="CP22" s="289"/>
      <c r="CQ22" s="289"/>
      <c r="CR22" s="289"/>
      <c r="CS22" s="289"/>
      <c r="CT22" s="295"/>
    </row>
    <row r="23" spans="2:98" ht="18" customHeight="1">
      <c r="B23" s="286"/>
      <c r="C23" s="287"/>
      <c r="D23" s="294"/>
      <c r="E23" s="289"/>
      <c r="F23" s="289"/>
      <c r="G23" s="289"/>
      <c r="H23" s="289"/>
      <c r="I23" s="295"/>
      <c r="J23" s="296"/>
      <c r="K23" s="289"/>
      <c r="L23" s="289"/>
      <c r="M23" s="289"/>
      <c r="N23" s="289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  <c r="AF23" s="289"/>
      <c r="AG23" s="289"/>
      <c r="AH23" s="289"/>
      <c r="AI23" s="289"/>
      <c r="AJ23" s="289"/>
      <c r="AK23" s="297"/>
      <c r="AL23" s="290"/>
      <c r="AM23" s="289"/>
      <c r="AN23" s="289"/>
      <c r="AO23" s="289"/>
      <c r="AP23" s="291"/>
      <c r="AQ23" s="289"/>
      <c r="AR23" s="289"/>
      <c r="AS23" s="289"/>
      <c r="AT23" s="291"/>
      <c r="AU23" s="289"/>
      <c r="AV23" s="289"/>
      <c r="AW23" s="291"/>
      <c r="AX23" s="289"/>
      <c r="AY23" s="289"/>
      <c r="AZ23" s="289"/>
      <c r="BA23" s="291"/>
      <c r="BB23" s="289"/>
      <c r="BC23" s="289"/>
      <c r="BD23" s="291"/>
      <c r="BE23" s="289"/>
      <c r="BF23" s="289"/>
      <c r="BG23" s="289"/>
      <c r="BH23" s="291"/>
      <c r="BI23" s="289"/>
      <c r="BJ23" s="289"/>
      <c r="BK23" s="291"/>
      <c r="BL23" s="289"/>
      <c r="BM23" s="289"/>
      <c r="BN23" s="289"/>
      <c r="BO23" s="329"/>
      <c r="BP23" s="295"/>
      <c r="BQ23" s="290"/>
      <c r="BR23" s="289"/>
      <c r="BS23" s="289"/>
      <c r="BT23" s="289"/>
      <c r="BU23" s="289"/>
      <c r="BV23" s="289"/>
      <c r="BW23" s="289"/>
      <c r="BX23" s="289"/>
      <c r="BY23" s="289"/>
      <c r="BZ23" s="289"/>
      <c r="CA23" s="289"/>
      <c r="CB23" s="289"/>
      <c r="CC23" s="289"/>
      <c r="CD23" s="289"/>
      <c r="CE23" s="289"/>
      <c r="CF23" s="289"/>
      <c r="CG23" s="289"/>
      <c r="CH23" s="289"/>
      <c r="CI23" s="289"/>
      <c r="CJ23" s="289"/>
      <c r="CK23" s="289"/>
      <c r="CL23" s="289"/>
      <c r="CM23" s="289"/>
      <c r="CN23" s="289"/>
      <c r="CO23" s="289"/>
      <c r="CP23" s="289"/>
      <c r="CQ23" s="289"/>
      <c r="CR23" s="289"/>
      <c r="CS23" s="289"/>
      <c r="CT23" s="295"/>
    </row>
    <row r="24" spans="2:98" ht="18" customHeight="1">
      <c r="B24" s="343"/>
      <c r="C24" s="287"/>
      <c r="D24" s="301"/>
      <c r="E24" s="283"/>
      <c r="F24" s="283"/>
      <c r="G24" s="283"/>
      <c r="H24" s="283"/>
      <c r="I24" s="327"/>
      <c r="J24" s="328"/>
      <c r="K24" s="283"/>
      <c r="L24" s="283"/>
      <c r="M24" s="283"/>
      <c r="N24" s="283"/>
      <c r="O24" s="283"/>
      <c r="P24" s="283"/>
      <c r="Q24" s="283"/>
      <c r="R24" s="283"/>
      <c r="S24" s="283"/>
      <c r="T24" s="283"/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  <c r="AF24" s="283"/>
      <c r="AG24" s="283"/>
      <c r="AH24" s="283"/>
      <c r="AI24" s="300"/>
      <c r="AJ24" s="283"/>
      <c r="AK24" s="284"/>
      <c r="AL24" s="285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327"/>
      <c r="BQ24" s="285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  <c r="CK24" s="283"/>
      <c r="CL24" s="283"/>
      <c r="CM24" s="283"/>
      <c r="CN24" s="283"/>
      <c r="CO24" s="283"/>
      <c r="CP24" s="283"/>
      <c r="CQ24" s="283"/>
      <c r="CR24" s="283"/>
      <c r="CS24" s="283"/>
      <c r="CT24" s="327"/>
    </row>
    <row r="25" spans="2:98" ht="18" customHeight="1">
      <c r="B25" s="286"/>
      <c r="C25" s="287"/>
      <c r="D25" s="294"/>
      <c r="E25" s="289"/>
      <c r="F25" s="289"/>
      <c r="G25" s="289"/>
      <c r="H25" s="289"/>
      <c r="I25" s="295"/>
      <c r="J25" s="296"/>
      <c r="K25" s="289"/>
      <c r="L25" s="289"/>
      <c r="M25" s="289"/>
      <c r="N25" s="289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89"/>
      <c r="AE25" s="289"/>
      <c r="AF25" s="289"/>
      <c r="AG25" s="289"/>
      <c r="AH25" s="289"/>
      <c r="AI25" s="289"/>
      <c r="AJ25" s="289"/>
      <c r="AK25" s="297"/>
      <c r="AL25" s="290"/>
      <c r="AM25" s="289"/>
      <c r="AN25" s="289"/>
      <c r="AO25" s="289"/>
      <c r="AP25" s="291"/>
      <c r="AQ25" s="289"/>
      <c r="AR25" s="289"/>
      <c r="AS25" s="289"/>
      <c r="AT25" s="330"/>
      <c r="AU25" s="289"/>
      <c r="AV25" s="289"/>
      <c r="AW25" s="330"/>
      <c r="AX25" s="289"/>
      <c r="AY25" s="289"/>
      <c r="AZ25" s="289"/>
      <c r="BA25" s="291"/>
      <c r="BB25" s="289"/>
      <c r="BC25" s="289"/>
      <c r="BD25" s="291"/>
      <c r="BE25" s="289"/>
      <c r="BF25" s="289"/>
      <c r="BG25" s="289"/>
      <c r="BH25" s="291"/>
      <c r="BI25" s="289"/>
      <c r="BJ25" s="289"/>
      <c r="BK25" s="329"/>
      <c r="BL25" s="289"/>
      <c r="BM25" s="289"/>
      <c r="BN25" s="289"/>
      <c r="BO25" s="289"/>
      <c r="BP25" s="295"/>
      <c r="BQ25" s="290"/>
      <c r="BR25" s="289"/>
      <c r="BS25" s="289"/>
      <c r="BT25" s="289"/>
      <c r="BU25" s="289"/>
      <c r="BV25" s="289"/>
      <c r="BW25" s="289"/>
      <c r="BX25" s="289"/>
      <c r="BY25" s="289"/>
      <c r="BZ25" s="289"/>
      <c r="CA25" s="289"/>
      <c r="CB25" s="289"/>
      <c r="CC25" s="289"/>
      <c r="CD25" s="289"/>
      <c r="CE25" s="289"/>
      <c r="CF25" s="289"/>
      <c r="CG25" s="289"/>
      <c r="CH25" s="289"/>
      <c r="CI25" s="289"/>
      <c r="CJ25" s="289"/>
      <c r="CK25" s="289"/>
      <c r="CL25" s="289"/>
      <c r="CM25" s="289"/>
      <c r="CN25" s="289"/>
      <c r="CO25" s="289"/>
      <c r="CP25" s="289"/>
      <c r="CQ25" s="289"/>
      <c r="CR25" s="289"/>
      <c r="CS25" s="289"/>
      <c r="CT25" s="295"/>
    </row>
    <row r="26" spans="2:98" ht="18" customHeight="1">
      <c r="B26" s="286"/>
      <c r="C26" s="287"/>
      <c r="D26" s="288"/>
      <c r="E26" s="289"/>
      <c r="F26" s="289"/>
      <c r="G26" s="289"/>
      <c r="H26" s="289"/>
      <c r="I26" s="295"/>
      <c r="J26" s="296"/>
      <c r="K26" s="289"/>
      <c r="L26" s="289"/>
      <c r="M26" s="289"/>
      <c r="N26" s="289"/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9"/>
      <c r="AA26" s="289"/>
      <c r="AB26" s="289"/>
      <c r="AC26" s="289"/>
      <c r="AD26" s="289"/>
      <c r="AE26" s="289"/>
      <c r="AF26" s="289"/>
      <c r="AG26" s="289"/>
      <c r="AH26" s="289"/>
      <c r="AI26" s="289"/>
      <c r="AJ26" s="289"/>
      <c r="AK26" s="297"/>
      <c r="AL26" s="290"/>
      <c r="AM26" s="289"/>
      <c r="AN26" s="289"/>
      <c r="AO26" s="289"/>
      <c r="AP26" s="289"/>
      <c r="AQ26" s="289"/>
      <c r="AR26" s="289"/>
      <c r="AS26" s="289"/>
      <c r="AT26" s="289"/>
      <c r="AU26" s="289"/>
      <c r="AV26" s="289"/>
      <c r="AW26" s="289"/>
      <c r="AX26" s="289"/>
      <c r="AY26" s="289"/>
      <c r="AZ26" s="289"/>
      <c r="BA26" s="289"/>
      <c r="BB26" s="289"/>
      <c r="BC26" s="289"/>
      <c r="BD26" s="289"/>
      <c r="BE26" s="289"/>
      <c r="BF26" s="289"/>
      <c r="BG26" s="289"/>
      <c r="BH26" s="289"/>
      <c r="BI26" s="289"/>
      <c r="BJ26" s="289"/>
      <c r="BK26" s="289"/>
      <c r="BL26" s="289"/>
      <c r="BM26" s="289"/>
      <c r="BN26" s="289"/>
      <c r="BO26" s="291"/>
      <c r="BP26" s="295"/>
      <c r="BQ26" s="290"/>
      <c r="BR26" s="291"/>
      <c r="BS26" s="289"/>
      <c r="BT26" s="289"/>
      <c r="BU26" s="289"/>
      <c r="BV26" s="291"/>
      <c r="BW26" s="289"/>
      <c r="BX26" s="289"/>
      <c r="BY26" s="289"/>
      <c r="BZ26" s="289"/>
      <c r="CA26" s="289"/>
      <c r="CB26" s="289"/>
      <c r="CC26" s="289"/>
      <c r="CD26" s="289"/>
      <c r="CE26" s="289"/>
      <c r="CF26" s="289"/>
      <c r="CG26" s="289"/>
      <c r="CH26" s="289"/>
      <c r="CI26" s="289"/>
      <c r="CJ26" s="289"/>
      <c r="CK26" s="289"/>
      <c r="CL26" s="289"/>
      <c r="CM26" s="289"/>
      <c r="CN26" s="289"/>
      <c r="CO26" s="289"/>
      <c r="CP26" s="289"/>
      <c r="CQ26" s="289"/>
      <c r="CR26" s="289"/>
      <c r="CS26" s="289"/>
      <c r="CT26" s="295"/>
    </row>
    <row r="27" spans="2:98" ht="18" customHeight="1">
      <c r="B27" s="273"/>
      <c r="C27" s="274"/>
      <c r="D27" s="292"/>
      <c r="E27" s="277"/>
      <c r="F27" s="277"/>
      <c r="G27" s="277"/>
      <c r="H27" s="277"/>
      <c r="I27" s="278"/>
      <c r="J27" s="279"/>
      <c r="K27" s="277"/>
      <c r="L27" s="277"/>
      <c r="M27" s="277"/>
      <c r="N27" s="277"/>
      <c r="O27" s="277"/>
      <c r="P27" s="277"/>
      <c r="Q27" s="277"/>
      <c r="R27" s="277"/>
      <c r="S27" s="277"/>
      <c r="T27" s="277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80"/>
      <c r="AL27" s="276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8"/>
      <c r="BQ27" s="276"/>
      <c r="BR27" s="281"/>
      <c r="BS27" s="277"/>
      <c r="BT27" s="277"/>
      <c r="BU27" s="277"/>
      <c r="BV27" s="281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  <c r="CK27" s="277"/>
      <c r="CL27" s="277"/>
      <c r="CM27" s="277"/>
      <c r="CN27" s="277"/>
      <c r="CO27" s="277"/>
      <c r="CP27" s="277"/>
      <c r="CQ27" s="277"/>
      <c r="CR27" s="277"/>
      <c r="CS27" s="277"/>
      <c r="CT27" s="278"/>
    </row>
    <row r="28" spans="2:98" ht="18" customHeight="1">
      <c r="B28" s="348"/>
      <c r="C28" s="349"/>
      <c r="D28" s="350"/>
      <c r="E28" s="293"/>
      <c r="F28" s="293"/>
      <c r="G28" s="293"/>
      <c r="H28" s="293"/>
      <c r="I28" s="324"/>
      <c r="J28" s="325"/>
      <c r="K28" s="293"/>
      <c r="L28" s="293"/>
      <c r="M28" s="293"/>
      <c r="N28" s="293"/>
      <c r="O28" s="293"/>
      <c r="P28" s="293"/>
      <c r="Q28" s="293"/>
      <c r="R28" s="293"/>
      <c r="S28" s="293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326"/>
      <c r="AL28" s="272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324"/>
      <c r="BQ28" s="272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  <c r="CK28" s="293"/>
      <c r="CL28" s="293"/>
      <c r="CM28" s="293"/>
      <c r="CN28" s="293"/>
      <c r="CO28" s="293"/>
      <c r="CP28" s="293"/>
      <c r="CQ28" s="293"/>
      <c r="CR28" s="293"/>
      <c r="CS28" s="293"/>
      <c r="CT28" s="324"/>
    </row>
    <row r="29" spans="2:98" ht="18" customHeight="1">
      <c r="B29" s="343"/>
      <c r="C29" s="341"/>
      <c r="D29" s="351"/>
      <c r="E29" s="293"/>
      <c r="F29" s="293"/>
      <c r="G29" s="293"/>
      <c r="H29" s="293"/>
      <c r="I29" s="324"/>
      <c r="J29" s="325"/>
      <c r="K29" s="293"/>
      <c r="L29" s="293"/>
      <c r="M29" s="293"/>
      <c r="N29" s="293"/>
      <c r="O29" s="293"/>
      <c r="P29" s="293"/>
      <c r="Q29" s="293"/>
      <c r="R29" s="293"/>
      <c r="S29" s="293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326"/>
      <c r="AL29" s="272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324"/>
      <c r="BQ29" s="272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  <c r="CK29" s="293"/>
      <c r="CL29" s="293"/>
      <c r="CM29" s="293"/>
      <c r="CN29" s="293"/>
      <c r="CO29" s="293"/>
      <c r="CP29" s="293"/>
      <c r="CQ29" s="293"/>
      <c r="CR29" s="293"/>
      <c r="CS29" s="293"/>
      <c r="CT29" s="324"/>
    </row>
    <row r="30" spans="2:98" ht="18" customHeight="1">
      <c r="B30" s="343"/>
      <c r="C30" s="344"/>
      <c r="D30" s="301"/>
      <c r="E30" s="283"/>
      <c r="F30" s="283"/>
      <c r="G30" s="283"/>
      <c r="H30" s="283"/>
      <c r="I30" s="327"/>
      <c r="J30" s="328"/>
      <c r="K30" s="283"/>
      <c r="L30" s="283"/>
      <c r="M30" s="283"/>
      <c r="N30" s="283"/>
      <c r="O30" s="283"/>
      <c r="P30" s="283"/>
      <c r="Q30" s="300"/>
      <c r="R30" s="300"/>
      <c r="S30" s="283"/>
      <c r="T30" s="283"/>
      <c r="U30" s="283"/>
      <c r="V30" s="283"/>
      <c r="W30" s="283"/>
      <c r="X30" s="283"/>
      <c r="Y30" s="300"/>
      <c r="Z30" s="283"/>
      <c r="AA30" s="283"/>
      <c r="AB30" s="283"/>
      <c r="AC30" s="283"/>
      <c r="AD30" s="283"/>
      <c r="AE30" s="283"/>
      <c r="AF30" s="300"/>
      <c r="AG30" s="283"/>
      <c r="AH30" s="283"/>
      <c r="AI30" s="300"/>
      <c r="AJ30" s="283"/>
      <c r="AK30" s="284"/>
      <c r="AL30" s="285"/>
      <c r="AM30" s="300"/>
      <c r="AN30" s="283"/>
      <c r="AO30" s="283"/>
      <c r="AP30" s="300"/>
      <c r="AQ30" s="283"/>
      <c r="AR30" s="283"/>
      <c r="AS30" s="283"/>
      <c r="AT30" s="300"/>
      <c r="AU30" s="283"/>
      <c r="AV30" s="283"/>
      <c r="AW30" s="300"/>
      <c r="AX30" s="283"/>
      <c r="AY30" s="283"/>
      <c r="AZ30" s="283"/>
      <c r="BA30" s="300"/>
      <c r="BB30" s="283"/>
      <c r="BC30" s="283"/>
      <c r="BD30" s="300"/>
      <c r="BE30" s="283"/>
      <c r="BF30" s="283"/>
      <c r="BG30" s="283"/>
      <c r="BH30" s="300"/>
      <c r="BI30" s="283"/>
      <c r="BJ30" s="283"/>
      <c r="BK30" s="300"/>
      <c r="BL30" s="283"/>
      <c r="BM30" s="283"/>
      <c r="BN30" s="283"/>
      <c r="BO30" s="300"/>
      <c r="BP30" s="327"/>
      <c r="BQ30" s="285"/>
      <c r="BR30" s="300"/>
      <c r="BS30" s="283"/>
      <c r="BT30" s="283"/>
      <c r="BU30" s="283"/>
      <c r="BV30" s="302"/>
      <c r="BW30" s="283"/>
      <c r="BX30" s="283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  <c r="CK30" s="283"/>
      <c r="CL30" s="283"/>
      <c r="CM30" s="283"/>
      <c r="CN30" s="283"/>
      <c r="CO30" s="283"/>
      <c r="CP30" s="283"/>
      <c r="CQ30" s="283"/>
      <c r="CR30" s="283"/>
      <c r="CS30" s="283"/>
      <c r="CT30" s="327"/>
    </row>
    <row r="31" spans="2:98" ht="18" customHeight="1">
      <c r="B31" s="343"/>
      <c r="C31" s="344"/>
      <c r="D31" s="301"/>
      <c r="E31" s="283"/>
      <c r="F31" s="283"/>
      <c r="G31" s="283"/>
      <c r="H31" s="283"/>
      <c r="I31" s="327"/>
      <c r="J31" s="328"/>
      <c r="K31" s="283"/>
      <c r="L31" s="283"/>
      <c r="M31" s="283"/>
      <c r="N31" s="283"/>
      <c r="O31" s="283"/>
      <c r="P31" s="283"/>
      <c r="Q31" s="283"/>
      <c r="R31" s="283"/>
      <c r="S31" s="283"/>
      <c r="T31" s="283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  <c r="AF31" s="283"/>
      <c r="AG31" s="283"/>
      <c r="AH31" s="283"/>
      <c r="AI31" s="283"/>
      <c r="AJ31" s="283"/>
      <c r="AK31" s="284"/>
      <c r="AL31" s="285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327"/>
      <c r="BQ31" s="285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  <c r="CK31" s="283"/>
      <c r="CL31" s="283"/>
      <c r="CM31" s="283"/>
      <c r="CN31" s="283"/>
      <c r="CO31" s="283"/>
      <c r="CP31" s="283"/>
      <c r="CQ31" s="283"/>
      <c r="CR31" s="283"/>
      <c r="CS31" s="283"/>
      <c r="CT31" s="327"/>
    </row>
    <row r="32" spans="2:98" ht="18" customHeight="1">
      <c r="B32" s="343"/>
      <c r="C32" s="344"/>
      <c r="D32" s="301"/>
      <c r="E32" s="283"/>
      <c r="F32" s="283"/>
      <c r="G32" s="283"/>
      <c r="H32" s="283"/>
      <c r="I32" s="327"/>
      <c r="J32" s="328"/>
      <c r="K32" s="283"/>
      <c r="L32" s="283"/>
      <c r="M32" s="283"/>
      <c r="N32" s="283"/>
      <c r="O32" s="283"/>
      <c r="P32" s="283"/>
      <c r="Q32" s="300"/>
      <c r="R32" s="300"/>
      <c r="S32" s="283"/>
      <c r="T32" s="283"/>
      <c r="U32" s="283"/>
      <c r="V32" s="283"/>
      <c r="W32" s="283"/>
      <c r="X32" s="283"/>
      <c r="Y32" s="300"/>
      <c r="Z32" s="283"/>
      <c r="AA32" s="283"/>
      <c r="AB32" s="283"/>
      <c r="AC32" s="283"/>
      <c r="AD32" s="283"/>
      <c r="AE32" s="283"/>
      <c r="AF32" s="300"/>
      <c r="AG32" s="283"/>
      <c r="AH32" s="283"/>
      <c r="AI32" s="300"/>
      <c r="AJ32" s="283"/>
      <c r="AK32" s="284"/>
      <c r="AL32" s="285"/>
      <c r="AM32" s="300"/>
      <c r="AN32" s="283"/>
      <c r="AO32" s="283"/>
      <c r="AP32" s="300"/>
      <c r="AQ32" s="283"/>
      <c r="AR32" s="283"/>
      <c r="AS32" s="283"/>
      <c r="AT32" s="300"/>
      <c r="AU32" s="283"/>
      <c r="AV32" s="283"/>
      <c r="AW32" s="300"/>
      <c r="AX32" s="283"/>
      <c r="AY32" s="283"/>
      <c r="AZ32" s="283"/>
      <c r="BA32" s="300"/>
      <c r="BB32" s="283"/>
      <c r="BC32" s="283"/>
      <c r="BD32" s="300"/>
      <c r="BE32" s="283"/>
      <c r="BF32" s="283"/>
      <c r="BG32" s="283"/>
      <c r="BH32" s="300"/>
      <c r="BI32" s="283"/>
      <c r="BJ32" s="283"/>
      <c r="BK32" s="300"/>
      <c r="BL32" s="283"/>
      <c r="BM32" s="283"/>
      <c r="BN32" s="283"/>
      <c r="BO32" s="300"/>
      <c r="BP32" s="327"/>
      <c r="BQ32" s="285"/>
      <c r="BR32" s="300"/>
      <c r="BS32" s="283"/>
      <c r="BT32" s="283"/>
      <c r="BU32" s="283"/>
      <c r="BV32" s="300"/>
      <c r="BW32" s="283"/>
      <c r="BX32" s="283"/>
      <c r="BY32" s="300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  <c r="CK32" s="283"/>
      <c r="CL32" s="283"/>
      <c r="CM32" s="283"/>
      <c r="CN32" s="283"/>
      <c r="CO32" s="283"/>
      <c r="CP32" s="283"/>
      <c r="CQ32" s="283"/>
      <c r="CR32" s="283"/>
      <c r="CS32" s="283"/>
      <c r="CT32" s="327"/>
    </row>
    <row r="33" spans="2:98" ht="18" customHeight="1">
      <c r="B33" s="286"/>
      <c r="C33" s="287"/>
      <c r="D33" s="294"/>
      <c r="E33" s="289"/>
      <c r="F33" s="289"/>
      <c r="G33" s="289"/>
      <c r="H33" s="289"/>
      <c r="I33" s="295"/>
      <c r="J33" s="296"/>
      <c r="K33" s="289"/>
      <c r="L33" s="289"/>
      <c r="M33" s="289"/>
      <c r="N33" s="289"/>
      <c r="O33" s="289"/>
      <c r="P33" s="289"/>
      <c r="Q33" s="289"/>
      <c r="R33" s="289"/>
      <c r="S33" s="289"/>
      <c r="T33" s="289"/>
      <c r="U33" s="289"/>
      <c r="V33" s="289"/>
      <c r="W33" s="289"/>
      <c r="X33" s="289"/>
      <c r="Y33" s="289"/>
      <c r="Z33" s="289"/>
      <c r="AA33" s="289"/>
      <c r="AB33" s="289"/>
      <c r="AC33" s="289"/>
      <c r="AD33" s="289"/>
      <c r="AE33" s="289"/>
      <c r="AF33" s="291"/>
      <c r="AG33" s="289"/>
      <c r="AH33" s="289"/>
      <c r="AI33" s="291"/>
      <c r="AJ33" s="289"/>
      <c r="AK33" s="297"/>
      <c r="AL33" s="290"/>
      <c r="AM33" s="291"/>
      <c r="AN33" s="289"/>
      <c r="AO33" s="289"/>
      <c r="AP33" s="291"/>
      <c r="AQ33" s="289"/>
      <c r="AR33" s="289"/>
      <c r="AS33" s="289"/>
      <c r="AT33" s="291"/>
      <c r="AU33" s="289"/>
      <c r="AV33" s="289"/>
      <c r="AW33" s="291"/>
      <c r="AX33" s="289"/>
      <c r="AY33" s="289"/>
      <c r="AZ33" s="289"/>
      <c r="BA33" s="291"/>
      <c r="BB33" s="289"/>
      <c r="BC33" s="289"/>
      <c r="BD33" s="291"/>
      <c r="BE33" s="289"/>
      <c r="BF33" s="289"/>
      <c r="BG33" s="289"/>
      <c r="BH33" s="291"/>
      <c r="BI33" s="289"/>
      <c r="BJ33" s="289"/>
      <c r="BK33" s="291"/>
      <c r="BL33" s="289"/>
      <c r="BM33" s="289"/>
      <c r="BN33" s="289"/>
      <c r="BO33" s="291"/>
      <c r="BP33" s="295"/>
      <c r="BQ33" s="290"/>
      <c r="BR33" s="291"/>
      <c r="BS33" s="289"/>
      <c r="BT33" s="289"/>
      <c r="BU33" s="289"/>
      <c r="BV33" s="291"/>
      <c r="BW33" s="289"/>
      <c r="BX33" s="289"/>
      <c r="BY33" s="291"/>
      <c r="BZ33" s="289"/>
      <c r="CA33" s="289"/>
      <c r="CB33" s="289"/>
      <c r="CC33" s="289"/>
      <c r="CD33" s="289"/>
      <c r="CE33" s="289"/>
      <c r="CF33" s="289"/>
      <c r="CG33" s="289"/>
      <c r="CH33" s="289"/>
      <c r="CI33" s="289"/>
      <c r="CJ33" s="289"/>
      <c r="CK33" s="289"/>
      <c r="CL33" s="289"/>
      <c r="CM33" s="289"/>
      <c r="CN33" s="289"/>
      <c r="CO33" s="289"/>
      <c r="CP33" s="289"/>
      <c r="CQ33" s="289"/>
      <c r="CR33" s="289"/>
      <c r="CS33" s="289"/>
      <c r="CT33" s="295"/>
    </row>
    <row r="34" spans="2:98" ht="18" customHeight="1">
      <c r="B34" s="286"/>
      <c r="C34" s="287"/>
      <c r="D34" s="288"/>
      <c r="E34" s="289"/>
      <c r="F34" s="289"/>
      <c r="G34" s="289"/>
      <c r="H34" s="289"/>
      <c r="I34" s="295"/>
      <c r="J34" s="296"/>
      <c r="K34" s="289"/>
      <c r="L34" s="289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/>
      <c r="AD34" s="289"/>
      <c r="AE34" s="289"/>
      <c r="AF34" s="289"/>
      <c r="AG34" s="289"/>
      <c r="AH34" s="289"/>
      <c r="AI34" s="289"/>
      <c r="AJ34" s="289"/>
      <c r="AK34" s="297"/>
      <c r="AL34" s="290"/>
      <c r="AM34" s="289"/>
      <c r="AN34" s="289"/>
      <c r="AO34" s="289"/>
      <c r="AP34" s="289"/>
      <c r="AQ34" s="289"/>
      <c r="AR34" s="289"/>
      <c r="AS34" s="289"/>
      <c r="AT34" s="289"/>
      <c r="AU34" s="289"/>
      <c r="AV34" s="289"/>
      <c r="AW34" s="289"/>
      <c r="AX34" s="289"/>
      <c r="AY34" s="289"/>
      <c r="AZ34" s="289"/>
      <c r="BA34" s="289"/>
      <c r="BB34" s="289"/>
      <c r="BC34" s="289"/>
      <c r="BD34" s="289"/>
      <c r="BE34" s="289"/>
      <c r="BF34" s="289"/>
      <c r="BG34" s="289"/>
      <c r="BH34" s="289"/>
      <c r="BI34" s="289"/>
      <c r="BJ34" s="289"/>
      <c r="BK34" s="289"/>
      <c r="BL34" s="289"/>
      <c r="BM34" s="289"/>
      <c r="BN34" s="289"/>
      <c r="BO34" s="289"/>
      <c r="BP34" s="295"/>
      <c r="BQ34" s="290"/>
      <c r="BR34" s="289"/>
      <c r="BS34" s="289"/>
      <c r="BT34" s="289"/>
      <c r="BU34" s="289"/>
      <c r="BV34" s="289"/>
      <c r="BW34" s="289"/>
      <c r="BX34" s="289"/>
      <c r="BY34" s="289"/>
      <c r="BZ34" s="289"/>
      <c r="CA34" s="289"/>
      <c r="CB34" s="289"/>
      <c r="CC34" s="289"/>
      <c r="CD34" s="289"/>
      <c r="CE34" s="289"/>
      <c r="CF34" s="289"/>
      <c r="CG34" s="289"/>
      <c r="CH34" s="289"/>
      <c r="CI34" s="289"/>
      <c r="CJ34" s="289"/>
      <c r="CK34" s="289"/>
      <c r="CL34" s="289"/>
      <c r="CM34" s="289"/>
      <c r="CN34" s="289"/>
      <c r="CO34" s="289"/>
      <c r="CP34" s="289"/>
      <c r="CQ34" s="289"/>
      <c r="CR34" s="289"/>
      <c r="CS34" s="289"/>
      <c r="CT34" s="295"/>
    </row>
    <row r="35" spans="2:98" ht="18" customHeight="1">
      <c r="B35" s="337"/>
      <c r="C35" s="338"/>
      <c r="D35" s="347"/>
      <c r="E35" s="282"/>
      <c r="F35" s="282"/>
      <c r="G35" s="282"/>
      <c r="H35" s="282"/>
      <c r="I35" s="321"/>
      <c r="J35" s="32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  <c r="AF35" s="282"/>
      <c r="AG35" s="282"/>
      <c r="AH35" s="282"/>
      <c r="AI35" s="282"/>
      <c r="AJ35" s="282"/>
      <c r="AK35" s="323"/>
      <c r="AL35" s="271"/>
      <c r="AM35" s="282"/>
      <c r="AN35" s="282"/>
      <c r="AO35" s="282"/>
      <c r="AP35" s="282"/>
      <c r="AQ35" s="282"/>
      <c r="AR35" s="282"/>
      <c r="AS35" s="282"/>
      <c r="AT35" s="282"/>
      <c r="AU35" s="282"/>
      <c r="AV35" s="282"/>
      <c r="AW35" s="282"/>
      <c r="AX35" s="282"/>
      <c r="AY35" s="282"/>
      <c r="AZ35" s="282"/>
      <c r="BA35" s="282"/>
      <c r="BB35" s="282"/>
      <c r="BC35" s="282"/>
      <c r="BD35" s="282"/>
      <c r="BE35" s="282"/>
      <c r="BF35" s="282"/>
      <c r="BG35" s="282"/>
      <c r="BH35" s="282"/>
      <c r="BI35" s="282"/>
      <c r="BJ35" s="282"/>
      <c r="BK35" s="282"/>
      <c r="BL35" s="282"/>
      <c r="BM35" s="282"/>
      <c r="BN35" s="282"/>
      <c r="BO35" s="282"/>
      <c r="BP35" s="321"/>
      <c r="BQ35" s="271"/>
      <c r="BR35" s="282"/>
      <c r="BS35" s="282"/>
      <c r="BT35" s="282"/>
      <c r="BU35" s="282"/>
      <c r="BV35" s="282"/>
      <c r="BW35" s="282"/>
      <c r="BX35" s="282"/>
      <c r="BY35" s="282"/>
      <c r="BZ35" s="282"/>
      <c r="CA35" s="282"/>
      <c r="CB35" s="282"/>
      <c r="CC35" s="282"/>
      <c r="CD35" s="282"/>
      <c r="CE35" s="282"/>
      <c r="CF35" s="282"/>
      <c r="CG35" s="282"/>
      <c r="CH35" s="282"/>
      <c r="CI35" s="282"/>
      <c r="CJ35" s="282"/>
      <c r="CK35" s="282"/>
      <c r="CL35" s="282"/>
      <c r="CM35" s="282"/>
      <c r="CN35" s="282"/>
      <c r="CO35" s="282"/>
      <c r="CP35" s="282"/>
      <c r="CQ35" s="282"/>
      <c r="CR35" s="282"/>
      <c r="CS35" s="282"/>
      <c r="CT35" s="321"/>
    </row>
    <row r="36" spans="2:98" ht="18" customHeight="1">
      <c r="B36" s="343"/>
      <c r="C36" s="287"/>
      <c r="D36" s="301"/>
      <c r="E36" s="283"/>
      <c r="F36" s="283"/>
      <c r="G36" s="283"/>
      <c r="H36" s="283"/>
      <c r="I36" s="327"/>
      <c r="J36" s="328"/>
      <c r="K36" s="283"/>
      <c r="L36" s="283"/>
      <c r="M36" s="283"/>
      <c r="N36" s="283"/>
      <c r="O36" s="283"/>
      <c r="P36" s="283"/>
      <c r="Q36" s="283"/>
      <c r="R36" s="283"/>
      <c r="S36" s="283"/>
      <c r="T36" s="283"/>
      <c r="U36" s="283"/>
      <c r="V36" s="283"/>
      <c r="W36" s="283"/>
      <c r="X36" s="283"/>
      <c r="Y36" s="300"/>
      <c r="Z36" s="283"/>
      <c r="AA36" s="283"/>
      <c r="AB36" s="300"/>
      <c r="AC36" s="283"/>
      <c r="AD36" s="283"/>
      <c r="AE36" s="283"/>
      <c r="AF36" s="300"/>
      <c r="AG36" s="283"/>
      <c r="AH36" s="283"/>
      <c r="AI36" s="300"/>
      <c r="AJ36" s="283"/>
      <c r="AK36" s="284"/>
      <c r="AL36" s="285"/>
      <c r="AM36" s="300"/>
      <c r="AN36" s="283"/>
      <c r="AO36" s="283"/>
      <c r="AP36" s="300"/>
      <c r="AQ36" s="283"/>
      <c r="AR36" s="283"/>
      <c r="AS36" s="283"/>
      <c r="AT36" s="300"/>
      <c r="AU36" s="283"/>
      <c r="AV36" s="283"/>
      <c r="AW36" s="302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327"/>
      <c r="BQ36" s="285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  <c r="CK36" s="283"/>
      <c r="CL36" s="283"/>
      <c r="CM36" s="283"/>
      <c r="CN36" s="283"/>
      <c r="CO36" s="283"/>
      <c r="CP36" s="283"/>
      <c r="CQ36" s="283"/>
      <c r="CR36" s="283"/>
      <c r="CS36" s="283"/>
      <c r="CT36" s="327"/>
    </row>
    <row r="37" spans="2:98" ht="18" customHeight="1">
      <c r="B37" s="343"/>
      <c r="C37" s="344"/>
      <c r="D37" s="301"/>
      <c r="E37" s="283"/>
      <c r="F37" s="283"/>
      <c r="G37" s="283"/>
      <c r="H37" s="283"/>
      <c r="I37" s="327"/>
      <c r="J37" s="328"/>
      <c r="K37" s="283"/>
      <c r="L37" s="283"/>
      <c r="M37" s="283"/>
      <c r="N37" s="283"/>
      <c r="O37" s="283"/>
      <c r="P37" s="283"/>
      <c r="Q37" s="300"/>
      <c r="R37" s="300"/>
      <c r="S37" s="283"/>
      <c r="T37" s="283"/>
      <c r="U37" s="283"/>
      <c r="V37" s="283"/>
      <c r="W37" s="283"/>
      <c r="X37" s="283"/>
      <c r="Y37" s="300"/>
      <c r="Z37" s="283"/>
      <c r="AA37" s="283"/>
      <c r="AB37" s="300"/>
      <c r="AC37" s="283"/>
      <c r="AD37" s="283"/>
      <c r="AE37" s="283"/>
      <c r="AF37" s="300"/>
      <c r="AG37" s="283"/>
      <c r="AH37" s="283"/>
      <c r="AI37" s="300"/>
      <c r="AJ37" s="283"/>
      <c r="AK37" s="284"/>
      <c r="AL37" s="285"/>
      <c r="AM37" s="300"/>
      <c r="AN37" s="283"/>
      <c r="AO37" s="283"/>
      <c r="AP37" s="302"/>
      <c r="AQ37" s="283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327"/>
      <c r="BQ37" s="285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  <c r="CK37" s="283"/>
      <c r="CL37" s="283"/>
      <c r="CM37" s="283"/>
      <c r="CN37" s="283"/>
      <c r="CO37" s="283"/>
      <c r="CP37" s="283"/>
      <c r="CQ37" s="283"/>
      <c r="CR37" s="283"/>
      <c r="CS37" s="283"/>
      <c r="CT37" s="327"/>
    </row>
    <row r="38" spans="2:98" ht="18" customHeight="1">
      <c r="B38" s="343"/>
      <c r="C38" s="287"/>
      <c r="D38" s="301"/>
      <c r="E38" s="283"/>
      <c r="F38" s="283"/>
      <c r="G38" s="283"/>
      <c r="H38" s="283"/>
      <c r="I38" s="327"/>
      <c r="J38" s="328"/>
      <c r="K38" s="283"/>
      <c r="L38" s="283"/>
      <c r="M38" s="283"/>
      <c r="N38" s="283"/>
      <c r="O38" s="283"/>
      <c r="P38" s="283"/>
      <c r="Q38" s="283"/>
      <c r="R38" s="283"/>
      <c r="S38" s="283"/>
      <c r="T38" s="283"/>
      <c r="U38" s="283"/>
      <c r="V38" s="283"/>
      <c r="W38" s="283"/>
      <c r="X38" s="283"/>
      <c r="Y38" s="302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4"/>
      <c r="AL38" s="285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327"/>
      <c r="BQ38" s="285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  <c r="CK38" s="283"/>
      <c r="CL38" s="283"/>
      <c r="CM38" s="283"/>
      <c r="CN38" s="283"/>
      <c r="CO38" s="283"/>
      <c r="CP38" s="283"/>
      <c r="CQ38" s="283"/>
      <c r="CR38" s="283"/>
      <c r="CS38" s="283"/>
      <c r="CT38" s="327"/>
    </row>
    <row r="39" spans="2:98" ht="18" customHeight="1">
      <c r="B39" s="343"/>
      <c r="C39" s="344"/>
      <c r="D39" s="301"/>
      <c r="E39" s="283"/>
      <c r="F39" s="283"/>
      <c r="G39" s="283"/>
      <c r="H39" s="283"/>
      <c r="I39" s="327"/>
      <c r="J39" s="328"/>
      <c r="K39" s="283"/>
      <c r="L39" s="283"/>
      <c r="M39" s="283"/>
      <c r="N39" s="283"/>
      <c r="O39" s="283"/>
      <c r="P39" s="283"/>
      <c r="Q39" s="300"/>
      <c r="R39" s="300"/>
      <c r="S39" s="283"/>
      <c r="T39" s="283"/>
      <c r="U39" s="283"/>
      <c r="V39" s="283"/>
      <c r="W39" s="283"/>
      <c r="X39" s="283"/>
      <c r="Y39" s="300"/>
      <c r="Z39" s="283"/>
      <c r="AA39" s="283"/>
      <c r="AB39" s="300"/>
      <c r="AC39" s="283"/>
      <c r="AD39" s="283"/>
      <c r="AE39" s="283"/>
      <c r="AF39" s="300"/>
      <c r="AG39" s="283"/>
      <c r="AH39" s="283"/>
      <c r="AI39" s="300"/>
      <c r="AJ39" s="283"/>
      <c r="AK39" s="284"/>
      <c r="AL39" s="285"/>
      <c r="AM39" s="300"/>
      <c r="AN39" s="283"/>
      <c r="AO39" s="283"/>
      <c r="AP39" s="302"/>
      <c r="AQ39" s="283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327"/>
      <c r="BQ39" s="285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  <c r="CK39" s="283"/>
      <c r="CL39" s="283"/>
      <c r="CM39" s="283"/>
      <c r="CN39" s="283"/>
      <c r="CO39" s="283"/>
      <c r="CP39" s="283"/>
      <c r="CQ39" s="283"/>
      <c r="CR39" s="283"/>
      <c r="CS39" s="283"/>
      <c r="CT39" s="327"/>
    </row>
    <row r="40" spans="2:98" ht="18" customHeight="1">
      <c r="B40" s="343"/>
      <c r="C40" s="287"/>
      <c r="D40" s="301"/>
      <c r="E40" s="283"/>
      <c r="F40" s="283"/>
      <c r="G40" s="283"/>
      <c r="H40" s="283"/>
      <c r="I40" s="327"/>
      <c r="J40" s="328"/>
      <c r="K40" s="283"/>
      <c r="L40" s="283"/>
      <c r="M40" s="283"/>
      <c r="N40" s="283"/>
      <c r="O40" s="283"/>
      <c r="P40" s="283"/>
      <c r="Q40" s="283"/>
      <c r="R40" s="283"/>
      <c r="S40" s="283"/>
      <c r="T40" s="283"/>
      <c r="U40" s="283"/>
      <c r="V40" s="283"/>
      <c r="W40" s="283"/>
      <c r="X40" s="283"/>
      <c r="Y40" s="283"/>
      <c r="Z40" s="283"/>
      <c r="AA40" s="283"/>
      <c r="AB40" s="283"/>
      <c r="AC40" s="283"/>
      <c r="AD40" s="283"/>
      <c r="AE40" s="283"/>
      <c r="AF40" s="302"/>
      <c r="AG40" s="283"/>
      <c r="AH40" s="283"/>
      <c r="AI40" s="300"/>
      <c r="AJ40" s="283"/>
      <c r="AK40" s="284"/>
      <c r="AL40" s="285"/>
      <c r="AM40" s="300"/>
      <c r="AN40" s="283"/>
      <c r="AO40" s="283"/>
      <c r="AP40" s="302"/>
      <c r="AQ40" s="283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327"/>
      <c r="BQ40" s="285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  <c r="CK40" s="283"/>
      <c r="CL40" s="283"/>
      <c r="CM40" s="283"/>
      <c r="CN40" s="283"/>
      <c r="CO40" s="283"/>
      <c r="CP40" s="283"/>
      <c r="CQ40" s="283"/>
      <c r="CR40" s="283"/>
      <c r="CS40" s="283"/>
      <c r="CT40" s="327"/>
    </row>
    <row r="41" spans="2:98" ht="18" customHeight="1">
      <c r="B41" s="343"/>
      <c r="C41" s="344"/>
      <c r="D41" s="301"/>
      <c r="E41" s="283"/>
      <c r="F41" s="283"/>
      <c r="G41" s="283"/>
      <c r="H41" s="283"/>
      <c r="I41" s="327"/>
      <c r="J41" s="328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283"/>
      <c r="X41" s="283"/>
      <c r="Y41" s="283"/>
      <c r="Z41" s="283"/>
      <c r="AA41" s="283"/>
      <c r="AB41" s="283"/>
      <c r="AC41" s="283"/>
      <c r="AD41" s="283"/>
      <c r="AE41" s="283"/>
      <c r="AF41" s="283"/>
      <c r="AG41" s="283"/>
      <c r="AH41" s="283"/>
      <c r="AI41" s="283"/>
      <c r="AJ41" s="283"/>
      <c r="AK41" s="284"/>
      <c r="AL41" s="285"/>
      <c r="AM41" s="283"/>
      <c r="AN41" s="283"/>
      <c r="AO41" s="283"/>
      <c r="AP41" s="283"/>
      <c r="AQ41" s="283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327"/>
      <c r="BQ41" s="285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  <c r="CK41" s="283"/>
      <c r="CL41" s="283"/>
      <c r="CM41" s="283"/>
      <c r="CN41" s="283"/>
      <c r="CO41" s="283"/>
      <c r="CP41" s="283"/>
      <c r="CQ41" s="283"/>
      <c r="CR41" s="283"/>
      <c r="CS41" s="283"/>
      <c r="CT41" s="327"/>
    </row>
    <row r="42" spans="2:98" ht="18" customHeight="1">
      <c r="B42" s="343"/>
      <c r="C42" s="344"/>
      <c r="D42" s="301"/>
      <c r="E42" s="283"/>
      <c r="F42" s="283"/>
      <c r="G42" s="283"/>
      <c r="H42" s="283"/>
      <c r="I42" s="327"/>
      <c r="J42" s="328"/>
      <c r="K42" s="283"/>
      <c r="L42" s="283"/>
      <c r="M42" s="283"/>
      <c r="N42" s="283"/>
      <c r="O42" s="283"/>
      <c r="P42" s="300"/>
      <c r="Q42" s="283"/>
      <c r="R42" s="283"/>
      <c r="S42" s="283"/>
      <c r="T42" s="283"/>
      <c r="U42" s="283"/>
      <c r="V42" s="283"/>
      <c r="W42" s="283"/>
      <c r="X42" s="283"/>
      <c r="Y42" s="300"/>
      <c r="Z42" s="283"/>
      <c r="AA42" s="283"/>
      <c r="AB42" s="283"/>
      <c r="AC42" s="283"/>
      <c r="AD42" s="283"/>
      <c r="AE42" s="283"/>
      <c r="AF42" s="300"/>
      <c r="AG42" s="283"/>
      <c r="AH42" s="283"/>
      <c r="AI42" s="300"/>
      <c r="AJ42" s="283"/>
      <c r="AK42" s="284"/>
      <c r="AL42" s="285"/>
      <c r="AM42" s="300"/>
      <c r="AN42" s="283"/>
      <c r="AO42" s="283"/>
      <c r="AP42" s="300"/>
      <c r="AQ42" s="283"/>
      <c r="AR42" s="283"/>
      <c r="AS42" s="283"/>
      <c r="AT42" s="300"/>
      <c r="AU42" s="283"/>
      <c r="AV42" s="283"/>
      <c r="AW42" s="300"/>
      <c r="AX42" s="283"/>
      <c r="AY42" s="283"/>
      <c r="AZ42" s="283"/>
      <c r="BA42" s="300"/>
      <c r="BB42" s="283"/>
      <c r="BC42" s="283"/>
      <c r="BD42" s="300"/>
      <c r="BE42" s="283"/>
      <c r="BF42" s="283"/>
      <c r="BG42" s="283"/>
      <c r="BH42" s="283"/>
      <c r="BI42" s="283"/>
      <c r="BJ42" s="283"/>
      <c r="BK42" s="300"/>
      <c r="BL42" s="283"/>
      <c r="BM42" s="283"/>
      <c r="BN42" s="283"/>
      <c r="BO42" s="300"/>
      <c r="BP42" s="327"/>
      <c r="BQ42" s="285"/>
      <c r="BR42" s="300"/>
      <c r="BS42" s="283"/>
      <c r="BT42" s="283"/>
      <c r="BU42" s="283"/>
      <c r="BV42" s="331"/>
      <c r="BW42" s="283"/>
      <c r="BX42" s="283"/>
      <c r="BY42" s="283"/>
      <c r="BZ42" s="283"/>
      <c r="CA42" s="283"/>
      <c r="CB42" s="283"/>
      <c r="CC42" s="283"/>
      <c r="CD42" s="283"/>
      <c r="CE42" s="283"/>
      <c r="CF42" s="283"/>
      <c r="CG42" s="283"/>
      <c r="CH42" s="283"/>
      <c r="CI42" s="283"/>
      <c r="CJ42" s="283"/>
      <c r="CK42" s="283"/>
      <c r="CL42" s="283"/>
      <c r="CM42" s="283"/>
      <c r="CN42" s="283"/>
      <c r="CO42" s="283"/>
      <c r="CP42" s="283"/>
      <c r="CQ42" s="283"/>
      <c r="CR42" s="283"/>
      <c r="CS42" s="283"/>
      <c r="CT42" s="327"/>
    </row>
    <row r="43" spans="2:98" ht="18" customHeight="1">
      <c r="B43" s="343"/>
      <c r="C43" s="287"/>
      <c r="D43" s="294"/>
      <c r="E43" s="289"/>
      <c r="F43" s="289"/>
      <c r="G43" s="289"/>
      <c r="H43" s="289"/>
      <c r="I43" s="295"/>
      <c r="J43" s="296"/>
      <c r="K43" s="289"/>
      <c r="L43" s="289"/>
      <c r="M43" s="289"/>
      <c r="N43" s="289"/>
      <c r="O43" s="289"/>
      <c r="P43" s="289"/>
      <c r="Q43" s="289"/>
      <c r="R43" s="289"/>
      <c r="S43" s="289"/>
      <c r="T43" s="289"/>
      <c r="U43" s="289"/>
      <c r="V43" s="289"/>
      <c r="W43" s="289"/>
      <c r="X43" s="289"/>
      <c r="Y43" s="291"/>
      <c r="Z43" s="289"/>
      <c r="AA43" s="291"/>
      <c r="AB43" s="291"/>
      <c r="AC43" s="289"/>
      <c r="AD43" s="289"/>
      <c r="AE43" s="289"/>
      <c r="AF43" s="291"/>
      <c r="AG43" s="289"/>
      <c r="AH43" s="289"/>
      <c r="AI43" s="291"/>
      <c r="AJ43" s="289"/>
      <c r="AK43" s="297"/>
      <c r="AL43" s="290"/>
      <c r="AM43" s="291"/>
      <c r="AN43" s="289"/>
      <c r="AO43" s="289"/>
      <c r="AP43" s="291"/>
      <c r="AQ43" s="289"/>
      <c r="AR43" s="289"/>
      <c r="AS43" s="289"/>
      <c r="AT43" s="291"/>
      <c r="AU43" s="289"/>
      <c r="AV43" s="289"/>
      <c r="AW43" s="291"/>
      <c r="AX43" s="289"/>
      <c r="AY43" s="289"/>
      <c r="AZ43" s="289"/>
      <c r="BA43" s="291"/>
      <c r="BB43" s="289"/>
      <c r="BC43" s="289"/>
      <c r="BD43" s="291"/>
      <c r="BE43" s="289"/>
      <c r="BF43" s="289"/>
      <c r="BG43" s="289"/>
      <c r="BH43" s="329"/>
      <c r="BI43" s="289"/>
      <c r="BJ43" s="289"/>
      <c r="BK43" s="289"/>
      <c r="BL43" s="289"/>
      <c r="BM43" s="289"/>
      <c r="BN43" s="289"/>
      <c r="BO43" s="289"/>
      <c r="BP43" s="295"/>
      <c r="BQ43" s="290"/>
      <c r="BR43" s="289"/>
      <c r="BS43" s="289"/>
      <c r="BT43" s="289"/>
      <c r="BU43" s="289"/>
      <c r="BV43" s="289"/>
      <c r="BW43" s="289"/>
      <c r="BX43" s="289"/>
      <c r="BY43" s="289"/>
      <c r="BZ43" s="289"/>
      <c r="CA43" s="289"/>
      <c r="CB43" s="289"/>
      <c r="CC43" s="289"/>
      <c r="CD43" s="289"/>
      <c r="CE43" s="289"/>
      <c r="CF43" s="289"/>
      <c r="CG43" s="289"/>
      <c r="CH43" s="289"/>
      <c r="CI43" s="289"/>
      <c r="CJ43" s="289"/>
      <c r="CK43" s="289"/>
      <c r="CL43" s="289"/>
      <c r="CM43" s="289"/>
      <c r="CN43" s="289"/>
      <c r="CO43" s="289"/>
      <c r="CP43" s="289"/>
      <c r="CQ43" s="289"/>
      <c r="CR43" s="289"/>
      <c r="CS43" s="289"/>
      <c r="CT43" s="295"/>
    </row>
    <row r="44" spans="2:98" ht="18" customHeight="1">
      <c r="B44" s="352"/>
      <c r="C44" s="353"/>
      <c r="D44" s="288"/>
      <c r="E44" s="289"/>
      <c r="F44" s="289"/>
      <c r="G44" s="289"/>
      <c r="H44" s="289"/>
      <c r="I44" s="295"/>
      <c r="J44" s="296"/>
      <c r="K44" s="289"/>
      <c r="L44" s="289"/>
      <c r="M44" s="289"/>
      <c r="N44" s="289"/>
      <c r="O44" s="289"/>
      <c r="P44" s="289"/>
      <c r="Q44" s="289"/>
      <c r="R44" s="289"/>
      <c r="S44" s="289"/>
      <c r="T44" s="289"/>
      <c r="U44" s="289"/>
      <c r="V44" s="289"/>
      <c r="W44" s="289"/>
      <c r="X44" s="289"/>
      <c r="Y44" s="289"/>
      <c r="Z44" s="289"/>
      <c r="AA44" s="289"/>
      <c r="AB44" s="289"/>
      <c r="AC44" s="289"/>
      <c r="AD44" s="289"/>
      <c r="AE44" s="289"/>
      <c r="AF44" s="291"/>
      <c r="AG44" s="289"/>
      <c r="AH44" s="289"/>
      <c r="AI44" s="291"/>
      <c r="AJ44" s="289"/>
      <c r="AK44" s="297"/>
      <c r="AL44" s="290"/>
      <c r="AM44" s="291"/>
      <c r="AN44" s="289"/>
      <c r="AO44" s="289"/>
      <c r="AP44" s="291"/>
      <c r="AQ44" s="289"/>
      <c r="AR44" s="289"/>
      <c r="AS44" s="289"/>
      <c r="AT44" s="291"/>
      <c r="AU44" s="289"/>
      <c r="AV44" s="289"/>
      <c r="AW44" s="291"/>
      <c r="AX44" s="289"/>
      <c r="AY44" s="289"/>
      <c r="AZ44" s="289"/>
      <c r="BA44" s="291"/>
      <c r="BB44" s="289"/>
      <c r="BC44" s="289"/>
      <c r="BD44" s="329"/>
      <c r="BE44" s="289"/>
      <c r="BF44" s="289"/>
      <c r="BG44" s="289"/>
      <c r="BH44" s="289"/>
      <c r="BI44" s="289"/>
      <c r="BJ44" s="289"/>
      <c r="BK44" s="289"/>
      <c r="BL44" s="289"/>
      <c r="BM44" s="289"/>
      <c r="BN44" s="289"/>
      <c r="BO44" s="289"/>
      <c r="BP44" s="295"/>
      <c r="BQ44" s="290"/>
      <c r="BR44" s="289"/>
      <c r="BS44" s="289"/>
      <c r="BT44" s="289"/>
      <c r="BU44" s="289"/>
      <c r="BV44" s="289"/>
      <c r="BW44" s="289"/>
      <c r="BX44" s="289"/>
      <c r="BY44" s="289"/>
      <c r="BZ44" s="289"/>
      <c r="CA44" s="289"/>
      <c r="CB44" s="289"/>
      <c r="CC44" s="289"/>
      <c r="CD44" s="289"/>
      <c r="CE44" s="289"/>
      <c r="CF44" s="289"/>
      <c r="CG44" s="289"/>
      <c r="CH44" s="289"/>
      <c r="CI44" s="289"/>
      <c r="CJ44" s="289"/>
      <c r="CK44" s="289"/>
      <c r="CL44" s="289"/>
      <c r="CM44" s="289"/>
      <c r="CN44" s="289"/>
      <c r="CO44" s="289"/>
      <c r="CP44" s="289"/>
      <c r="CQ44" s="289"/>
      <c r="CR44" s="289"/>
      <c r="CS44" s="289"/>
      <c r="CT44" s="295"/>
    </row>
    <row r="45" spans="2:98" ht="18" customHeight="1">
      <c r="B45" s="298"/>
      <c r="C45" s="299"/>
      <c r="D45" s="292"/>
      <c r="E45" s="277"/>
      <c r="F45" s="277"/>
      <c r="G45" s="277"/>
      <c r="H45" s="277"/>
      <c r="I45" s="278"/>
      <c r="J45" s="279"/>
      <c r="K45" s="277"/>
      <c r="L45" s="277"/>
      <c r="M45" s="277"/>
      <c r="N45" s="277"/>
      <c r="O45" s="277"/>
      <c r="P45" s="277"/>
      <c r="Q45" s="277"/>
      <c r="R45" s="277"/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80"/>
      <c r="AL45" s="276"/>
      <c r="AM45" s="277"/>
      <c r="AN45" s="277"/>
      <c r="AO45" s="277"/>
      <c r="AP45" s="277"/>
      <c r="AQ45" s="277"/>
      <c r="AR45" s="277"/>
      <c r="AS45" s="277"/>
      <c r="AT45" s="281"/>
      <c r="AU45" s="277"/>
      <c r="AV45" s="277"/>
      <c r="AW45" s="281"/>
      <c r="AX45" s="277"/>
      <c r="AY45" s="277"/>
      <c r="AZ45" s="277"/>
      <c r="BA45" s="281"/>
      <c r="BB45" s="277"/>
      <c r="BC45" s="277"/>
      <c r="BD45" s="281"/>
      <c r="BE45" s="277"/>
      <c r="BF45" s="277"/>
      <c r="BG45" s="277"/>
      <c r="BH45" s="281"/>
      <c r="BI45" s="277"/>
      <c r="BJ45" s="277"/>
      <c r="BK45" s="281"/>
      <c r="BL45" s="277"/>
      <c r="BM45" s="277"/>
      <c r="BN45" s="277"/>
      <c r="BO45" s="281"/>
      <c r="BP45" s="278"/>
      <c r="BQ45" s="276"/>
      <c r="BR45" s="281"/>
      <c r="BS45" s="277"/>
      <c r="BT45" s="277"/>
      <c r="BU45" s="277"/>
      <c r="BV45" s="281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  <c r="CK45" s="277"/>
      <c r="CL45" s="277"/>
      <c r="CM45" s="277"/>
      <c r="CN45" s="277"/>
      <c r="CO45" s="277"/>
      <c r="CP45" s="277"/>
      <c r="CQ45" s="277"/>
      <c r="CR45" s="277"/>
      <c r="CS45" s="277"/>
      <c r="CT45" s="278"/>
    </row>
    <row r="46" spans="2:98" ht="18" customHeight="1">
      <c r="B46" s="348"/>
      <c r="C46" s="349"/>
      <c r="D46" s="350"/>
      <c r="E46" s="293"/>
      <c r="F46" s="293"/>
      <c r="G46" s="293"/>
      <c r="H46" s="293"/>
      <c r="I46" s="324"/>
      <c r="J46" s="325"/>
      <c r="K46" s="293"/>
      <c r="L46" s="293"/>
      <c r="M46" s="293"/>
      <c r="N46" s="293"/>
      <c r="O46" s="293"/>
      <c r="P46" s="293"/>
      <c r="Q46" s="293"/>
      <c r="R46" s="293"/>
      <c r="S46" s="293"/>
      <c r="T46" s="293"/>
      <c r="U46" s="293"/>
      <c r="V46" s="293"/>
      <c r="W46" s="293"/>
      <c r="X46" s="293"/>
      <c r="Y46" s="300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326"/>
      <c r="AL46" s="272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324"/>
      <c r="BQ46" s="272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  <c r="CK46" s="293"/>
      <c r="CL46" s="293"/>
      <c r="CM46" s="293"/>
      <c r="CN46" s="293"/>
      <c r="CO46" s="293"/>
      <c r="CP46" s="293"/>
      <c r="CQ46" s="293"/>
      <c r="CR46" s="293"/>
      <c r="CS46" s="293"/>
      <c r="CT46" s="324"/>
    </row>
    <row r="47" spans="2:98" ht="18" customHeight="1">
      <c r="B47" s="343"/>
      <c r="C47" s="344"/>
      <c r="D47" s="301"/>
      <c r="E47" s="283"/>
      <c r="F47" s="283"/>
      <c r="G47" s="283"/>
      <c r="H47" s="283"/>
      <c r="I47" s="327"/>
      <c r="J47" s="328"/>
      <c r="K47" s="283"/>
      <c r="L47" s="283"/>
      <c r="M47" s="283"/>
      <c r="N47" s="283"/>
      <c r="O47" s="283"/>
      <c r="P47" s="283"/>
      <c r="Q47" s="283"/>
      <c r="R47" s="283"/>
      <c r="S47" s="283"/>
      <c r="T47" s="283"/>
      <c r="U47" s="283"/>
      <c r="V47" s="283"/>
      <c r="W47" s="283"/>
      <c r="X47" s="283"/>
      <c r="Y47" s="332"/>
      <c r="Z47" s="283"/>
      <c r="AA47" s="283"/>
      <c r="AB47" s="300"/>
      <c r="AC47" s="283"/>
      <c r="AD47" s="283"/>
      <c r="AE47" s="283"/>
      <c r="AF47" s="300"/>
      <c r="AG47" s="283"/>
      <c r="AH47" s="283"/>
      <c r="AI47" s="300"/>
      <c r="AJ47" s="283"/>
      <c r="AK47" s="284"/>
      <c r="AL47" s="285"/>
      <c r="AM47" s="302"/>
      <c r="AN47" s="283"/>
      <c r="AO47" s="283"/>
      <c r="AP47" s="302"/>
      <c r="AQ47" s="283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327"/>
      <c r="BQ47" s="285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  <c r="CK47" s="283"/>
      <c r="CL47" s="283"/>
      <c r="CM47" s="283"/>
      <c r="CN47" s="283"/>
      <c r="CO47" s="283"/>
      <c r="CP47" s="283"/>
      <c r="CQ47" s="283"/>
      <c r="CR47" s="283"/>
      <c r="CS47" s="283"/>
      <c r="CT47" s="327"/>
    </row>
    <row r="48" spans="2:98" ht="18" customHeight="1">
      <c r="B48" s="343"/>
      <c r="C48" s="344"/>
      <c r="D48" s="301"/>
      <c r="E48" s="283"/>
      <c r="F48" s="283"/>
      <c r="G48" s="283"/>
      <c r="H48" s="283"/>
      <c r="I48" s="327"/>
      <c r="J48" s="328"/>
      <c r="K48" s="283"/>
      <c r="L48" s="283"/>
      <c r="M48" s="283"/>
      <c r="N48" s="283"/>
      <c r="O48" s="283"/>
      <c r="P48" s="283"/>
      <c r="Q48" s="300"/>
      <c r="R48" s="300"/>
      <c r="S48" s="283"/>
      <c r="T48" s="283"/>
      <c r="U48" s="283"/>
      <c r="V48" s="283"/>
      <c r="W48" s="283"/>
      <c r="X48" s="283"/>
      <c r="Y48" s="300"/>
      <c r="Z48" s="283"/>
      <c r="AA48" s="283"/>
      <c r="AB48" s="300"/>
      <c r="AC48" s="283"/>
      <c r="AD48" s="283"/>
      <c r="AE48" s="283"/>
      <c r="AF48" s="300"/>
      <c r="AG48" s="283"/>
      <c r="AH48" s="283"/>
      <c r="AI48" s="300"/>
      <c r="AJ48" s="283"/>
      <c r="AK48" s="284"/>
      <c r="AL48" s="285"/>
      <c r="AM48" s="300"/>
      <c r="AN48" s="283"/>
      <c r="AO48" s="283"/>
      <c r="AP48" s="300"/>
      <c r="AQ48" s="283"/>
      <c r="AR48" s="283"/>
      <c r="AS48" s="283"/>
      <c r="AT48" s="302"/>
      <c r="AU48" s="283"/>
      <c r="AV48" s="283"/>
      <c r="AW48" s="300"/>
      <c r="AX48" s="283"/>
      <c r="AY48" s="283"/>
      <c r="AZ48" s="283"/>
      <c r="BA48" s="300"/>
      <c r="BB48" s="283"/>
      <c r="BC48" s="283"/>
      <c r="BD48" s="300"/>
      <c r="BE48" s="283"/>
      <c r="BF48" s="283"/>
      <c r="BG48" s="283"/>
      <c r="BH48" s="300"/>
      <c r="BI48" s="283"/>
      <c r="BJ48" s="283"/>
      <c r="BK48" s="300"/>
      <c r="BL48" s="283"/>
      <c r="BM48" s="283"/>
      <c r="BN48" s="283"/>
      <c r="BO48" s="300"/>
      <c r="BP48" s="327"/>
      <c r="BQ48" s="285"/>
      <c r="BR48" s="331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  <c r="CK48" s="283"/>
      <c r="CL48" s="283"/>
      <c r="CM48" s="283"/>
      <c r="CN48" s="283"/>
      <c r="CO48" s="283"/>
      <c r="CP48" s="283"/>
      <c r="CQ48" s="283"/>
      <c r="CR48" s="283"/>
      <c r="CS48" s="283"/>
      <c r="CT48" s="327"/>
    </row>
    <row r="49" spans="2:98" ht="18" customHeight="1">
      <c r="B49" s="343"/>
      <c r="C49" s="344"/>
      <c r="D49" s="301"/>
      <c r="E49" s="283"/>
      <c r="F49" s="283"/>
      <c r="G49" s="283"/>
      <c r="H49" s="283"/>
      <c r="I49" s="327"/>
      <c r="J49" s="328"/>
      <c r="K49" s="283"/>
      <c r="L49" s="283"/>
      <c r="M49" s="283"/>
      <c r="N49" s="283"/>
      <c r="O49" s="283"/>
      <c r="P49" s="283"/>
      <c r="Q49" s="300"/>
      <c r="R49" s="300"/>
      <c r="S49" s="283"/>
      <c r="T49" s="283"/>
      <c r="U49" s="283"/>
      <c r="V49" s="283"/>
      <c r="W49" s="283"/>
      <c r="X49" s="283"/>
      <c r="Y49" s="300"/>
      <c r="Z49" s="283"/>
      <c r="AA49" s="283"/>
      <c r="AB49" s="300"/>
      <c r="AC49" s="283"/>
      <c r="AD49" s="283"/>
      <c r="AE49" s="283"/>
      <c r="AF49" s="300"/>
      <c r="AG49" s="283"/>
      <c r="AH49" s="283"/>
      <c r="AI49" s="300"/>
      <c r="AJ49" s="283"/>
      <c r="AK49" s="284"/>
      <c r="AL49" s="285"/>
      <c r="AM49" s="300"/>
      <c r="AN49" s="283"/>
      <c r="AO49" s="283"/>
      <c r="AP49" s="300"/>
      <c r="AQ49" s="283"/>
      <c r="AR49" s="283"/>
      <c r="AS49" s="283"/>
      <c r="AT49" s="300"/>
      <c r="AU49" s="283"/>
      <c r="AV49" s="283"/>
      <c r="AW49" s="300"/>
      <c r="AX49" s="283"/>
      <c r="AY49" s="283"/>
      <c r="AZ49" s="283"/>
      <c r="BA49" s="300"/>
      <c r="BB49" s="283"/>
      <c r="BC49" s="283"/>
      <c r="BD49" s="331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327"/>
      <c r="BQ49" s="285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  <c r="CK49" s="283"/>
      <c r="CL49" s="283"/>
      <c r="CM49" s="283"/>
      <c r="CN49" s="283"/>
      <c r="CO49" s="283"/>
      <c r="CP49" s="283"/>
      <c r="CQ49" s="283"/>
      <c r="CR49" s="283"/>
      <c r="CS49" s="283"/>
      <c r="CT49" s="327"/>
    </row>
    <row r="50" spans="2:98" ht="18" customHeight="1">
      <c r="B50" s="343"/>
      <c r="C50" s="344"/>
      <c r="D50" s="301"/>
      <c r="E50" s="283"/>
      <c r="F50" s="283"/>
      <c r="G50" s="283"/>
      <c r="H50" s="283"/>
      <c r="I50" s="327"/>
      <c r="J50" s="328"/>
      <c r="K50" s="283"/>
      <c r="L50" s="283"/>
      <c r="M50" s="283"/>
      <c r="N50" s="283"/>
      <c r="O50" s="283"/>
      <c r="P50" s="283"/>
      <c r="Q50" s="300"/>
      <c r="R50" s="300"/>
      <c r="S50" s="283"/>
      <c r="T50" s="283"/>
      <c r="U50" s="283"/>
      <c r="V50" s="283"/>
      <c r="W50" s="283"/>
      <c r="X50" s="283"/>
      <c r="Y50" s="300"/>
      <c r="Z50" s="283"/>
      <c r="AA50" s="283"/>
      <c r="AB50" s="300"/>
      <c r="AC50" s="283"/>
      <c r="AD50" s="283"/>
      <c r="AE50" s="283"/>
      <c r="AF50" s="300"/>
      <c r="AG50" s="283"/>
      <c r="AH50" s="283"/>
      <c r="AI50" s="300"/>
      <c r="AJ50" s="283"/>
      <c r="AK50" s="284"/>
      <c r="AL50" s="285"/>
      <c r="AM50" s="300"/>
      <c r="AN50" s="283"/>
      <c r="AO50" s="283"/>
      <c r="AP50" s="300"/>
      <c r="AQ50" s="283"/>
      <c r="AR50" s="283"/>
      <c r="AS50" s="283"/>
      <c r="AT50" s="300"/>
      <c r="AU50" s="283"/>
      <c r="AV50" s="283"/>
      <c r="AW50" s="300"/>
      <c r="AX50" s="283"/>
      <c r="AY50" s="283"/>
      <c r="AZ50" s="283"/>
      <c r="BA50" s="300"/>
      <c r="BB50" s="283"/>
      <c r="BC50" s="283"/>
      <c r="BD50" s="300"/>
      <c r="BE50" s="283"/>
      <c r="BF50" s="283"/>
      <c r="BG50" s="283"/>
      <c r="BH50" s="300"/>
      <c r="BI50" s="283"/>
      <c r="BJ50" s="283"/>
      <c r="BK50" s="300"/>
      <c r="BL50" s="283"/>
      <c r="BM50" s="283"/>
      <c r="BN50" s="283"/>
      <c r="BO50" s="300"/>
      <c r="BP50" s="327"/>
      <c r="BQ50" s="285"/>
      <c r="BR50" s="300"/>
      <c r="BS50" s="283"/>
      <c r="BT50" s="283"/>
      <c r="BU50" s="283"/>
      <c r="BV50" s="300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  <c r="CK50" s="283"/>
      <c r="CL50" s="283"/>
      <c r="CM50" s="283"/>
      <c r="CN50" s="283"/>
      <c r="CO50" s="283"/>
      <c r="CP50" s="283"/>
      <c r="CQ50" s="283"/>
      <c r="CR50" s="283"/>
      <c r="CS50" s="283"/>
      <c r="CT50" s="327"/>
    </row>
    <row r="51" spans="2:98" ht="18" customHeight="1">
      <c r="B51" s="343"/>
      <c r="C51" s="344"/>
      <c r="D51" s="301"/>
      <c r="E51" s="283"/>
      <c r="F51" s="283"/>
      <c r="G51" s="283"/>
      <c r="H51" s="283"/>
      <c r="I51" s="327"/>
      <c r="J51" s="328"/>
      <c r="K51" s="283"/>
      <c r="L51" s="283"/>
      <c r="M51" s="283"/>
      <c r="N51" s="283"/>
      <c r="O51" s="283"/>
      <c r="P51" s="283"/>
      <c r="Q51" s="283"/>
      <c r="R51" s="283"/>
      <c r="S51" s="283"/>
      <c r="T51" s="283"/>
      <c r="U51" s="283"/>
      <c r="V51" s="283"/>
      <c r="W51" s="283"/>
      <c r="X51" s="283"/>
      <c r="Y51" s="283"/>
      <c r="Z51" s="283"/>
      <c r="AA51" s="283"/>
      <c r="AB51" s="283"/>
      <c r="AC51" s="283"/>
      <c r="AD51" s="283"/>
      <c r="AE51" s="283"/>
      <c r="AF51" s="300"/>
      <c r="AG51" s="283"/>
      <c r="AH51" s="283"/>
      <c r="AI51" s="300"/>
      <c r="AJ51" s="283"/>
      <c r="AK51" s="284"/>
      <c r="AL51" s="285"/>
      <c r="AM51" s="300"/>
      <c r="AN51" s="283"/>
      <c r="AO51" s="283"/>
      <c r="AP51" s="300"/>
      <c r="AQ51" s="283"/>
      <c r="AR51" s="283"/>
      <c r="AS51" s="283"/>
      <c r="AT51" s="300"/>
      <c r="AU51" s="283"/>
      <c r="AV51" s="283"/>
      <c r="AW51" s="300"/>
      <c r="AX51" s="283"/>
      <c r="AY51" s="283"/>
      <c r="AZ51" s="283"/>
      <c r="BA51" s="300"/>
      <c r="BB51" s="283"/>
      <c r="BC51" s="283"/>
      <c r="BD51" s="300"/>
      <c r="BE51" s="283"/>
      <c r="BF51" s="283"/>
      <c r="BG51" s="283"/>
      <c r="BH51" s="300"/>
      <c r="BI51" s="283"/>
      <c r="BJ51" s="283"/>
      <c r="BK51" s="300"/>
      <c r="BL51" s="283"/>
      <c r="BM51" s="283"/>
      <c r="BN51" s="283"/>
      <c r="BO51" s="300"/>
      <c r="BP51" s="327"/>
      <c r="BQ51" s="285"/>
      <c r="BR51" s="300"/>
      <c r="BS51" s="283"/>
      <c r="BT51" s="283"/>
      <c r="BU51" s="283"/>
      <c r="BV51" s="300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  <c r="CK51" s="283"/>
      <c r="CL51" s="283"/>
      <c r="CM51" s="283"/>
      <c r="CN51" s="283"/>
      <c r="CO51" s="283"/>
      <c r="CP51" s="283"/>
      <c r="CQ51" s="283"/>
      <c r="CR51" s="283"/>
      <c r="CS51" s="283"/>
      <c r="CT51" s="327"/>
    </row>
    <row r="52" spans="2:98" ht="18" customHeight="1">
      <c r="B52" s="343"/>
      <c r="C52" s="344"/>
      <c r="D52" s="301"/>
      <c r="E52" s="283"/>
      <c r="F52" s="283"/>
      <c r="G52" s="283"/>
      <c r="H52" s="283"/>
      <c r="I52" s="327"/>
      <c r="J52" s="328"/>
      <c r="K52" s="283"/>
      <c r="L52" s="283"/>
      <c r="M52" s="283"/>
      <c r="N52" s="283"/>
      <c r="O52" s="283"/>
      <c r="P52" s="283"/>
      <c r="Q52" s="283"/>
      <c r="R52" s="283"/>
      <c r="S52" s="283"/>
      <c r="T52" s="283"/>
      <c r="U52" s="283"/>
      <c r="V52" s="283"/>
      <c r="W52" s="283"/>
      <c r="X52" s="283"/>
      <c r="Y52" s="300"/>
      <c r="Z52" s="283"/>
      <c r="AA52" s="283"/>
      <c r="AB52" s="300"/>
      <c r="AC52" s="283"/>
      <c r="AD52" s="283"/>
      <c r="AE52" s="283"/>
      <c r="AF52" s="300"/>
      <c r="AG52" s="283"/>
      <c r="AH52" s="283"/>
      <c r="AI52" s="300"/>
      <c r="AJ52" s="283"/>
      <c r="AK52" s="284"/>
      <c r="AL52" s="285"/>
      <c r="AM52" s="300"/>
      <c r="AN52" s="283"/>
      <c r="AO52" s="283"/>
      <c r="AP52" s="300"/>
      <c r="AQ52" s="283"/>
      <c r="AR52" s="283"/>
      <c r="AS52" s="283"/>
      <c r="AT52" s="300"/>
      <c r="AU52" s="283"/>
      <c r="AV52" s="283"/>
      <c r="AW52" s="300"/>
      <c r="AX52" s="283"/>
      <c r="AY52" s="283"/>
      <c r="AZ52" s="283"/>
      <c r="BA52" s="300"/>
      <c r="BB52" s="283"/>
      <c r="BC52" s="283"/>
      <c r="BD52" s="300"/>
      <c r="BE52" s="283"/>
      <c r="BF52" s="283"/>
      <c r="BG52" s="283"/>
      <c r="BH52" s="300"/>
      <c r="BI52" s="283"/>
      <c r="BJ52" s="283"/>
      <c r="BK52" s="331"/>
      <c r="BL52" s="283"/>
      <c r="BM52" s="283"/>
      <c r="BN52" s="283"/>
      <c r="BO52" s="283"/>
      <c r="BP52" s="327"/>
      <c r="BQ52" s="285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  <c r="CK52" s="283"/>
      <c r="CL52" s="283"/>
      <c r="CM52" s="283"/>
      <c r="CN52" s="283"/>
      <c r="CO52" s="283"/>
      <c r="CP52" s="283"/>
      <c r="CQ52" s="283"/>
      <c r="CR52" s="283"/>
      <c r="CS52" s="283"/>
      <c r="CT52" s="327"/>
    </row>
    <row r="53" spans="2:98" ht="18" customHeight="1">
      <c r="B53" s="343"/>
      <c r="C53" s="344"/>
      <c r="D53" s="301"/>
      <c r="E53" s="283"/>
      <c r="F53" s="283"/>
      <c r="G53" s="283"/>
      <c r="H53" s="283"/>
      <c r="I53" s="327"/>
      <c r="J53" s="328"/>
      <c r="K53" s="283"/>
      <c r="L53" s="283"/>
      <c r="M53" s="283"/>
      <c r="N53" s="283"/>
      <c r="O53" s="283"/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4"/>
      <c r="AL53" s="285"/>
      <c r="AM53" s="283"/>
      <c r="AN53" s="283"/>
      <c r="AO53" s="283"/>
      <c r="AP53" s="283"/>
      <c r="AQ53" s="283"/>
      <c r="AR53" s="283"/>
      <c r="AS53" s="283"/>
      <c r="AT53" s="283"/>
      <c r="AU53" s="283"/>
      <c r="AV53" s="283"/>
      <c r="AW53" s="283"/>
      <c r="AX53" s="283"/>
      <c r="AY53" s="283"/>
      <c r="AZ53" s="283"/>
      <c r="BA53" s="283"/>
      <c r="BB53" s="283"/>
      <c r="BC53" s="283"/>
      <c r="BD53" s="283"/>
      <c r="BE53" s="283"/>
      <c r="BF53" s="283"/>
      <c r="BG53" s="283"/>
      <c r="BH53" s="283"/>
      <c r="BI53" s="283"/>
      <c r="BJ53" s="283"/>
      <c r="BK53" s="283"/>
      <c r="BL53" s="283"/>
      <c r="BM53" s="283"/>
      <c r="BN53" s="283"/>
      <c r="BO53" s="283"/>
      <c r="BP53" s="327"/>
      <c r="BQ53" s="285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  <c r="CK53" s="283"/>
      <c r="CL53" s="283"/>
      <c r="CM53" s="283"/>
      <c r="CN53" s="283"/>
      <c r="CO53" s="283"/>
      <c r="CP53" s="283"/>
      <c r="CQ53" s="283"/>
      <c r="CR53" s="283"/>
      <c r="CS53" s="283"/>
      <c r="CT53" s="327"/>
    </row>
    <row r="54" spans="2:98" ht="18" customHeight="1">
      <c r="B54" s="343"/>
      <c r="C54" s="344"/>
      <c r="D54" s="301"/>
      <c r="E54" s="283"/>
      <c r="F54" s="283"/>
      <c r="G54" s="283"/>
      <c r="H54" s="283"/>
      <c r="I54" s="327"/>
      <c r="J54" s="328"/>
      <c r="K54" s="283"/>
      <c r="L54" s="283"/>
      <c r="M54" s="283"/>
      <c r="N54" s="283"/>
      <c r="O54" s="283"/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3"/>
      <c r="AB54" s="283"/>
      <c r="AC54" s="283"/>
      <c r="AD54" s="283"/>
      <c r="AE54" s="283"/>
      <c r="AF54" s="283"/>
      <c r="AG54" s="283"/>
      <c r="AH54" s="283"/>
      <c r="AI54" s="300"/>
      <c r="AJ54" s="283"/>
      <c r="AK54" s="284"/>
      <c r="AL54" s="285"/>
      <c r="AM54" s="302"/>
      <c r="AN54" s="283"/>
      <c r="AO54" s="283"/>
      <c r="AP54" s="302"/>
      <c r="AQ54" s="283"/>
      <c r="AR54" s="283"/>
      <c r="AS54" s="283"/>
      <c r="AT54" s="302"/>
      <c r="AU54" s="283"/>
      <c r="AV54" s="283"/>
      <c r="AW54" s="302"/>
      <c r="AX54" s="283"/>
      <c r="AY54" s="283"/>
      <c r="AZ54" s="283"/>
      <c r="BA54" s="302"/>
      <c r="BB54" s="283"/>
      <c r="BC54" s="283"/>
      <c r="BD54" s="283"/>
      <c r="BE54" s="283"/>
      <c r="BF54" s="283"/>
      <c r="BG54" s="283"/>
      <c r="BH54" s="283"/>
      <c r="BI54" s="283"/>
      <c r="BJ54" s="283"/>
      <c r="BK54" s="283"/>
      <c r="BL54" s="283"/>
      <c r="BM54" s="283"/>
      <c r="BN54" s="283"/>
      <c r="BO54" s="283"/>
      <c r="BP54" s="327"/>
      <c r="BQ54" s="285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  <c r="CK54" s="283"/>
      <c r="CL54" s="283"/>
      <c r="CM54" s="283"/>
      <c r="CN54" s="283"/>
      <c r="CO54" s="283"/>
      <c r="CP54" s="283"/>
      <c r="CQ54" s="283"/>
      <c r="CR54" s="283"/>
      <c r="CS54" s="283"/>
      <c r="CT54" s="327"/>
    </row>
    <row r="55" spans="2:98" ht="18" customHeight="1">
      <c r="B55" s="343"/>
      <c r="C55" s="344"/>
      <c r="D55" s="301"/>
      <c r="E55" s="283"/>
      <c r="F55" s="283"/>
      <c r="G55" s="283"/>
      <c r="H55" s="283"/>
      <c r="I55" s="327"/>
      <c r="J55" s="328"/>
      <c r="K55" s="283"/>
      <c r="L55" s="283"/>
      <c r="M55" s="283"/>
      <c r="N55" s="283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300"/>
      <c r="AJ55" s="283"/>
      <c r="AK55" s="284"/>
      <c r="AL55" s="285"/>
      <c r="AM55" s="300"/>
      <c r="AN55" s="283"/>
      <c r="AO55" s="283"/>
      <c r="AP55" s="300"/>
      <c r="AQ55" s="283"/>
      <c r="AR55" s="283"/>
      <c r="AS55" s="283"/>
      <c r="AT55" s="300"/>
      <c r="AU55" s="283"/>
      <c r="AV55" s="283"/>
      <c r="AW55" s="300"/>
      <c r="AX55" s="283"/>
      <c r="AY55" s="283"/>
      <c r="AZ55" s="283"/>
      <c r="BA55" s="300"/>
      <c r="BB55" s="283"/>
      <c r="BC55" s="283"/>
      <c r="BD55" s="331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327"/>
      <c r="BQ55" s="285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  <c r="CK55" s="283"/>
      <c r="CL55" s="283"/>
      <c r="CM55" s="283"/>
      <c r="CN55" s="283"/>
      <c r="CO55" s="283"/>
      <c r="CP55" s="283"/>
      <c r="CQ55" s="283"/>
      <c r="CR55" s="283"/>
      <c r="CS55" s="283"/>
      <c r="CT55" s="327"/>
    </row>
    <row r="56" spans="2:98" ht="18" customHeight="1">
      <c r="B56" s="286"/>
      <c r="C56" s="287"/>
      <c r="D56" s="294"/>
      <c r="E56" s="289"/>
      <c r="F56" s="289"/>
      <c r="G56" s="289"/>
      <c r="H56" s="289"/>
      <c r="I56" s="295"/>
      <c r="J56" s="296"/>
      <c r="K56" s="289"/>
      <c r="L56" s="289"/>
      <c r="M56" s="289"/>
      <c r="N56" s="289"/>
      <c r="O56" s="289"/>
      <c r="P56" s="289"/>
      <c r="Q56" s="289"/>
      <c r="R56" s="289"/>
      <c r="S56" s="289"/>
      <c r="T56" s="289"/>
      <c r="U56" s="289"/>
      <c r="V56" s="289"/>
      <c r="W56" s="289"/>
      <c r="X56" s="289"/>
      <c r="Y56" s="289"/>
      <c r="Z56" s="289"/>
      <c r="AA56" s="289"/>
      <c r="AB56" s="289"/>
      <c r="AC56" s="289"/>
      <c r="AD56" s="289"/>
      <c r="AE56" s="289"/>
      <c r="AF56" s="291"/>
      <c r="AG56" s="289"/>
      <c r="AH56" s="289"/>
      <c r="AI56" s="291"/>
      <c r="AJ56" s="289"/>
      <c r="AK56" s="297"/>
      <c r="AL56" s="290"/>
      <c r="AM56" s="291"/>
      <c r="AN56" s="289"/>
      <c r="AO56" s="289"/>
      <c r="AP56" s="291"/>
      <c r="AQ56" s="289"/>
      <c r="AR56" s="289"/>
      <c r="AS56" s="289"/>
      <c r="AT56" s="291"/>
      <c r="AU56" s="289"/>
      <c r="AV56" s="289"/>
      <c r="AW56" s="291"/>
      <c r="AX56" s="289"/>
      <c r="AY56" s="289"/>
      <c r="AZ56" s="289"/>
      <c r="BA56" s="291"/>
      <c r="BB56" s="289"/>
      <c r="BC56" s="289"/>
      <c r="BD56" s="291"/>
      <c r="BE56" s="289"/>
      <c r="BF56" s="289"/>
      <c r="BG56" s="289"/>
      <c r="BH56" s="291"/>
      <c r="BI56" s="289"/>
      <c r="BJ56" s="289"/>
      <c r="BK56" s="291"/>
      <c r="BL56" s="289"/>
      <c r="BM56" s="289"/>
      <c r="BN56" s="289"/>
      <c r="BO56" s="291"/>
      <c r="BP56" s="295"/>
      <c r="BQ56" s="290"/>
      <c r="BR56" s="291"/>
      <c r="BS56" s="289"/>
      <c r="BT56" s="289"/>
      <c r="BU56" s="289"/>
      <c r="BV56" s="330"/>
      <c r="BW56" s="289"/>
      <c r="BX56" s="289"/>
      <c r="BY56" s="289"/>
      <c r="BZ56" s="289"/>
      <c r="CA56" s="289"/>
      <c r="CB56" s="289"/>
      <c r="CC56" s="289"/>
      <c r="CD56" s="289"/>
      <c r="CE56" s="289"/>
      <c r="CF56" s="289"/>
      <c r="CG56" s="289"/>
      <c r="CH56" s="289"/>
      <c r="CI56" s="289"/>
      <c r="CJ56" s="289"/>
      <c r="CK56" s="289"/>
      <c r="CL56" s="289"/>
      <c r="CM56" s="289"/>
      <c r="CN56" s="289"/>
      <c r="CO56" s="289"/>
      <c r="CP56" s="289"/>
      <c r="CQ56" s="289"/>
      <c r="CR56" s="289"/>
      <c r="CS56" s="289"/>
      <c r="CT56" s="295"/>
    </row>
    <row r="57" spans="2:98" ht="18" customHeight="1">
      <c r="B57" s="286"/>
      <c r="C57" s="287"/>
      <c r="D57" s="288"/>
      <c r="E57" s="289"/>
      <c r="F57" s="289"/>
      <c r="G57" s="289"/>
      <c r="H57" s="289"/>
      <c r="I57" s="295"/>
      <c r="J57" s="296"/>
      <c r="K57" s="289"/>
      <c r="L57" s="289"/>
      <c r="M57" s="289"/>
      <c r="N57" s="289"/>
      <c r="O57" s="289"/>
      <c r="P57" s="289"/>
      <c r="Q57" s="289"/>
      <c r="R57" s="289"/>
      <c r="S57" s="289"/>
      <c r="T57" s="289"/>
      <c r="U57" s="289"/>
      <c r="V57" s="289"/>
      <c r="W57" s="289"/>
      <c r="X57" s="289"/>
      <c r="Y57" s="289"/>
      <c r="Z57" s="289"/>
      <c r="AA57" s="289"/>
      <c r="AB57" s="289"/>
      <c r="AC57" s="289"/>
      <c r="AD57" s="289"/>
      <c r="AE57" s="289"/>
      <c r="AF57" s="289"/>
      <c r="AG57" s="289"/>
      <c r="AH57" s="289"/>
      <c r="AI57" s="289"/>
      <c r="AJ57" s="289"/>
      <c r="AK57" s="297"/>
      <c r="AL57" s="290"/>
      <c r="AM57" s="289"/>
      <c r="AN57" s="289"/>
      <c r="AO57" s="289"/>
      <c r="AP57" s="289"/>
      <c r="AQ57" s="289"/>
      <c r="AR57" s="289"/>
      <c r="AS57" s="289"/>
      <c r="AT57" s="289"/>
      <c r="AU57" s="289"/>
      <c r="AV57" s="289"/>
      <c r="AW57" s="289"/>
      <c r="AX57" s="289"/>
      <c r="AY57" s="289"/>
      <c r="AZ57" s="289"/>
      <c r="BA57" s="291"/>
      <c r="BB57" s="289"/>
      <c r="BC57" s="289"/>
      <c r="BD57" s="291"/>
      <c r="BE57" s="289"/>
      <c r="BF57" s="289"/>
      <c r="BG57" s="289"/>
      <c r="BH57" s="291"/>
      <c r="BI57" s="289"/>
      <c r="BJ57" s="289"/>
      <c r="BK57" s="291"/>
      <c r="BL57" s="289"/>
      <c r="BM57" s="289"/>
      <c r="BN57" s="289"/>
      <c r="BO57" s="291"/>
      <c r="BP57" s="295"/>
      <c r="BQ57" s="290"/>
      <c r="BR57" s="291"/>
      <c r="BS57" s="289"/>
      <c r="BT57" s="289"/>
      <c r="BU57" s="289"/>
      <c r="BV57" s="330"/>
      <c r="BW57" s="289"/>
      <c r="BX57" s="289"/>
      <c r="BY57" s="289"/>
      <c r="BZ57" s="289"/>
      <c r="CA57" s="289"/>
      <c r="CB57" s="289"/>
      <c r="CC57" s="289"/>
      <c r="CD57" s="289"/>
      <c r="CE57" s="289"/>
      <c r="CF57" s="289"/>
      <c r="CG57" s="289"/>
      <c r="CH57" s="289"/>
      <c r="CI57" s="289"/>
      <c r="CJ57" s="289"/>
      <c r="CK57" s="289"/>
      <c r="CL57" s="289"/>
      <c r="CM57" s="289"/>
      <c r="CN57" s="289"/>
      <c r="CO57" s="289"/>
      <c r="CP57" s="289"/>
      <c r="CQ57" s="289"/>
      <c r="CR57" s="289"/>
      <c r="CS57" s="289"/>
      <c r="CT57" s="295"/>
    </row>
    <row r="58" spans="2:98" ht="18" customHeight="1">
      <c r="B58" s="286"/>
      <c r="C58" s="287"/>
      <c r="D58" s="288"/>
      <c r="E58" s="289"/>
      <c r="F58" s="289"/>
      <c r="G58" s="289"/>
      <c r="H58" s="289"/>
      <c r="I58" s="295"/>
      <c r="J58" s="296"/>
      <c r="K58" s="289"/>
      <c r="L58" s="289"/>
      <c r="M58" s="289"/>
      <c r="N58" s="289"/>
      <c r="O58" s="289"/>
      <c r="P58" s="289"/>
      <c r="Q58" s="289"/>
      <c r="R58" s="289"/>
      <c r="S58" s="289"/>
      <c r="T58" s="289"/>
      <c r="U58" s="289"/>
      <c r="V58" s="289"/>
      <c r="W58" s="289"/>
      <c r="X58" s="289"/>
      <c r="Y58" s="289"/>
      <c r="Z58" s="289"/>
      <c r="AA58" s="289"/>
      <c r="AB58" s="289"/>
      <c r="AC58" s="289"/>
      <c r="AD58" s="289"/>
      <c r="AE58" s="289"/>
      <c r="AF58" s="289"/>
      <c r="AG58" s="289"/>
      <c r="AH58" s="289"/>
      <c r="AI58" s="289"/>
      <c r="AJ58" s="289"/>
      <c r="AK58" s="297"/>
      <c r="AL58" s="290"/>
      <c r="AM58" s="289"/>
      <c r="AN58" s="289"/>
      <c r="AO58" s="289"/>
      <c r="AP58" s="289"/>
      <c r="AQ58" s="289"/>
      <c r="AR58" s="289"/>
      <c r="AS58" s="289"/>
      <c r="AT58" s="289"/>
      <c r="AU58" s="289"/>
      <c r="AV58" s="289"/>
      <c r="AW58" s="289"/>
      <c r="AX58" s="289"/>
      <c r="AY58" s="289"/>
      <c r="AZ58" s="289"/>
      <c r="BA58" s="289"/>
      <c r="BB58" s="289"/>
      <c r="BC58" s="289"/>
      <c r="BD58" s="289"/>
      <c r="BE58" s="289"/>
      <c r="BF58" s="289"/>
      <c r="BG58" s="289"/>
      <c r="BH58" s="289"/>
      <c r="BI58" s="289"/>
      <c r="BJ58" s="289"/>
      <c r="BK58" s="289"/>
      <c r="BL58" s="289"/>
      <c r="BM58" s="289"/>
      <c r="BN58" s="289"/>
      <c r="BO58" s="291"/>
      <c r="BP58" s="295"/>
      <c r="BQ58" s="290"/>
      <c r="BR58" s="291"/>
      <c r="BS58" s="289"/>
      <c r="BT58" s="289"/>
      <c r="BU58" s="289"/>
      <c r="BV58" s="291"/>
      <c r="BW58" s="289"/>
      <c r="BX58" s="289"/>
      <c r="BY58" s="289"/>
      <c r="BZ58" s="289"/>
      <c r="CA58" s="289"/>
      <c r="CB58" s="289"/>
      <c r="CC58" s="289"/>
      <c r="CD58" s="289"/>
      <c r="CE58" s="289"/>
      <c r="CF58" s="289"/>
      <c r="CG58" s="289"/>
      <c r="CH58" s="289"/>
      <c r="CI58" s="289"/>
      <c r="CJ58" s="289"/>
      <c r="CK58" s="289"/>
      <c r="CL58" s="289"/>
      <c r="CM58" s="289"/>
      <c r="CN58" s="289"/>
      <c r="CO58" s="289"/>
      <c r="CP58" s="289"/>
      <c r="CQ58" s="289"/>
      <c r="CR58" s="289"/>
      <c r="CS58" s="289"/>
      <c r="CT58" s="295"/>
    </row>
    <row r="59" spans="2:98" ht="18" customHeight="1">
      <c r="B59" s="337"/>
      <c r="C59" s="338"/>
      <c r="D59" s="347"/>
      <c r="E59" s="282"/>
      <c r="F59" s="282"/>
      <c r="G59" s="282"/>
      <c r="H59" s="282"/>
      <c r="I59" s="321"/>
      <c r="J59" s="322"/>
      <c r="K59" s="282"/>
      <c r="L59" s="282"/>
      <c r="M59" s="282"/>
      <c r="N59" s="282"/>
      <c r="O59" s="282"/>
      <c r="P59" s="282"/>
      <c r="Q59" s="282"/>
      <c r="R59" s="282"/>
      <c r="S59" s="282"/>
      <c r="T59" s="282"/>
      <c r="U59" s="282"/>
      <c r="V59" s="282"/>
      <c r="W59" s="282"/>
      <c r="X59" s="282"/>
      <c r="Y59" s="282"/>
      <c r="Z59" s="282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323"/>
      <c r="AL59" s="271"/>
      <c r="AM59" s="282"/>
      <c r="AN59" s="282"/>
      <c r="AO59" s="282"/>
      <c r="AP59" s="282"/>
      <c r="AQ59" s="282"/>
      <c r="AR59" s="282"/>
      <c r="AS59" s="282"/>
      <c r="AT59" s="282"/>
      <c r="AU59" s="282"/>
      <c r="AV59" s="282"/>
      <c r="AW59" s="282"/>
      <c r="AX59" s="282"/>
      <c r="AY59" s="282"/>
      <c r="AZ59" s="282"/>
      <c r="BA59" s="282"/>
      <c r="BB59" s="282"/>
      <c r="BC59" s="282"/>
      <c r="BD59" s="282"/>
      <c r="BE59" s="282"/>
      <c r="BF59" s="282"/>
      <c r="BG59" s="282"/>
      <c r="BH59" s="282"/>
      <c r="BI59" s="282"/>
      <c r="BJ59" s="282"/>
      <c r="BK59" s="282"/>
      <c r="BL59" s="282"/>
      <c r="BM59" s="282"/>
      <c r="BN59" s="282"/>
      <c r="BO59" s="282"/>
      <c r="BP59" s="321"/>
      <c r="BQ59" s="271"/>
      <c r="BR59" s="282"/>
      <c r="BS59" s="282"/>
      <c r="BT59" s="282"/>
      <c r="BU59" s="282"/>
      <c r="BV59" s="282"/>
      <c r="BW59" s="282"/>
      <c r="BX59" s="282"/>
      <c r="BY59" s="282"/>
      <c r="BZ59" s="282"/>
      <c r="CA59" s="282"/>
      <c r="CB59" s="282"/>
      <c r="CC59" s="282"/>
      <c r="CD59" s="282"/>
      <c r="CE59" s="282"/>
      <c r="CF59" s="282"/>
      <c r="CG59" s="282"/>
      <c r="CH59" s="282"/>
      <c r="CI59" s="282"/>
      <c r="CJ59" s="282"/>
      <c r="CK59" s="282"/>
      <c r="CL59" s="282"/>
      <c r="CM59" s="282"/>
      <c r="CN59" s="282"/>
      <c r="CO59" s="282"/>
      <c r="CP59" s="282"/>
      <c r="CQ59" s="282"/>
      <c r="CR59" s="282"/>
      <c r="CS59" s="282"/>
      <c r="CT59" s="321"/>
    </row>
    <row r="60" spans="2:98" ht="18" customHeight="1">
      <c r="B60" s="340"/>
      <c r="C60" s="349"/>
      <c r="D60" s="351"/>
      <c r="E60" s="293"/>
      <c r="F60" s="293"/>
      <c r="G60" s="293"/>
      <c r="H60" s="293"/>
      <c r="I60" s="324"/>
      <c r="J60" s="325"/>
      <c r="K60" s="293"/>
      <c r="L60" s="293"/>
      <c r="M60" s="293"/>
      <c r="N60" s="293"/>
      <c r="O60" s="293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326"/>
      <c r="AL60" s="272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333"/>
      <c r="BL60" s="293"/>
      <c r="BM60" s="293"/>
      <c r="BN60" s="293"/>
      <c r="BO60" s="333"/>
      <c r="BP60" s="324"/>
      <c r="BQ60" s="272"/>
      <c r="BR60" s="333"/>
      <c r="BS60" s="293"/>
      <c r="BT60" s="293"/>
      <c r="BU60" s="293"/>
      <c r="BV60" s="33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  <c r="CK60" s="293"/>
      <c r="CL60" s="293"/>
      <c r="CM60" s="293"/>
      <c r="CN60" s="293"/>
      <c r="CO60" s="293"/>
      <c r="CP60" s="293"/>
      <c r="CQ60" s="293"/>
      <c r="CR60" s="293"/>
      <c r="CS60" s="293"/>
      <c r="CT60" s="324"/>
    </row>
    <row r="61" spans="2:98" ht="18" customHeight="1">
      <c r="B61" s="343"/>
      <c r="C61" s="344"/>
      <c r="D61" s="301"/>
      <c r="E61" s="283"/>
      <c r="F61" s="283"/>
      <c r="G61" s="283"/>
      <c r="H61" s="283"/>
      <c r="I61" s="327"/>
      <c r="J61" s="328"/>
      <c r="K61" s="283"/>
      <c r="L61" s="283"/>
      <c r="M61" s="283"/>
      <c r="N61" s="283"/>
      <c r="O61" s="283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  <c r="AF61" s="300"/>
      <c r="AG61" s="283"/>
      <c r="AH61" s="283"/>
      <c r="AI61" s="300"/>
      <c r="AJ61" s="283"/>
      <c r="AK61" s="284"/>
      <c r="AL61" s="285"/>
      <c r="AM61" s="300"/>
      <c r="AN61" s="283"/>
      <c r="AO61" s="283"/>
      <c r="AP61" s="300"/>
      <c r="AQ61" s="283"/>
      <c r="AR61" s="283"/>
      <c r="AS61" s="283"/>
      <c r="AT61" s="300"/>
      <c r="AU61" s="283"/>
      <c r="AV61" s="283"/>
      <c r="AW61" s="300"/>
      <c r="AX61" s="283"/>
      <c r="AY61" s="283"/>
      <c r="AZ61" s="283"/>
      <c r="BA61" s="300"/>
      <c r="BB61" s="283"/>
      <c r="BC61" s="283"/>
      <c r="BD61" s="300"/>
      <c r="BE61" s="283"/>
      <c r="BF61" s="283"/>
      <c r="BG61" s="283"/>
      <c r="BH61" s="300"/>
      <c r="BI61" s="283"/>
      <c r="BJ61" s="283"/>
      <c r="BK61" s="300"/>
      <c r="BL61" s="283"/>
      <c r="BM61" s="283"/>
      <c r="BN61" s="283"/>
      <c r="BO61" s="300"/>
      <c r="BP61" s="327"/>
      <c r="BQ61" s="285"/>
      <c r="BR61" s="300"/>
      <c r="BS61" s="283"/>
      <c r="BT61" s="283"/>
      <c r="BU61" s="283"/>
      <c r="BV61" s="300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  <c r="CK61" s="283"/>
      <c r="CL61" s="283"/>
      <c r="CM61" s="283"/>
      <c r="CN61" s="283"/>
      <c r="CO61" s="283"/>
      <c r="CP61" s="283"/>
      <c r="CQ61" s="283"/>
      <c r="CR61" s="283"/>
      <c r="CS61" s="283"/>
      <c r="CT61" s="327"/>
    </row>
    <row r="62" spans="2:98" ht="18" customHeight="1">
      <c r="B62" s="343"/>
      <c r="C62" s="287"/>
      <c r="D62" s="294"/>
      <c r="E62" s="289"/>
      <c r="F62" s="289"/>
      <c r="G62" s="289"/>
      <c r="H62" s="289"/>
      <c r="I62" s="295"/>
      <c r="J62" s="296"/>
      <c r="K62" s="289"/>
      <c r="L62" s="289"/>
      <c r="M62" s="289"/>
      <c r="N62" s="289"/>
      <c r="O62" s="289"/>
      <c r="P62" s="289"/>
      <c r="Q62" s="289"/>
      <c r="R62" s="289"/>
      <c r="S62" s="289"/>
      <c r="T62" s="289"/>
      <c r="U62" s="289"/>
      <c r="V62" s="289"/>
      <c r="W62" s="289"/>
      <c r="X62" s="289"/>
      <c r="Y62" s="289"/>
      <c r="Z62" s="289"/>
      <c r="AA62" s="289"/>
      <c r="AB62" s="289"/>
      <c r="AC62" s="289"/>
      <c r="AD62" s="289"/>
      <c r="AE62" s="289"/>
      <c r="AF62" s="300"/>
      <c r="AG62" s="289"/>
      <c r="AH62" s="289"/>
      <c r="AI62" s="289"/>
      <c r="AJ62" s="289"/>
      <c r="AK62" s="297"/>
      <c r="AL62" s="290"/>
      <c r="AM62" s="289"/>
      <c r="AN62" s="289"/>
      <c r="AO62" s="289"/>
      <c r="AP62" s="289"/>
      <c r="AQ62" s="289"/>
      <c r="AR62" s="289"/>
      <c r="AS62" s="289"/>
      <c r="AT62" s="289"/>
      <c r="AU62" s="289"/>
      <c r="AV62" s="289"/>
      <c r="AW62" s="289"/>
      <c r="AX62" s="289"/>
      <c r="AY62" s="289"/>
      <c r="AZ62" s="289"/>
      <c r="BA62" s="289"/>
      <c r="BB62" s="289"/>
      <c r="BC62" s="289"/>
      <c r="BD62" s="289"/>
      <c r="BE62" s="289"/>
      <c r="BF62" s="289"/>
      <c r="BG62" s="289"/>
      <c r="BH62" s="289"/>
      <c r="BI62" s="289"/>
      <c r="BJ62" s="289"/>
      <c r="BK62" s="289"/>
      <c r="BL62" s="289"/>
      <c r="BM62" s="289"/>
      <c r="BN62" s="289"/>
      <c r="BO62" s="289"/>
      <c r="BP62" s="295"/>
      <c r="BQ62" s="290"/>
      <c r="BR62" s="289"/>
      <c r="BS62" s="289"/>
      <c r="BT62" s="289"/>
      <c r="BU62" s="289"/>
      <c r="BV62" s="291"/>
      <c r="BW62" s="289"/>
      <c r="BX62" s="289"/>
      <c r="BY62" s="291"/>
      <c r="BZ62" s="289"/>
      <c r="CA62" s="289"/>
      <c r="CB62" s="289"/>
      <c r="CC62" s="289"/>
      <c r="CD62" s="289"/>
      <c r="CE62" s="289"/>
      <c r="CF62" s="289"/>
      <c r="CG62" s="289"/>
      <c r="CH62" s="289"/>
      <c r="CI62" s="289"/>
      <c r="CJ62" s="289"/>
      <c r="CK62" s="289"/>
      <c r="CL62" s="289"/>
      <c r="CM62" s="289"/>
      <c r="CN62" s="289"/>
      <c r="CO62" s="289"/>
      <c r="CP62" s="289"/>
      <c r="CQ62" s="289"/>
      <c r="CR62" s="289"/>
      <c r="CS62" s="289"/>
      <c r="CT62" s="295"/>
    </row>
    <row r="63" spans="2:98" ht="18" customHeight="1">
      <c r="B63" s="286"/>
      <c r="C63" s="287"/>
      <c r="D63" s="294"/>
      <c r="E63" s="289"/>
      <c r="F63" s="289"/>
      <c r="G63" s="289"/>
      <c r="H63" s="289"/>
      <c r="I63" s="295"/>
      <c r="J63" s="296"/>
      <c r="K63" s="289"/>
      <c r="L63" s="289"/>
      <c r="M63" s="289"/>
      <c r="N63" s="289"/>
      <c r="O63" s="289"/>
      <c r="P63" s="289"/>
      <c r="Q63" s="289"/>
      <c r="R63" s="289"/>
      <c r="S63" s="289"/>
      <c r="T63" s="289"/>
      <c r="U63" s="289"/>
      <c r="V63" s="289"/>
      <c r="W63" s="289"/>
      <c r="X63" s="289"/>
      <c r="Y63" s="289"/>
      <c r="Z63" s="289"/>
      <c r="AA63" s="289"/>
      <c r="AB63" s="289"/>
      <c r="AC63" s="289"/>
      <c r="AD63" s="289"/>
      <c r="AE63" s="289"/>
      <c r="AF63" s="300"/>
      <c r="AG63" s="289"/>
      <c r="AH63" s="289"/>
      <c r="AI63" s="289"/>
      <c r="AJ63" s="289"/>
      <c r="AK63" s="297"/>
      <c r="AL63" s="290"/>
      <c r="AM63" s="291"/>
      <c r="AN63" s="289"/>
      <c r="AO63" s="289"/>
      <c r="AP63" s="291"/>
      <c r="AQ63" s="289"/>
      <c r="AR63" s="289"/>
      <c r="AS63" s="289"/>
      <c r="AT63" s="291"/>
      <c r="AU63" s="289"/>
      <c r="AV63" s="289"/>
      <c r="AW63" s="291"/>
      <c r="AX63" s="289"/>
      <c r="AY63" s="289"/>
      <c r="AZ63" s="289"/>
      <c r="BA63" s="291"/>
      <c r="BB63" s="289"/>
      <c r="BC63" s="289"/>
      <c r="BD63" s="291"/>
      <c r="BE63" s="289"/>
      <c r="BF63" s="289"/>
      <c r="BG63" s="289"/>
      <c r="BH63" s="291"/>
      <c r="BI63" s="289"/>
      <c r="BJ63" s="289"/>
      <c r="BK63" s="291"/>
      <c r="BL63" s="289"/>
      <c r="BM63" s="289"/>
      <c r="BN63" s="289"/>
      <c r="BO63" s="291"/>
      <c r="BP63" s="295"/>
      <c r="BQ63" s="290"/>
      <c r="BR63" s="329"/>
      <c r="BS63" s="289"/>
      <c r="BT63" s="289"/>
      <c r="BU63" s="289"/>
      <c r="BV63" s="289"/>
      <c r="BW63" s="289"/>
      <c r="BX63" s="289"/>
      <c r="BY63" s="289"/>
      <c r="BZ63" s="289"/>
      <c r="CA63" s="289"/>
      <c r="CB63" s="289"/>
      <c r="CC63" s="289"/>
      <c r="CD63" s="289"/>
      <c r="CE63" s="289"/>
      <c r="CF63" s="289"/>
      <c r="CG63" s="289"/>
      <c r="CH63" s="289"/>
      <c r="CI63" s="289"/>
      <c r="CJ63" s="289"/>
      <c r="CK63" s="289"/>
      <c r="CL63" s="289"/>
      <c r="CM63" s="289"/>
      <c r="CN63" s="289"/>
      <c r="CO63" s="289"/>
      <c r="CP63" s="289"/>
      <c r="CQ63" s="289"/>
      <c r="CR63" s="289"/>
      <c r="CS63" s="289"/>
      <c r="CT63" s="295"/>
    </row>
    <row r="64" spans="2:98" ht="18" customHeight="1">
      <c r="B64" s="286"/>
      <c r="C64" s="287"/>
      <c r="D64" s="294"/>
      <c r="E64" s="289"/>
      <c r="F64" s="289"/>
      <c r="G64" s="289"/>
      <c r="H64" s="289"/>
      <c r="I64" s="295"/>
      <c r="J64" s="296"/>
      <c r="K64" s="289"/>
      <c r="L64" s="289"/>
      <c r="M64" s="289"/>
      <c r="N64" s="289"/>
      <c r="O64" s="289"/>
      <c r="P64" s="289"/>
      <c r="Q64" s="289"/>
      <c r="R64" s="289"/>
      <c r="S64" s="289"/>
      <c r="T64" s="289"/>
      <c r="U64" s="289"/>
      <c r="V64" s="289"/>
      <c r="W64" s="289"/>
      <c r="X64" s="289"/>
      <c r="Y64" s="289"/>
      <c r="Z64" s="289"/>
      <c r="AA64" s="289"/>
      <c r="AB64" s="289"/>
      <c r="AC64" s="289"/>
      <c r="AD64" s="289"/>
      <c r="AE64" s="289"/>
      <c r="AF64" s="289"/>
      <c r="AG64" s="289"/>
      <c r="AH64" s="289"/>
      <c r="AI64" s="289"/>
      <c r="AJ64" s="289"/>
      <c r="AK64" s="297"/>
      <c r="AL64" s="290"/>
      <c r="AM64" s="289"/>
      <c r="AN64" s="289"/>
      <c r="AO64" s="289"/>
      <c r="AP64" s="289"/>
      <c r="AQ64" s="289"/>
      <c r="AR64" s="289"/>
      <c r="AS64" s="289"/>
      <c r="AT64" s="289"/>
      <c r="AU64" s="289"/>
      <c r="AV64" s="289"/>
      <c r="AW64" s="289"/>
      <c r="AX64" s="289"/>
      <c r="AY64" s="289"/>
      <c r="AZ64" s="289"/>
      <c r="BA64" s="289"/>
      <c r="BB64" s="289"/>
      <c r="BC64" s="289"/>
      <c r="BD64" s="289"/>
      <c r="BE64" s="289"/>
      <c r="BF64" s="289"/>
      <c r="BG64" s="289"/>
      <c r="BH64" s="289"/>
      <c r="BI64" s="289"/>
      <c r="BJ64" s="289"/>
      <c r="BK64" s="289"/>
      <c r="BL64" s="289"/>
      <c r="BM64" s="289"/>
      <c r="BN64" s="289"/>
      <c r="BO64" s="289"/>
      <c r="BP64" s="295"/>
      <c r="BQ64" s="290"/>
      <c r="BR64" s="329"/>
      <c r="BS64" s="289"/>
      <c r="BT64" s="289"/>
      <c r="BU64" s="289"/>
      <c r="BV64" s="289"/>
      <c r="BW64" s="289"/>
      <c r="BX64" s="289"/>
      <c r="BY64" s="289"/>
      <c r="BZ64" s="289"/>
      <c r="CA64" s="289"/>
      <c r="CB64" s="289"/>
      <c r="CC64" s="289"/>
      <c r="CD64" s="289"/>
      <c r="CE64" s="289"/>
      <c r="CF64" s="289"/>
      <c r="CG64" s="289"/>
      <c r="CH64" s="289"/>
      <c r="CI64" s="289"/>
      <c r="CJ64" s="289"/>
      <c r="CK64" s="289"/>
      <c r="CL64" s="289"/>
      <c r="CM64" s="289"/>
      <c r="CN64" s="289"/>
      <c r="CO64" s="289"/>
      <c r="CP64" s="289"/>
      <c r="CQ64" s="289"/>
      <c r="CR64" s="289"/>
      <c r="CS64" s="289"/>
      <c r="CT64" s="295"/>
    </row>
    <row r="65" spans="2:98" ht="18" customHeight="1">
      <c r="B65" s="286"/>
      <c r="C65" s="287"/>
      <c r="D65" s="294"/>
      <c r="E65" s="289"/>
      <c r="F65" s="289"/>
      <c r="G65" s="289"/>
      <c r="H65" s="289"/>
      <c r="I65" s="295"/>
      <c r="J65" s="296"/>
      <c r="K65" s="289"/>
      <c r="L65" s="289"/>
      <c r="M65" s="289"/>
      <c r="N65" s="289"/>
      <c r="O65" s="289"/>
      <c r="P65" s="289"/>
      <c r="Q65" s="289"/>
      <c r="R65" s="289"/>
      <c r="S65" s="289"/>
      <c r="T65" s="289"/>
      <c r="U65" s="289"/>
      <c r="V65" s="289"/>
      <c r="W65" s="289"/>
      <c r="X65" s="289"/>
      <c r="Y65" s="289"/>
      <c r="Z65" s="289"/>
      <c r="AA65" s="289"/>
      <c r="AB65" s="289"/>
      <c r="AC65" s="289"/>
      <c r="AD65" s="289"/>
      <c r="AE65" s="289"/>
      <c r="AF65" s="289"/>
      <c r="AG65" s="289"/>
      <c r="AH65" s="289"/>
      <c r="AI65" s="289"/>
      <c r="AJ65" s="289"/>
      <c r="AK65" s="297"/>
      <c r="AL65" s="290"/>
      <c r="AM65" s="289"/>
      <c r="AN65" s="289"/>
      <c r="AO65" s="289"/>
      <c r="AP65" s="289"/>
      <c r="AQ65" s="289"/>
      <c r="AR65" s="289"/>
      <c r="AS65" s="289"/>
      <c r="AT65" s="291"/>
      <c r="AU65" s="289"/>
      <c r="AV65" s="289"/>
      <c r="AW65" s="291"/>
      <c r="AX65" s="289"/>
      <c r="AY65" s="289"/>
      <c r="AZ65" s="289"/>
      <c r="BA65" s="291"/>
      <c r="BB65" s="289"/>
      <c r="BC65" s="289"/>
      <c r="BD65" s="291"/>
      <c r="BE65" s="289"/>
      <c r="BF65" s="289"/>
      <c r="BG65" s="289"/>
      <c r="BH65" s="291"/>
      <c r="BI65" s="289"/>
      <c r="BJ65" s="289"/>
      <c r="BK65" s="291"/>
      <c r="BL65" s="289"/>
      <c r="BM65" s="289"/>
      <c r="BN65" s="289"/>
      <c r="BO65" s="329"/>
      <c r="BP65" s="295"/>
      <c r="BQ65" s="290"/>
      <c r="BR65" s="289"/>
      <c r="BS65" s="289"/>
      <c r="BT65" s="289"/>
      <c r="BU65" s="289"/>
      <c r="BV65" s="289"/>
      <c r="BW65" s="289"/>
      <c r="BX65" s="289"/>
      <c r="BY65" s="289"/>
      <c r="BZ65" s="289"/>
      <c r="CA65" s="289"/>
      <c r="CB65" s="289"/>
      <c r="CC65" s="289"/>
      <c r="CD65" s="289"/>
      <c r="CE65" s="289"/>
      <c r="CF65" s="289"/>
      <c r="CG65" s="289"/>
      <c r="CH65" s="289"/>
      <c r="CI65" s="289"/>
      <c r="CJ65" s="289"/>
      <c r="CK65" s="289"/>
      <c r="CL65" s="289"/>
      <c r="CM65" s="289"/>
      <c r="CN65" s="289"/>
      <c r="CO65" s="289"/>
      <c r="CP65" s="289"/>
      <c r="CQ65" s="289"/>
      <c r="CR65" s="289"/>
      <c r="CS65" s="289"/>
      <c r="CT65" s="295"/>
    </row>
    <row r="66" spans="2:98" ht="18" customHeight="1">
      <c r="B66" s="286"/>
      <c r="C66" s="287"/>
      <c r="D66" s="288"/>
      <c r="E66" s="289"/>
      <c r="F66" s="289"/>
      <c r="G66" s="289"/>
      <c r="H66" s="289"/>
      <c r="I66" s="295"/>
      <c r="J66" s="296"/>
      <c r="K66" s="289"/>
      <c r="L66" s="289"/>
      <c r="M66" s="289"/>
      <c r="N66" s="289"/>
      <c r="O66" s="289"/>
      <c r="P66" s="289"/>
      <c r="Q66" s="289"/>
      <c r="R66" s="289"/>
      <c r="S66" s="289"/>
      <c r="T66" s="289"/>
      <c r="U66" s="289"/>
      <c r="V66" s="289"/>
      <c r="W66" s="289"/>
      <c r="X66" s="289"/>
      <c r="Y66" s="289"/>
      <c r="Z66" s="289"/>
      <c r="AA66" s="289"/>
      <c r="AB66" s="289"/>
      <c r="AC66" s="289"/>
      <c r="AD66" s="289"/>
      <c r="AE66" s="289"/>
      <c r="AF66" s="289"/>
      <c r="AG66" s="289"/>
      <c r="AH66" s="289"/>
      <c r="AI66" s="289"/>
      <c r="AJ66" s="289"/>
      <c r="AK66" s="297"/>
      <c r="AL66" s="290"/>
      <c r="AM66" s="289"/>
      <c r="AN66" s="289"/>
      <c r="AO66" s="289"/>
      <c r="AP66" s="289"/>
      <c r="AQ66" s="289"/>
      <c r="AR66" s="289"/>
      <c r="AS66" s="289"/>
      <c r="AT66" s="289"/>
      <c r="AU66" s="289"/>
      <c r="AV66" s="289"/>
      <c r="AW66" s="289"/>
      <c r="AX66" s="289"/>
      <c r="AY66" s="289"/>
      <c r="AZ66" s="289"/>
      <c r="BA66" s="289"/>
      <c r="BB66" s="289"/>
      <c r="BC66" s="289"/>
      <c r="BD66" s="289"/>
      <c r="BE66" s="289"/>
      <c r="BF66" s="289"/>
      <c r="BG66" s="289"/>
      <c r="BH66" s="289"/>
      <c r="BI66" s="289"/>
      <c r="BJ66" s="289"/>
      <c r="BK66" s="291"/>
      <c r="BL66" s="289"/>
      <c r="BM66" s="289"/>
      <c r="BN66" s="289"/>
      <c r="BO66" s="291"/>
      <c r="BP66" s="295"/>
      <c r="BQ66" s="290"/>
      <c r="BR66" s="291"/>
      <c r="BS66" s="289"/>
      <c r="BT66" s="289"/>
      <c r="BU66" s="289"/>
      <c r="BV66" s="291"/>
      <c r="BW66" s="289"/>
      <c r="BX66" s="289"/>
      <c r="BY66" s="289"/>
      <c r="BZ66" s="289"/>
      <c r="CA66" s="289"/>
      <c r="CB66" s="289"/>
      <c r="CC66" s="289"/>
      <c r="CD66" s="289"/>
      <c r="CE66" s="289"/>
      <c r="CF66" s="289"/>
      <c r="CG66" s="289"/>
      <c r="CH66" s="289"/>
      <c r="CI66" s="289"/>
      <c r="CJ66" s="289"/>
      <c r="CK66" s="289"/>
      <c r="CL66" s="289"/>
      <c r="CM66" s="289"/>
      <c r="CN66" s="289"/>
      <c r="CO66" s="289"/>
      <c r="CP66" s="289"/>
      <c r="CQ66" s="289"/>
      <c r="CR66" s="289"/>
      <c r="CS66" s="289"/>
      <c r="CT66" s="295"/>
    </row>
    <row r="67" spans="2:98" ht="18" customHeight="1">
      <c r="B67" s="273"/>
      <c r="C67" s="274"/>
      <c r="D67" s="292"/>
      <c r="E67" s="277"/>
      <c r="F67" s="277"/>
      <c r="G67" s="277"/>
      <c r="H67" s="277"/>
      <c r="I67" s="278"/>
      <c r="J67" s="279"/>
      <c r="K67" s="277"/>
      <c r="L67" s="277"/>
      <c r="M67" s="277"/>
      <c r="N67" s="277"/>
      <c r="O67" s="277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80"/>
      <c r="AL67" s="276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8"/>
      <c r="BQ67" s="276"/>
      <c r="BR67" s="281"/>
      <c r="BS67" s="277"/>
      <c r="BT67" s="277"/>
      <c r="BU67" s="277"/>
      <c r="BV67" s="281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  <c r="CK67" s="277"/>
      <c r="CL67" s="277"/>
      <c r="CM67" s="277"/>
      <c r="CN67" s="277"/>
      <c r="CO67" s="277"/>
      <c r="CP67" s="277"/>
      <c r="CQ67" s="277"/>
      <c r="CR67" s="277"/>
      <c r="CS67" s="277"/>
      <c r="CT67" s="278"/>
    </row>
    <row r="68" spans="2:98" ht="18" customHeight="1">
      <c r="B68" s="348"/>
      <c r="C68" s="349"/>
      <c r="D68" s="350"/>
      <c r="E68" s="293"/>
      <c r="F68" s="293"/>
      <c r="G68" s="293"/>
      <c r="H68" s="293"/>
      <c r="I68" s="324"/>
      <c r="J68" s="325"/>
      <c r="K68" s="293"/>
      <c r="L68" s="293"/>
      <c r="M68" s="293"/>
      <c r="N68" s="293"/>
      <c r="O68" s="293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326"/>
      <c r="AL68" s="272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324"/>
      <c r="BQ68" s="272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  <c r="CK68" s="293"/>
      <c r="CL68" s="293"/>
      <c r="CM68" s="293"/>
      <c r="CN68" s="293"/>
      <c r="CO68" s="293"/>
      <c r="CP68" s="293"/>
      <c r="CQ68" s="293"/>
      <c r="CR68" s="293"/>
      <c r="CS68" s="293"/>
      <c r="CT68" s="324"/>
    </row>
    <row r="69" spans="2:98" ht="18" customHeight="1">
      <c r="B69" s="286"/>
      <c r="C69" s="287"/>
      <c r="D69" s="294"/>
      <c r="E69" s="289"/>
      <c r="F69" s="289"/>
      <c r="G69" s="289"/>
      <c r="H69" s="289"/>
      <c r="I69" s="295"/>
      <c r="J69" s="296"/>
      <c r="K69" s="289"/>
      <c r="L69" s="289"/>
      <c r="M69" s="289"/>
      <c r="N69" s="289"/>
      <c r="O69" s="289"/>
      <c r="P69" s="289"/>
      <c r="Q69" s="289"/>
      <c r="R69" s="289"/>
      <c r="S69" s="289"/>
      <c r="T69" s="289"/>
      <c r="U69" s="289"/>
      <c r="V69" s="289"/>
      <c r="W69" s="289"/>
      <c r="X69" s="289"/>
      <c r="Y69" s="289"/>
      <c r="Z69" s="289"/>
      <c r="AA69" s="289"/>
      <c r="AB69" s="289"/>
      <c r="AC69" s="289"/>
      <c r="AD69" s="289"/>
      <c r="AE69" s="289"/>
      <c r="AF69" s="289"/>
      <c r="AG69" s="289"/>
      <c r="AH69" s="289"/>
      <c r="AI69" s="289"/>
      <c r="AJ69" s="289"/>
      <c r="AK69" s="297"/>
      <c r="AL69" s="290"/>
      <c r="AM69" s="289"/>
      <c r="AN69" s="289"/>
      <c r="AO69" s="289"/>
      <c r="AP69" s="289"/>
      <c r="AQ69" s="289"/>
      <c r="AR69" s="289"/>
      <c r="AS69" s="289"/>
      <c r="AT69" s="289"/>
      <c r="AU69" s="289"/>
      <c r="AV69" s="289"/>
      <c r="AW69" s="289"/>
      <c r="AX69" s="289"/>
      <c r="AY69" s="289"/>
      <c r="AZ69" s="289"/>
      <c r="BA69" s="289"/>
      <c r="BB69" s="289"/>
      <c r="BC69" s="289"/>
      <c r="BD69" s="289"/>
      <c r="BE69" s="289"/>
      <c r="BF69" s="289"/>
      <c r="BG69" s="289"/>
      <c r="BH69" s="289"/>
      <c r="BI69" s="289"/>
      <c r="BJ69" s="289"/>
      <c r="BK69" s="289"/>
      <c r="BL69" s="289"/>
      <c r="BM69" s="289"/>
      <c r="BN69" s="289"/>
      <c r="BO69" s="289"/>
      <c r="BP69" s="295"/>
      <c r="BQ69" s="290"/>
      <c r="BR69" s="289"/>
      <c r="BS69" s="289"/>
      <c r="BT69" s="289"/>
      <c r="BU69" s="289"/>
      <c r="BV69" s="289"/>
      <c r="BW69" s="289"/>
      <c r="BX69" s="289"/>
      <c r="BY69" s="289"/>
      <c r="BZ69" s="289"/>
      <c r="CA69" s="289"/>
      <c r="CB69" s="289"/>
      <c r="CC69" s="289"/>
      <c r="CD69" s="289"/>
      <c r="CE69" s="289"/>
      <c r="CF69" s="289"/>
      <c r="CG69" s="289"/>
      <c r="CH69" s="289"/>
      <c r="CI69" s="289"/>
      <c r="CJ69" s="289"/>
      <c r="CK69" s="289"/>
      <c r="CL69" s="289"/>
      <c r="CM69" s="289"/>
      <c r="CN69" s="289"/>
      <c r="CO69" s="289"/>
      <c r="CP69" s="289"/>
      <c r="CQ69" s="289"/>
      <c r="CR69" s="289"/>
      <c r="CS69" s="289"/>
      <c r="CT69" s="295"/>
    </row>
    <row r="70" spans="2:98" ht="18" customHeight="1">
      <c r="B70" s="337"/>
      <c r="C70" s="338"/>
      <c r="D70" s="347"/>
      <c r="E70" s="282"/>
      <c r="F70" s="282"/>
      <c r="G70" s="282"/>
      <c r="H70" s="282"/>
      <c r="I70" s="321"/>
      <c r="J70" s="322"/>
      <c r="K70" s="282"/>
      <c r="L70" s="282"/>
      <c r="M70" s="282"/>
      <c r="N70" s="282"/>
      <c r="O70" s="282"/>
      <c r="P70" s="282"/>
      <c r="Q70" s="282"/>
      <c r="R70" s="282"/>
      <c r="S70" s="282"/>
      <c r="T70" s="282"/>
      <c r="U70" s="282"/>
      <c r="V70" s="282"/>
      <c r="W70" s="282"/>
      <c r="X70" s="282"/>
      <c r="Y70" s="282"/>
      <c r="Z70" s="282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323"/>
      <c r="AL70" s="271"/>
      <c r="AM70" s="282"/>
      <c r="AN70" s="282"/>
      <c r="AO70" s="282"/>
      <c r="AP70" s="282"/>
      <c r="AQ70" s="282"/>
      <c r="AR70" s="282"/>
      <c r="AS70" s="282"/>
      <c r="AT70" s="282"/>
      <c r="AU70" s="282"/>
      <c r="AV70" s="282"/>
      <c r="AW70" s="282"/>
      <c r="AX70" s="282"/>
      <c r="AY70" s="282"/>
      <c r="AZ70" s="282"/>
      <c r="BA70" s="282"/>
      <c r="BB70" s="282"/>
      <c r="BC70" s="282"/>
      <c r="BD70" s="282"/>
      <c r="BE70" s="282"/>
      <c r="BF70" s="282"/>
      <c r="BG70" s="282"/>
      <c r="BH70" s="282"/>
      <c r="BI70" s="282"/>
      <c r="BJ70" s="282"/>
      <c r="BK70" s="282"/>
      <c r="BL70" s="282"/>
      <c r="BM70" s="282"/>
      <c r="BN70" s="282"/>
      <c r="BO70" s="282"/>
      <c r="BP70" s="321"/>
      <c r="BQ70" s="271"/>
      <c r="BR70" s="282"/>
      <c r="BS70" s="282"/>
      <c r="BT70" s="282"/>
      <c r="BU70" s="282"/>
      <c r="BV70" s="282"/>
      <c r="BW70" s="282"/>
      <c r="BX70" s="282"/>
      <c r="BY70" s="282"/>
      <c r="BZ70" s="282"/>
      <c r="CA70" s="282"/>
      <c r="CB70" s="282"/>
      <c r="CC70" s="282"/>
      <c r="CD70" s="282"/>
      <c r="CE70" s="282"/>
      <c r="CF70" s="282"/>
      <c r="CG70" s="282"/>
      <c r="CH70" s="282"/>
      <c r="CI70" s="282"/>
      <c r="CJ70" s="282"/>
      <c r="CK70" s="282"/>
      <c r="CL70" s="282"/>
      <c r="CM70" s="282"/>
      <c r="CN70" s="282"/>
      <c r="CO70" s="282"/>
      <c r="CP70" s="282"/>
      <c r="CQ70" s="282"/>
      <c r="CR70" s="282"/>
      <c r="CS70" s="282"/>
      <c r="CT70" s="321"/>
    </row>
    <row r="71" spans="2:98" ht="18" customHeight="1">
      <c r="B71" s="273"/>
      <c r="C71" s="274"/>
      <c r="D71" s="354"/>
      <c r="E71" s="277"/>
      <c r="F71" s="277"/>
      <c r="G71" s="277"/>
      <c r="H71" s="277"/>
      <c r="I71" s="278"/>
      <c r="J71" s="279"/>
      <c r="K71" s="277"/>
      <c r="L71" s="277"/>
      <c r="M71" s="277"/>
      <c r="N71" s="277"/>
      <c r="O71" s="277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80"/>
      <c r="AL71" s="276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8"/>
      <c r="BQ71" s="276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  <c r="CK71" s="277"/>
      <c r="CL71" s="277"/>
      <c r="CM71" s="277"/>
      <c r="CN71" s="277"/>
      <c r="CO71" s="277"/>
      <c r="CP71" s="277"/>
      <c r="CQ71" s="277"/>
      <c r="CR71" s="277"/>
      <c r="CS71" s="277"/>
      <c r="CT71" s="278"/>
    </row>
    <row r="75" spans="2:98">
      <c r="B75" s="303" t="s">
        <v>215</v>
      </c>
      <c r="C75" s="304"/>
    </row>
    <row r="77" spans="2:98">
      <c r="B77" s="303"/>
      <c r="C77" s="304"/>
    </row>
  </sheetData>
  <mergeCells count="4">
    <mergeCell ref="E10:I10"/>
    <mergeCell ref="J10:AK10"/>
    <mergeCell ref="AL10:BP10"/>
    <mergeCell ref="BQ10:CT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V372"/>
  <sheetViews>
    <sheetView zoomScale="70" zoomScaleNormal="70" workbookViewId="0">
      <selection activeCell="M23" sqref="M23"/>
    </sheetView>
  </sheetViews>
  <sheetFormatPr defaultRowHeight="14.25"/>
  <cols>
    <col min="4" max="4" width="12.86328125" bestFit="1" customWidth="1"/>
    <col min="5" max="5" width="22" bestFit="1" customWidth="1"/>
    <col min="6" max="6" width="12.86328125" style="29" bestFit="1" customWidth="1"/>
    <col min="8" max="8" width="12.86328125" style="29" bestFit="1" customWidth="1"/>
    <col min="10" max="10" width="23.265625" customWidth="1"/>
    <col min="11" max="11" width="15.86328125" style="29" bestFit="1" customWidth="1"/>
    <col min="17" max="17" width="12.86328125" style="29" bestFit="1" customWidth="1"/>
    <col min="18" max="18" width="47" style="29" customWidth="1"/>
  </cols>
  <sheetData>
    <row r="1" spans="2:22">
      <c r="B1" s="305"/>
      <c r="D1" s="17"/>
      <c r="V1" s="17"/>
    </row>
    <row r="2" spans="2:22">
      <c r="B2" s="305"/>
      <c r="D2" s="17"/>
      <c r="V2" s="17"/>
    </row>
    <row r="3" spans="2:22">
      <c r="B3" s="305"/>
      <c r="D3" s="17"/>
      <c r="V3" s="17"/>
    </row>
    <row r="4" spans="2:22">
      <c r="B4" s="305"/>
      <c r="D4" s="17"/>
      <c r="V4" s="17"/>
    </row>
    <row r="5" spans="2:22">
      <c r="B5" s="305"/>
      <c r="D5" s="17"/>
      <c r="V5" s="17"/>
    </row>
    <row r="6" spans="2:22">
      <c r="B6" s="305"/>
      <c r="D6" s="17"/>
      <c r="V6" s="17"/>
    </row>
    <row r="7" spans="2:22">
      <c r="B7" s="305"/>
      <c r="D7" s="17"/>
      <c r="V7" s="17"/>
    </row>
    <row r="8" spans="2:22">
      <c r="B8" s="305"/>
      <c r="D8" s="17"/>
      <c r="V8" s="17"/>
    </row>
    <row r="9" spans="2:22">
      <c r="B9" s="305"/>
      <c r="D9" s="17"/>
      <c r="V9" s="17"/>
    </row>
    <row r="10" spans="2:22">
      <c r="B10" s="305"/>
      <c r="D10" s="17"/>
      <c r="V10" s="17"/>
    </row>
    <row r="11" spans="2:22">
      <c r="B11" s="305"/>
      <c r="D11" s="17"/>
      <c r="V11" s="17"/>
    </row>
    <row r="12" spans="2:22">
      <c r="B12" s="305"/>
      <c r="D12" s="17"/>
      <c r="V12" s="17"/>
    </row>
    <row r="13" spans="2:22">
      <c r="B13" s="305"/>
      <c r="D13" s="17"/>
      <c r="V13" s="17"/>
    </row>
    <row r="14" spans="2:22">
      <c r="B14" s="305"/>
      <c r="D14" s="17"/>
      <c r="V14" s="17"/>
    </row>
    <row r="15" spans="2:22">
      <c r="B15" s="305"/>
      <c r="D15" s="17"/>
      <c r="V15" s="17"/>
    </row>
    <row r="16" spans="2:22">
      <c r="B16" s="305"/>
      <c r="D16" s="17"/>
      <c r="V16" s="17"/>
    </row>
    <row r="17" spans="2:22">
      <c r="B17" s="305"/>
      <c r="D17" s="17"/>
      <c r="V17" s="17"/>
    </row>
    <row r="18" spans="2:22">
      <c r="B18" s="305"/>
      <c r="D18" s="17"/>
      <c r="V18" s="17"/>
    </row>
    <row r="19" spans="2:22">
      <c r="B19" s="305"/>
      <c r="D19" s="17"/>
      <c r="V19" s="17"/>
    </row>
    <row r="20" spans="2:22">
      <c r="B20" s="305"/>
      <c r="D20" s="17"/>
      <c r="V20" s="17"/>
    </row>
    <row r="21" spans="2:22">
      <c r="B21" s="305"/>
      <c r="D21" s="17"/>
      <c r="V21" s="17"/>
    </row>
    <row r="22" spans="2:22">
      <c r="D22" s="17"/>
      <c r="V22" s="17"/>
    </row>
    <row r="23" spans="2:22">
      <c r="D23" s="17"/>
      <c r="V23" s="17"/>
    </row>
    <row r="24" spans="2:22">
      <c r="D24" s="17"/>
      <c r="V24" s="17"/>
    </row>
    <row r="25" spans="2:22">
      <c r="D25" s="17"/>
      <c r="V25" s="17"/>
    </row>
    <row r="26" spans="2:22">
      <c r="D26" s="17"/>
      <c r="V26" s="17"/>
    </row>
    <row r="27" spans="2:22">
      <c r="D27" s="17"/>
      <c r="V27" s="17"/>
    </row>
    <row r="28" spans="2:22">
      <c r="D28" s="17"/>
      <c r="V28" s="17"/>
    </row>
    <row r="29" spans="2:22">
      <c r="D29" s="17"/>
      <c r="V29" s="17"/>
    </row>
    <row r="30" spans="2:22">
      <c r="D30" s="17"/>
      <c r="V30" s="17"/>
    </row>
    <row r="31" spans="2:22">
      <c r="D31" s="17"/>
      <c r="V31" s="17"/>
    </row>
    <row r="32" spans="2:22">
      <c r="D32" s="17"/>
      <c r="V32" s="17"/>
    </row>
    <row r="33" spans="4:22">
      <c r="D33" s="17"/>
      <c r="V33" s="17"/>
    </row>
    <row r="34" spans="4:22">
      <c r="D34" s="17"/>
      <c r="V34" s="17"/>
    </row>
    <row r="35" spans="4:22">
      <c r="D35" s="17"/>
      <c r="V35" s="17"/>
    </row>
    <row r="36" spans="4:22">
      <c r="D36" s="17"/>
      <c r="V36" s="17"/>
    </row>
    <row r="37" spans="4:22">
      <c r="D37" s="17"/>
      <c r="V37" s="17"/>
    </row>
    <row r="38" spans="4:22">
      <c r="D38" s="17"/>
      <c r="V38" s="17"/>
    </row>
    <row r="39" spans="4:22">
      <c r="D39" s="17"/>
      <c r="V39" s="17"/>
    </row>
    <row r="40" spans="4:22">
      <c r="D40" s="17"/>
      <c r="V40" s="17"/>
    </row>
    <row r="41" spans="4:22">
      <c r="D41" s="17"/>
      <c r="V41" s="17"/>
    </row>
    <row r="42" spans="4:22">
      <c r="D42" s="17"/>
      <c r="V42" s="17"/>
    </row>
    <row r="43" spans="4:22">
      <c r="D43" s="17"/>
      <c r="V43" s="17"/>
    </row>
    <row r="44" spans="4:22">
      <c r="D44" s="17"/>
      <c r="V44" s="17"/>
    </row>
    <row r="45" spans="4:22">
      <c r="D45" s="17"/>
      <c r="V45" s="17"/>
    </row>
    <row r="46" spans="4:22">
      <c r="D46" s="17"/>
      <c r="V46" s="17"/>
    </row>
    <row r="47" spans="4:22">
      <c r="D47" s="17"/>
      <c r="V47" s="17"/>
    </row>
    <row r="48" spans="4:22">
      <c r="D48" s="17"/>
      <c r="V48" s="17"/>
    </row>
    <row r="49" spans="4:22">
      <c r="D49" s="17"/>
      <c r="V49" s="17"/>
    </row>
    <row r="50" spans="4:22">
      <c r="D50" s="17"/>
      <c r="V50" s="17"/>
    </row>
    <row r="51" spans="4:22">
      <c r="D51" s="17"/>
      <c r="V51" s="17"/>
    </row>
    <row r="52" spans="4:22">
      <c r="D52" s="17"/>
      <c r="V52" s="17"/>
    </row>
    <row r="53" spans="4:22">
      <c r="D53" s="17"/>
      <c r="V53" s="17"/>
    </row>
    <row r="54" spans="4:22">
      <c r="D54" s="17"/>
      <c r="V54" s="17"/>
    </row>
    <row r="55" spans="4:22">
      <c r="D55" s="17"/>
      <c r="V55" s="17"/>
    </row>
    <row r="56" spans="4:22">
      <c r="D56" s="17"/>
      <c r="V56" s="17"/>
    </row>
    <row r="57" spans="4:22">
      <c r="D57" s="17"/>
      <c r="V57" s="17"/>
    </row>
    <row r="58" spans="4:22">
      <c r="D58" s="17"/>
      <c r="V58" s="17"/>
    </row>
    <row r="59" spans="4:22">
      <c r="D59" s="17"/>
      <c r="V59" s="17"/>
    </row>
    <row r="60" spans="4:22">
      <c r="D60" s="17"/>
      <c r="V60" s="17"/>
    </row>
    <row r="61" spans="4:22">
      <c r="D61" s="17"/>
      <c r="V61" s="17"/>
    </row>
    <row r="62" spans="4:22">
      <c r="D62" s="17"/>
      <c r="V62" s="17"/>
    </row>
    <row r="63" spans="4:22">
      <c r="D63" s="17"/>
      <c r="V63" s="17"/>
    </row>
    <row r="64" spans="4:22">
      <c r="D64" s="17"/>
      <c r="V64" s="17"/>
    </row>
    <row r="65" spans="4:22">
      <c r="D65" s="17"/>
      <c r="V65" s="17"/>
    </row>
    <row r="66" spans="4:22">
      <c r="D66" s="17"/>
      <c r="V66" s="17"/>
    </row>
    <row r="67" spans="4:22">
      <c r="D67" s="17"/>
      <c r="V67" s="17"/>
    </row>
    <row r="68" spans="4:22">
      <c r="D68" s="17"/>
      <c r="V68" s="17"/>
    </row>
    <row r="69" spans="4:22">
      <c r="D69" s="17"/>
      <c r="V69" s="17"/>
    </row>
    <row r="70" spans="4:22">
      <c r="D70" s="17"/>
      <c r="V70" s="17"/>
    </row>
    <row r="71" spans="4:22">
      <c r="D71" s="17"/>
      <c r="V71" s="17"/>
    </row>
    <row r="72" spans="4:22">
      <c r="D72" s="17"/>
      <c r="V72" s="17"/>
    </row>
    <row r="73" spans="4:22">
      <c r="D73" s="17"/>
      <c r="V73" s="17"/>
    </row>
    <row r="74" spans="4:22">
      <c r="D74" s="17"/>
      <c r="V74" s="17"/>
    </row>
    <row r="75" spans="4:22">
      <c r="D75" s="17"/>
      <c r="V75" s="17"/>
    </row>
    <row r="76" spans="4:22">
      <c r="D76" s="17"/>
      <c r="V76" s="17"/>
    </row>
    <row r="77" spans="4:22">
      <c r="D77" s="17"/>
      <c r="V77" s="17"/>
    </row>
    <row r="78" spans="4:22">
      <c r="D78" s="17"/>
      <c r="V78" s="17"/>
    </row>
    <row r="79" spans="4:22">
      <c r="D79" s="17"/>
      <c r="V79" s="17"/>
    </row>
    <row r="80" spans="4:22">
      <c r="D80" s="17"/>
      <c r="V80" s="17"/>
    </row>
    <row r="81" spans="4:22">
      <c r="D81" s="17"/>
      <c r="V81" s="17"/>
    </row>
    <row r="82" spans="4:22">
      <c r="D82" s="17"/>
      <c r="V82" s="17"/>
    </row>
    <row r="83" spans="4:22">
      <c r="D83" s="17"/>
      <c r="V83" s="17"/>
    </row>
    <row r="84" spans="4:22">
      <c r="D84" s="17"/>
      <c r="V84" s="17"/>
    </row>
    <row r="85" spans="4:22">
      <c r="D85" s="17"/>
      <c r="V85" s="17"/>
    </row>
    <row r="86" spans="4:22">
      <c r="D86" s="17"/>
      <c r="V86" s="17"/>
    </row>
    <row r="87" spans="4:22">
      <c r="D87" s="17"/>
      <c r="V87" s="17"/>
    </row>
    <row r="88" spans="4:22">
      <c r="D88" s="17"/>
      <c r="V88" s="17"/>
    </row>
    <row r="89" spans="4:22">
      <c r="D89" s="17"/>
      <c r="V89" s="17"/>
    </row>
    <row r="90" spans="4:22">
      <c r="D90" s="17"/>
      <c r="V90" s="17"/>
    </row>
    <row r="91" spans="4:22">
      <c r="D91" s="17"/>
      <c r="V91" s="17"/>
    </row>
    <row r="92" spans="4:22">
      <c r="D92" s="17"/>
      <c r="V92" s="17"/>
    </row>
    <row r="93" spans="4:22">
      <c r="D93" s="17"/>
      <c r="V93" s="17"/>
    </row>
    <row r="94" spans="4:22">
      <c r="D94" s="17"/>
      <c r="V94" s="17"/>
    </row>
    <row r="95" spans="4:22">
      <c r="D95" s="17"/>
      <c r="V95" s="17"/>
    </row>
    <row r="96" spans="4:22">
      <c r="D96" s="17"/>
      <c r="V96" s="17"/>
    </row>
    <row r="97" spans="2:22">
      <c r="D97" s="17"/>
      <c r="V97" s="17"/>
    </row>
    <row r="98" spans="2:22">
      <c r="D98" s="17"/>
      <c r="V98" s="17"/>
    </row>
    <row r="99" spans="2:22">
      <c r="D99" s="17"/>
      <c r="V99" s="17"/>
    </row>
    <row r="100" spans="2:22">
      <c r="D100" s="17"/>
      <c r="V100" s="17"/>
    </row>
    <row r="101" spans="2:22">
      <c r="D101" s="17"/>
      <c r="V101" s="17"/>
    </row>
    <row r="102" spans="2:22">
      <c r="D102" s="17"/>
      <c r="V102" s="17"/>
    </row>
    <row r="103" spans="2:22">
      <c r="D103" s="17"/>
      <c r="V103" s="17"/>
    </row>
    <row r="104" spans="2:22">
      <c r="D104" s="17"/>
      <c r="V104" s="17"/>
    </row>
    <row r="105" spans="2:22">
      <c r="D105" s="17"/>
      <c r="V105" s="17"/>
    </row>
    <row r="106" spans="2:22">
      <c r="D106" s="17"/>
      <c r="V106" s="17"/>
    </row>
    <row r="107" spans="2:22">
      <c r="D107" s="17"/>
      <c r="V107" s="17"/>
    </row>
    <row r="108" spans="2:22">
      <c r="D108" s="17"/>
      <c r="V108" s="17"/>
    </row>
    <row r="109" spans="2:22">
      <c r="D109" s="17"/>
      <c r="V109" s="17"/>
    </row>
    <row r="110" spans="2:22">
      <c r="B110" s="305"/>
      <c r="D110" s="17"/>
      <c r="V110" s="17"/>
    </row>
    <row r="111" spans="2:22">
      <c r="D111" s="17"/>
      <c r="V111" s="17"/>
    </row>
    <row r="112" spans="2:22">
      <c r="D112" s="17"/>
      <c r="V112" s="17"/>
    </row>
    <row r="113" spans="2:22">
      <c r="D113" s="17"/>
      <c r="V113" s="17"/>
    </row>
    <row r="114" spans="2:22">
      <c r="D114" s="17"/>
      <c r="V114" s="17"/>
    </row>
    <row r="115" spans="2:22">
      <c r="D115" s="17"/>
      <c r="V115" s="17"/>
    </row>
    <row r="116" spans="2:22">
      <c r="D116" s="17"/>
      <c r="V116" s="17"/>
    </row>
    <row r="117" spans="2:22">
      <c r="D117" s="17"/>
      <c r="V117" s="17"/>
    </row>
    <row r="118" spans="2:22">
      <c r="D118" s="17"/>
      <c r="V118" s="17"/>
    </row>
    <row r="119" spans="2:22">
      <c r="D119" s="17"/>
      <c r="V119" s="17"/>
    </row>
    <row r="120" spans="2:22">
      <c r="D120" s="17"/>
      <c r="V120" s="17"/>
    </row>
    <row r="121" spans="2:22">
      <c r="D121" s="17"/>
      <c r="V121" s="17"/>
    </row>
    <row r="122" spans="2:22">
      <c r="D122" s="17"/>
      <c r="V122" s="17"/>
    </row>
    <row r="123" spans="2:22">
      <c r="D123" s="17"/>
      <c r="V123" s="17"/>
    </row>
    <row r="124" spans="2:22">
      <c r="D124" s="17"/>
      <c r="V124" s="17"/>
    </row>
    <row r="125" spans="2:22">
      <c r="D125" s="17"/>
      <c r="V125" s="17"/>
    </row>
    <row r="126" spans="2:22">
      <c r="B126" s="305"/>
      <c r="D126" s="17"/>
      <c r="V126" s="17"/>
    </row>
    <row r="127" spans="2:22">
      <c r="B127" s="305"/>
      <c r="D127" s="17"/>
      <c r="V127" s="17"/>
    </row>
    <row r="128" spans="2:22">
      <c r="B128" s="305"/>
      <c r="D128" s="17"/>
    </row>
    <row r="129" spans="4:4">
      <c r="D129" s="17"/>
    </row>
    <row r="130" spans="4:4">
      <c r="D130" s="17"/>
    </row>
    <row r="131" spans="4:4">
      <c r="D131" s="17"/>
    </row>
    <row r="132" spans="4:4">
      <c r="D132" s="17"/>
    </row>
    <row r="133" spans="4:4">
      <c r="D133" s="17"/>
    </row>
    <row r="134" spans="4:4">
      <c r="D134" s="17"/>
    </row>
    <row r="135" spans="4:4">
      <c r="D135" s="17"/>
    </row>
    <row r="136" spans="4:4">
      <c r="D136" s="17"/>
    </row>
    <row r="137" spans="4:4">
      <c r="D137" s="17"/>
    </row>
    <row r="138" spans="4:4">
      <c r="D138" s="17"/>
    </row>
    <row r="139" spans="4:4">
      <c r="D139" s="17"/>
    </row>
    <row r="140" spans="4:4">
      <c r="D140" s="17"/>
    </row>
    <row r="141" spans="4:4">
      <c r="D141" s="17"/>
    </row>
    <row r="142" spans="4:4">
      <c r="D142" s="17"/>
    </row>
    <row r="143" spans="4:4">
      <c r="D143" s="17"/>
    </row>
    <row r="144" spans="4:4">
      <c r="D144" s="17"/>
    </row>
    <row r="145" spans="4:4">
      <c r="D145" s="17"/>
    </row>
    <row r="146" spans="4:4">
      <c r="D146" s="17"/>
    </row>
    <row r="147" spans="4:4">
      <c r="D147" s="17"/>
    </row>
    <row r="148" spans="4:4">
      <c r="D148" s="17"/>
    </row>
    <row r="149" spans="4:4">
      <c r="D149" s="17"/>
    </row>
    <row r="150" spans="4:4">
      <c r="D150" s="17"/>
    </row>
    <row r="151" spans="4:4">
      <c r="D151" s="17"/>
    </row>
    <row r="152" spans="4:4">
      <c r="D152" s="17"/>
    </row>
    <row r="153" spans="4:4">
      <c r="D153" s="17"/>
    </row>
    <row r="154" spans="4:4">
      <c r="D154" s="17"/>
    </row>
    <row r="155" spans="4:4">
      <c r="D155" s="17"/>
    </row>
    <row r="156" spans="4:4">
      <c r="D156" s="17"/>
    </row>
    <row r="157" spans="4:4">
      <c r="D157" s="17"/>
    </row>
    <row r="158" spans="4:4">
      <c r="D158" s="17"/>
    </row>
    <row r="159" spans="4:4">
      <c r="D159" s="17"/>
    </row>
    <row r="160" spans="4:4">
      <c r="D160" s="17"/>
    </row>
    <row r="161" spans="2:8">
      <c r="D161" s="17"/>
    </row>
    <row r="162" spans="2:8">
      <c r="D162" s="17"/>
    </row>
    <row r="163" spans="2:8">
      <c r="D163" s="17"/>
    </row>
    <row r="164" spans="2:8">
      <c r="D164" s="17"/>
    </row>
    <row r="165" spans="2:8">
      <c r="D165" s="17"/>
    </row>
    <row r="166" spans="2:8">
      <c r="D166" s="17"/>
    </row>
    <row r="167" spans="2:8">
      <c r="D167" s="17"/>
    </row>
    <row r="168" spans="2:8">
      <c r="D168" s="17"/>
    </row>
    <row r="169" spans="2:8">
      <c r="D169" s="17"/>
    </row>
    <row r="170" spans="2:8">
      <c r="D170" s="17"/>
    </row>
    <row r="171" spans="2:8">
      <c r="B171" s="305"/>
      <c r="D171" s="17"/>
      <c r="H171" s="111"/>
    </row>
    <row r="172" spans="2:8">
      <c r="D172" s="17"/>
    </row>
    <row r="173" spans="2:8">
      <c r="D173" s="17"/>
    </row>
    <row r="174" spans="2:8">
      <c r="D174" s="17"/>
    </row>
    <row r="175" spans="2:8">
      <c r="B175" s="305"/>
      <c r="D175" s="17"/>
      <c r="H175" s="111"/>
    </row>
    <row r="176" spans="2:8">
      <c r="D176" s="17"/>
    </row>
    <row r="177" spans="2:4">
      <c r="B177" s="305"/>
      <c r="D177" s="17"/>
    </row>
    <row r="178" spans="2:4">
      <c r="D178" s="17"/>
    </row>
    <row r="179" spans="2:4">
      <c r="D179" s="17"/>
    </row>
    <row r="180" spans="2:4">
      <c r="D180" s="17"/>
    </row>
    <row r="181" spans="2:4">
      <c r="D181" s="17"/>
    </row>
    <row r="182" spans="2:4">
      <c r="B182" s="305"/>
      <c r="D182" s="17"/>
    </row>
    <row r="183" spans="2:4">
      <c r="D183" s="17"/>
    </row>
    <row r="184" spans="2:4">
      <c r="D184" s="17"/>
    </row>
    <row r="185" spans="2:4">
      <c r="D185" s="17"/>
    </row>
    <row r="186" spans="2:4">
      <c r="D186" s="17"/>
    </row>
    <row r="187" spans="2:4">
      <c r="D187" s="17"/>
    </row>
    <row r="188" spans="2:4">
      <c r="D188" s="17"/>
    </row>
    <row r="189" spans="2:4">
      <c r="D189" s="17"/>
    </row>
    <row r="190" spans="2:4">
      <c r="D190" s="17"/>
    </row>
    <row r="191" spans="2:4">
      <c r="D191" s="17"/>
    </row>
    <row r="192" spans="2:4">
      <c r="D192" s="17"/>
    </row>
    <row r="193" spans="2:4">
      <c r="D193" s="17"/>
    </row>
    <row r="194" spans="2:4">
      <c r="D194" s="17"/>
    </row>
    <row r="195" spans="2:4">
      <c r="B195" s="305"/>
      <c r="D195" s="17"/>
    </row>
    <row r="196" spans="2:4">
      <c r="D196" s="17"/>
    </row>
    <row r="197" spans="2:4">
      <c r="D197" s="17"/>
    </row>
    <row r="198" spans="2:4">
      <c r="D198" s="17"/>
    </row>
    <row r="199" spans="2:4">
      <c r="D199" s="17"/>
    </row>
    <row r="200" spans="2:4">
      <c r="D200" s="17"/>
    </row>
    <row r="201" spans="2:4">
      <c r="D201" s="17"/>
    </row>
    <row r="202" spans="2:4">
      <c r="D202" s="17"/>
    </row>
    <row r="203" spans="2:4">
      <c r="D203" s="17"/>
    </row>
    <row r="204" spans="2:4">
      <c r="D204" s="17"/>
    </row>
    <row r="205" spans="2:4">
      <c r="D205" s="17"/>
    </row>
    <row r="206" spans="2:4">
      <c r="D206" s="17"/>
    </row>
    <row r="207" spans="2:4">
      <c r="D207" s="17"/>
    </row>
    <row r="208" spans="2:4">
      <c r="D208" s="17"/>
    </row>
    <row r="209" spans="4:4">
      <c r="D209" s="17"/>
    </row>
    <row r="210" spans="4:4">
      <c r="D210" s="17"/>
    </row>
    <row r="211" spans="4:4">
      <c r="D211" s="17"/>
    </row>
    <row r="212" spans="4:4">
      <c r="D212" s="17"/>
    </row>
    <row r="213" spans="4:4">
      <c r="D213" s="17"/>
    </row>
    <row r="214" spans="4:4">
      <c r="D214" s="17"/>
    </row>
    <row r="215" spans="4:4">
      <c r="D215" s="17"/>
    </row>
    <row r="216" spans="4:4">
      <c r="D216" s="17"/>
    </row>
    <row r="217" spans="4:4">
      <c r="D217" s="17"/>
    </row>
    <row r="218" spans="4:4">
      <c r="D218" s="17"/>
    </row>
    <row r="219" spans="4:4">
      <c r="D219" s="17"/>
    </row>
    <row r="220" spans="4:4">
      <c r="D220" s="17"/>
    </row>
    <row r="221" spans="4:4">
      <c r="D221" s="17"/>
    </row>
    <row r="222" spans="4:4">
      <c r="D222" s="17"/>
    </row>
    <row r="223" spans="4:4">
      <c r="D223" s="17"/>
    </row>
    <row r="224" spans="4:4">
      <c r="D224" s="17"/>
    </row>
    <row r="225" spans="2:4">
      <c r="D225" s="17"/>
    </row>
    <row r="226" spans="2:4">
      <c r="D226" s="17"/>
    </row>
    <row r="227" spans="2:4">
      <c r="D227" s="17"/>
    </row>
    <row r="228" spans="2:4">
      <c r="D228" s="17"/>
    </row>
    <row r="229" spans="2:4">
      <c r="D229" s="17"/>
    </row>
    <row r="230" spans="2:4">
      <c r="D230" s="17"/>
    </row>
    <row r="231" spans="2:4">
      <c r="D231" s="17"/>
    </row>
    <row r="232" spans="2:4">
      <c r="D232" s="17"/>
    </row>
    <row r="233" spans="2:4">
      <c r="D233" s="17"/>
    </row>
    <row r="234" spans="2:4">
      <c r="B234" s="305"/>
      <c r="D234" s="17"/>
    </row>
    <row r="235" spans="2:4">
      <c r="D235" s="17"/>
    </row>
    <row r="236" spans="2:4">
      <c r="D236" s="17"/>
    </row>
    <row r="237" spans="2:4">
      <c r="D237" s="17"/>
    </row>
    <row r="238" spans="2:4">
      <c r="B238" s="305"/>
      <c r="D238" s="17"/>
    </row>
    <row r="239" spans="2:4">
      <c r="D239" s="17"/>
    </row>
    <row r="240" spans="2:4">
      <c r="D240" s="17"/>
    </row>
    <row r="241" spans="2:8">
      <c r="D241" s="17"/>
    </row>
    <row r="242" spans="2:8">
      <c r="D242" s="17"/>
    </row>
    <row r="243" spans="2:8">
      <c r="B243" s="305"/>
      <c r="D243" s="17"/>
      <c r="H243" s="111"/>
    </row>
    <row r="244" spans="2:8">
      <c r="D244" s="17"/>
    </row>
    <row r="245" spans="2:8">
      <c r="B245" s="305"/>
      <c r="D245" s="17"/>
      <c r="H245" s="111"/>
    </row>
    <row r="246" spans="2:8">
      <c r="B246" s="305"/>
      <c r="D246" s="17"/>
    </row>
    <row r="247" spans="2:8">
      <c r="D247" s="17"/>
    </row>
    <row r="248" spans="2:8">
      <c r="D248" s="17"/>
    </row>
    <row r="249" spans="2:8">
      <c r="D249" s="17"/>
    </row>
    <row r="250" spans="2:8">
      <c r="B250" s="305"/>
      <c r="D250" s="17"/>
      <c r="H250" s="111"/>
    </row>
    <row r="251" spans="2:8">
      <c r="D251" s="17"/>
    </row>
    <row r="252" spans="2:8">
      <c r="D252" s="17"/>
    </row>
    <row r="253" spans="2:8">
      <c r="D253" s="17"/>
    </row>
    <row r="254" spans="2:8">
      <c r="D254" s="17"/>
    </row>
    <row r="255" spans="2:8">
      <c r="D255" s="17"/>
    </row>
    <row r="256" spans="2:8">
      <c r="D256" s="17"/>
    </row>
    <row r="257" spans="4:4">
      <c r="D257" s="17"/>
    </row>
    <row r="258" spans="4:4">
      <c r="D258" s="17"/>
    </row>
    <row r="259" spans="4:4">
      <c r="D259" s="17"/>
    </row>
    <row r="260" spans="4:4">
      <c r="D260" s="17"/>
    </row>
    <row r="261" spans="4:4">
      <c r="D261" s="17"/>
    </row>
    <row r="262" spans="4:4">
      <c r="D262" s="17"/>
    </row>
    <row r="263" spans="4:4">
      <c r="D263" s="17"/>
    </row>
    <row r="264" spans="4:4">
      <c r="D264" s="17"/>
    </row>
    <row r="265" spans="4:4">
      <c r="D265" s="17"/>
    </row>
    <row r="266" spans="4:4">
      <c r="D266" s="17"/>
    </row>
    <row r="267" spans="4:4">
      <c r="D267" s="17"/>
    </row>
    <row r="268" spans="4:4">
      <c r="D268" s="17"/>
    </row>
    <row r="269" spans="4:4">
      <c r="D269" s="17"/>
    </row>
    <row r="270" spans="4:4">
      <c r="D270" s="17"/>
    </row>
    <row r="271" spans="4:4">
      <c r="D271" s="17"/>
    </row>
    <row r="272" spans="4:4">
      <c r="D272" s="17"/>
    </row>
    <row r="273" spans="4:4">
      <c r="D273" s="17"/>
    </row>
    <row r="274" spans="4:4">
      <c r="D274" s="17"/>
    </row>
    <row r="275" spans="4:4">
      <c r="D275" s="17"/>
    </row>
    <row r="276" spans="4:4">
      <c r="D276" s="17"/>
    </row>
    <row r="277" spans="4:4">
      <c r="D277" s="17"/>
    </row>
    <row r="278" spans="4:4">
      <c r="D278" s="17"/>
    </row>
    <row r="279" spans="4:4">
      <c r="D279" s="17"/>
    </row>
    <row r="280" spans="4:4">
      <c r="D280" s="17"/>
    </row>
    <row r="281" spans="4:4">
      <c r="D281" s="17"/>
    </row>
    <row r="282" spans="4:4">
      <c r="D282" s="17"/>
    </row>
    <row r="283" spans="4:4">
      <c r="D283" s="17"/>
    </row>
    <row r="284" spans="4:4">
      <c r="D284" s="17"/>
    </row>
    <row r="285" spans="4:4">
      <c r="D285" s="17"/>
    </row>
    <row r="286" spans="4:4">
      <c r="D286" s="17"/>
    </row>
    <row r="287" spans="4:4">
      <c r="D287" s="17"/>
    </row>
    <row r="288" spans="4:4">
      <c r="D288" s="17"/>
    </row>
    <row r="289" spans="2:4">
      <c r="D289" s="17"/>
    </row>
    <row r="290" spans="2:4">
      <c r="D290" s="17"/>
    </row>
    <row r="291" spans="2:4">
      <c r="D291" s="17"/>
    </row>
    <row r="292" spans="2:4">
      <c r="D292" s="17"/>
    </row>
    <row r="293" spans="2:4">
      <c r="D293" s="17"/>
    </row>
    <row r="294" spans="2:4">
      <c r="D294" s="17"/>
    </row>
    <row r="295" spans="2:4">
      <c r="D295" s="17"/>
    </row>
    <row r="296" spans="2:4">
      <c r="D296" s="17"/>
    </row>
    <row r="297" spans="2:4">
      <c r="D297" s="17"/>
    </row>
    <row r="298" spans="2:4">
      <c r="D298" s="17"/>
    </row>
    <row r="299" spans="2:4">
      <c r="D299" s="17"/>
    </row>
    <row r="300" spans="2:4">
      <c r="D300" s="17"/>
    </row>
    <row r="301" spans="2:4">
      <c r="D301" s="17"/>
    </row>
    <row r="302" spans="2:4">
      <c r="D302" s="17"/>
    </row>
    <row r="303" spans="2:4">
      <c r="B303" s="305"/>
      <c r="D303" s="17"/>
    </row>
    <row r="304" spans="2:4">
      <c r="D304" s="17"/>
    </row>
    <row r="305" spans="2:4">
      <c r="B305" s="305"/>
      <c r="D305" s="17"/>
    </row>
    <row r="306" spans="2:4">
      <c r="B306" s="305"/>
      <c r="D306" s="17"/>
    </row>
    <row r="307" spans="2:4">
      <c r="B307" s="305"/>
      <c r="D307" s="17"/>
    </row>
    <row r="308" spans="2:4">
      <c r="B308" s="305"/>
      <c r="D308" s="17"/>
    </row>
    <row r="309" spans="2:4">
      <c r="B309" s="305"/>
      <c r="D309" s="17"/>
    </row>
    <row r="310" spans="2:4">
      <c r="B310" s="305"/>
      <c r="D310" s="17"/>
    </row>
    <row r="311" spans="2:4">
      <c r="B311" s="305"/>
      <c r="D311" s="17"/>
    </row>
    <row r="312" spans="2:4">
      <c r="D312" s="17"/>
    </row>
    <row r="313" spans="2:4">
      <c r="B313" s="305"/>
      <c r="D313" s="17"/>
    </row>
    <row r="314" spans="2:4">
      <c r="B314" s="305"/>
      <c r="D314" s="17"/>
    </row>
    <row r="315" spans="2:4">
      <c r="D315" s="17"/>
    </row>
    <row r="316" spans="2:4">
      <c r="D316" s="17"/>
    </row>
    <row r="317" spans="2:4">
      <c r="B317" s="305"/>
      <c r="D317" s="17"/>
    </row>
    <row r="318" spans="2:4">
      <c r="D318" s="17"/>
    </row>
    <row r="319" spans="2:4">
      <c r="D319" s="17"/>
    </row>
    <row r="320" spans="2:4">
      <c r="D320" s="17"/>
    </row>
    <row r="321" spans="2:4">
      <c r="D321" s="17"/>
    </row>
    <row r="322" spans="2:4">
      <c r="D322" s="17"/>
    </row>
    <row r="323" spans="2:4">
      <c r="D323" s="17"/>
    </row>
    <row r="324" spans="2:4">
      <c r="D324" s="17"/>
    </row>
    <row r="325" spans="2:4">
      <c r="D325" s="17"/>
    </row>
    <row r="326" spans="2:4">
      <c r="D326" s="17"/>
    </row>
    <row r="327" spans="2:4">
      <c r="D327" s="17"/>
    </row>
    <row r="328" spans="2:4">
      <c r="D328" s="17"/>
    </row>
    <row r="329" spans="2:4">
      <c r="D329" s="17"/>
    </row>
    <row r="330" spans="2:4">
      <c r="D330" s="17"/>
    </row>
    <row r="331" spans="2:4">
      <c r="D331" s="17"/>
    </row>
    <row r="332" spans="2:4">
      <c r="B332" s="305"/>
      <c r="D332" s="17"/>
    </row>
    <row r="333" spans="2:4">
      <c r="D333" s="17"/>
    </row>
    <row r="334" spans="2:4">
      <c r="D334" s="17"/>
    </row>
    <row r="353" spans="4:4">
      <c r="D353" s="17"/>
    </row>
    <row r="354" spans="4:4">
      <c r="D354" s="17"/>
    </row>
    <row r="355" spans="4:4">
      <c r="D355" s="17"/>
    </row>
    <row r="356" spans="4:4">
      <c r="D356" s="17"/>
    </row>
    <row r="357" spans="4:4">
      <c r="D357" s="17"/>
    </row>
    <row r="358" spans="4:4">
      <c r="D358" s="17"/>
    </row>
    <row r="359" spans="4:4">
      <c r="D359" s="17"/>
    </row>
    <row r="360" spans="4:4">
      <c r="D360" s="17"/>
    </row>
    <row r="361" spans="4:4">
      <c r="D361" s="17"/>
    </row>
    <row r="362" spans="4:4">
      <c r="D362" s="17"/>
    </row>
    <row r="363" spans="4:4">
      <c r="D363" s="17"/>
    </row>
    <row r="364" spans="4:4">
      <c r="D364" s="17"/>
    </row>
    <row r="365" spans="4:4">
      <c r="D365" s="17"/>
    </row>
    <row r="366" spans="4:4">
      <c r="D366" s="17"/>
    </row>
    <row r="367" spans="4:4">
      <c r="D367" s="17"/>
    </row>
    <row r="368" spans="4:4">
      <c r="D368" s="17"/>
    </row>
    <row r="369" spans="4:4">
      <c r="D369" s="17"/>
    </row>
    <row r="370" spans="4:4">
      <c r="D370" s="17"/>
    </row>
    <row r="371" spans="4:4">
      <c r="D371" s="17"/>
    </row>
    <row r="372" spans="4:4">
      <c r="D372" s="17"/>
    </row>
  </sheetData>
  <sortState ref="A5:U2703">
    <sortCondition ref="C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R564"/>
  <sheetViews>
    <sheetView workbookViewId="0">
      <selection activeCell="H15" sqref="H15"/>
    </sheetView>
  </sheetViews>
  <sheetFormatPr defaultRowHeight="14.25"/>
  <cols>
    <col min="2" max="2" width="31.86328125" customWidth="1"/>
    <col min="3" max="3" width="10.265625" bestFit="1" customWidth="1"/>
    <col min="6" max="6" width="10.265625" style="29" bestFit="1" customWidth="1"/>
    <col min="8" max="8" width="10.265625" style="29" bestFit="1" customWidth="1"/>
    <col min="9" max="9" width="10.265625" bestFit="1" customWidth="1"/>
    <col min="10" max="10" width="9" customWidth="1"/>
    <col min="11" max="11" width="9" style="29" customWidth="1"/>
    <col min="17" max="18" width="9" style="29" customWidth="1"/>
  </cols>
  <sheetData>
    <row r="1" spans="3:5">
      <c r="C1" s="17"/>
      <c r="E1" s="17"/>
    </row>
    <row r="2" spans="3:5">
      <c r="C2" s="17"/>
      <c r="E2" s="17"/>
    </row>
    <row r="3" spans="3:5">
      <c r="C3" s="17"/>
      <c r="E3" s="17"/>
    </row>
    <row r="4" spans="3:5">
      <c r="C4" s="17"/>
      <c r="E4" s="17"/>
    </row>
    <row r="5" spans="3:5">
      <c r="C5" s="17"/>
      <c r="E5" s="17"/>
    </row>
    <row r="6" spans="3:5">
      <c r="C6" s="17"/>
      <c r="E6" s="17"/>
    </row>
    <row r="7" spans="3:5">
      <c r="C7" s="17"/>
      <c r="E7" s="17"/>
    </row>
    <row r="8" spans="3:5">
      <c r="C8" s="17"/>
      <c r="E8" s="17"/>
    </row>
    <row r="9" spans="3:5">
      <c r="C9" s="17"/>
      <c r="E9" s="17"/>
    </row>
    <row r="10" spans="3:5">
      <c r="C10" s="17"/>
      <c r="E10" s="17"/>
    </row>
    <row r="11" spans="3:5">
      <c r="C11" s="17"/>
      <c r="E11" s="17"/>
    </row>
    <row r="12" spans="3:5">
      <c r="C12" s="17"/>
      <c r="E12" s="17"/>
    </row>
    <row r="13" spans="3:5">
      <c r="C13" s="17"/>
      <c r="E13" s="17"/>
    </row>
    <row r="14" spans="3:5">
      <c r="C14" s="17"/>
      <c r="E14" s="17"/>
    </row>
    <row r="15" spans="3:5">
      <c r="C15" s="17"/>
      <c r="E15" s="17"/>
    </row>
    <row r="16" spans="3:5">
      <c r="C16" s="17"/>
      <c r="E16" s="17"/>
    </row>
    <row r="17" spans="3:5">
      <c r="C17" s="17"/>
      <c r="E17" s="17"/>
    </row>
    <row r="18" spans="3:5">
      <c r="C18" s="17"/>
      <c r="E18" s="17"/>
    </row>
    <row r="19" spans="3:5">
      <c r="C19" s="17"/>
      <c r="E19" s="17"/>
    </row>
    <row r="20" spans="3:5">
      <c r="C20" s="17"/>
      <c r="E20" s="17"/>
    </row>
    <row r="21" spans="3:5">
      <c r="C21" s="17"/>
      <c r="E21" s="17"/>
    </row>
    <row r="22" spans="3:5">
      <c r="C22" s="17"/>
      <c r="E22" s="17"/>
    </row>
    <row r="23" spans="3:5">
      <c r="C23" s="17"/>
      <c r="E23" s="17"/>
    </row>
    <row r="24" spans="3:5">
      <c r="C24" s="17"/>
      <c r="E24" s="17"/>
    </row>
    <row r="25" spans="3:5">
      <c r="C25" s="17"/>
      <c r="E25" s="17"/>
    </row>
    <row r="26" spans="3:5">
      <c r="C26" s="17"/>
      <c r="E26" s="17"/>
    </row>
    <row r="27" spans="3:5">
      <c r="C27" s="17"/>
      <c r="E27" s="17"/>
    </row>
    <row r="28" spans="3:5">
      <c r="C28" s="17"/>
      <c r="E28" s="17"/>
    </row>
    <row r="29" spans="3:5">
      <c r="C29" s="17"/>
      <c r="E29" s="17"/>
    </row>
    <row r="30" spans="3:5">
      <c r="C30" s="17"/>
      <c r="E30" s="17"/>
    </row>
    <row r="31" spans="3:5">
      <c r="C31" s="17"/>
      <c r="E31" s="17"/>
    </row>
    <row r="32" spans="3:5">
      <c r="C32" s="17"/>
      <c r="E32" s="17"/>
    </row>
    <row r="33" spans="3:5">
      <c r="C33" s="17"/>
      <c r="E33" s="17"/>
    </row>
    <row r="34" spans="3:5">
      <c r="C34" s="17"/>
      <c r="E34" s="17"/>
    </row>
    <row r="35" spans="3:5">
      <c r="C35" s="17"/>
      <c r="E35" s="17"/>
    </row>
    <row r="36" spans="3:5">
      <c r="C36" s="17"/>
      <c r="E36" s="17"/>
    </row>
    <row r="37" spans="3:5">
      <c r="C37" s="17"/>
      <c r="E37" s="17"/>
    </row>
    <row r="38" spans="3:5">
      <c r="C38" s="17"/>
      <c r="E38" s="17"/>
    </row>
    <row r="39" spans="3:5">
      <c r="C39" s="17"/>
      <c r="E39" s="17"/>
    </row>
    <row r="40" spans="3:5">
      <c r="C40" s="17"/>
      <c r="E40" s="17"/>
    </row>
    <row r="41" spans="3:5">
      <c r="C41" s="17"/>
      <c r="E41" s="17"/>
    </row>
    <row r="42" spans="3:5">
      <c r="C42" s="17"/>
      <c r="E42" s="17"/>
    </row>
    <row r="43" spans="3:5">
      <c r="C43" s="17"/>
      <c r="E43" s="17"/>
    </row>
    <row r="44" spans="3:5">
      <c r="C44" s="17"/>
      <c r="E44" s="17"/>
    </row>
    <row r="45" spans="3:5">
      <c r="C45" s="17"/>
      <c r="E45" s="17"/>
    </row>
    <row r="46" spans="3:5">
      <c r="C46" s="17"/>
      <c r="E46" s="17"/>
    </row>
    <row r="47" spans="3:5">
      <c r="C47" s="17"/>
      <c r="E47" s="17"/>
    </row>
    <row r="48" spans="3:5">
      <c r="C48" s="17"/>
      <c r="E48" s="17"/>
    </row>
    <row r="49" spans="3:5">
      <c r="C49" s="17"/>
      <c r="E49" s="17"/>
    </row>
    <row r="50" spans="3:5">
      <c r="C50" s="17"/>
      <c r="E50" s="17"/>
    </row>
    <row r="51" spans="3:5">
      <c r="C51" s="17"/>
      <c r="E51" s="17"/>
    </row>
    <row r="52" spans="3:5">
      <c r="C52" s="17"/>
      <c r="E52" s="17"/>
    </row>
    <row r="53" spans="3:5">
      <c r="C53" s="17"/>
      <c r="E53" s="17"/>
    </row>
    <row r="54" spans="3:5">
      <c r="C54" s="17"/>
      <c r="E54" s="17"/>
    </row>
    <row r="55" spans="3:5">
      <c r="C55" s="17"/>
      <c r="E55" s="17"/>
    </row>
    <row r="56" spans="3:5">
      <c r="C56" s="17"/>
      <c r="E56" s="17"/>
    </row>
    <row r="57" spans="3:5">
      <c r="C57" s="17"/>
      <c r="E57" s="17"/>
    </row>
    <row r="58" spans="3:5">
      <c r="C58" s="17"/>
      <c r="E58" s="17"/>
    </row>
    <row r="59" spans="3:5">
      <c r="C59" s="17"/>
      <c r="E59" s="17"/>
    </row>
    <row r="60" spans="3:5">
      <c r="C60" s="17"/>
      <c r="E60" s="17"/>
    </row>
    <row r="61" spans="3:5">
      <c r="C61" s="17"/>
      <c r="E61" s="17"/>
    </row>
    <row r="62" spans="3:5">
      <c r="C62" s="17"/>
      <c r="E62" s="17"/>
    </row>
    <row r="63" spans="3:5">
      <c r="C63" s="17"/>
      <c r="E63" s="17"/>
    </row>
    <row r="64" spans="3:5">
      <c r="C64" s="17"/>
      <c r="E64" s="17"/>
    </row>
    <row r="65" spans="3:5">
      <c r="C65" s="17"/>
      <c r="E65" s="17"/>
    </row>
    <row r="66" spans="3:5">
      <c r="C66" s="17"/>
      <c r="E66" s="17"/>
    </row>
    <row r="67" spans="3:5">
      <c r="C67" s="17"/>
      <c r="E67" s="17"/>
    </row>
    <row r="68" spans="3:5">
      <c r="C68" s="17"/>
      <c r="E68" s="17"/>
    </row>
    <row r="69" spans="3:5">
      <c r="C69" s="17"/>
      <c r="E69" s="17"/>
    </row>
    <row r="70" spans="3:5">
      <c r="C70" s="17"/>
      <c r="E70" s="17"/>
    </row>
    <row r="71" spans="3:5">
      <c r="C71" s="17"/>
      <c r="E71" s="17"/>
    </row>
    <row r="72" spans="3:5">
      <c r="C72" s="17"/>
      <c r="E72" s="17"/>
    </row>
    <row r="73" spans="3:5">
      <c r="C73" s="17"/>
      <c r="E73" s="17"/>
    </row>
    <row r="74" spans="3:5">
      <c r="C74" s="17"/>
      <c r="E74" s="17"/>
    </row>
    <row r="75" spans="3:5">
      <c r="C75" s="17"/>
      <c r="E75" s="17"/>
    </row>
    <row r="76" spans="3:5">
      <c r="C76" s="17"/>
      <c r="E76" s="17"/>
    </row>
    <row r="77" spans="3:5">
      <c r="C77" s="17"/>
      <c r="E77" s="17"/>
    </row>
    <row r="78" spans="3:5">
      <c r="C78" s="17"/>
      <c r="E78" s="17"/>
    </row>
    <row r="79" spans="3:5">
      <c r="C79" s="17"/>
      <c r="E79" s="17"/>
    </row>
    <row r="80" spans="3:5">
      <c r="C80" s="17"/>
      <c r="E80" s="17"/>
    </row>
    <row r="81" spans="3:5">
      <c r="C81" s="17"/>
      <c r="E81" s="17"/>
    </row>
    <row r="82" spans="3:5">
      <c r="C82" s="17"/>
      <c r="E82" s="17"/>
    </row>
    <row r="83" spans="3:5">
      <c r="C83" s="17"/>
      <c r="E83" s="17"/>
    </row>
    <row r="84" spans="3:5">
      <c r="C84" s="17"/>
      <c r="E84" s="17"/>
    </row>
    <row r="85" spans="3:5">
      <c r="C85" s="17"/>
      <c r="E85" s="17"/>
    </row>
    <row r="86" spans="3:5">
      <c r="C86" s="17"/>
      <c r="E86" s="17"/>
    </row>
    <row r="87" spans="3:5">
      <c r="C87" s="17"/>
      <c r="E87" s="17"/>
    </row>
    <row r="88" spans="3:5">
      <c r="C88" s="17"/>
      <c r="E88" s="17"/>
    </row>
    <row r="89" spans="3:5">
      <c r="C89" s="17"/>
      <c r="E89" s="17"/>
    </row>
    <row r="90" spans="3:5">
      <c r="C90" s="17"/>
      <c r="E90" s="17"/>
    </row>
    <row r="91" spans="3:5">
      <c r="C91" s="17"/>
      <c r="E91" s="17"/>
    </row>
    <row r="92" spans="3:5">
      <c r="C92" s="17"/>
      <c r="E92" s="17"/>
    </row>
    <row r="93" spans="3:5">
      <c r="C93" s="17"/>
      <c r="E93" s="17"/>
    </row>
    <row r="94" spans="3:5">
      <c r="C94" s="17"/>
      <c r="E94" s="17"/>
    </row>
    <row r="95" spans="3:5">
      <c r="C95" s="17"/>
      <c r="E95" s="17"/>
    </row>
    <row r="96" spans="3:5">
      <c r="C96" s="17"/>
      <c r="E96" s="17"/>
    </row>
    <row r="97" spans="3:5">
      <c r="C97" s="17"/>
      <c r="E97" s="17"/>
    </row>
    <row r="98" spans="3:5">
      <c r="C98" s="17"/>
      <c r="E98" s="17"/>
    </row>
    <row r="99" spans="3:5">
      <c r="C99" s="17"/>
      <c r="E99" s="17"/>
    </row>
    <row r="100" spans="3:5">
      <c r="C100" s="17"/>
    </row>
    <row r="101" spans="3:5">
      <c r="C101" s="17"/>
      <c r="E101" s="17"/>
    </row>
    <row r="102" spans="3:5">
      <c r="C102" s="17"/>
      <c r="E102" s="17"/>
    </row>
    <row r="103" spans="3:5">
      <c r="C103" s="17"/>
      <c r="E103" s="17"/>
    </row>
    <row r="104" spans="3:5">
      <c r="C104" s="17"/>
      <c r="E104" s="17"/>
    </row>
    <row r="105" spans="3:5">
      <c r="C105" s="17"/>
      <c r="E105" s="17"/>
    </row>
    <row r="106" spans="3:5">
      <c r="C106" s="17"/>
      <c r="E106" s="17"/>
    </row>
    <row r="107" spans="3:5">
      <c r="C107" s="17"/>
      <c r="E107" s="17"/>
    </row>
    <row r="108" spans="3:5">
      <c r="C108" s="17"/>
      <c r="E108" s="17"/>
    </row>
    <row r="109" spans="3:5">
      <c r="C109" s="17"/>
      <c r="E109" s="17"/>
    </row>
    <row r="110" spans="3:5">
      <c r="C110" s="17"/>
      <c r="E110" s="17"/>
    </row>
    <row r="111" spans="3:5">
      <c r="C111" s="17"/>
      <c r="E111" s="17"/>
    </row>
    <row r="112" spans="3:5">
      <c r="C112" s="17"/>
      <c r="E112" s="17"/>
    </row>
    <row r="113" spans="3:5">
      <c r="C113" s="17"/>
      <c r="E113" s="17"/>
    </row>
    <row r="114" spans="3:5">
      <c r="C114" s="17"/>
      <c r="E114" s="17"/>
    </row>
    <row r="115" spans="3:5">
      <c r="C115" s="17"/>
      <c r="E115" s="17"/>
    </row>
    <row r="116" spans="3:5">
      <c r="C116" s="17"/>
      <c r="E116" s="17"/>
    </row>
    <row r="117" spans="3:5">
      <c r="C117" s="17"/>
      <c r="E117" s="17"/>
    </row>
    <row r="118" spans="3:5">
      <c r="C118" s="17"/>
      <c r="E118" s="17"/>
    </row>
    <row r="119" spans="3:5">
      <c r="C119" s="17"/>
      <c r="E119" s="17"/>
    </row>
    <row r="120" spans="3:5">
      <c r="C120" s="17"/>
      <c r="E120" s="17"/>
    </row>
    <row r="121" spans="3:5">
      <c r="C121" s="17"/>
      <c r="E121" s="17"/>
    </row>
    <row r="122" spans="3:5">
      <c r="C122" s="17"/>
      <c r="E122" s="17"/>
    </row>
    <row r="123" spans="3:5">
      <c r="C123" s="17"/>
      <c r="E123" s="17"/>
    </row>
    <row r="124" spans="3:5">
      <c r="C124" s="17"/>
      <c r="E124" s="17"/>
    </row>
    <row r="125" spans="3:5">
      <c r="C125" s="17"/>
      <c r="E125" s="17"/>
    </row>
    <row r="126" spans="3:5">
      <c r="C126" s="17"/>
    </row>
    <row r="127" spans="3:5">
      <c r="C127" s="17"/>
      <c r="E127" s="17"/>
    </row>
    <row r="128" spans="3:5">
      <c r="C128" s="17"/>
      <c r="E128" s="17"/>
    </row>
    <row r="129" spans="3:5">
      <c r="C129" s="17"/>
      <c r="E129" s="17"/>
    </row>
    <row r="130" spans="3:5">
      <c r="C130" s="17"/>
      <c r="E130" s="17"/>
    </row>
    <row r="131" spans="3:5">
      <c r="C131" s="17"/>
      <c r="E131" s="17"/>
    </row>
    <row r="132" spans="3:5">
      <c r="C132" s="17"/>
      <c r="E132" s="17"/>
    </row>
    <row r="133" spans="3:5">
      <c r="C133" s="17"/>
      <c r="E133" s="17"/>
    </row>
    <row r="134" spans="3:5">
      <c r="C134" s="17"/>
      <c r="E134" s="17"/>
    </row>
    <row r="135" spans="3:5">
      <c r="C135" s="17"/>
      <c r="E135" s="17"/>
    </row>
    <row r="136" spans="3:5">
      <c r="C136" s="17"/>
      <c r="E136" s="17"/>
    </row>
    <row r="137" spans="3:5">
      <c r="C137" s="17"/>
      <c r="E137" s="17"/>
    </row>
    <row r="138" spans="3:5">
      <c r="C138" s="17"/>
      <c r="E138" s="17"/>
    </row>
    <row r="139" spans="3:5">
      <c r="C139" s="17"/>
      <c r="E139" s="17"/>
    </row>
    <row r="140" spans="3:5">
      <c r="C140" s="17"/>
      <c r="E140" s="17"/>
    </row>
    <row r="141" spans="3:5">
      <c r="C141" s="17"/>
      <c r="E141" s="17"/>
    </row>
    <row r="142" spans="3:5">
      <c r="C142" s="17"/>
      <c r="E142" s="17"/>
    </row>
    <row r="143" spans="3:5">
      <c r="C143" s="17"/>
      <c r="E143" s="17"/>
    </row>
    <row r="144" spans="3:5">
      <c r="C144" s="17"/>
      <c r="E144" s="17"/>
    </row>
    <row r="145" spans="3:5">
      <c r="C145" s="17"/>
      <c r="E145" s="17"/>
    </row>
    <row r="146" spans="3:5">
      <c r="C146" s="17"/>
      <c r="E146" s="17"/>
    </row>
    <row r="147" spans="3:5">
      <c r="C147" s="17"/>
      <c r="E147" s="17"/>
    </row>
    <row r="148" spans="3:5">
      <c r="C148" s="17"/>
      <c r="E148" s="17"/>
    </row>
    <row r="149" spans="3:5">
      <c r="C149" s="17"/>
      <c r="E149" s="17"/>
    </row>
    <row r="150" spans="3:5">
      <c r="C150" s="17"/>
      <c r="E150" s="17"/>
    </row>
    <row r="151" spans="3:5">
      <c r="C151" s="17"/>
      <c r="E151" s="17"/>
    </row>
    <row r="152" spans="3:5">
      <c r="C152" s="17"/>
      <c r="E152" s="17"/>
    </row>
    <row r="153" spans="3:5">
      <c r="C153" s="17"/>
      <c r="E153" s="17"/>
    </row>
    <row r="154" spans="3:5">
      <c r="C154" s="17"/>
      <c r="E154" s="17"/>
    </row>
    <row r="155" spans="3:5">
      <c r="C155" s="17"/>
      <c r="E155" s="17"/>
    </row>
    <row r="156" spans="3:5">
      <c r="C156" s="17"/>
      <c r="E156" s="17"/>
    </row>
    <row r="157" spans="3:5">
      <c r="C157" s="17"/>
      <c r="E157" s="17"/>
    </row>
    <row r="158" spans="3:5">
      <c r="C158" s="17"/>
    </row>
    <row r="159" spans="3:5">
      <c r="C159" s="17"/>
      <c r="E159" s="17"/>
    </row>
    <row r="160" spans="3:5">
      <c r="C160" s="17"/>
      <c r="E160" s="17"/>
    </row>
    <row r="161" spans="3:5">
      <c r="C161" s="17"/>
      <c r="E161" s="17"/>
    </row>
    <row r="162" spans="3:5">
      <c r="C162" s="17"/>
      <c r="E162" s="17"/>
    </row>
    <row r="163" spans="3:5">
      <c r="C163" s="17"/>
      <c r="E163" s="17"/>
    </row>
    <row r="164" spans="3:5">
      <c r="C164" s="17"/>
      <c r="E164" s="17"/>
    </row>
    <row r="165" spans="3:5">
      <c r="C165" s="17"/>
      <c r="E165" s="17"/>
    </row>
    <row r="166" spans="3:5">
      <c r="C166" s="17"/>
      <c r="E166" s="17"/>
    </row>
    <row r="167" spans="3:5">
      <c r="C167" s="17"/>
      <c r="E167" s="17"/>
    </row>
    <row r="168" spans="3:5">
      <c r="C168" s="17"/>
      <c r="E168" s="17"/>
    </row>
    <row r="169" spans="3:5">
      <c r="C169" s="17"/>
      <c r="E169" s="17"/>
    </row>
    <row r="170" spans="3:5">
      <c r="C170" s="17"/>
      <c r="E170" s="17"/>
    </row>
    <row r="171" spans="3:5">
      <c r="C171" s="17"/>
      <c r="E171" s="17"/>
    </row>
    <row r="172" spans="3:5">
      <c r="C172" s="17"/>
      <c r="E172" s="17"/>
    </row>
    <row r="173" spans="3:5">
      <c r="C173" s="17"/>
      <c r="E173" s="17"/>
    </row>
    <row r="174" spans="3:5">
      <c r="C174" s="17"/>
      <c r="E174" s="17"/>
    </row>
    <row r="175" spans="3:5">
      <c r="C175" s="17"/>
      <c r="E175" s="17"/>
    </row>
    <row r="176" spans="3:5">
      <c r="C176" s="17"/>
      <c r="E176" s="17"/>
    </row>
    <row r="177" spans="3:5">
      <c r="C177" s="17"/>
      <c r="E177" s="17"/>
    </row>
    <row r="178" spans="3:5">
      <c r="C178" s="17"/>
      <c r="E178" s="17"/>
    </row>
    <row r="179" spans="3:5">
      <c r="C179" s="17"/>
      <c r="E179" s="17"/>
    </row>
    <row r="180" spans="3:5">
      <c r="C180" s="17"/>
      <c r="E180" s="17"/>
    </row>
    <row r="181" spans="3:5">
      <c r="C181" s="17"/>
      <c r="E181" s="17"/>
    </row>
    <row r="182" spans="3:5">
      <c r="C182" s="17"/>
      <c r="E182" s="17"/>
    </row>
    <row r="183" spans="3:5">
      <c r="C183" s="17"/>
      <c r="E183" s="17"/>
    </row>
    <row r="184" spans="3:5">
      <c r="C184" s="17"/>
      <c r="E184" s="17"/>
    </row>
    <row r="185" spans="3:5">
      <c r="C185" s="17"/>
      <c r="E185" s="17"/>
    </row>
    <row r="186" spans="3:5">
      <c r="C186" s="17"/>
      <c r="E186" s="17"/>
    </row>
    <row r="187" spans="3:5">
      <c r="C187" s="17"/>
      <c r="E187" s="17"/>
    </row>
    <row r="188" spans="3:5">
      <c r="C188" s="17"/>
      <c r="E188" s="17"/>
    </row>
    <row r="189" spans="3:5">
      <c r="C189" s="17"/>
      <c r="E189" s="17"/>
    </row>
    <row r="190" spans="3:5">
      <c r="C190" s="17"/>
      <c r="E190" s="17"/>
    </row>
    <row r="191" spans="3:5">
      <c r="C191" s="17"/>
      <c r="E191" s="17"/>
    </row>
    <row r="192" spans="3:5">
      <c r="C192" s="17"/>
      <c r="E192" s="17"/>
    </row>
    <row r="193" spans="3:5">
      <c r="C193" s="17"/>
      <c r="E193" s="17"/>
    </row>
    <row r="194" spans="3:5">
      <c r="C194" s="17"/>
      <c r="E194" s="17"/>
    </row>
    <row r="195" spans="3:5">
      <c r="C195" s="17"/>
      <c r="E195" s="17"/>
    </row>
    <row r="196" spans="3:5">
      <c r="C196" s="17"/>
    </row>
    <row r="197" spans="3:5">
      <c r="C197" s="17"/>
      <c r="E197" s="17"/>
    </row>
    <row r="198" spans="3:5">
      <c r="C198" s="17"/>
      <c r="E198" s="17"/>
    </row>
    <row r="199" spans="3:5">
      <c r="C199" s="17"/>
      <c r="E199" s="17"/>
    </row>
    <row r="200" spans="3:5">
      <c r="C200" s="17"/>
      <c r="E200" s="17"/>
    </row>
    <row r="201" spans="3:5">
      <c r="C201" s="17"/>
      <c r="E201" s="17"/>
    </row>
    <row r="202" spans="3:5">
      <c r="C202" s="17"/>
    </row>
    <row r="203" spans="3:5">
      <c r="C203" s="17"/>
      <c r="E203" s="17"/>
    </row>
    <row r="204" spans="3:5">
      <c r="C204" s="17"/>
      <c r="E204" s="17"/>
    </row>
    <row r="205" spans="3:5">
      <c r="C205" s="17"/>
      <c r="E205" s="17"/>
    </row>
    <row r="206" spans="3:5">
      <c r="C206" s="17"/>
      <c r="E206" s="17"/>
    </row>
    <row r="207" spans="3:5">
      <c r="C207" s="17"/>
      <c r="E207" s="17"/>
    </row>
    <row r="208" spans="3:5">
      <c r="C208" s="17"/>
      <c r="E208" s="17"/>
    </row>
    <row r="209" spans="3:5">
      <c r="C209" s="17"/>
      <c r="E209" s="17"/>
    </row>
    <row r="210" spans="3:5">
      <c r="C210" s="17"/>
      <c r="E210" s="17"/>
    </row>
    <row r="211" spans="3:5">
      <c r="C211" s="17"/>
      <c r="E211" s="17"/>
    </row>
    <row r="212" spans="3:5">
      <c r="C212" s="17"/>
      <c r="E212" s="17"/>
    </row>
    <row r="213" spans="3:5">
      <c r="C213" s="17"/>
      <c r="E213" s="17"/>
    </row>
    <row r="214" spans="3:5">
      <c r="C214" s="17"/>
      <c r="E214" s="17"/>
    </row>
    <row r="215" spans="3:5">
      <c r="C215" s="17"/>
      <c r="E215" s="17"/>
    </row>
    <row r="216" spans="3:5">
      <c r="C216" s="17"/>
      <c r="E216" s="17"/>
    </row>
    <row r="217" spans="3:5">
      <c r="C217" s="17"/>
      <c r="E217" s="17"/>
    </row>
    <row r="218" spans="3:5">
      <c r="C218" s="17"/>
      <c r="E218" s="17"/>
    </row>
    <row r="219" spans="3:5">
      <c r="C219" s="17"/>
      <c r="E219" s="17"/>
    </row>
    <row r="220" spans="3:5">
      <c r="C220" s="17"/>
      <c r="E220" s="17"/>
    </row>
    <row r="221" spans="3:5">
      <c r="C221" s="17"/>
      <c r="E221" s="17"/>
    </row>
    <row r="222" spans="3:5">
      <c r="C222" s="17"/>
      <c r="E222" s="17"/>
    </row>
    <row r="223" spans="3:5">
      <c r="C223" s="17"/>
      <c r="E223" s="17"/>
    </row>
    <row r="224" spans="3:5">
      <c r="C224" s="17"/>
      <c r="E224" s="17"/>
    </row>
    <row r="225" spans="3:5">
      <c r="C225" s="17"/>
      <c r="E225" s="17"/>
    </row>
    <row r="226" spans="3:5">
      <c r="C226" s="17"/>
      <c r="E226" s="17"/>
    </row>
    <row r="227" spans="3:5">
      <c r="C227" s="17"/>
      <c r="E227" s="17"/>
    </row>
    <row r="228" spans="3:5">
      <c r="C228" s="17"/>
      <c r="E228" s="17"/>
    </row>
    <row r="229" spans="3:5">
      <c r="C229" s="17"/>
      <c r="E229" s="17"/>
    </row>
    <row r="230" spans="3:5">
      <c r="C230" s="17"/>
      <c r="E230" s="17"/>
    </row>
    <row r="231" spans="3:5">
      <c r="C231" s="17"/>
      <c r="E231" s="17"/>
    </row>
    <row r="232" spans="3:5">
      <c r="C232" s="17"/>
      <c r="E232" s="17"/>
    </row>
    <row r="233" spans="3:5">
      <c r="C233" s="17"/>
      <c r="E233" s="17"/>
    </row>
    <row r="234" spans="3:5">
      <c r="C234" s="17"/>
      <c r="E234" s="17"/>
    </row>
    <row r="235" spans="3:5">
      <c r="C235" s="17"/>
      <c r="E235" s="17"/>
    </row>
    <row r="236" spans="3:5">
      <c r="C236" s="17"/>
      <c r="E236" s="17"/>
    </row>
    <row r="237" spans="3:5">
      <c r="C237" s="17"/>
      <c r="E237" s="17"/>
    </row>
    <row r="238" spans="3:5">
      <c r="C238" s="17"/>
      <c r="E238" s="17"/>
    </row>
    <row r="239" spans="3:5">
      <c r="C239" s="17"/>
      <c r="E239" s="17"/>
    </row>
    <row r="240" spans="3:5">
      <c r="C240" s="17"/>
      <c r="E240" s="17"/>
    </row>
    <row r="241" spans="3:5">
      <c r="C241" s="17"/>
      <c r="E241" s="17"/>
    </row>
    <row r="242" spans="3:5">
      <c r="C242" s="17"/>
      <c r="E242" s="17"/>
    </row>
    <row r="243" spans="3:5">
      <c r="C243" s="17"/>
      <c r="E243" s="17"/>
    </row>
    <row r="244" spans="3:5">
      <c r="C244" s="17"/>
      <c r="E244" s="17"/>
    </row>
    <row r="245" spans="3:5">
      <c r="C245" s="17"/>
      <c r="E245" s="17"/>
    </row>
    <row r="246" spans="3:5">
      <c r="C246" s="17"/>
      <c r="E246" s="17"/>
    </row>
    <row r="247" spans="3:5">
      <c r="C247" s="17"/>
      <c r="E247" s="17"/>
    </row>
    <row r="248" spans="3:5">
      <c r="C248" s="17"/>
      <c r="E248" s="17"/>
    </row>
    <row r="249" spans="3:5">
      <c r="C249" s="17"/>
      <c r="E249" s="17"/>
    </row>
    <row r="250" spans="3:5">
      <c r="C250" s="17"/>
      <c r="E250" s="17"/>
    </row>
    <row r="251" spans="3:5">
      <c r="C251" s="17"/>
      <c r="E251" s="17"/>
    </row>
    <row r="252" spans="3:5">
      <c r="C252" s="17"/>
      <c r="E252" s="17"/>
    </row>
    <row r="253" spans="3:5">
      <c r="C253" s="17"/>
      <c r="E253" s="17"/>
    </row>
    <row r="254" spans="3:5">
      <c r="C254" s="17"/>
      <c r="E254" s="17"/>
    </row>
    <row r="255" spans="3:5">
      <c r="C255" s="17"/>
      <c r="E255" s="17"/>
    </row>
    <row r="256" spans="3:5">
      <c r="C256" s="17"/>
      <c r="E256" s="17"/>
    </row>
    <row r="257" spans="3:5">
      <c r="C257" s="17"/>
      <c r="E257" s="17"/>
    </row>
    <row r="258" spans="3:5">
      <c r="C258" s="17"/>
      <c r="E258" s="17"/>
    </row>
    <row r="259" spans="3:5">
      <c r="C259" s="17"/>
      <c r="E259" s="17"/>
    </row>
    <row r="260" spans="3:5">
      <c r="C260" s="17"/>
      <c r="E260" s="17"/>
    </row>
    <row r="261" spans="3:5">
      <c r="C261" s="17"/>
    </row>
    <row r="262" spans="3:5">
      <c r="C262" s="17"/>
      <c r="E262" s="17"/>
    </row>
    <row r="263" spans="3:5">
      <c r="C263" s="17"/>
      <c r="E263" s="17"/>
    </row>
    <row r="264" spans="3:5">
      <c r="C264" s="17"/>
      <c r="E264" s="17"/>
    </row>
    <row r="265" spans="3:5">
      <c r="C265" s="17"/>
      <c r="E265" s="17"/>
    </row>
    <row r="266" spans="3:5">
      <c r="C266" s="17"/>
      <c r="E266" s="17"/>
    </row>
    <row r="267" spans="3:5">
      <c r="C267" s="17"/>
      <c r="E267" s="17"/>
    </row>
    <row r="268" spans="3:5">
      <c r="C268" s="17"/>
      <c r="E268" s="17"/>
    </row>
    <row r="269" spans="3:5">
      <c r="C269" s="17"/>
      <c r="E269" s="17"/>
    </row>
    <row r="270" spans="3:5">
      <c r="C270" s="17"/>
      <c r="E270" s="17"/>
    </row>
    <row r="271" spans="3:5">
      <c r="C271" s="17"/>
      <c r="E271" s="17"/>
    </row>
    <row r="272" spans="3:5">
      <c r="C272" s="17"/>
      <c r="E272" s="17"/>
    </row>
    <row r="273" spans="3:5">
      <c r="C273" s="17"/>
      <c r="E273" s="17"/>
    </row>
    <row r="274" spans="3:5">
      <c r="C274" s="17"/>
      <c r="E274" s="17"/>
    </row>
    <row r="275" spans="3:5">
      <c r="C275" s="17"/>
      <c r="E275" s="17"/>
    </row>
    <row r="276" spans="3:5">
      <c r="C276" s="17"/>
      <c r="E276" s="17"/>
    </row>
    <row r="277" spans="3:5">
      <c r="C277" s="17"/>
      <c r="E277" s="17"/>
    </row>
    <row r="278" spans="3:5">
      <c r="C278" s="17"/>
      <c r="E278" s="17"/>
    </row>
    <row r="279" spans="3:5">
      <c r="C279" s="17"/>
      <c r="E279" s="17"/>
    </row>
    <row r="280" spans="3:5">
      <c r="C280" s="17"/>
      <c r="E280" s="17"/>
    </row>
    <row r="281" spans="3:5">
      <c r="C281" s="17"/>
      <c r="E281" s="17"/>
    </row>
    <row r="282" spans="3:5">
      <c r="C282" s="17"/>
    </row>
    <row r="283" spans="3:5">
      <c r="C283" s="17"/>
      <c r="E283" s="17"/>
    </row>
    <row r="284" spans="3:5">
      <c r="C284" s="17"/>
      <c r="E284" s="17"/>
    </row>
    <row r="285" spans="3:5">
      <c r="C285" s="17"/>
      <c r="E285" s="17"/>
    </row>
    <row r="286" spans="3:5">
      <c r="C286" s="17"/>
      <c r="E286" s="17"/>
    </row>
    <row r="287" spans="3:5">
      <c r="C287" s="17"/>
      <c r="E287" s="17"/>
    </row>
    <row r="288" spans="3:5">
      <c r="C288" s="17"/>
      <c r="E288" s="17"/>
    </row>
    <row r="289" spans="3:5">
      <c r="C289" s="17"/>
      <c r="E289" s="17"/>
    </row>
    <row r="290" spans="3:5">
      <c r="C290" s="17"/>
    </row>
    <row r="291" spans="3:5">
      <c r="C291" s="17"/>
      <c r="E291" s="17"/>
    </row>
    <row r="292" spans="3:5">
      <c r="C292" s="17"/>
      <c r="E292" s="17"/>
    </row>
    <row r="293" spans="3:5">
      <c r="C293" s="17"/>
      <c r="E293" s="17"/>
    </row>
    <row r="294" spans="3:5">
      <c r="C294" s="17"/>
      <c r="E294" s="17"/>
    </row>
    <row r="295" spans="3:5">
      <c r="C295" s="17"/>
      <c r="E295" s="17"/>
    </row>
    <row r="296" spans="3:5">
      <c r="C296" s="17"/>
      <c r="E296" s="17"/>
    </row>
    <row r="297" spans="3:5">
      <c r="C297" s="17"/>
      <c r="E297" s="17"/>
    </row>
    <row r="298" spans="3:5">
      <c r="C298" s="17"/>
      <c r="E298" s="17"/>
    </row>
    <row r="299" spans="3:5">
      <c r="C299" s="17"/>
      <c r="E299" s="17"/>
    </row>
    <row r="300" spans="3:5">
      <c r="C300" s="17"/>
      <c r="E300" s="17"/>
    </row>
    <row r="301" spans="3:5">
      <c r="C301" s="17"/>
      <c r="E301" s="17"/>
    </row>
    <row r="302" spans="3:5">
      <c r="C302" s="17"/>
    </row>
    <row r="303" spans="3:5">
      <c r="C303" s="17"/>
      <c r="E303" s="17"/>
    </row>
    <row r="304" spans="3:5">
      <c r="C304" s="17"/>
      <c r="E304" s="17"/>
    </row>
    <row r="305" spans="3:5">
      <c r="C305" s="17"/>
      <c r="E305" s="17"/>
    </row>
    <row r="306" spans="3:5">
      <c r="C306" s="17"/>
      <c r="E306" s="17"/>
    </row>
    <row r="307" spans="3:5">
      <c r="C307" s="17"/>
      <c r="E307" s="17"/>
    </row>
    <row r="308" spans="3:5">
      <c r="C308" s="17"/>
    </row>
    <row r="309" spans="3:5">
      <c r="C309" s="17"/>
      <c r="E309" s="17"/>
    </row>
    <row r="310" spans="3:5">
      <c r="C310" s="17"/>
      <c r="E310" s="17"/>
    </row>
    <row r="311" spans="3:5">
      <c r="C311" s="17"/>
      <c r="E311" s="17"/>
    </row>
    <row r="312" spans="3:5">
      <c r="C312" s="17"/>
      <c r="E312" s="17"/>
    </row>
    <row r="313" spans="3:5">
      <c r="C313" s="17"/>
      <c r="E313" s="17"/>
    </row>
    <row r="314" spans="3:5">
      <c r="C314" s="17"/>
      <c r="E314" s="17"/>
    </row>
    <row r="315" spans="3:5">
      <c r="C315" s="17"/>
      <c r="E315" s="17"/>
    </row>
    <row r="316" spans="3:5">
      <c r="C316" s="17"/>
      <c r="E316" s="17"/>
    </row>
    <row r="317" spans="3:5">
      <c r="C317" s="17"/>
      <c r="E317" s="17"/>
    </row>
    <row r="318" spans="3:5">
      <c r="C318" s="17"/>
      <c r="E318" s="17"/>
    </row>
    <row r="319" spans="3:5">
      <c r="C319" s="17"/>
      <c r="E319" s="17"/>
    </row>
    <row r="320" spans="3:5">
      <c r="C320" s="17"/>
    </row>
    <row r="321" spans="3:5">
      <c r="C321" s="17"/>
      <c r="E321" s="17"/>
    </row>
    <row r="322" spans="3:5">
      <c r="C322" s="17"/>
      <c r="E322" s="17"/>
    </row>
    <row r="323" spans="3:5">
      <c r="C323" s="17"/>
      <c r="E323" s="17"/>
    </row>
    <row r="324" spans="3:5">
      <c r="C324" s="17"/>
    </row>
    <row r="325" spans="3:5">
      <c r="C325" s="17"/>
      <c r="E325" s="17"/>
    </row>
    <row r="326" spans="3:5">
      <c r="C326" s="17"/>
      <c r="E326" s="17"/>
    </row>
    <row r="327" spans="3:5">
      <c r="C327" s="17"/>
      <c r="E327" s="17"/>
    </row>
    <row r="328" spans="3:5">
      <c r="C328" s="17"/>
      <c r="E328" s="17"/>
    </row>
    <row r="329" spans="3:5">
      <c r="C329" s="17"/>
      <c r="E329" s="17"/>
    </row>
    <row r="330" spans="3:5">
      <c r="C330" s="17"/>
      <c r="E330" s="17"/>
    </row>
    <row r="331" spans="3:5">
      <c r="C331" s="17"/>
      <c r="E331" s="17"/>
    </row>
    <row r="332" spans="3:5">
      <c r="C332" s="17"/>
      <c r="E332" s="17"/>
    </row>
    <row r="333" spans="3:5">
      <c r="C333" s="17"/>
      <c r="E333" s="17"/>
    </row>
    <row r="334" spans="3:5">
      <c r="C334" s="17"/>
      <c r="E334" s="17"/>
    </row>
    <row r="335" spans="3:5">
      <c r="C335" s="17"/>
      <c r="E335" s="17"/>
    </row>
    <row r="336" spans="3:5">
      <c r="C336" s="17"/>
      <c r="E336" s="17"/>
    </row>
    <row r="337" spans="3:5">
      <c r="C337" s="17"/>
      <c r="E337" s="17"/>
    </row>
    <row r="338" spans="3:5">
      <c r="C338" s="17"/>
      <c r="E338" s="17"/>
    </row>
    <row r="339" spans="3:5">
      <c r="C339" s="17"/>
      <c r="E339" s="17"/>
    </row>
    <row r="340" spans="3:5">
      <c r="C340" s="17"/>
      <c r="E340" s="17"/>
    </row>
    <row r="341" spans="3:5">
      <c r="C341" s="17"/>
      <c r="E341" s="17"/>
    </row>
    <row r="342" spans="3:5">
      <c r="C342" s="17"/>
      <c r="E342" s="17"/>
    </row>
    <row r="343" spans="3:5">
      <c r="C343" s="17"/>
      <c r="E343" s="17"/>
    </row>
    <row r="344" spans="3:5">
      <c r="C344" s="17"/>
    </row>
    <row r="345" spans="3:5">
      <c r="C345" s="17"/>
      <c r="E345" s="17"/>
    </row>
    <row r="346" spans="3:5">
      <c r="C346" s="17"/>
      <c r="E346" s="17"/>
    </row>
    <row r="347" spans="3:5">
      <c r="C347" s="17"/>
      <c r="E347" s="17"/>
    </row>
    <row r="348" spans="3:5">
      <c r="C348" s="17"/>
      <c r="E348" s="17"/>
    </row>
    <row r="349" spans="3:5">
      <c r="C349" s="17"/>
      <c r="E349" s="17"/>
    </row>
    <row r="350" spans="3:5">
      <c r="C350" s="17"/>
      <c r="E350" s="17"/>
    </row>
    <row r="351" spans="3:5">
      <c r="C351" s="17"/>
      <c r="E351" s="17"/>
    </row>
    <row r="352" spans="3:5">
      <c r="C352" s="17"/>
      <c r="E352" s="17"/>
    </row>
    <row r="353" spans="3:5">
      <c r="C353" s="17"/>
      <c r="E353" s="17"/>
    </row>
    <row r="354" spans="3:5">
      <c r="C354" s="17"/>
      <c r="E354" s="17"/>
    </row>
    <row r="355" spans="3:5">
      <c r="C355" s="17"/>
      <c r="E355" s="17"/>
    </row>
    <row r="356" spans="3:5">
      <c r="C356" s="17"/>
      <c r="E356" s="17"/>
    </row>
    <row r="357" spans="3:5">
      <c r="C357" s="17"/>
      <c r="E357" s="17"/>
    </row>
    <row r="358" spans="3:5">
      <c r="C358" s="17"/>
    </row>
    <row r="359" spans="3:5">
      <c r="C359" s="17"/>
      <c r="E359" s="17"/>
    </row>
    <row r="360" spans="3:5">
      <c r="C360" s="17"/>
      <c r="E360" s="17"/>
    </row>
    <row r="361" spans="3:5">
      <c r="C361" s="17"/>
      <c r="E361" s="17"/>
    </row>
    <row r="362" spans="3:5">
      <c r="C362" s="17"/>
    </row>
    <row r="363" spans="3:5">
      <c r="C363" s="17"/>
      <c r="E363" s="17"/>
    </row>
    <row r="364" spans="3:5">
      <c r="C364" s="17"/>
      <c r="E364" s="17"/>
    </row>
    <row r="365" spans="3:5">
      <c r="C365" s="17"/>
      <c r="E365" s="17"/>
    </row>
    <row r="366" spans="3:5">
      <c r="C366" s="17"/>
      <c r="E366" s="17"/>
    </row>
    <row r="367" spans="3:5">
      <c r="C367" s="17"/>
      <c r="E367" s="17"/>
    </row>
    <row r="368" spans="3:5">
      <c r="C368" s="17"/>
      <c r="E368" s="17"/>
    </row>
    <row r="369" spans="3:5">
      <c r="C369" s="17"/>
    </row>
    <row r="370" spans="3:5">
      <c r="C370" s="17"/>
      <c r="E370" s="17"/>
    </row>
    <row r="371" spans="3:5">
      <c r="C371" s="17"/>
      <c r="E371" s="17"/>
    </row>
    <row r="372" spans="3:5">
      <c r="C372" s="17"/>
      <c r="E372" s="17"/>
    </row>
    <row r="373" spans="3:5">
      <c r="C373" s="17"/>
      <c r="E373" s="17"/>
    </row>
    <row r="374" spans="3:5">
      <c r="C374" s="17"/>
      <c r="E374" s="17"/>
    </row>
    <row r="375" spans="3:5">
      <c r="C375" s="17"/>
      <c r="E375" s="17"/>
    </row>
    <row r="376" spans="3:5">
      <c r="C376" s="17"/>
      <c r="E376" s="17"/>
    </row>
    <row r="377" spans="3:5">
      <c r="C377" s="17"/>
      <c r="E377" s="17"/>
    </row>
    <row r="378" spans="3:5">
      <c r="C378" s="17"/>
      <c r="E378" s="17"/>
    </row>
    <row r="379" spans="3:5">
      <c r="C379" s="17"/>
      <c r="E379" s="17"/>
    </row>
    <row r="380" spans="3:5">
      <c r="C380" s="17"/>
      <c r="E380" s="17"/>
    </row>
    <row r="381" spans="3:5">
      <c r="C381" s="17"/>
    </row>
    <row r="382" spans="3:5">
      <c r="C382" s="17"/>
      <c r="E382" s="17"/>
    </row>
    <row r="383" spans="3:5">
      <c r="C383" s="17"/>
      <c r="E383" s="17"/>
    </row>
    <row r="384" spans="3:5">
      <c r="C384" s="17"/>
    </row>
    <row r="385" spans="3:5">
      <c r="C385" s="17"/>
      <c r="E385" s="17"/>
    </row>
    <row r="386" spans="3:5">
      <c r="C386" s="17"/>
      <c r="E386" s="17"/>
    </row>
    <row r="387" spans="3:5">
      <c r="C387" s="17"/>
      <c r="E387" s="17"/>
    </row>
    <row r="388" spans="3:5">
      <c r="C388" s="17"/>
      <c r="E388" s="17"/>
    </row>
    <row r="389" spans="3:5">
      <c r="C389" s="17"/>
      <c r="E389" s="17"/>
    </row>
    <row r="390" spans="3:5">
      <c r="C390" s="17"/>
      <c r="E390" s="17"/>
    </row>
    <row r="391" spans="3:5">
      <c r="C391" s="17"/>
      <c r="E391" s="17"/>
    </row>
    <row r="392" spans="3:5">
      <c r="C392" s="17"/>
    </row>
    <row r="393" spans="3:5">
      <c r="C393" s="17"/>
    </row>
    <row r="394" spans="3:5">
      <c r="C394" s="17"/>
    </row>
    <row r="395" spans="3:5">
      <c r="C395" s="17"/>
      <c r="E395" s="17"/>
    </row>
    <row r="396" spans="3:5">
      <c r="C396" s="17"/>
    </row>
    <row r="397" spans="3:5">
      <c r="C397" s="17"/>
      <c r="E397" s="17"/>
    </row>
    <row r="398" spans="3:5">
      <c r="C398" s="17"/>
    </row>
    <row r="399" spans="3:5">
      <c r="C399" s="17"/>
    </row>
    <row r="400" spans="3:5">
      <c r="C400" s="17"/>
      <c r="E400" s="17"/>
    </row>
    <row r="401" spans="3:5">
      <c r="C401" s="17"/>
      <c r="E401" s="17"/>
    </row>
    <row r="402" spans="3:5">
      <c r="C402" s="17"/>
      <c r="E402" s="17"/>
    </row>
    <row r="403" spans="3:5">
      <c r="C403" s="17"/>
      <c r="E403" s="17"/>
    </row>
    <row r="404" spans="3:5">
      <c r="C404" s="17"/>
    </row>
    <row r="405" spans="3:5">
      <c r="C405" s="17"/>
    </row>
    <row r="406" spans="3:5">
      <c r="C406" s="17"/>
    </row>
    <row r="407" spans="3:5">
      <c r="C407" s="17"/>
      <c r="E407" s="17"/>
    </row>
    <row r="408" spans="3:5">
      <c r="C408" s="17"/>
      <c r="E408" s="17"/>
    </row>
    <row r="409" spans="3:5">
      <c r="C409" s="17"/>
      <c r="E409" s="17"/>
    </row>
    <row r="410" spans="3:5">
      <c r="C410" s="17"/>
      <c r="E410" s="17"/>
    </row>
    <row r="411" spans="3:5">
      <c r="C411" s="17"/>
      <c r="E411" s="17"/>
    </row>
    <row r="412" spans="3:5">
      <c r="C412" s="17"/>
      <c r="E412" s="17"/>
    </row>
    <row r="413" spans="3:5">
      <c r="C413" s="17"/>
      <c r="E413" s="17"/>
    </row>
    <row r="414" spans="3:5">
      <c r="C414" s="17"/>
    </row>
    <row r="415" spans="3:5">
      <c r="C415" s="17"/>
      <c r="E415" s="17"/>
    </row>
    <row r="416" spans="3:5">
      <c r="C416" s="17"/>
      <c r="E416" s="17"/>
    </row>
    <row r="417" spans="3:5">
      <c r="C417" s="17"/>
    </row>
    <row r="418" spans="3:5">
      <c r="C418" s="17"/>
      <c r="E418" s="17"/>
    </row>
    <row r="419" spans="3:5">
      <c r="C419" s="17"/>
      <c r="E419" s="17"/>
    </row>
    <row r="420" spans="3:5">
      <c r="C420" s="17"/>
      <c r="E420" s="17"/>
    </row>
    <row r="421" spans="3:5">
      <c r="C421" s="17"/>
      <c r="E421" s="17"/>
    </row>
    <row r="422" spans="3:5">
      <c r="C422" s="17"/>
      <c r="E422" s="17"/>
    </row>
    <row r="423" spans="3:5">
      <c r="C423" s="17"/>
      <c r="E423" s="17"/>
    </row>
    <row r="424" spans="3:5">
      <c r="C424" s="17"/>
      <c r="E424" s="17"/>
    </row>
    <row r="425" spans="3:5">
      <c r="C425" s="17"/>
      <c r="E425" s="17"/>
    </row>
    <row r="426" spans="3:5">
      <c r="C426" s="17"/>
      <c r="E426" s="17"/>
    </row>
    <row r="427" spans="3:5">
      <c r="C427" s="17"/>
      <c r="E427" s="17"/>
    </row>
    <row r="428" spans="3:5">
      <c r="C428" s="17"/>
      <c r="E428" s="17"/>
    </row>
    <row r="429" spans="3:5">
      <c r="C429" s="17"/>
      <c r="E429" s="17"/>
    </row>
    <row r="430" spans="3:5">
      <c r="C430" s="17"/>
      <c r="E430" s="17"/>
    </row>
    <row r="431" spans="3:5">
      <c r="C431" s="17"/>
      <c r="E431" s="17"/>
    </row>
    <row r="432" spans="3:5">
      <c r="C432" s="17"/>
      <c r="E432" s="17"/>
    </row>
    <row r="433" spans="3:5">
      <c r="C433" s="17"/>
      <c r="E433" s="17"/>
    </row>
    <row r="434" spans="3:5">
      <c r="C434" s="17"/>
      <c r="E434" s="17"/>
    </row>
    <row r="435" spans="3:5">
      <c r="C435" s="17"/>
      <c r="E435" s="17"/>
    </row>
    <row r="436" spans="3:5">
      <c r="C436" s="17"/>
      <c r="E436" s="17"/>
    </row>
    <row r="437" spans="3:5">
      <c r="C437" s="17"/>
      <c r="E437" s="17"/>
    </row>
    <row r="438" spans="3:5">
      <c r="C438" s="17"/>
      <c r="E438" s="17"/>
    </row>
    <row r="439" spans="3:5">
      <c r="C439" s="17"/>
      <c r="E439" s="17"/>
    </row>
    <row r="440" spans="3:5">
      <c r="C440" s="17"/>
      <c r="E440" s="17"/>
    </row>
    <row r="441" spans="3:5">
      <c r="C441" s="17"/>
      <c r="E441" s="17"/>
    </row>
    <row r="442" spans="3:5">
      <c r="C442" s="17"/>
      <c r="E442" s="17"/>
    </row>
    <row r="443" spans="3:5">
      <c r="C443" s="17"/>
      <c r="E443" s="17"/>
    </row>
    <row r="444" spans="3:5">
      <c r="C444" s="17"/>
      <c r="E444" s="17"/>
    </row>
    <row r="445" spans="3:5">
      <c r="C445" s="17"/>
      <c r="E445" s="17"/>
    </row>
    <row r="446" spans="3:5">
      <c r="C446" s="17"/>
      <c r="E446" s="17"/>
    </row>
    <row r="447" spans="3:5">
      <c r="C447" s="17"/>
      <c r="E447" s="17"/>
    </row>
    <row r="448" spans="3:5">
      <c r="C448" s="17"/>
      <c r="E448" s="17"/>
    </row>
    <row r="449" spans="3:5">
      <c r="C449" s="17"/>
      <c r="E449" s="17"/>
    </row>
    <row r="450" spans="3:5">
      <c r="C450" s="17"/>
      <c r="E450" s="17"/>
    </row>
    <row r="451" spans="3:5">
      <c r="C451" s="17"/>
      <c r="E451" s="17"/>
    </row>
    <row r="452" spans="3:5">
      <c r="C452" s="17"/>
      <c r="E452" s="17"/>
    </row>
    <row r="453" spans="3:5">
      <c r="C453" s="17"/>
      <c r="E453" s="17"/>
    </row>
    <row r="454" spans="3:5">
      <c r="C454" s="17"/>
      <c r="E454" s="17"/>
    </row>
    <row r="455" spans="3:5">
      <c r="C455" s="17"/>
      <c r="E455" s="17"/>
    </row>
    <row r="456" spans="3:5">
      <c r="C456" s="17"/>
      <c r="E456" s="17"/>
    </row>
    <row r="457" spans="3:5">
      <c r="C457" s="17"/>
      <c r="E457" s="17"/>
    </row>
    <row r="458" spans="3:5">
      <c r="C458" s="17"/>
      <c r="E458" s="17"/>
    </row>
    <row r="459" spans="3:5">
      <c r="C459" s="17"/>
      <c r="E459" s="17"/>
    </row>
    <row r="460" spans="3:5">
      <c r="C460" s="17"/>
      <c r="E460" s="17"/>
    </row>
    <row r="461" spans="3:5">
      <c r="C461" s="17"/>
      <c r="E461" s="17"/>
    </row>
    <row r="462" spans="3:5">
      <c r="C462" s="17"/>
      <c r="E462" s="17"/>
    </row>
    <row r="463" spans="3:5">
      <c r="C463" s="17"/>
    </row>
    <row r="464" spans="3:5">
      <c r="C464" s="17"/>
      <c r="E464" s="17"/>
    </row>
    <row r="465" spans="3:5">
      <c r="C465" s="17"/>
      <c r="E465" s="17"/>
    </row>
    <row r="466" spans="3:5">
      <c r="C466" s="17"/>
      <c r="E466" s="17"/>
    </row>
    <row r="467" spans="3:5">
      <c r="C467" s="17"/>
      <c r="E467" s="17"/>
    </row>
    <row r="468" spans="3:5">
      <c r="C468" s="17"/>
      <c r="E468" s="17"/>
    </row>
    <row r="469" spans="3:5">
      <c r="C469" s="17"/>
      <c r="E469" s="17"/>
    </row>
    <row r="470" spans="3:5">
      <c r="C470" s="17"/>
      <c r="E470" s="17"/>
    </row>
    <row r="471" spans="3:5">
      <c r="C471" s="17"/>
      <c r="E471" s="17"/>
    </row>
    <row r="472" spans="3:5">
      <c r="C472" s="17"/>
      <c r="E472" s="17"/>
    </row>
    <row r="473" spans="3:5">
      <c r="C473" s="17"/>
      <c r="E473" s="17"/>
    </row>
    <row r="474" spans="3:5">
      <c r="C474" s="17"/>
      <c r="E474" s="17"/>
    </row>
    <row r="475" spans="3:5">
      <c r="C475" s="17"/>
      <c r="E475" s="17"/>
    </row>
    <row r="476" spans="3:5">
      <c r="C476" s="17"/>
      <c r="E476" s="17"/>
    </row>
    <row r="477" spans="3:5">
      <c r="C477" s="17"/>
      <c r="E477" s="17"/>
    </row>
    <row r="478" spans="3:5">
      <c r="C478" s="17"/>
      <c r="E478" s="17"/>
    </row>
    <row r="479" spans="3:5">
      <c r="C479" s="17"/>
      <c r="E479" s="17"/>
    </row>
    <row r="480" spans="3:5">
      <c r="C480" s="17"/>
      <c r="E480" s="17"/>
    </row>
    <row r="481" spans="3:5">
      <c r="C481" s="17"/>
      <c r="E481" s="17"/>
    </row>
    <row r="482" spans="3:5">
      <c r="C482" s="17"/>
      <c r="E482" s="17"/>
    </row>
    <row r="483" spans="3:5">
      <c r="C483" s="17"/>
      <c r="E483" s="17"/>
    </row>
    <row r="484" spans="3:5">
      <c r="C484" s="17"/>
      <c r="E484" s="17"/>
    </row>
    <row r="485" spans="3:5">
      <c r="C485" s="17"/>
      <c r="E485" s="17"/>
    </row>
    <row r="486" spans="3:5">
      <c r="C486" s="17"/>
    </row>
    <row r="487" spans="3:5">
      <c r="C487" s="17"/>
      <c r="E487" s="17"/>
    </row>
    <row r="488" spans="3:5">
      <c r="C488" s="17"/>
      <c r="E488" s="17"/>
    </row>
    <row r="489" spans="3:5">
      <c r="C489" s="17"/>
      <c r="E489" s="17"/>
    </row>
    <row r="490" spans="3:5">
      <c r="C490" s="17"/>
      <c r="E490" s="17"/>
    </row>
    <row r="491" spans="3:5">
      <c r="C491" s="17"/>
      <c r="E491" s="17"/>
    </row>
    <row r="492" spans="3:5">
      <c r="C492" s="17"/>
      <c r="E492" s="17"/>
    </row>
    <row r="493" spans="3:5">
      <c r="C493" s="17"/>
      <c r="E493" s="17"/>
    </row>
    <row r="494" spans="3:5">
      <c r="C494" s="17"/>
      <c r="E494" s="17"/>
    </row>
    <row r="495" spans="3:5">
      <c r="C495" s="17"/>
      <c r="E495" s="17"/>
    </row>
    <row r="496" spans="3:5">
      <c r="C496" s="17"/>
      <c r="E496" s="17"/>
    </row>
    <row r="497" spans="3:5">
      <c r="C497" s="17"/>
      <c r="E497" s="17"/>
    </row>
    <row r="498" spans="3:5">
      <c r="C498" s="17"/>
      <c r="E498" s="17"/>
    </row>
    <row r="499" spans="3:5">
      <c r="C499" s="17"/>
      <c r="E499" s="17"/>
    </row>
    <row r="500" spans="3:5">
      <c r="C500" s="17"/>
      <c r="E500" s="17"/>
    </row>
    <row r="501" spans="3:5">
      <c r="C501" s="17"/>
      <c r="E501" s="17"/>
    </row>
    <row r="502" spans="3:5">
      <c r="C502" s="17"/>
      <c r="E502" s="17"/>
    </row>
    <row r="503" spans="3:5">
      <c r="C503" s="17"/>
      <c r="E503" s="17"/>
    </row>
    <row r="504" spans="3:5">
      <c r="C504" s="17"/>
      <c r="E504" s="17"/>
    </row>
    <row r="505" spans="3:5">
      <c r="C505" s="17"/>
      <c r="E505" s="17"/>
    </row>
    <row r="506" spans="3:5">
      <c r="C506" s="17"/>
      <c r="E506" s="17"/>
    </row>
    <row r="507" spans="3:5">
      <c r="C507" s="17"/>
    </row>
    <row r="508" spans="3:5">
      <c r="C508" s="17"/>
      <c r="E508" s="17"/>
    </row>
    <row r="509" spans="3:5">
      <c r="C509" s="17"/>
      <c r="E509" s="17"/>
    </row>
    <row r="510" spans="3:5">
      <c r="C510" s="17"/>
    </row>
    <row r="511" spans="3:5">
      <c r="C511" s="17"/>
    </row>
    <row r="512" spans="3:5">
      <c r="C512" s="17"/>
    </row>
    <row r="513" spans="3:5">
      <c r="C513" s="17"/>
      <c r="E513" s="17"/>
    </row>
    <row r="514" spans="3:5">
      <c r="C514" s="17"/>
    </row>
    <row r="515" spans="3:5">
      <c r="C515" s="17"/>
      <c r="E515" s="17"/>
    </row>
    <row r="516" spans="3:5">
      <c r="C516" s="17"/>
      <c r="E516" s="17"/>
    </row>
    <row r="517" spans="3:5">
      <c r="C517" s="17"/>
      <c r="E517" s="17"/>
    </row>
    <row r="518" spans="3:5">
      <c r="C518" s="17"/>
      <c r="E518" s="17"/>
    </row>
    <row r="519" spans="3:5">
      <c r="C519" s="17"/>
      <c r="E519" s="17"/>
    </row>
    <row r="520" spans="3:5">
      <c r="C520" s="17"/>
    </row>
    <row r="521" spans="3:5">
      <c r="C521" s="17"/>
      <c r="E521" s="17"/>
    </row>
    <row r="522" spans="3:5">
      <c r="C522" s="17"/>
      <c r="E522" s="17"/>
    </row>
    <row r="523" spans="3:5">
      <c r="C523" s="17"/>
      <c r="E523" s="17"/>
    </row>
    <row r="524" spans="3:5">
      <c r="C524" s="17"/>
      <c r="E524" s="17"/>
    </row>
    <row r="525" spans="3:5">
      <c r="C525" s="17"/>
      <c r="E525" s="17"/>
    </row>
    <row r="526" spans="3:5">
      <c r="C526" s="17"/>
      <c r="E526" s="17"/>
    </row>
    <row r="527" spans="3:5">
      <c r="C527" s="17"/>
    </row>
    <row r="528" spans="3:5">
      <c r="C528" s="17"/>
      <c r="E528" s="17"/>
    </row>
    <row r="529" spans="3:5">
      <c r="C529" s="17"/>
      <c r="E529" s="17"/>
    </row>
    <row r="530" spans="3:5">
      <c r="C530" s="17"/>
      <c r="E530" s="17"/>
    </row>
    <row r="531" spans="3:5">
      <c r="C531" s="17"/>
      <c r="E531" s="17"/>
    </row>
    <row r="532" spans="3:5">
      <c r="C532" s="17"/>
      <c r="E532" s="17"/>
    </row>
    <row r="533" spans="3:5">
      <c r="C533" s="17"/>
      <c r="E533" s="17"/>
    </row>
    <row r="534" spans="3:5">
      <c r="C534" s="17"/>
      <c r="E534" s="17"/>
    </row>
    <row r="535" spans="3:5">
      <c r="C535" s="17"/>
      <c r="E535" s="17"/>
    </row>
    <row r="536" spans="3:5">
      <c r="C536" s="17"/>
      <c r="E536" s="17"/>
    </row>
    <row r="537" spans="3:5">
      <c r="C537" s="17"/>
    </row>
    <row r="538" spans="3:5">
      <c r="C538" s="17"/>
      <c r="E538" s="17"/>
    </row>
    <row r="539" spans="3:5">
      <c r="C539" s="17"/>
      <c r="E539" s="17"/>
    </row>
    <row r="540" spans="3:5">
      <c r="C540" s="17"/>
      <c r="E540" s="17"/>
    </row>
    <row r="541" spans="3:5">
      <c r="C541" s="17"/>
      <c r="E541" s="17"/>
    </row>
    <row r="542" spans="3:5">
      <c r="C542" s="17"/>
      <c r="E542" s="17"/>
    </row>
    <row r="543" spans="3:5">
      <c r="C543" s="17"/>
      <c r="E543" s="17"/>
    </row>
    <row r="544" spans="3:5">
      <c r="C544" s="17"/>
      <c r="E544" s="17"/>
    </row>
    <row r="545" spans="3:5">
      <c r="C545" s="17"/>
      <c r="E545" s="17"/>
    </row>
    <row r="546" spans="3:5">
      <c r="C546" s="17"/>
    </row>
    <row r="547" spans="3:5">
      <c r="C547" s="17"/>
      <c r="E547" s="17"/>
    </row>
    <row r="548" spans="3:5">
      <c r="C548" s="17"/>
      <c r="E548" s="17"/>
    </row>
    <row r="549" spans="3:5">
      <c r="C549" s="17"/>
      <c r="E549" s="17"/>
    </row>
    <row r="550" spans="3:5">
      <c r="C550" s="17"/>
      <c r="E550" s="17"/>
    </row>
    <row r="551" spans="3:5">
      <c r="C551" s="17"/>
    </row>
    <row r="552" spans="3:5">
      <c r="C552" s="17"/>
      <c r="E552" s="17"/>
    </row>
    <row r="553" spans="3:5">
      <c r="C553" s="17"/>
      <c r="E553" s="17"/>
    </row>
    <row r="554" spans="3:5">
      <c r="C554" s="17"/>
    </row>
    <row r="555" spans="3:5">
      <c r="C555" s="17"/>
      <c r="E555" s="17"/>
    </row>
    <row r="556" spans="3:5">
      <c r="C556" s="17"/>
    </row>
    <row r="557" spans="3:5">
      <c r="C557" s="17"/>
    </row>
    <row r="558" spans="3:5">
      <c r="C558" s="17"/>
    </row>
    <row r="559" spans="3:5">
      <c r="C559" s="17"/>
    </row>
    <row r="560" spans="3:5">
      <c r="C560" s="17"/>
      <c r="E560" s="17"/>
    </row>
    <row r="561" spans="3:5">
      <c r="C561" s="17"/>
      <c r="E561" s="17"/>
    </row>
    <row r="562" spans="3:5">
      <c r="C562" s="17"/>
    </row>
    <row r="563" spans="3:5">
      <c r="C563" s="17"/>
      <c r="E563" s="17"/>
    </row>
    <row r="564" spans="3:5">
      <c r="C564" s="17"/>
      <c r="E564" s="1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82"/>
  <sheetViews>
    <sheetView workbookViewId="0">
      <selection activeCell="J19" sqref="J19"/>
    </sheetView>
  </sheetViews>
  <sheetFormatPr defaultColWidth="9" defaultRowHeight="14.25"/>
  <cols>
    <col min="1" max="1" width="4.59765625" customWidth="1"/>
    <col min="2" max="2" width="49.265625" customWidth="1"/>
    <col min="3" max="3" width="28.73046875" style="10" customWidth="1"/>
    <col min="4" max="4" width="25.73046875" style="19" customWidth="1"/>
    <col min="5" max="5" width="9" customWidth="1"/>
  </cols>
  <sheetData>
    <row r="1" spans="1:4">
      <c r="A1" s="18" t="s">
        <v>110</v>
      </c>
    </row>
    <row r="2" spans="1:4" s="19" customFormat="1">
      <c r="A2" s="19" t="s">
        <v>111</v>
      </c>
      <c r="B2" s="19" t="s">
        <v>112</v>
      </c>
      <c r="C2" s="19" t="s">
        <v>113</v>
      </c>
      <c r="D2" s="19" t="s">
        <v>114</v>
      </c>
    </row>
    <row r="3" spans="1:4">
      <c r="A3" s="12">
        <v>1</v>
      </c>
      <c r="B3" s="18" t="s">
        <v>115</v>
      </c>
      <c r="C3" s="18" t="s">
        <v>116</v>
      </c>
    </row>
    <row r="4" spans="1:4">
      <c r="A4" s="12">
        <v>2</v>
      </c>
      <c r="B4" s="18" t="s">
        <v>117</v>
      </c>
      <c r="C4" s="18" t="s">
        <v>118</v>
      </c>
    </row>
    <row r="5" spans="1:4">
      <c r="A5" s="12">
        <v>3</v>
      </c>
      <c r="B5" s="18" t="s">
        <v>119</v>
      </c>
      <c r="C5" s="18" t="s">
        <v>120</v>
      </c>
    </row>
    <row r="6" spans="1:4">
      <c r="A6" s="12">
        <v>4</v>
      </c>
      <c r="B6" s="18" t="s">
        <v>121</v>
      </c>
      <c r="C6" s="18" t="s">
        <v>122</v>
      </c>
    </row>
    <row r="7" spans="1:4">
      <c r="A7" s="12">
        <v>5</v>
      </c>
      <c r="B7" s="18" t="s">
        <v>123</v>
      </c>
      <c r="C7" s="18" t="s">
        <v>124</v>
      </c>
    </row>
    <row r="8" spans="1:4">
      <c r="A8" s="12">
        <v>6</v>
      </c>
      <c r="B8" s="18" t="s">
        <v>125</v>
      </c>
      <c r="C8" s="18" t="s">
        <v>126</v>
      </c>
    </row>
    <row r="9" spans="1:4">
      <c r="A9" s="12">
        <v>7</v>
      </c>
      <c r="B9" s="18" t="s">
        <v>127</v>
      </c>
      <c r="C9" s="18" t="s">
        <v>128</v>
      </c>
    </row>
    <row r="10" spans="1:4">
      <c r="A10" s="12">
        <v>8</v>
      </c>
      <c r="B10" s="18" t="s">
        <v>129</v>
      </c>
      <c r="C10" s="18" t="s">
        <v>130</v>
      </c>
    </row>
    <row r="11" spans="1:4">
      <c r="A11" s="12">
        <v>9</v>
      </c>
      <c r="B11" s="18" t="s">
        <v>131</v>
      </c>
      <c r="C11" s="18" t="s">
        <v>132</v>
      </c>
    </row>
    <row r="12" spans="1:4">
      <c r="A12" s="12">
        <v>10</v>
      </c>
      <c r="B12" s="18" t="s">
        <v>133</v>
      </c>
      <c r="C12" s="18" t="s">
        <v>134</v>
      </c>
    </row>
    <row r="13" spans="1:4">
      <c r="A13" s="12">
        <v>11</v>
      </c>
      <c r="B13" s="18" t="s">
        <v>135</v>
      </c>
      <c r="C13" s="18" t="s">
        <v>136</v>
      </c>
    </row>
    <row r="14" spans="1:4">
      <c r="A14" s="12">
        <v>12</v>
      </c>
      <c r="B14" s="18" t="s">
        <v>137</v>
      </c>
      <c r="C14" s="18" t="s">
        <v>138</v>
      </c>
    </row>
    <row r="15" spans="1:4">
      <c r="A15" s="12">
        <v>13</v>
      </c>
      <c r="B15" s="18" t="s">
        <v>139</v>
      </c>
      <c r="C15" s="18" t="s">
        <v>140</v>
      </c>
    </row>
    <row r="16" spans="1:4">
      <c r="A16" s="12">
        <v>14</v>
      </c>
      <c r="B16" s="18" t="s">
        <v>141</v>
      </c>
      <c r="C16" s="18" t="s">
        <v>142</v>
      </c>
    </row>
    <row r="17" spans="1:3">
      <c r="A17" s="12">
        <v>15</v>
      </c>
      <c r="B17" s="18" t="s">
        <v>143</v>
      </c>
      <c r="C17" s="18" t="s">
        <v>144</v>
      </c>
    </row>
    <row r="18" spans="1:3">
      <c r="A18" s="12">
        <v>16</v>
      </c>
      <c r="B18" s="18" t="s">
        <v>145</v>
      </c>
      <c r="C18" s="18" t="s">
        <v>146</v>
      </c>
    </row>
    <row r="19" spans="1:3">
      <c r="A19" s="12">
        <v>17</v>
      </c>
      <c r="B19" s="18" t="s">
        <v>147</v>
      </c>
      <c r="C19" s="18" t="s">
        <v>148</v>
      </c>
    </row>
    <row r="20" spans="1:3">
      <c r="A20" s="12">
        <v>18</v>
      </c>
      <c r="B20" s="18" t="s">
        <v>149</v>
      </c>
      <c r="C20" s="18" t="s">
        <v>150</v>
      </c>
    </row>
    <row r="21" spans="1:3">
      <c r="A21" s="12">
        <v>19</v>
      </c>
      <c r="B21" s="18" t="s">
        <v>151</v>
      </c>
      <c r="C21" s="18" t="s">
        <v>152</v>
      </c>
    </row>
    <row r="22" spans="1:3">
      <c r="A22" s="12">
        <v>20</v>
      </c>
      <c r="B22" s="18" t="s">
        <v>153</v>
      </c>
      <c r="C22" s="18" t="s">
        <v>154</v>
      </c>
    </row>
    <row r="23" spans="1:3">
      <c r="A23" s="12">
        <v>21</v>
      </c>
      <c r="B23" s="18" t="s">
        <v>155</v>
      </c>
      <c r="C23" s="18" t="s">
        <v>156</v>
      </c>
    </row>
    <row r="24" spans="1:3">
      <c r="A24" s="12">
        <v>22</v>
      </c>
      <c r="B24" s="18" t="s">
        <v>157</v>
      </c>
      <c r="C24" s="18" t="s">
        <v>158</v>
      </c>
    </row>
    <row r="25" spans="1:3">
      <c r="A25" s="12">
        <v>23</v>
      </c>
      <c r="B25" s="18" t="s">
        <v>159</v>
      </c>
      <c r="C25" s="18" t="s">
        <v>160</v>
      </c>
    </row>
    <row r="26" spans="1:3">
      <c r="A26" s="12">
        <v>24</v>
      </c>
      <c r="B26" s="18" t="s">
        <v>161</v>
      </c>
      <c r="C26" s="18" t="s">
        <v>162</v>
      </c>
    </row>
    <row r="27" spans="1:3">
      <c r="A27" s="12">
        <v>25</v>
      </c>
      <c r="B27" s="18" t="s">
        <v>163</v>
      </c>
      <c r="C27" s="18" t="s">
        <v>164</v>
      </c>
    </row>
    <row r="28" spans="1:3">
      <c r="A28" s="12">
        <v>26</v>
      </c>
      <c r="B28" s="18" t="s">
        <v>165</v>
      </c>
      <c r="C28" s="18" t="s">
        <v>166</v>
      </c>
    </row>
    <row r="29" spans="1:3">
      <c r="A29" s="12">
        <v>27</v>
      </c>
      <c r="B29" s="18" t="s">
        <v>167</v>
      </c>
      <c r="C29" s="18" t="s">
        <v>168</v>
      </c>
    </row>
    <row r="30" spans="1:3">
      <c r="A30" s="12">
        <v>28</v>
      </c>
      <c r="B30" s="18" t="s">
        <v>169</v>
      </c>
      <c r="C30" s="18" t="s">
        <v>170</v>
      </c>
    </row>
    <row r="31" spans="1:3">
      <c r="A31" s="12">
        <v>29</v>
      </c>
      <c r="B31" s="18" t="s">
        <v>171</v>
      </c>
      <c r="C31" s="18" t="s">
        <v>172</v>
      </c>
    </row>
    <row r="32" spans="1:3">
      <c r="A32" s="12">
        <v>30</v>
      </c>
      <c r="B32" s="18" t="s">
        <v>173</v>
      </c>
      <c r="C32" s="18" t="s">
        <v>174</v>
      </c>
    </row>
    <row r="33" spans="1:3">
      <c r="A33" s="12">
        <v>31</v>
      </c>
      <c r="B33" s="18" t="s">
        <v>175</v>
      </c>
      <c r="C33" s="18" t="s">
        <v>176</v>
      </c>
    </row>
    <row r="34" spans="1:3">
      <c r="A34" s="12">
        <v>32</v>
      </c>
      <c r="B34" s="18" t="s">
        <v>177</v>
      </c>
      <c r="C34" s="18" t="s">
        <v>178</v>
      </c>
    </row>
    <row r="35" spans="1:3">
      <c r="A35" s="12">
        <v>33</v>
      </c>
      <c r="B35" s="18" t="s">
        <v>179</v>
      </c>
      <c r="C35" s="18" t="s">
        <v>180</v>
      </c>
    </row>
    <row r="36" spans="1:3">
      <c r="A36" s="12">
        <v>34</v>
      </c>
      <c r="B36" s="18" t="s">
        <v>181</v>
      </c>
      <c r="C36" s="18" t="s">
        <v>182</v>
      </c>
    </row>
    <row r="37" spans="1:3">
      <c r="A37" s="12">
        <v>35</v>
      </c>
      <c r="B37" s="18" t="s">
        <v>183</v>
      </c>
      <c r="C37" s="18" t="s">
        <v>184</v>
      </c>
    </row>
    <row r="38" spans="1:3">
      <c r="A38" s="12">
        <v>36</v>
      </c>
      <c r="B38" s="18" t="s">
        <v>185</v>
      </c>
      <c r="C38" s="18" t="s">
        <v>186</v>
      </c>
    </row>
    <row r="39" spans="1:3">
      <c r="A39" s="12">
        <v>37</v>
      </c>
      <c r="B39" s="18" t="s">
        <v>187</v>
      </c>
      <c r="C39" s="18" t="s">
        <v>188</v>
      </c>
    </row>
    <row r="40" spans="1:3">
      <c r="A40" s="12">
        <v>38</v>
      </c>
      <c r="B40" s="18" t="s">
        <v>189</v>
      </c>
      <c r="C40" s="18" t="s">
        <v>190</v>
      </c>
    </row>
    <row r="41" spans="1:3">
      <c r="A41" s="12">
        <v>39</v>
      </c>
      <c r="B41" s="18" t="s">
        <v>191</v>
      </c>
      <c r="C41" s="18" t="s">
        <v>192</v>
      </c>
    </row>
    <row r="42" spans="1:3">
      <c r="A42" s="12">
        <v>40</v>
      </c>
      <c r="B42" s="18" t="s">
        <v>193</v>
      </c>
      <c r="C42" s="18" t="s">
        <v>194</v>
      </c>
    </row>
    <row r="43" spans="1:3">
      <c r="A43" s="12">
        <v>41</v>
      </c>
      <c r="B43" s="18" t="s">
        <v>195</v>
      </c>
      <c r="C43" s="18" t="s">
        <v>196</v>
      </c>
    </row>
    <row r="44" spans="1:3">
      <c r="A44" s="12">
        <v>42</v>
      </c>
      <c r="B44" s="18" t="s">
        <v>197</v>
      </c>
      <c r="C44" s="18" t="s">
        <v>198</v>
      </c>
    </row>
    <row r="45" spans="1:3">
      <c r="A45" s="12">
        <v>43</v>
      </c>
      <c r="B45" s="18" t="s">
        <v>199</v>
      </c>
      <c r="C45" s="18" t="s">
        <v>200</v>
      </c>
    </row>
    <row r="46" spans="1:3">
      <c r="A46" s="12">
        <v>44</v>
      </c>
      <c r="B46" s="18" t="s">
        <v>201</v>
      </c>
      <c r="C46" s="18" t="s">
        <v>202</v>
      </c>
    </row>
    <row r="47" spans="1:3">
      <c r="A47" s="12">
        <v>45</v>
      </c>
      <c r="B47" s="18" t="s">
        <v>203</v>
      </c>
      <c r="C47" s="18" t="s">
        <v>204</v>
      </c>
    </row>
    <row r="48" spans="1:3">
      <c r="A48" s="12">
        <v>46</v>
      </c>
      <c r="B48" s="18" t="s">
        <v>205</v>
      </c>
      <c r="C48" s="18" t="s">
        <v>206</v>
      </c>
    </row>
    <row r="49" spans="1:1">
      <c r="A49" s="19"/>
    </row>
    <row r="50" spans="1:1">
      <c r="A50" s="19"/>
    </row>
    <row r="51" spans="1:1">
      <c r="A51" s="19"/>
    </row>
    <row r="52" spans="1:1">
      <c r="A52" s="19"/>
    </row>
    <row r="53" spans="1:1">
      <c r="A53" s="19"/>
    </row>
    <row r="54" spans="1:1">
      <c r="A54" s="19"/>
    </row>
    <row r="55" spans="1:1">
      <c r="A55" s="19"/>
    </row>
    <row r="56" spans="1:1">
      <c r="A56" s="19"/>
    </row>
    <row r="57" spans="1:1">
      <c r="A57" s="19"/>
    </row>
    <row r="58" spans="1:1">
      <c r="A58" s="19"/>
    </row>
    <row r="59" spans="1:1">
      <c r="A59" s="19"/>
    </row>
    <row r="60" spans="1:1">
      <c r="A60" s="19"/>
    </row>
    <row r="61" spans="1:1">
      <c r="A61" s="19"/>
    </row>
    <row r="62" spans="1:1">
      <c r="A62" s="19"/>
    </row>
    <row r="63" spans="1:1">
      <c r="A63" s="19"/>
    </row>
    <row r="64" spans="1:1">
      <c r="A64" s="19"/>
    </row>
    <row r="65" spans="1:1">
      <c r="A65" s="19"/>
    </row>
    <row r="66" spans="1:1">
      <c r="A66" s="19"/>
    </row>
    <row r="67" spans="1:1">
      <c r="A67" s="19"/>
    </row>
    <row r="68" spans="1:1">
      <c r="A68" s="19"/>
    </row>
    <row r="69" spans="1:1">
      <c r="A69" s="19"/>
    </row>
    <row r="70" spans="1:1">
      <c r="A70" s="19"/>
    </row>
    <row r="71" spans="1:1">
      <c r="A71" s="19"/>
    </row>
    <row r="72" spans="1:1">
      <c r="A72" s="19"/>
    </row>
    <row r="73" spans="1:1">
      <c r="A73" s="19"/>
    </row>
    <row r="74" spans="1:1">
      <c r="A74" s="19"/>
    </row>
    <row r="75" spans="1:1">
      <c r="A75" s="19"/>
    </row>
    <row r="76" spans="1:1">
      <c r="A76" s="19"/>
    </row>
    <row r="77" spans="1:1">
      <c r="A77" s="19"/>
    </row>
    <row r="78" spans="1:1">
      <c r="A78" s="19"/>
    </row>
    <row r="79" spans="1:1">
      <c r="A79" s="19"/>
    </row>
    <row r="80" spans="1:1">
      <c r="A80" s="19"/>
    </row>
    <row r="81" spans="1:1">
      <c r="A81" s="19"/>
    </row>
    <row r="82" spans="1:1">
      <c r="A82" s="19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D2:Q10"/>
  <sheetViews>
    <sheetView workbookViewId="0">
      <selection activeCell="H23" sqref="H23"/>
    </sheetView>
  </sheetViews>
  <sheetFormatPr defaultRowHeight="14.25"/>
  <sheetData>
    <row r="2" spans="4:17">
      <c r="D2" s="17"/>
      <c r="F2" s="17"/>
      <c r="H2" s="17"/>
      <c r="K2" s="17"/>
      <c r="Q2" s="17"/>
    </row>
    <row r="3" spans="4:17">
      <c r="D3" s="17"/>
      <c r="F3" s="17"/>
      <c r="H3" s="17"/>
      <c r="K3" s="17"/>
      <c r="Q3" s="17"/>
    </row>
    <row r="4" spans="4:17">
      <c r="D4" s="17"/>
      <c r="F4" s="17"/>
      <c r="H4" s="17"/>
      <c r="K4" s="17"/>
      <c r="Q4" s="17"/>
    </row>
    <row r="5" spans="4:17">
      <c r="D5" s="17"/>
      <c r="F5" s="17"/>
      <c r="H5" s="17"/>
      <c r="K5" s="17"/>
      <c r="Q5" s="17"/>
    </row>
    <row r="6" spans="4:17">
      <c r="D6" s="17"/>
      <c r="F6" s="17"/>
      <c r="H6" s="17"/>
      <c r="K6" s="17"/>
      <c r="Q6" s="17"/>
    </row>
    <row r="7" spans="4:17">
      <c r="D7" s="17"/>
      <c r="F7" s="17"/>
      <c r="H7" s="17"/>
      <c r="K7" s="17"/>
    </row>
    <row r="8" spans="4:17">
      <c r="D8" s="17"/>
      <c r="F8" s="17"/>
      <c r="H8" s="17"/>
      <c r="K8" s="17"/>
      <c r="Q8" s="17"/>
    </row>
    <row r="9" spans="4:17">
      <c r="D9" s="17"/>
      <c r="F9" s="17"/>
      <c r="H9" s="17"/>
      <c r="K9" s="17"/>
      <c r="Q9" s="17"/>
    </row>
    <row r="10" spans="4:17">
      <c r="D10" s="17"/>
      <c r="F10" s="17"/>
      <c r="H10" s="17"/>
      <c r="K10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</vt:i4>
      </vt:variant>
    </vt:vector>
  </HeadingPairs>
  <TitlesOfParts>
    <vt:vector size="18" baseType="lpstr">
      <vt:lpstr>Module List</vt:lpstr>
      <vt:lpstr>Part Tracking</vt:lpstr>
      <vt:lpstr>Gantt Chart</vt:lpstr>
      <vt:lpstr>Progress</vt:lpstr>
      <vt:lpstr>ETL</vt:lpstr>
      <vt:lpstr>Fab_Parts</vt:lpstr>
      <vt:lpstr>Std_Parts</vt:lpstr>
      <vt:lpstr>EE_Parts</vt:lpstr>
      <vt:lpstr>Layout</vt:lpstr>
      <vt:lpstr>DAILY- Progress</vt:lpstr>
      <vt:lpstr>Others</vt:lpstr>
      <vt:lpstr>On Time Delivery Report</vt:lpstr>
      <vt:lpstr>Supplier List</vt:lpstr>
      <vt:lpstr>Error_List</vt:lpstr>
      <vt:lpstr>EE_Parts!Print_Area</vt:lpstr>
      <vt:lpstr>Fab_Parts!Print_Area</vt:lpstr>
      <vt:lpstr>'Part Tracking'!Print_Area</vt:lpstr>
      <vt:lpstr>Std_Parts!Print_Area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Joanne Lim</dc:creator>
  <cp:lastModifiedBy>PC67</cp:lastModifiedBy>
  <cp:lastPrinted>2020-02-21T02:15:13Z</cp:lastPrinted>
  <dcterms:created xsi:type="dcterms:W3CDTF">2015-04-01T09:18:16Z</dcterms:created>
  <dcterms:modified xsi:type="dcterms:W3CDTF">2024-11-13T07:27:26Z</dcterms:modified>
</cp:coreProperties>
</file>