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trlProps/ctrlProp7.xml" ContentType="application/vnd.ms-excel.controlproperties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Dept\Engineering\Project\2024\1316 - AWS300CBUP\"/>
    </mc:Choice>
  </mc:AlternateContent>
  <bookViews>
    <workbookView xWindow="-120" yWindow="-120" windowWidth="19425" windowHeight="10305" activeTab="6"/>
  </bookViews>
  <sheets>
    <sheet name="Module List" sheetId="1" r:id="rId1"/>
    <sheet name="Part Tracking" sheetId="2" r:id="rId2"/>
    <sheet name="Gantt Chart" sheetId="33" r:id="rId3"/>
    <sheet name="Progress" sheetId="35" r:id="rId4"/>
    <sheet name="ETL" sheetId="36" r:id="rId5"/>
    <sheet name="Fab_Parts" sheetId="3" r:id="rId6"/>
    <sheet name="Std_Parts" sheetId="31" r:id="rId7"/>
    <sheet name="EE_Parts" sheetId="18" r:id="rId8"/>
    <sheet name="Layout" sheetId="37" r:id="rId9"/>
    <sheet name="DAILY- Progress" sheetId="38" r:id="rId10"/>
    <sheet name="Others" sheetId="19" r:id="rId11"/>
    <sheet name="On Time Delivery Report" sheetId="23" r:id="rId12"/>
    <sheet name="Supplier List" sheetId="20" r:id="rId13"/>
    <sheet name="Error_List" sheetId="39" r:id="rId14"/>
  </sheets>
  <functionGroups builtInGroupCount="18"/>
  <definedNames>
    <definedName name="_xlnm._FilterDatabase" localSheetId="6" hidden="1">Std_Parts!$W$2:$W$5</definedName>
    <definedName name="_xlnm.Print_Area" localSheetId="7">EE_Parts!$A$9:$Z$749</definedName>
    <definedName name="_xlnm.Print_Area" localSheetId="5">Fab_Parts!$A$9:$S$903</definedName>
    <definedName name="_xlnm.Print_Area" localSheetId="1">'Part Tracking'!$B$22:$G$99</definedName>
    <definedName name="_xlnm.Print_Area" localSheetId="6">Std_Parts!$A$9:$R$9</definedName>
    <definedName name="vDateTime" localSheetId="6">#REF!</definedName>
    <definedName name="vDateTime">#REF!</definedName>
    <definedName name="vDiastolic" localSheetId="6">#REF!</definedName>
    <definedName name="vDiastolic">#REF!</definedName>
    <definedName name="vHeartRate" localSheetId="6">#REF!</definedName>
    <definedName name="vHeartRate">#REF!</definedName>
    <definedName name="vSystolic" localSheetId="6">#REF!</definedName>
    <definedName name="vSystolic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756" i="18" l="1"/>
  <c r="G749" i="18"/>
  <c r="G748" i="18"/>
  <c r="G747" i="18"/>
  <c r="G746" i="18"/>
  <c r="G745" i="18"/>
  <c r="G744" i="18"/>
  <c r="G743" i="18"/>
  <c r="G742" i="18"/>
  <c r="G741" i="18"/>
  <c r="G740" i="18"/>
  <c r="G739" i="18"/>
  <c r="G738" i="18"/>
  <c r="G737" i="18"/>
  <c r="G736" i="18"/>
  <c r="G735" i="18"/>
  <c r="G734" i="18"/>
  <c r="G733" i="18"/>
  <c r="G732" i="18"/>
  <c r="G731" i="18"/>
  <c r="G730" i="18"/>
  <c r="G729" i="18"/>
  <c r="G728" i="18"/>
  <c r="G727" i="18"/>
  <c r="G726" i="18"/>
  <c r="G725" i="18"/>
  <c r="G724" i="18"/>
  <c r="G723" i="18"/>
  <c r="G722" i="18"/>
  <c r="G721" i="18"/>
  <c r="G720" i="18"/>
  <c r="G719" i="18"/>
  <c r="G718" i="18"/>
  <c r="G717" i="18"/>
  <c r="G716" i="18"/>
  <c r="G715" i="18"/>
  <c r="G714" i="18"/>
  <c r="G713" i="18"/>
  <c r="G712" i="18"/>
  <c r="G711" i="18"/>
  <c r="G710" i="18"/>
  <c r="G709" i="18"/>
  <c r="G708" i="18"/>
  <c r="G707" i="18"/>
  <c r="G706" i="18"/>
  <c r="G705" i="18"/>
  <c r="G704" i="18"/>
  <c r="G703" i="18"/>
  <c r="G702" i="18"/>
  <c r="G701" i="18"/>
  <c r="G700" i="18"/>
  <c r="G699" i="18"/>
  <c r="G698" i="18"/>
  <c r="G697" i="18"/>
  <c r="G696" i="18"/>
  <c r="G695" i="18"/>
  <c r="G694" i="18"/>
  <c r="G693" i="18"/>
  <c r="G692" i="18"/>
  <c r="G691" i="18"/>
  <c r="G690" i="18"/>
  <c r="G689" i="18"/>
  <c r="G688" i="18"/>
  <c r="G687" i="18"/>
  <c r="G686" i="18"/>
  <c r="G685" i="18"/>
  <c r="G684" i="18"/>
  <c r="G683" i="18"/>
  <c r="G682" i="18"/>
  <c r="G681" i="18"/>
  <c r="G680" i="18"/>
  <c r="G679" i="18"/>
  <c r="G678" i="18"/>
  <c r="G677" i="18"/>
  <c r="G676" i="18"/>
  <c r="G675" i="18"/>
  <c r="G674" i="18"/>
  <c r="G673" i="18"/>
  <c r="G672" i="18"/>
  <c r="G671" i="18"/>
  <c r="G670" i="18"/>
  <c r="G669" i="18"/>
  <c r="G668" i="18"/>
  <c r="G667" i="18"/>
  <c r="G666" i="18"/>
  <c r="G665" i="18"/>
  <c r="G664" i="18"/>
  <c r="G663" i="18"/>
  <c r="G662" i="18"/>
  <c r="G661" i="18"/>
  <c r="G660" i="18"/>
  <c r="G659" i="18"/>
  <c r="G658" i="18"/>
  <c r="G657" i="18"/>
  <c r="G656" i="18"/>
  <c r="G655" i="18"/>
  <c r="G654" i="18"/>
  <c r="G653" i="18"/>
  <c r="G652" i="18"/>
  <c r="G651" i="18"/>
  <c r="G650" i="18"/>
  <c r="G649" i="18"/>
  <c r="G648" i="18"/>
  <c r="G647" i="18"/>
  <c r="G646" i="18"/>
  <c r="G645" i="18"/>
  <c r="G644" i="18"/>
  <c r="G643" i="18"/>
  <c r="G642" i="18"/>
  <c r="G641" i="18"/>
  <c r="G640" i="18"/>
  <c r="G639" i="18"/>
  <c r="G638" i="18"/>
  <c r="G637" i="18"/>
  <c r="G636" i="18"/>
  <c r="G635" i="18"/>
  <c r="G634" i="18"/>
  <c r="G633" i="18"/>
  <c r="G632" i="18"/>
  <c r="G631" i="18"/>
  <c r="G630" i="18"/>
  <c r="G629" i="18"/>
  <c r="G628" i="18"/>
  <c r="G627" i="18"/>
  <c r="G626" i="18"/>
  <c r="G625" i="18"/>
  <c r="G624" i="18"/>
  <c r="G623" i="18"/>
  <c r="G622" i="18"/>
  <c r="G621" i="18"/>
  <c r="G620" i="18"/>
  <c r="G619" i="18"/>
  <c r="G618" i="18"/>
  <c r="G617" i="18"/>
  <c r="G616" i="18"/>
  <c r="G615" i="18"/>
  <c r="G614" i="18"/>
  <c r="G613" i="18"/>
  <c r="G612" i="18"/>
  <c r="G611" i="18"/>
  <c r="G610" i="18"/>
  <c r="G609" i="18"/>
  <c r="G608" i="18"/>
  <c r="G607" i="18"/>
  <c r="G606" i="18"/>
  <c r="G605" i="18"/>
  <c r="G604" i="18"/>
  <c r="G603" i="18"/>
  <c r="G602" i="18"/>
  <c r="G601" i="18"/>
  <c r="G600" i="18"/>
  <c r="G599" i="18"/>
  <c r="G598" i="18"/>
  <c r="G597" i="18"/>
  <c r="G596" i="18"/>
  <c r="G595" i="18"/>
  <c r="G594" i="18"/>
  <c r="G593" i="18"/>
  <c r="G592" i="18"/>
  <c r="G591" i="18"/>
  <c r="G590" i="18"/>
  <c r="G589" i="18"/>
  <c r="G588" i="18"/>
  <c r="G587" i="18"/>
  <c r="G586" i="18"/>
  <c r="G585" i="18"/>
  <c r="G584" i="18"/>
  <c r="G583" i="18"/>
  <c r="G582" i="18"/>
  <c r="G581" i="18"/>
  <c r="G580" i="18"/>
  <c r="G579" i="18"/>
  <c r="G578" i="18"/>
  <c r="G577" i="18"/>
  <c r="G576" i="18"/>
  <c r="G575" i="18"/>
  <c r="G574" i="18"/>
  <c r="G573" i="18"/>
  <c r="G572" i="18"/>
  <c r="G571" i="18"/>
  <c r="G570" i="18"/>
  <c r="G569" i="18"/>
  <c r="G568" i="18"/>
  <c r="G567" i="18"/>
  <c r="G566" i="18"/>
  <c r="G565" i="18"/>
  <c r="G564" i="18"/>
  <c r="G563" i="18"/>
  <c r="G562" i="18"/>
  <c r="G561" i="18"/>
  <c r="G560" i="18"/>
  <c r="G559" i="18"/>
  <c r="G558" i="18"/>
  <c r="G557" i="18"/>
  <c r="G556" i="18"/>
  <c r="G555" i="18"/>
  <c r="G554" i="18"/>
  <c r="G553" i="18"/>
  <c r="G552" i="18"/>
  <c r="G551" i="18"/>
  <c r="G550" i="18"/>
  <c r="G549" i="18"/>
  <c r="G548" i="18"/>
  <c r="G547" i="18"/>
  <c r="G546" i="18"/>
  <c r="G545" i="18"/>
  <c r="G544" i="18"/>
  <c r="G543" i="18"/>
  <c r="G542" i="18"/>
  <c r="G541" i="18"/>
  <c r="G540" i="18"/>
  <c r="G539" i="18"/>
  <c r="G538" i="18"/>
  <c r="G537" i="18"/>
  <c r="G536" i="18"/>
  <c r="G535" i="18"/>
  <c r="G534" i="18"/>
  <c r="G533" i="18"/>
  <c r="G532" i="18"/>
  <c r="G531" i="18"/>
  <c r="G530" i="18"/>
  <c r="G529" i="18"/>
  <c r="G528" i="18"/>
  <c r="G527" i="18"/>
  <c r="G526" i="18"/>
  <c r="G525" i="18"/>
  <c r="G524" i="18"/>
  <c r="G523" i="18"/>
  <c r="G522" i="18"/>
  <c r="G521" i="18"/>
  <c r="G520" i="18"/>
  <c r="G519" i="18"/>
  <c r="G518" i="18"/>
  <c r="G517" i="18"/>
  <c r="G516" i="18"/>
  <c r="G515" i="18"/>
  <c r="G514" i="18"/>
  <c r="G513" i="18"/>
  <c r="G512" i="18"/>
  <c r="G511" i="18"/>
  <c r="G510" i="18"/>
  <c r="G509" i="18"/>
  <c r="G508" i="18"/>
  <c r="G507" i="18"/>
  <c r="G506" i="18"/>
  <c r="G505" i="18"/>
  <c r="G504" i="18"/>
  <c r="G503" i="18"/>
  <c r="G502" i="18"/>
  <c r="G501" i="18"/>
  <c r="G500" i="18"/>
  <c r="G499" i="18"/>
  <c r="G498" i="18"/>
  <c r="G497" i="18"/>
  <c r="G496" i="18"/>
  <c r="G495" i="18"/>
  <c r="G494" i="18"/>
  <c r="G493" i="18"/>
  <c r="G492" i="18"/>
  <c r="G491" i="18"/>
  <c r="G490" i="18"/>
  <c r="G489" i="18"/>
  <c r="G488" i="18"/>
  <c r="G487" i="18"/>
  <c r="G486" i="18"/>
  <c r="G485" i="18"/>
  <c r="G484" i="18"/>
  <c r="G483" i="18"/>
  <c r="G482" i="18"/>
  <c r="G481" i="18"/>
  <c r="G480" i="18"/>
  <c r="G479" i="18"/>
  <c r="G478" i="18"/>
  <c r="G477" i="18"/>
  <c r="G476" i="18"/>
  <c r="G475" i="18"/>
  <c r="G474" i="18"/>
  <c r="G473" i="18"/>
  <c r="G472" i="18"/>
  <c r="G471" i="18"/>
  <c r="G470" i="18"/>
  <c r="G469" i="18"/>
  <c r="G468" i="18"/>
  <c r="G467" i="18"/>
  <c r="G466" i="18"/>
  <c r="G465" i="18"/>
  <c r="G464" i="18"/>
  <c r="G463" i="18"/>
  <c r="G462" i="18"/>
  <c r="G461" i="18"/>
  <c r="G460" i="18"/>
  <c r="G459" i="18"/>
  <c r="G458" i="18"/>
  <c r="G457" i="18"/>
  <c r="G456" i="18"/>
  <c r="G455" i="18"/>
  <c r="G454" i="18"/>
  <c r="G453" i="18"/>
  <c r="G452" i="18"/>
  <c r="G451" i="18"/>
  <c r="G450" i="18"/>
  <c r="G449" i="18"/>
  <c r="G448" i="18"/>
  <c r="G447" i="18"/>
  <c r="G446" i="18"/>
  <c r="G445" i="18"/>
  <c r="G444" i="18"/>
  <c r="G443" i="18"/>
  <c r="G442" i="18"/>
  <c r="G441" i="18"/>
  <c r="G440" i="18"/>
  <c r="G439" i="18"/>
  <c r="G438" i="18"/>
  <c r="G437" i="18"/>
  <c r="G436" i="18"/>
  <c r="G435" i="18"/>
  <c r="G434" i="18"/>
  <c r="G433" i="18"/>
  <c r="G432" i="18"/>
  <c r="G431" i="18"/>
  <c r="G430" i="18"/>
  <c r="G429" i="18"/>
  <c r="G428" i="18"/>
  <c r="G427" i="18"/>
  <c r="G426" i="18"/>
  <c r="G425" i="18"/>
  <c r="G424" i="18"/>
  <c r="G423" i="18"/>
  <c r="G422" i="18"/>
  <c r="G421" i="18"/>
  <c r="G420" i="18"/>
  <c r="G419" i="18"/>
  <c r="G418" i="18"/>
  <c r="G417" i="18"/>
  <c r="G416" i="18"/>
  <c r="G415" i="18"/>
  <c r="G414" i="18"/>
  <c r="G413" i="18"/>
  <c r="G412" i="18"/>
  <c r="G411" i="18"/>
  <c r="G410" i="18"/>
  <c r="G409" i="18"/>
  <c r="G408" i="18"/>
  <c r="G407" i="18"/>
  <c r="G406" i="18"/>
  <c r="G405" i="18"/>
  <c r="G404" i="18"/>
  <c r="G403" i="18"/>
  <c r="G402" i="18"/>
  <c r="G401" i="18"/>
  <c r="G400" i="18"/>
  <c r="G399" i="18"/>
  <c r="G398" i="18"/>
  <c r="G397" i="18"/>
  <c r="G396" i="18"/>
  <c r="G395" i="18"/>
  <c r="G394" i="18"/>
  <c r="G393" i="18"/>
  <c r="G392" i="18"/>
  <c r="G391" i="18"/>
  <c r="G390" i="18"/>
  <c r="G389" i="18"/>
  <c r="G388" i="18"/>
  <c r="G387" i="18"/>
  <c r="G386" i="18"/>
  <c r="G385" i="18"/>
  <c r="G384" i="18"/>
  <c r="G383" i="18"/>
  <c r="G382" i="18"/>
  <c r="G381" i="18"/>
  <c r="G380" i="18"/>
  <c r="G379" i="18"/>
  <c r="G378" i="18"/>
  <c r="G377" i="18"/>
  <c r="G376" i="18"/>
  <c r="G375" i="18"/>
  <c r="G374" i="18"/>
  <c r="G373" i="18"/>
  <c r="G372" i="18"/>
  <c r="G371" i="18"/>
  <c r="G370" i="18"/>
  <c r="G369" i="18"/>
  <c r="G368" i="18"/>
  <c r="G367" i="18"/>
  <c r="G366" i="18"/>
  <c r="G365" i="18"/>
  <c r="G364" i="18"/>
  <c r="G363" i="18"/>
  <c r="G362" i="18"/>
  <c r="G361" i="18"/>
  <c r="G360" i="18"/>
  <c r="G359" i="18"/>
  <c r="G358" i="18"/>
  <c r="G357" i="18"/>
  <c r="G356" i="18"/>
  <c r="G355" i="18"/>
  <c r="G354" i="18"/>
  <c r="G353" i="18"/>
  <c r="G352" i="18"/>
  <c r="G351" i="18"/>
  <c r="G350" i="18"/>
  <c r="G349" i="18"/>
  <c r="G348" i="18"/>
  <c r="G347" i="18"/>
  <c r="G346" i="18"/>
  <c r="G345" i="18"/>
  <c r="G344" i="18"/>
  <c r="G343" i="18"/>
  <c r="G342" i="18"/>
  <c r="G341" i="18"/>
  <c r="G340" i="18"/>
  <c r="G339" i="18"/>
  <c r="G338" i="18"/>
  <c r="G337" i="18"/>
  <c r="G336" i="18"/>
  <c r="G335" i="18"/>
  <c r="G334" i="18"/>
  <c r="G333" i="18"/>
  <c r="G332" i="18"/>
  <c r="G331" i="18"/>
  <c r="G330" i="18"/>
  <c r="G329" i="18"/>
  <c r="G328" i="18"/>
  <c r="G327" i="18"/>
  <c r="G326" i="18"/>
  <c r="G325" i="18"/>
  <c r="G324" i="18"/>
  <c r="G323" i="18"/>
  <c r="G322" i="18"/>
  <c r="G321" i="18"/>
  <c r="G320" i="18"/>
  <c r="G319" i="18"/>
  <c r="G318" i="18"/>
  <c r="G317" i="18"/>
  <c r="G316" i="18"/>
  <c r="G315" i="18"/>
  <c r="G314" i="18"/>
  <c r="G313" i="18"/>
  <c r="G312" i="18"/>
  <c r="G311" i="18"/>
  <c r="G310" i="18"/>
  <c r="G309" i="18"/>
  <c r="G308" i="18"/>
  <c r="G307" i="18"/>
  <c r="G306" i="18"/>
  <c r="G305" i="18"/>
  <c r="G304" i="18"/>
  <c r="G303" i="18"/>
  <c r="G302" i="18"/>
  <c r="G301" i="18"/>
  <c r="G300" i="18"/>
  <c r="G299" i="18"/>
  <c r="G298" i="18"/>
  <c r="G297" i="18"/>
  <c r="G296" i="18"/>
  <c r="G295" i="18"/>
  <c r="G294" i="18"/>
  <c r="G293" i="18"/>
  <c r="G292" i="18"/>
  <c r="G291" i="18"/>
  <c r="G290" i="18"/>
  <c r="G289" i="18"/>
  <c r="G288" i="18"/>
  <c r="G287" i="18"/>
  <c r="G286" i="18"/>
  <c r="G285" i="18"/>
  <c r="G284" i="18"/>
  <c r="G283" i="18"/>
  <c r="G282" i="18"/>
  <c r="G281" i="18"/>
  <c r="G280" i="18"/>
  <c r="G279" i="18"/>
  <c r="G278" i="18"/>
  <c r="G277" i="18"/>
  <c r="G276" i="18"/>
  <c r="G275" i="18"/>
  <c r="G274" i="18"/>
  <c r="G273" i="18"/>
  <c r="G272" i="18"/>
  <c r="G271" i="18"/>
  <c r="G270" i="18"/>
  <c r="G269" i="18"/>
  <c r="G268" i="18"/>
  <c r="G267" i="18"/>
  <c r="G266" i="18"/>
  <c r="G265" i="18"/>
  <c r="G264" i="18"/>
  <c r="G263" i="18"/>
  <c r="G262" i="18"/>
  <c r="G261" i="18"/>
  <c r="G260" i="18"/>
  <c r="G259" i="18"/>
  <c r="G258" i="18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1174" i="31"/>
  <c r="G1173" i="31"/>
  <c r="G1172" i="31"/>
  <c r="G1171" i="31"/>
  <c r="G1170" i="31"/>
  <c r="G1169" i="31"/>
  <c r="G1168" i="31"/>
  <c r="G1167" i="31"/>
  <c r="G1166" i="31"/>
  <c r="G1165" i="31"/>
  <c r="G1164" i="31"/>
  <c r="G1163" i="31"/>
  <c r="G1162" i="31"/>
  <c r="G1161" i="31"/>
  <c r="G1160" i="31"/>
  <c r="G1159" i="31"/>
  <c r="G1158" i="31"/>
  <c r="G1157" i="31"/>
  <c r="G1156" i="31"/>
  <c r="G1155" i="31"/>
  <c r="G1154" i="31"/>
  <c r="G1153" i="31"/>
  <c r="G1152" i="31"/>
  <c r="G1151" i="31"/>
  <c r="G1150" i="31"/>
  <c r="G1149" i="31"/>
  <c r="G1148" i="31"/>
  <c r="G1147" i="31"/>
  <c r="G1146" i="31"/>
  <c r="G1145" i="31"/>
  <c r="G1144" i="31"/>
  <c r="G1143" i="31"/>
  <c r="G1142" i="31"/>
  <c r="G1141" i="31"/>
  <c r="G1140" i="31"/>
  <c r="G1139" i="31"/>
  <c r="G1138" i="31"/>
  <c r="G1137" i="31"/>
  <c r="G1136" i="31"/>
  <c r="G1135" i="31"/>
  <c r="G1134" i="31"/>
  <c r="G1133" i="31"/>
  <c r="G1132" i="31"/>
  <c r="G1131" i="31"/>
  <c r="G1130" i="31"/>
  <c r="G1129" i="31"/>
  <c r="G1128" i="31"/>
  <c r="G1127" i="31"/>
  <c r="G1126" i="31"/>
  <c r="G1125" i="31"/>
  <c r="G1124" i="31"/>
  <c r="G1123" i="31"/>
  <c r="G1122" i="31"/>
  <c r="G1121" i="31"/>
  <c r="G1120" i="31"/>
  <c r="G1119" i="31"/>
  <c r="G1118" i="31"/>
  <c r="G1117" i="31"/>
  <c r="G1116" i="31"/>
  <c r="G1115" i="31"/>
  <c r="G1114" i="31"/>
  <c r="G1113" i="31"/>
  <c r="G1112" i="31"/>
  <c r="G1111" i="31"/>
  <c r="G1110" i="31"/>
  <c r="G1109" i="31"/>
  <c r="G1108" i="31"/>
  <c r="G1107" i="31"/>
  <c r="G1106" i="31"/>
  <c r="G1105" i="31"/>
  <c r="G1104" i="31"/>
  <c r="G1103" i="31"/>
  <c r="G1102" i="31"/>
  <c r="G1101" i="31"/>
  <c r="G1100" i="31"/>
  <c r="G1099" i="31"/>
  <c r="G1098" i="31"/>
  <c r="G1097" i="31"/>
  <c r="G1096" i="31"/>
  <c r="G1095" i="31"/>
  <c r="G1094" i="31"/>
  <c r="G1093" i="31"/>
  <c r="G1092" i="31"/>
  <c r="G1091" i="31"/>
  <c r="G1090" i="31"/>
  <c r="G1089" i="31"/>
  <c r="G1088" i="31"/>
  <c r="G1087" i="31"/>
  <c r="G1086" i="31"/>
  <c r="G1085" i="31"/>
  <c r="G1084" i="31"/>
  <c r="G1083" i="31"/>
  <c r="G1082" i="31"/>
  <c r="G1081" i="31"/>
  <c r="G1080" i="31"/>
  <c r="G1079" i="31"/>
  <c r="G1078" i="31"/>
  <c r="G1077" i="31"/>
  <c r="G1076" i="31"/>
  <c r="G1075" i="31"/>
  <c r="G1074" i="31"/>
  <c r="G1073" i="31"/>
  <c r="G1072" i="31"/>
  <c r="G1071" i="31"/>
  <c r="G1070" i="31"/>
  <c r="G1069" i="31"/>
  <c r="G1068" i="31"/>
  <c r="G1067" i="31"/>
  <c r="G1066" i="31"/>
  <c r="G1065" i="31"/>
  <c r="G1064" i="31"/>
  <c r="G1063" i="31"/>
  <c r="G1062" i="31"/>
  <c r="G1061" i="31"/>
  <c r="G1060" i="31"/>
  <c r="G1059" i="31"/>
  <c r="G1058" i="31"/>
  <c r="G1057" i="31"/>
  <c r="G1056" i="31"/>
  <c r="G1055" i="31"/>
  <c r="G1054" i="31"/>
  <c r="G1053" i="31"/>
  <c r="G1052" i="31"/>
  <c r="G1051" i="31"/>
  <c r="G1050" i="31"/>
  <c r="G1049" i="31"/>
  <c r="G1048" i="31"/>
  <c r="G1047" i="31"/>
  <c r="G1046" i="31"/>
  <c r="G1045" i="31"/>
  <c r="G1044" i="31"/>
  <c r="G1043" i="31"/>
  <c r="G1042" i="31"/>
  <c r="G1041" i="31"/>
  <c r="G1040" i="31"/>
  <c r="G1039" i="31"/>
  <c r="G1038" i="31"/>
  <c r="G1037" i="31"/>
  <c r="G1036" i="31"/>
  <c r="G1035" i="31"/>
  <c r="G1034" i="31"/>
  <c r="G1033" i="31"/>
  <c r="G1032" i="31"/>
  <c r="G1031" i="31"/>
  <c r="G1030" i="31"/>
  <c r="G1029" i="31"/>
  <c r="G1028" i="31"/>
  <c r="G1027" i="31"/>
  <c r="G1026" i="31"/>
  <c r="G1025" i="31"/>
  <c r="G1024" i="31"/>
  <c r="G1023" i="31"/>
  <c r="G1022" i="31"/>
  <c r="G1021" i="31"/>
  <c r="G1020" i="31"/>
  <c r="G1019" i="31"/>
  <c r="G1018" i="31"/>
  <c r="G1017" i="31"/>
  <c r="G1016" i="31"/>
  <c r="G1015" i="31"/>
  <c r="G1014" i="31"/>
  <c r="G1013" i="31"/>
  <c r="G1012" i="31"/>
  <c r="G1011" i="31"/>
  <c r="G1010" i="31"/>
  <c r="G1009" i="31"/>
  <c r="G1008" i="31"/>
  <c r="G1007" i="31"/>
  <c r="G1006" i="31"/>
  <c r="G1005" i="31"/>
  <c r="G1004" i="31"/>
  <c r="G1003" i="31"/>
  <c r="G1002" i="31"/>
  <c r="G1001" i="31"/>
  <c r="G1000" i="31"/>
  <c r="G999" i="31"/>
  <c r="G998" i="31"/>
  <c r="G997" i="31"/>
  <c r="G996" i="31"/>
  <c r="G995" i="31"/>
  <c r="G994" i="31"/>
  <c r="G993" i="31"/>
  <c r="G992" i="31"/>
  <c r="G991" i="31"/>
  <c r="G990" i="31"/>
  <c r="G989" i="31"/>
  <c r="G988" i="31"/>
  <c r="G987" i="31"/>
  <c r="G986" i="31"/>
  <c r="G985" i="31"/>
  <c r="G984" i="31"/>
  <c r="G983" i="31"/>
  <c r="G982" i="31"/>
  <c r="G981" i="31"/>
  <c r="G980" i="31"/>
  <c r="G979" i="31"/>
  <c r="G978" i="31"/>
  <c r="G977" i="31"/>
  <c r="G976" i="31"/>
  <c r="G975" i="31"/>
  <c r="G974" i="31"/>
  <c r="G973" i="31"/>
  <c r="G972" i="31"/>
  <c r="G971" i="31"/>
  <c r="G970" i="31"/>
  <c r="G969" i="31"/>
  <c r="G968" i="31"/>
  <c r="G967" i="31"/>
  <c r="G966" i="31"/>
  <c r="G965" i="31"/>
  <c r="G964" i="31"/>
  <c r="G963" i="31"/>
  <c r="G962" i="31"/>
  <c r="G961" i="31"/>
  <c r="G960" i="31"/>
  <c r="G959" i="31"/>
  <c r="G958" i="31"/>
  <c r="G957" i="31"/>
  <c r="G956" i="31"/>
  <c r="G955" i="31"/>
  <c r="G954" i="31"/>
  <c r="G953" i="31"/>
  <c r="G952" i="31"/>
  <c r="G951" i="31"/>
  <c r="G950" i="31"/>
  <c r="G949" i="31"/>
  <c r="G948" i="31"/>
  <c r="G947" i="31"/>
  <c r="G946" i="31"/>
  <c r="G945" i="31"/>
  <c r="G944" i="31"/>
  <c r="G943" i="31"/>
  <c r="G942" i="31"/>
  <c r="G941" i="31"/>
  <c r="G940" i="31"/>
  <c r="G939" i="31"/>
  <c r="G938" i="31"/>
  <c r="G937" i="31"/>
  <c r="G936" i="31"/>
  <c r="G935" i="31"/>
  <c r="G934" i="31"/>
  <c r="G933" i="31"/>
  <c r="G932" i="31"/>
  <c r="G931" i="31"/>
  <c r="G930" i="31"/>
  <c r="G929" i="31"/>
  <c r="G928" i="31"/>
  <c r="G927" i="31"/>
  <c r="G926" i="31"/>
  <c r="G925" i="31"/>
  <c r="G924" i="31"/>
  <c r="G923" i="31"/>
  <c r="G922" i="31"/>
  <c r="G921" i="31"/>
  <c r="G920" i="31"/>
  <c r="G919" i="31"/>
  <c r="G918" i="31"/>
  <c r="G917" i="31"/>
  <c r="G916" i="31"/>
  <c r="G915" i="31"/>
  <c r="G914" i="31"/>
  <c r="G913" i="31"/>
  <c r="G912" i="31"/>
  <c r="G911" i="31"/>
  <c r="G910" i="31"/>
  <c r="G909" i="31"/>
  <c r="G908" i="31"/>
  <c r="G907" i="31"/>
  <c r="G906" i="31"/>
  <c r="G905" i="31"/>
  <c r="G904" i="31"/>
  <c r="G903" i="31"/>
  <c r="G902" i="31"/>
  <c r="G901" i="31"/>
  <c r="G900" i="31"/>
  <c r="G899" i="31"/>
  <c r="G898" i="31"/>
  <c r="G897" i="31"/>
  <c r="G896" i="31"/>
  <c r="G895" i="31"/>
  <c r="G894" i="31"/>
  <c r="G893" i="31"/>
  <c r="G892" i="31"/>
  <c r="G891" i="31"/>
  <c r="G890" i="31"/>
  <c r="G889" i="31"/>
  <c r="G888" i="31"/>
  <c r="G887" i="31"/>
  <c r="G886" i="31"/>
  <c r="G885" i="31"/>
  <c r="G884" i="31"/>
  <c r="G883" i="31"/>
  <c r="G882" i="31"/>
  <c r="G881" i="31"/>
  <c r="G880" i="31"/>
  <c r="G879" i="31"/>
  <c r="G878" i="31"/>
  <c r="G877" i="31"/>
  <c r="G876" i="31"/>
  <c r="G875" i="31"/>
  <c r="G874" i="31"/>
  <c r="G873" i="31"/>
  <c r="G872" i="31"/>
  <c r="G871" i="31"/>
  <c r="G870" i="31"/>
  <c r="G869" i="31"/>
  <c r="G868" i="31"/>
  <c r="G867" i="31"/>
  <c r="G866" i="31"/>
  <c r="G865" i="31"/>
  <c r="G864" i="31"/>
  <c r="G863" i="31"/>
  <c r="G862" i="31"/>
  <c r="G861" i="31"/>
  <c r="G860" i="31"/>
  <c r="G859" i="31"/>
  <c r="G858" i="31"/>
  <c r="G857" i="31"/>
  <c r="G856" i="31"/>
  <c r="G855" i="31"/>
  <c r="G854" i="31"/>
  <c r="G853" i="31"/>
  <c r="G852" i="31"/>
  <c r="G851" i="31"/>
  <c r="G850" i="31"/>
  <c r="G849" i="31"/>
  <c r="G848" i="31"/>
  <c r="G847" i="31"/>
  <c r="G846" i="31"/>
  <c r="G845" i="31"/>
  <c r="G844" i="31"/>
  <c r="G843" i="31"/>
  <c r="G842" i="31"/>
  <c r="G841" i="31"/>
  <c r="G840" i="31"/>
  <c r="G839" i="31"/>
  <c r="G838" i="31"/>
  <c r="G837" i="31"/>
  <c r="G836" i="31"/>
  <c r="G835" i="31"/>
  <c r="G834" i="31"/>
  <c r="G833" i="31"/>
  <c r="G832" i="31"/>
  <c r="G831" i="31"/>
  <c r="G830" i="31"/>
  <c r="G829" i="31"/>
  <c r="G828" i="31"/>
  <c r="G827" i="31"/>
  <c r="G826" i="31"/>
  <c r="G825" i="31"/>
  <c r="G824" i="31"/>
  <c r="G823" i="31"/>
  <c r="G822" i="31"/>
  <c r="G821" i="31"/>
  <c r="G820" i="31"/>
  <c r="G819" i="31"/>
  <c r="G818" i="31"/>
  <c r="G817" i="31"/>
  <c r="G816" i="31"/>
  <c r="G815" i="31"/>
  <c r="G814" i="31"/>
  <c r="G813" i="31"/>
  <c r="G812" i="31"/>
  <c r="G811" i="31"/>
  <c r="G810" i="31"/>
  <c r="G809" i="31"/>
  <c r="G808" i="31"/>
  <c r="G807" i="31"/>
  <c r="G806" i="31"/>
  <c r="G805" i="31"/>
  <c r="G804" i="31"/>
  <c r="G803" i="31"/>
  <c r="G802" i="31"/>
  <c r="G801" i="31"/>
  <c r="G800" i="31"/>
  <c r="G799" i="31"/>
  <c r="G798" i="31"/>
  <c r="G797" i="31"/>
  <c r="G796" i="31"/>
  <c r="G795" i="31"/>
  <c r="G794" i="31"/>
  <c r="G793" i="31"/>
  <c r="G792" i="31"/>
  <c r="G791" i="31"/>
  <c r="G790" i="31"/>
  <c r="G789" i="31"/>
  <c r="G788" i="31"/>
  <c r="G787" i="31"/>
  <c r="G786" i="31"/>
  <c r="G785" i="31"/>
  <c r="G784" i="31"/>
  <c r="G783" i="31"/>
  <c r="G782" i="31"/>
  <c r="G781" i="31"/>
  <c r="G780" i="31"/>
  <c r="G779" i="31"/>
  <c r="G778" i="31"/>
  <c r="G777" i="31"/>
  <c r="G776" i="31"/>
  <c r="G775" i="31"/>
  <c r="G774" i="31"/>
  <c r="G773" i="31"/>
  <c r="G772" i="31"/>
  <c r="G771" i="31"/>
  <c r="G770" i="31"/>
  <c r="G769" i="31"/>
  <c r="G768" i="31"/>
  <c r="G767" i="31"/>
  <c r="G766" i="31"/>
  <c r="G765" i="31"/>
  <c r="G764" i="31"/>
  <c r="G763" i="31"/>
  <c r="G762" i="31"/>
  <c r="G761" i="31"/>
  <c r="G760" i="31"/>
  <c r="G759" i="31"/>
  <c r="G758" i="31"/>
  <c r="G757" i="31"/>
  <c r="G756" i="31"/>
  <c r="G755" i="31"/>
  <c r="G754" i="31"/>
  <c r="G753" i="31"/>
  <c r="G752" i="31"/>
  <c r="G751" i="31"/>
  <c r="G750" i="31"/>
  <c r="G749" i="31"/>
  <c r="G748" i="31"/>
  <c r="G747" i="31"/>
  <c r="G746" i="31"/>
  <c r="G745" i="31"/>
  <c r="G744" i="31"/>
  <c r="G743" i="31"/>
  <c r="G742" i="31"/>
  <c r="G741" i="31"/>
  <c r="G740" i="31"/>
  <c r="G739" i="31"/>
  <c r="G738" i="31"/>
  <c r="G737" i="31"/>
  <c r="G736" i="31"/>
  <c r="G735" i="31"/>
  <c r="G734" i="31"/>
  <c r="G733" i="31"/>
  <c r="G732" i="31"/>
  <c r="G731" i="31"/>
  <c r="G730" i="31"/>
  <c r="G729" i="31"/>
  <c r="G728" i="31"/>
  <c r="G727" i="31"/>
  <c r="G726" i="31"/>
  <c r="G725" i="31"/>
  <c r="G724" i="31"/>
  <c r="G723" i="31"/>
  <c r="G722" i="31"/>
  <c r="G721" i="31"/>
  <c r="G720" i="31"/>
  <c r="G719" i="31"/>
  <c r="G718" i="31"/>
  <c r="G717" i="31"/>
  <c r="G716" i="31"/>
  <c r="G715" i="31"/>
  <c r="G714" i="31"/>
  <c r="G713" i="31"/>
  <c r="G712" i="31"/>
  <c r="G711" i="31"/>
  <c r="G710" i="31"/>
  <c r="G709" i="31"/>
  <c r="G708" i="31"/>
  <c r="G707" i="31"/>
  <c r="G706" i="31"/>
  <c r="G705" i="31"/>
  <c r="G704" i="31"/>
  <c r="G703" i="31"/>
  <c r="G702" i="31"/>
  <c r="G701" i="31"/>
  <c r="G700" i="31"/>
  <c r="G699" i="31"/>
  <c r="G698" i="31"/>
  <c r="G697" i="31"/>
  <c r="G696" i="31"/>
  <c r="G695" i="31"/>
  <c r="G694" i="31"/>
  <c r="G693" i="31"/>
  <c r="G692" i="31"/>
  <c r="G691" i="31"/>
  <c r="G690" i="31"/>
  <c r="G689" i="31"/>
  <c r="G688" i="31"/>
  <c r="G687" i="31"/>
  <c r="G686" i="31"/>
  <c r="G685" i="31"/>
  <c r="G684" i="31"/>
  <c r="G683" i="31"/>
  <c r="G682" i="31"/>
  <c r="G681" i="31"/>
  <c r="G680" i="31"/>
  <c r="G679" i="31"/>
  <c r="G678" i="31"/>
  <c r="G677" i="31"/>
  <c r="G676" i="31"/>
  <c r="G675" i="31"/>
  <c r="G674" i="31"/>
  <c r="G673" i="31"/>
  <c r="G672" i="31"/>
  <c r="G671" i="31"/>
  <c r="G670" i="31"/>
  <c r="G669" i="31"/>
  <c r="G668" i="31"/>
  <c r="G667" i="31"/>
  <c r="G666" i="31"/>
  <c r="G665" i="31"/>
  <c r="G664" i="31"/>
  <c r="G663" i="31"/>
  <c r="G662" i="31"/>
  <c r="G661" i="31"/>
  <c r="G660" i="31"/>
  <c r="G659" i="31"/>
  <c r="G658" i="31"/>
  <c r="G657" i="31"/>
  <c r="G656" i="31"/>
  <c r="G655" i="31"/>
  <c r="G654" i="31"/>
  <c r="G653" i="31"/>
  <c r="G652" i="31"/>
  <c r="G651" i="31"/>
  <c r="G650" i="31"/>
  <c r="G649" i="31"/>
  <c r="G648" i="31"/>
  <c r="G647" i="31"/>
  <c r="G646" i="31"/>
  <c r="G645" i="31"/>
  <c r="G644" i="31"/>
  <c r="G643" i="31"/>
  <c r="G642" i="31"/>
  <c r="G641" i="31"/>
  <c r="G640" i="31"/>
  <c r="G639" i="31"/>
  <c r="G638" i="31"/>
  <c r="G637" i="31"/>
  <c r="G636" i="31"/>
  <c r="G635" i="31"/>
  <c r="G634" i="31"/>
  <c r="G633" i="31"/>
  <c r="G632" i="31"/>
  <c r="G631" i="31"/>
  <c r="G630" i="31"/>
  <c r="G629" i="31"/>
  <c r="G628" i="31"/>
  <c r="G627" i="31"/>
  <c r="G626" i="31"/>
  <c r="G625" i="31"/>
  <c r="G624" i="31"/>
  <c r="G623" i="31"/>
  <c r="G622" i="31"/>
  <c r="G621" i="31"/>
  <c r="G620" i="31"/>
  <c r="G619" i="31"/>
  <c r="G618" i="31"/>
  <c r="G617" i="31"/>
  <c r="G616" i="31"/>
  <c r="G615" i="31"/>
  <c r="G614" i="31"/>
  <c r="G613" i="31"/>
  <c r="G612" i="31"/>
  <c r="G611" i="31"/>
  <c r="G610" i="31"/>
  <c r="G609" i="31"/>
  <c r="G608" i="31"/>
  <c r="G607" i="31"/>
  <c r="G606" i="31"/>
  <c r="G605" i="31"/>
  <c r="G604" i="31"/>
  <c r="G603" i="31"/>
  <c r="G602" i="31"/>
  <c r="G601" i="31"/>
  <c r="G600" i="31"/>
  <c r="G599" i="31"/>
  <c r="G598" i="31"/>
  <c r="G597" i="31"/>
  <c r="G596" i="31"/>
  <c r="G595" i="31"/>
  <c r="G594" i="31"/>
  <c r="G593" i="31"/>
  <c r="G592" i="31"/>
  <c r="G591" i="31"/>
  <c r="G590" i="31"/>
  <c r="G589" i="31"/>
  <c r="G588" i="31"/>
  <c r="G587" i="31"/>
  <c r="G586" i="31"/>
  <c r="G585" i="31"/>
  <c r="G584" i="31"/>
  <c r="G583" i="31"/>
  <c r="G582" i="31"/>
  <c r="G581" i="31"/>
  <c r="G580" i="31"/>
  <c r="G579" i="31"/>
  <c r="G578" i="31"/>
  <c r="G577" i="31"/>
  <c r="G576" i="31"/>
  <c r="G575" i="31"/>
  <c r="G574" i="31"/>
  <c r="G573" i="31"/>
  <c r="G572" i="31"/>
  <c r="G571" i="31"/>
  <c r="G570" i="31"/>
  <c r="G569" i="31"/>
  <c r="G568" i="31"/>
  <c r="G567" i="31"/>
  <c r="G566" i="31"/>
  <c r="G565" i="31"/>
  <c r="G564" i="31"/>
  <c r="G563" i="31"/>
  <c r="G562" i="31"/>
  <c r="G561" i="31"/>
  <c r="G560" i="31"/>
  <c r="G559" i="31"/>
  <c r="G558" i="31"/>
  <c r="G557" i="31"/>
  <c r="G556" i="31"/>
  <c r="G555" i="31"/>
  <c r="G554" i="31"/>
  <c r="G553" i="31"/>
  <c r="G552" i="31"/>
  <c r="G551" i="31"/>
  <c r="G550" i="31"/>
  <c r="G549" i="31"/>
  <c r="G548" i="31"/>
  <c r="G547" i="31"/>
  <c r="G546" i="31"/>
  <c r="G545" i="31"/>
  <c r="G544" i="31"/>
  <c r="G543" i="31"/>
  <c r="G542" i="31"/>
  <c r="G541" i="31"/>
  <c r="G540" i="31"/>
  <c r="G539" i="31"/>
  <c r="G538" i="31"/>
  <c r="G537" i="31"/>
  <c r="G536" i="31"/>
  <c r="G535" i="31"/>
  <c r="G534" i="31"/>
  <c r="G533" i="31"/>
  <c r="G532" i="31"/>
  <c r="G531" i="31"/>
  <c r="G530" i="31"/>
  <c r="G529" i="31"/>
  <c r="G528" i="31"/>
  <c r="G527" i="31"/>
  <c r="G526" i="31"/>
  <c r="G525" i="31"/>
  <c r="G524" i="31"/>
  <c r="G523" i="31"/>
  <c r="G522" i="31"/>
  <c r="G521" i="31"/>
  <c r="G520" i="31"/>
  <c r="G519" i="31"/>
  <c r="G518" i="31"/>
  <c r="G517" i="31"/>
  <c r="G516" i="31"/>
  <c r="G515" i="31"/>
  <c r="G514" i="31"/>
  <c r="G513" i="31"/>
  <c r="G512" i="31"/>
  <c r="G511" i="31"/>
  <c r="G510" i="31"/>
  <c r="G509" i="31"/>
  <c r="G508" i="31"/>
  <c r="G507" i="31"/>
  <c r="G506" i="31"/>
  <c r="G505" i="31"/>
  <c r="G504" i="31"/>
  <c r="G503" i="31"/>
  <c r="G502" i="31"/>
  <c r="G501" i="31"/>
  <c r="G500" i="31"/>
  <c r="G499" i="31"/>
  <c r="G498" i="31"/>
  <c r="G497" i="31"/>
  <c r="G496" i="31"/>
  <c r="G495" i="31"/>
  <c r="G494" i="31"/>
  <c r="G493" i="31"/>
  <c r="G492" i="31"/>
  <c r="G491" i="31"/>
  <c r="G490" i="31"/>
  <c r="G489" i="31"/>
  <c r="G488" i="31"/>
  <c r="G487" i="31"/>
  <c r="G486" i="31"/>
  <c r="G485" i="31"/>
  <c r="G484" i="31"/>
  <c r="G483" i="31"/>
  <c r="G482" i="31"/>
  <c r="G481" i="31"/>
  <c r="G480" i="31"/>
  <c r="G479" i="31"/>
  <c r="G478" i="31"/>
  <c r="G477" i="31"/>
  <c r="G476" i="31"/>
  <c r="G475" i="31"/>
  <c r="G474" i="31"/>
  <c r="G473" i="31"/>
  <c r="G472" i="31"/>
  <c r="G471" i="31"/>
  <c r="G470" i="31"/>
  <c r="G469" i="31"/>
  <c r="G468" i="31"/>
  <c r="G467" i="31"/>
  <c r="G466" i="31"/>
  <c r="G465" i="31"/>
  <c r="G464" i="31"/>
  <c r="G463" i="31"/>
  <c r="G462" i="31"/>
  <c r="G461" i="31"/>
  <c r="G460" i="31"/>
  <c r="G459" i="31"/>
  <c r="G458" i="31"/>
  <c r="G457" i="31"/>
  <c r="G456" i="31"/>
  <c r="G455" i="31"/>
  <c r="G454" i="31"/>
  <c r="G453" i="31"/>
  <c r="G452" i="31"/>
  <c r="G451" i="31"/>
  <c r="G450" i="31"/>
  <c r="G449" i="31"/>
  <c r="G448" i="31"/>
  <c r="G447" i="31"/>
  <c r="G446" i="31"/>
  <c r="G445" i="31"/>
  <c r="G444" i="31"/>
  <c r="G443" i="31"/>
  <c r="G442" i="31"/>
  <c r="G441" i="31"/>
  <c r="G440" i="31"/>
  <c r="G439" i="31"/>
  <c r="G438" i="31"/>
  <c r="G437" i="31"/>
  <c r="G436" i="31"/>
  <c r="G435" i="31"/>
  <c r="G434" i="31"/>
  <c r="G433" i="31"/>
  <c r="G432" i="31"/>
  <c r="G431" i="31"/>
  <c r="G430" i="31"/>
  <c r="G429" i="31"/>
  <c r="G428" i="31"/>
  <c r="G427" i="31"/>
  <c r="G426" i="31"/>
  <c r="G425" i="31"/>
  <c r="G424" i="31"/>
  <c r="G423" i="31"/>
  <c r="G422" i="31"/>
  <c r="G421" i="31"/>
  <c r="G420" i="31"/>
  <c r="G419" i="31"/>
  <c r="G418" i="31"/>
  <c r="G417" i="31"/>
  <c r="G416" i="31"/>
  <c r="G415" i="31"/>
  <c r="G414" i="31"/>
  <c r="G413" i="31"/>
  <c r="G412" i="31"/>
  <c r="G411" i="31"/>
  <c r="G410" i="31"/>
  <c r="G409" i="31"/>
  <c r="G408" i="31"/>
  <c r="G407" i="31"/>
  <c r="G406" i="31"/>
  <c r="G405" i="31"/>
  <c r="G404" i="31"/>
  <c r="G403" i="31"/>
  <c r="G402" i="31"/>
  <c r="G401" i="31"/>
  <c r="G400" i="31"/>
  <c r="G399" i="31"/>
  <c r="G398" i="31"/>
  <c r="G397" i="31"/>
  <c r="G396" i="31"/>
  <c r="G395" i="31"/>
  <c r="G394" i="31"/>
  <c r="G393" i="31"/>
  <c r="G392" i="31"/>
  <c r="G391" i="31"/>
  <c r="G390" i="31"/>
  <c r="G389" i="31"/>
  <c r="G388" i="31"/>
  <c r="G387" i="31"/>
  <c r="G386" i="31"/>
  <c r="G385" i="31"/>
  <c r="G384" i="31"/>
  <c r="G383" i="31"/>
  <c r="G382" i="31"/>
  <c r="G381" i="31"/>
  <c r="G380" i="31"/>
  <c r="G379" i="31"/>
  <c r="G378" i="31"/>
  <c r="G377" i="31"/>
  <c r="G376" i="31"/>
  <c r="G375" i="31"/>
  <c r="G374" i="31"/>
  <c r="G373" i="31"/>
  <c r="G372" i="31"/>
  <c r="G371" i="31"/>
  <c r="G370" i="31"/>
  <c r="G369" i="31"/>
  <c r="G368" i="31"/>
  <c r="G367" i="31"/>
  <c r="G366" i="31"/>
  <c r="G365" i="31"/>
  <c r="G364" i="31"/>
  <c r="G363" i="31"/>
  <c r="G362" i="31"/>
  <c r="G361" i="31"/>
  <c r="G360" i="31"/>
  <c r="G359" i="31"/>
  <c r="G358" i="31"/>
  <c r="G357" i="31"/>
  <c r="G356" i="31"/>
  <c r="G355" i="31"/>
  <c r="G354" i="31"/>
  <c r="G353" i="31"/>
  <c r="G352" i="31"/>
  <c r="G351" i="31"/>
  <c r="G350" i="31"/>
  <c r="G349" i="31"/>
  <c r="G348" i="31"/>
  <c r="G347" i="31"/>
  <c r="G346" i="31"/>
  <c r="G345" i="31"/>
  <c r="G344" i="31"/>
  <c r="G343" i="31"/>
  <c r="G342" i="31"/>
  <c r="G341" i="31"/>
  <c r="G340" i="31"/>
  <c r="G339" i="31"/>
  <c r="G338" i="31"/>
  <c r="G337" i="31"/>
  <c r="G336" i="31"/>
  <c r="G335" i="31"/>
  <c r="G334" i="31"/>
  <c r="G333" i="31"/>
  <c r="G332" i="31"/>
  <c r="G331" i="31"/>
  <c r="G330" i="31"/>
  <c r="G329" i="31"/>
  <c r="G328" i="31"/>
  <c r="G327" i="31"/>
  <c r="G326" i="31"/>
  <c r="G325" i="31"/>
  <c r="G324" i="31"/>
  <c r="G323" i="31"/>
  <c r="G322" i="31"/>
  <c r="G321" i="31"/>
  <c r="G320" i="31"/>
  <c r="G319" i="31"/>
  <c r="G318" i="31"/>
  <c r="G317" i="31"/>
  <c r="G316" i="31"/>
  <c r="G315" i="31"/>
  <c r="G314" i="31"/>
  <c r="G313" i="31"/>
  <c r="G312" i="31"/>
  <c r="G311" i="31"/>
  <c r="G310" i="31"/>
  <c r="G309" i="31"/>
  <c r="G308" i="31"/>
  <c r="G307" i="31"/>
  <c r="G306" i="31"/>
  <c r="G305" i="31"/>
  <c r="G304" i="31"/>
  <c r="G303" i="31"/>
  <c r="G302" i="31"/>
  <c r="G301" i="31"/>
  <c r="G300" i="31"/>
  <c r="G299" i="31"/>
  <c r="G298" i="31"/>
  <c r="G297" i="31"/>
  <c r="G296" i="31"/>
  <c r="G295" i="31"/>
  <c r="G294" i="31"/>
  <c r="G293" i="31"/>
  <c r="G292" i="31"/>
  <c r="G291" i="31"/>
  <c r="G290" i="31"/>
  <c r="G289" i="31"/>
  <c r="G288" i="31"/>
  <c r="G287" i="31"/>
  <c r="G286" i="31"/>
  <c r="G285" i="31"/>
  <c r="G284" i="31"/>
  <c r="G283" i="31"/>
  <c r="G282" i="31"/>
  <c r="G281" i="31"/>
  <c r="G280" i="31"/>
  <c r="G279" i="31"/>
  <c r="G278" i="31"/>
  <c r="G277" i="31"/>
  <c r="G276" i="31"/>
  <c r="G275" i="31"/>
  <c r="G274" i="31"/>
  <c r="G273" i="31"/>
  <c r="G272" i="31"/>
  <c r="G271" i="31"/>
  <c r="G270" i="31"/>
  <c r="G269" i="31"/>
  <c r="G268" i="31"/>
  <c r="G267" i="31"/>
  <c r="G266" i="31"/>
  <c r="G265" i="31"/>
  <c r="G264" i="31"/>
  <c r="G263" i="31"/>
  <c r="G262" i="31"/>
  <c r="G261" i="31"/>
  <c r="G260" i="31"/>
  <c r="G259" i="31"/>
  <c r="G258" i="31"/>
  <c r="G257" i="31"/>
  <c r="G256" i="31"/>
  <c r="G255" i="31"/>
  <c r="G254" i="31"/>
  <c r="G253" i="31"/>
  <c r="G252" i="31"/>
  <c r="G251" i="31"/>
  <c r="G250" i="31"/>
  <c r="G249" i="31"/>
  <c r="G248" i="31"/>
  <c r="G247" i="31"/>
  <c r="G246" i="31"/>
  <c r="G245" i="31"/>
  <c r="G244" i="31"/>
  <c r="G243" i="31"/>
  <c r="G242" i="31"/>
  <c r="G241" i="31"/>
  <c r="G240" i="31"/>
  <c r="G239" i="31"/>
  <c r="G238" i="31"/>
  <c r="G237" i="31"/>
  <c r="G236" i="31"/>
  <c r="G235" i="31"/>
  <c r="G234" i="31"/>
  <c r="G233" i="31"/>
  <c r="G232" i="31"/>
  <c r="G231" i="31"/>
  <c r="G230" i="31"/>
  <c r="G229" i="31"/>
  <c r="G228" i="31"/>
  <c r="G227" i="31"/>
  <c r="G226" i="31"/>
  <c r="G225" i="31"/>
  <c r="G224" i="31"/>
  <c r="G223" i="31"/>
  <c r="G222" i="31"/>
  <c r="G221" i="31"/>
  <c r="G220" i="31"/>
  <c r="G219" i="31"/>
  <c r="G218" i="31"/>
  <c r="G217" i="31"/>
  <c r="G216" i="31"/>
  <c r="G215" i="31"/>
  <c r="G214" i="31"/>
  <c r="G213" i="31"/>
  <c r="G212" i="31"/>
  <c r="G211" i="31"/>
  <c r="G210" i="31"/>
  <c r="G209" i="31"/>
  <c r="G208" i="31"/>
  <c r="G207" i="31"/>
  <c r="G206" i="31"/>
  <c r="G205" i="31"/>
  <c r="G204" i="31"/>
  <c r="G203" i="31"/>
  <c r="G202" i="31"/>
  <c r="G201" i="31"/>
  <c r="G200" i="31"/>
  <c r="G199" i="31"/>
  <c r="G198" i="31"/>
  <c r="G197" i="31"/>
  <c r="G196" i="31"/>
  <c r="G195" i="31"/>
  <c r="G194" i="31"/>
  <c r="G193" i="31"/>
  <c r="G192" i="31"/>
  <c r="G191" i="31"/>
  <c r="G190" i="31"/>
  <c r="G189" i="31"/>
  <c r="G188" i="31"/>
  <c r="G187" i="31"/>
  <c r="G186" i="31"/>
  <c r="G185" i="31"/>
  <c r="G184" i="31"/>
  <c r="G183" i="31"/>
  <c r="G182" i="31"/>
  <c r="G181" i="31"/>
  <c r="G180" i="31"/>
  <c r="G179" i="31"/>
  <c r="G178" i="31"/>
  <c r="G177" i="31"/>
  <c r="G176" i="31"/>
  <c r="G175" i="31"/>
  <c r="G174" i="31"/>
  <c r="G173" i="31"/>
  <c r="G172" i="31"/>
  <c r="G171" i="31"/>
  <c r="G170" i="31"/>
  <c r="G169" i="31"/>
  <c r="G168" i="31"/>
  <c r="G167" i="31"/>
  <c r="G166" i="31"/>
  <c r="G165" i="31"/>
  <c r="G164" i="31"/>
  <c r="G163" i="31"/>
  <c r="G162" i="31"/>
  <c r="G161" i="31"/>
  <c r="G160" i="31"/>
  <c r="G159" i="31"/>
  <c r="G158" i="31"/>
  <c r="G157" i="31"/>
  <c r="G156" i="31"/>
  <c r="G155" i="31"/>
  <c r="G154" i="31"/>
  <c r="G153" i="31"/>
  <c r="G152" i="31"/>
  <c r="G151" i="31"/>
  <c r="G150" i="31"/>
  <c r="G149" i="31"/>
  <c r="G148" i="31"/>
  <c r="G147" i="31"/>
  <c r="G146" i="31"/>
  <c r="G145" i="31"/>
  <c r="G144" i="31"/>
  <c r="G143" i="31"/>
  <c r="G142" i="31"/>
  <c r="G141" i="31"/>
  <c r="G140" i="31"/>
  <c r="G139" i="31"/>
  <c r="G138" i="31"/>
  <c r="G137" i="31"/>
  <c r="G136" i="31"/>
  <c r="G135" i="31"/>
  <c r="G134" i="31"/>
  <c r="G133" i="31"/>
  <c r="G132" i="31"/>
  <c r="G131" i="31"/>
  <c r="G130" i="31"/>
  <c r="G129" i="31"/>
  <c r="G128" i="31"/>
  <c r="G127" i="31"/>
  <c r="G126" i="31"/>
  <c r="G125" i="31"/>
  <c r="G124" i="31"/>
  <c r="G123" i="31"/>
  <c r="G122" i="31"/>
  <c r="G121" i="31"/>
  <c r="G120" i="31"/>
  <c r="G119" i="31"/>
  <c r="G118" i="31"/>
  <c r="G117" i="31"/>
  <c r="G116" i="31"/>
  <c r="G115" i="31"/>
  <c r="G114" i="31"/>
  <c r="G113" i="31"/>
  <c r="G112" i="31"/>
  <c r="G111" i="31"/>
  <c r="G110" i="31"/>
  <c r="G109" i="31"/>
  <c r="G108" i="31"/>
  <c r="G107" i="31"/>
  <c r="G106" i="31"/>
  <c r="G105" i="31"/>
  <c r="G104" i="31"/>
  <c r="G103" i="31"/>
  <c r="G102" i="31"/>
  <c r="G101" i="31"/>
  <c r="G100" i="31"/>
  <c r="G99" i="31"/>
  <c r="G98" i="31"/>
  <c r="G97" i="31"/>
  <c r="G96" i="31"/>
  <c r="G95" i="31"/>
  <c r="G94" i="31"/>
  <c r="G93" i="31"/>
  <c r="G92" i="31"/>
  <c r="G91" i="31"/>
  <c r="G90" i="31"/>
  <c r="G89" i="31"/>
  <c r="G88" i="31"/>
  <c r="G87" i="31"/>
  <c r="G86" i="31"/>
  <c r="G85" i="31"/>
  <c r="G84" i="31"/>
  <c r="G83" i="31"/>
  <c r="G82" i="31"/>
  <c r="G81" i="31"/>
  <c r="G80" i="31"/>
  <c r="G79" i="31"/>
  <c r="G78" i="31"/>
  <c r="G77" i="31"/>
  <c r="G76" i="31"/>
  <c r="G75" i="31"/>
  <c r="G74" i="31"/>
  <c r="G73" i="31"/>
  <c r="G72" i="31"/>
  <c r="G71" i="31"/>
  <c r="G70" i="31"/>
  <c r="G69" i="31"/>
  <c r="G68" i="31"/>
  <c r="G67" i="31"/>
  <c r="G66" i="31"/>
  <c r="G65" i="31"/>
  <c r="G64" i="31"/>
  <c r="G63" i="31"/>
  <c r="G62" i="31"/>
  <c r="G61" i="31"/>
  <c r="G60" i="31"/>
  <c r="G59" i="31"/>
  <c r="G58" i="31"/>
  <c r="G57" i="31"/>
  <c r="G56" i="31"/>
  <c r="G55" i="31"/>
  <c r="G54" i="31"/>
  <c r="G53" i="31"/>
  <c r="G52" i="31"/>
  <c r="G51" i="31"/>
  <c r="G50" i="31"/>
  <c r="G49" i="31"/>
  <c r="G48" i="31"/>
  <c r="G47" i="31"/>
  <c r="G46" i="31"/>
  <c r="G45" i="31"/>
  <c r="G44" i="31"/>
  <c r="G43" i="31"/>
  <c r="G42" i="31"/>
  <c r="G41" i="31"/>
  <c r="G40" i="31"/>
  <c r="G39" i="31"/>
  <c r="G38" i="31"/>
  <c r="G37" i="31"/>
  <c r="G36" i="31"/>
  <c r="G35" i="31"/>
  <c r="G34" i="31"/>
  <c r="G33" i="31"/>
  <c r="G32" i="31"/>
  <c r="G31" i="31"/>
  <c r="G30" i="31"/>
  <c r="G29" i="31"/>
  <c r="G28" i="31"/>
  <c r="G27" i="31"/>
  <c r="G26" i="31"/>
  <c r="G25" i="31"/>
  <c r="G24" i="31"/>
  <c r="G23" i="31"/>
  <c r="G22" i="31"/>
  <c r="G21" i="31"/>
  <c r="G20" i="31"/>
  <c r="G19" i="31"/>
  <c r="G18" i="31"/>
  <c r="G17" i="31"/>
  <c r="G16" i="31"/>
  <c r="G15" i="31"/>
  <c r="G14" i="31"/>
  <c r="G13" i="31"/>
  <c r="G12" i="31"/>
  <c r="G11" i="31"/>
  <c r="G10" i="31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E99" i="2"/>
  <c r="D99" i="2"/>
  <c r="C99" i="2"/>
  <c r="D98" i="2"/>
  <c r="E98" i="2" s="1"/>
  <c r="C98" i="2"/>
  <c r="F96" i="2"/>
  <c r="E96" i="2"/>
  <c r="F95" i="2"/>
  <c r="E95" i="2"/>
  <c r="F94" i="2"/>
  <c r="E94" i="2"/>
  <c r="F93" i="2"/>
  <c r="E93" i="2"/>
  <c r="F92" i="2"/>
  <c r="E92" i="2"/>
  <c r="F91" i="2"/>
  <c r="E91" i="2"/>
  <c r="F90" i="2"/>
  <c r="E90" i="2"/>
  <c r="F89" i="2"/>
  <c r="E89" i="2"/>
  <c r="F88" i="2"/>
  <c r="E88" i="2"/>
  <c r="F87" i="2"/>
  <c r="E87" i="2"/>
  <c r="F86" i="2"/>
  <c r="E86" i="2"/>
  <c r="F85" i="2"/>
  <c r="E85" i="2"/>
  <c r="F84" i="2"/>
  <c r="E84" i="2"/>
  <c r="F83" i="2"/>
  <c r="E83" i="2"/>
  <c r="F82" i="2"/>
  <c r="E82" i="2"/>
  <c r="F81" i="2"/>
  <c r="E81" i="2"/>
  <c r="F80" i="2"/>
  <c r="E80" i="2"/>
  <c r="F79" i="2"/>
  <c r="E79" i="2"/>
  <c r="F78" i="2"/>
  <c r="E78" i="2"/>
  <c r="F77" i="2"/>
  <c r="E77" i="2"/>
  <c r="F76" i="2"/>
  <c r="E76" i="2"/>
  <c r="D72" i="2"/>
  <c r="E72" i="2" s="1"/>
  <c r="C72" i="2"/>
  <c r="F71" i="2"/>
  <c r="E71" i="2"/>
  <c r="F69" i="2"/>
  <c r="E69" i="2"/>
  <c r="F68" i="2"/>
  <c r="E68" i="2"/>
  <c r="F67" i="2"/>
  <c r="E67" i="2"/>
  <c r="F66" i="2"/>
  <c r="E66" i="2"/>
  <c r="F65" i="2"/>
  <c r="E65" i="2"/>
  <c r="F64" i="2"/>
  <c r="E64" i="2"/>
  <c r="F63" i="2"/>
  <c r="E63" i="2"/>
  <c r="F62" i="2"/>
  <c r="E62" i="2"/>
  <c r="F61" i="2"/>
  <c r="E61" i="2"/>
  <c r="F60" i="2"/>
  <c r="E60" i="2"/>
  <c r="F59" i="2"/>
  <c r="E59" i="2"/>
  <c r="F58" i="2"/>
  <c r="E58" i="2"/>
  <c r="F57" i="2"/>
  <c r="E57" i="2"/>
  <c r="F56" i="2"/>
  <c r="E56" i="2"/>
  <c r="F55" i="2"/>
  <c r="E55" i="2"/>
  <c r="F54" i="2"/>
  <c r="E54" i="2"/>
  <c r="F53" i="2"/>
  <c r="E53" i="2"/>
  <c r="F52" i="2"/>
  <c r="E52" i="2"/>
  <c r="F51" i="2"/>
  <c r="F72" i="2" s="1"/>
  <c r="E51" i="2"/>
  <c r="F50" i="2"/>
  <c r="E50" i="2"/>
  <c r="D46" i="2"/>
  <c r="E46" i="2" s="1"/>
  <c r="C46" i="2"/>
  <c r="F45" i="2"/>
  <c r="E45" i="2"/>
  <c r="F43" i="2"/>
  <c r="E43" i="2"/>
  <c r="F42" i="2"/>
  <c r="E42" i="2"/>
  <c r="F41" i="2"/>
  <c r="E41" i="2"/>
  <c r="F40" i="2"/>
  <c r="E40" i="2"/>
  <c r="F39" i="2"/>
  <c r="E39" i="2"/>
  <c r="F38" i="2"/>
  <c r="E38" i="2"/>
  <c r="F37" i="2"/>
  <c r="E37" i="2"/>
  <c r="F36" i="2"/>
  <c r="E36" i="2"/>
  <c r="F35" i="2"/>
  <c r="E35" i="2"/>
  <c r="F34" i="2"/>
  <c r="E34" i="2"/>
  <c r="F33" i="2"/>
  <c r="E33" i="2"/>
  <c r="F32" i="2"/>
  <c r="E32" i="2"/>
  <c r="F31" i="2"/>
  <c r="E31" i="2"/>
  <c r="F30" i="2"/>
  <c r="E30" i="2"/>
  <c r="F29" i="2"/>
  <c r="E29" i="2"/>
  <c r="F28" i="2"/>
  <c r="E28" i="2"/>
  <c r="F27" i="2"/>
  <c r="E27" i="2"/>
  <c r="F26" i="2"/>
  <c r="E26" i="2"/>
  <c r="F25" i="2"/>
  <c r="E25" i="2"/>
  <c r="F24" i="2"/>
  <c r="F46" i="2" s="1"/>
  <c r="E24" i="2"/>
  <c r="F99" i="2" l="1"/>
  <c r="F98" i="2"/>
</calcChain>
</file>

<file path=xl/sharedStrings.xml><?xml version="1.0" encoding="utf-8"?>
<sst xmlns="http://schemas.openxmlformats.org/spreadsheetml/2006/main" count="28113" uniqueCount="4773">
  <si>
    <t>Project Name : AWS300CBUP</t>
  </si>
  <si>
    <t>Project Code : 1316</t>
  </si>
  <si>
    <t>Document Title :</t>
  </si>
  <si>
    <t>CUSTOMER BUY OFF DATE :</t>
  </si>
  <si>
    <t>COMMIT DELIVERY DATE :</t>
  </si>
  <si>
    <t xml:space="preserve">Updated On : </t>
  </si>
  <si>
    <t>Meeting attendee :</t>
  </si>
  <si>
    <t>#</t>
  </si>
  <si>
    <t>Module</t>
  </si>
  <si>
    <t>WW</t>
  </si>
  <si>
    <t>Date</t>
  </si>
  <si>
    <t xml:space="preserve">Design
</t>
  </si>
  <si>
    <t>Std BOM/
FAB Drawing Release</t>
  </si>
  <si>
    <t>IO List</t>
  </si>
  <si>
    <t>EE</t>
  </si>
  <si>
    <t>Material
(Parts received)</t>
  </si>
  <si>
    <t>Assembly</t>
  </si>
  <si>
    <t>Panel</t>
  </si>
  <si>
    <t xml:space="preserve">Wire 
Routing
</t>
  </si>
  <si>
    <t>Power On / Address setting / 
IO Test / Alignment</t>
  </si>
  <si>
    <t>Software 
Readiness</t>
  </si>
  <si>
    <t>Software Offline Test</t>
  </si>
  <si>
    <t>Software
Test</t>
  </si>
  <si>
    <t>Remarks</t>
  </si>
  <si>
    <t>Fab</t>
  </si>
  <si>
    <t>Std</t>
  </si>
  <si>
    <t>HX / LW</t>
  </si>
  <si>
    <t>HX</t>
  </si>
  <si>
    <t>KC Teoh</t>
  </si>
  <si>
    <t>Lay Peng</t>
  </si>
  <si>
    <t>Ragu</t>
  </si>
  <si>
    <t>Joe</t>
  </si>
  <si>
    <t>Subcon</t>
  </si>
  <si>
    <t>Sub Con</t>
  </si>
  <si>
    <t>Joe / Azhar</t>
  </si>
  <si>
    <t>Azhar</t>
  </si>
  <si>
    <t>0% / 0%</t>
  </si>
  <si>
    <t>0% / 0% / 0% / 0%</t>
  </si>
  <si>
    <t>Project Name :</t>
  </si>
  <si>
    <t>AWS300CBUP</t>
  </si>
  <si>
    <t>Last Update:</t>
  </si>
  <si>
    <t>Project Code:</t>
  </si>
  <si>
    <t>1316</t>
  </si>
  <si>
    <t xml:space="preserve">Project Leader:  </t>
  </si>
  <si>
    <t>No</t>
  </si>
  <si>
    <t>Description</t>
  </si>
  <si>
    <t>PRODUCTION PIC</t>
  </si>
  <si>
    <t>MECH DESIGNER</t>
  </si>
  <si>
    <t>UPDATE MODULE</t>
  </si>
  <si>
    <t>LAST UPDATE</t>
  </si>
  <si>
    <t>Mech BOM Path :</t>
  </si>
  <si>
    <t>Z:\Dept\Engineering\Production\2024</t>
  </si>
  <si>
    <t>1316.1</t>
  </si>
  <si>
    <t>DEFECT COST</t>
  </si>
  <si>
    <t>EE BOM Path :</t>
  </si>
  <si>
    <t>1316.3</t>
  </si>
  <si>
    <t>FOUP PORT (3LP) (MECH)</t>
  </si>
  <si>
    <t>ERP Report Path :</t>
  </si>
  <si>
    <t>1316.5</t>
  </si>
  <si>
    <t>ON ROBOT ALIGNER (MECH)</t>
  </si>
  <si>
    <t>1316.7</t>
  </si>
  <si>
    <t>INTERLEAF TRANSFER ARM (MECH)</t>
  </si>
  <si>
    <t>1316.9</t>
  </si>
  <si>
    <t>INSPECTION MODULE (MECH)</t>
  </si>
  <si>
    <t>1316.11</t>
  </si>
  <si>
    <t>WAFER FLIPPER (MECH)</t>
  </si>
  <si>
    <t>1316.13</t>
  </si>
  <si>
    <t>COINSTACKED BOX STATION (MECH)</t>
  </si>
  <si>
    <t>1316.15</t>
  </si>
  <si>
    <t>BOX ADAPTOR (MECH)</t>
  </si>
  <si>
    <t>1316.17</t>
  </si>
  <si>
    <t>INTERLEAF BIN (MECH)</t>
  </si>
  <si>
    <t>1316.19</t>
  </si>
  <si>
    <t>SPONGE BIN (MECH)</t>
  </si>
  <si>
    <t>1316.21</t>
  </si>
  <si>
    <t>FRAME STRUCTURE (MECH)</t>
  </si>
  <si>
    <t>1316.23</t>
  </si>
  <si>
    <t>AUTO FOCUS MODULE (MECH)</t>
  </si>
  <si>
    <t>1316.25</t>
  </si>
  <si>
    <t>SLAVE STRUCTURE MODULE (MECH)</t>
  </si>
  <si>
    <t>1316.27</t>
  </si>
  <si>
    <t>MACRO INSPECTION MODULE (MECH)</t>
  </si>
  <si>
    <t>1316.29</t>
  </si>
  <si>
    <t>BOX CLASSIFICATION MODULE (MECH)</t>
  </si>
  <si>
    <t>1316.31</t>
  </si>
  <si>
    <t>BOX GRIPPER ARM (MECH)</t>
  </si>
  <si>
    <t>1316.33</t>
  </si>
  <si>
    <t>BOX LOADING STATION (MECH)</t>
  </si>
  <si>
    <t>1316.35</t>
  </si>
  <si>
    <t>CANISTER LID OPENER (MECH)</t>
  </si>
  <si>
    <t>1316.37</t>
  </si>
  <si>
    <t>BOX LOADING STRUCTURE (MECH)</t>
  </si>
  <si>
    <t>1316.39</t>
  </si>
  <si>
    <t>FASTENER</t>
  </si>
  <si>
    <t>EE DESIGNER</t>
  </si>
  <si>
    <t>1316.2</t>
  </si>
  <si>
    <t>ELECTRONICS &amp; ELECTRICALS )PC, CCTV, UPS, ETC)</t>
  </si>
  <si>
    <t>1316.4</t>
  </si>
  <si>
    <t>FOUP PORT (3LP) (E&amp;E)</t>
  </si>
  <si>
    <t>1316.6</t>
  </si>
  <si>
    <t>ON ROBOT ALIGNER (E&amp;E)</t>
  </si>
  <si>
    <t>1316.8</t>
  </si>
  <si>
    <t>INTERLEAF TRANSFER ARM (E&amp;E)</t>
  </si>
  <si>
    <t>1316.10</t>
  </si>
  <si>
    <t>INSPECTION MODULE (E&amp;E)</t>
  </si>
  <si>
    <t>1316.12</t>
  </si>
  <si>
    <t>WAFER FLIPPER (E&amp;E)</t>
  </si>
  <si>
    <t>1316.14</t>
  </si>
  <si>
    <t>COINSTACKED BOX STATION (E&amp;E)</t>
  </si>
  <si>
    <t>1316.16</t>
  </si>
  <si>
    <t>BOX ADAPTOR (E&amp;E)</t>
  </si>
  <si>
    <t>1316.18</t>
  </si>
  <si>
    <t>INTERLEAF BIN (E&amp;E)</t>
  </si>
  <si>
    <t>1316.20</t>
  </si>
  <si>
    <t>SPONGE BIN (E&amp;E)</t>
  </si>
  <si>
    <t>1316.22</t>
  </si>
  <si>
    <t>FRAME STRUCTURE (E&amp;E)</t>
  </si>
  <si>
    <t>1316.24</t>
  </si>
  <si>
    <t>AUTO FOCUS MODULE (E&amp;E)</t>
  </si>
  <si>
    <t>1316.26</t>
  </si>
  <si>
    <t>SLAVE STRUCTURE MODULE (E&amp;E)</t>
  </si>
  <si>
    <t>1316.28</t>
  </si>
  <si>
    <t>MACRO INSPECTION MODULE (E&amp;E)</t>
  </si>
  <si>
    <t>1316.30</t>
  </si>
  <si>
    <t>BOX CLASSIFICATION MODULE (E&amp;E)</t>
  </si>
  <si>
    <t>1316.32</t>
  </si>
  <si>
    <t>BOX GRIPPER ARM (E&amp;E)</t>
  </si>
  <si>
    <t>1316.34</t>
  </si>
  <si>
    <t>BOX LOADING STATION (E&amp;E)</t>
  </si>
  <si>
    <t>1316.36</t>
  </si>
  <si>
    <t>CANISTER LID OPENER (E&amp;E)</t>
  </si>
  <si>
    <t>1316.38</t>
  </si>
  <si>
    <t>BOX LOADING STRUCTURE (E&amp;E)</t>
  </si>
  <si>
    <t>1316.40</t>
  </si>
  <si>
    <t>MISC</t>
  </si>
  <si>
    <t>Document Title : Project Gantt Chart</t>
  </si>
  <si>
    <t>Plan</t>
  </si>
  <si>
    <t>Actual</t>
  </si>
  <si>
    <t xml:space="preserve">Updated By : </t>
  </si>
  <si>
    <t>Holiday</t>
  </si>
  <si>
    <t>Extend</t>
  </si>
  <si>
    <t>Revise</t>
  </si>
  <si>
    <t>Month</t>
  </si>
  <si>
    <t xml:space="preserve">Description </t>
  </si>
  <si>
    <t>Calendar Week</t>
  </si>
  <si>
    <t>Work Week</t>
  </si>
  <si>
    <t xml:space="preserve">Project Kick Start </t>
  </si>
  <si>
    <t>Mechanical Design</t>
  </si>
  <si>
    <t>Electrical Design</t>
  </si>
  <si>
    <t>Software Development</t>
  </si>
  <si>
    <t>Material Procurement</t>
  </si>
  <si>
    <t>Mechanical &amp; Electrical Assembly</t>
  </si>
  <si>
    <t>Power On / IO Test &amp; Alignment</t>
  </si>
  <si>
    <t>Software test</t>
  </si>
  <si>
    <t>Cycle Run &amp; Internal Buy off</t>
  </si>
  <si>
    <t>Customer Buy Off</t>
  </si>
  <si>
    <t xml:space="preserve">Shipment </t>
  </si>
  <si>
    <t>Acknowlegement by Project Manager</t>
  </si>
  <si>
    <t>Acknowledgement by Mechanical Manager</t>
  </si>
  <si>
    <t>Acknowlegement by Software Manager</t>
  </si>
  <si>
    <t>Acknowledgement by Purchasing Dept</t>
  </si>
  <si>
    <t>Acknowledgement by Prod Manager</t>
  </si>
  <si>
    <t>Document Title : Part Tracking List</t>
  </si>
  <si>
    <t>Date :</t>
  </si>
  <si>
    <t>Rev :</t>
  </si>
  <si>
    <t>FABRICATION PARTS</t>
  </si>
  <si>
    <t>Total No. Of Parts</t>
  </si>
  <si>
    <t>Received Parts</t>
  </si>
  <si>
    <t>% Parts Received</t>
  </si>
  <si>
    <r>
      <t>Balan</t>
    </r>
    <r>
      <rPr>
        <b/>
        <sz val="11"/>
        <color theme="0"/>
        <rFont val="Calibri"/>
        <family val="2"/>
      </rPr>
      <t>ce Parts</t>
    </r>
  </si>
  <si>
    <t>Remark</t>
  </si>
  <si>
    <t>Cost</t>
  </si>
  <si>
    <t>1316.1 DEFECT COST</t>
  </si>
  <si>
    <t>1316.3 FOUP PORT (3LP) (MECH)</t>
  </si>
  <si>
    <t>1316.5 ON ROBOT ALIGNER (MECH)</t>
  </si>
  <si>
    <t>1316.7 INTERLEAF TRANSFER ARM (MECH)</t>
  </si>
  <si>
    <t>1316.9 INSPECTION MODULE (MECH)</t>
  </si>
  <si>
    <t>1316.11 WAFER FLIPPER (MECH)</t>
  </si>
  <si>
    <t>1316.13 COINSTACKED BOX STATION (MECH)</t>
  </si>
  <si>
    <t>1316.15 BOX ADAPTOR (MECH)</t>
  </si>
  <si>
    <t>1316.17 INTERLEAF BIN (MECH)</t>
  </si>
  <si>
    <t>1316.19 SPONGE BIN (MECH)</t>
  </si>
  <si>
    <t>1316.21 FRAME STRUCTURE (MECH)</t>
  </si>
  <si>
    <t>1316.23 AUTO FOCUS MODULE (MECH)</t>
  </si>
  <si>
    <t>1316.25 SLAVE STRUCTURE MODULE (MECH)</t>
  </si>
  <si>
    <t>1316.27 MACRO INSPECTION MODULE (MECH)</t>
  </si>
  <si>
    <t>1316.29 BOX CLASSIFICATION MODULE (MECH)</t>
  </si>
  <si>
    <t>1316.31 BOX GRIPPER ARM (MECH)</t>
  </si>
  <si>
    <t>1316.33 BOX LOADING STATION (MECH)</t>
  </si>
  <si>
    <t>1316.35 CANISTER LID OPENER (MECH)</t>
  </si>
  <si>
    <t>1316.37 BOX LOADING STRUCTURE (MECH)</t>
  </si>
  <si>
    <t>1316.39 FASTENER</t>
  </si>
  <si>
    <t>Total</t>
  </si>
  <si>
    <t>Standard Parts</t>
  </si>
  <si>
    <t>EE PARTS</t>
  </si>
  <si>
    <t>1316.2 ELECTRONICS &amp; ELECTRICALS )PC, CCTV, UPS, ETC)</t>
  </si>
  <si>
    <t>1316.4 FOUP PORT (3LP) (E&amp;E)</t>
  </si>
  <si>
    <t>1316.6 ON ROBOT ALIGNER (E&amp;E)</t>
  </si>
  <si>
    <t>1316.8 INTERLEAF TRANSFER ARM (E&amp;E)</t>
  </si>
  <si>
    <t>1316.10 INSPECTION MODULE (E&amp;E)</t>
  </si>
  <si>
    <t>1316.12 WAFER FLIPPER (E&amp;E)</t>
  </si>
  <si>
    <t>1316.14 COINSTACKED BOX STATION (E&amp;E)</t>
  </si>
  <si>
    <t>1316.16 BOX ADAPTOR (E&amp;E)</t>
  </si>
  <si>
    <t>1316.18 INTERLEAF BIN (E&amp;E)</t>
  </si>
  <si>
    <t>1316.20 SPONGE BIN (E&amp;E)</t>
  </si>
  <si>
    <t>1316.22 FRAME STRUCTURE (E&amp;E)</t>
  </si>
  <si>
    <t>1316.24 AUTO FOCUS MODULE (E&amp;E)</t>
  </si>
  <si>
    <t>1316.26 SLAVE STRUCTURE MODULE (E&amp;E)</t>
  </si>
  <si>
    <t>1316.28 MACRO INSPECTION MODULE (E&amp;E)</t>
  </si>
  <si>
    <t>1316.30 BOX GRIPPER ARM (E&amp;E)</t>
  </si>
  <si>
    <t>1316.32 BOX GRIPPER ARM (E&amp;E)</t>
  </si>
  <si>
    <t>1316.34 BOX LOADING STATION (E&amp;E)</t>
  </si>
  <si>
    <t>1316.36 CANISTER LID OPENER (E&amp;E)</t>
  </si>
  <si>
    <t>1316.38 BOX LOADING STRUCTURE (E&amp;E)</t>
  </si>
  <si>
    <t>1316.4 MISC</t>
  </si>
  <si>
    <t>1316.40 MISC</t>
  </si>
  <si>
    <t>SUPPLIER LIST:</t>
  </si>
  <si>
    <t>ITEM</t>
  </si>
  <si>
    <t>SUPPLIER</t>
  </si>
  <si>
    <t>SHORT FORM</t>
  </si>
  <si>
    <t>CONTACT</t>
  </si>
  <si>
    <t>Exclusive Magnitude (M) Sdn Bhd</t>
  </si>
  <si>
    <t xml:space="preserve">Exclusive Magnitude </t>
  </si>
  <si>
    <t>AXIOMTEK (M ) SDN BHD</t>
  </si>
  <si>
    <t>AXIOMTEK</t>
  </si>
  <si>
    <t>Xyreon Technology Sdn Bhd</t>
  </si>
  <si>
    <t>Xyreon Technology</t>
  </si>
  <si>
    <t>HTT HIGH TECH TRADE GmbH</t>
  </si>
  <si>
    <t>HTT</t>
  </si>
  <si>
    <t>ExcelNex Integrated Sdn Bhd</t>
  </si>
  <si>
    <t>ExcelNex</t>
  </si>
  <si>
    <t>Fast Real Technology Sdn Bhd</t>
  </si>
  <si>
    <t>Fast Real</t>
  </si>
  <si>
    <t>SMW Engineering Sdn Bhd</t>
  </si>
  <si>
    <t>SMW</t>
  </si>
  <si>
    <t>Soon Teck Engineering Works Sdn Bhd</t>
  </si>
  <si>
    <t>Soon Teck</t>
  </si>
  <si>
    <t>Keyence (Malaysia) Sdn Bhd</t>
  </si>
  <si>
    <t>Keyence</t>
  </si>
  <si>
    <t>VK KINETIC ENGINEERING</t>
  </si>
  <si>
    <t>VK</t>
  </si>
  <si>
    <t>Teico Automation Suzhouco Limited</t>
  </si>
  <si>
    <t>Teico Suzhouco</t>
  </si>
  <si>
    <t>KENT ART TECHNICAL SDN BHD</t>
  </si>
  <si>
    <t>Kent Art</t>
  </si>
  <si>
    <t>Alpha Master Sdn. Bhd.</t>
  </si>
  <si>
    <t>Alpha Master</t>
  </si>
  <si>
    <t>Entech Industrial Supplies</t>
  </si>
  <si>
    <t>Entech</t>
  </si>
  <si>
    <t>Misumi Malaysia Sdn Bhd</t>
  </si>
  <si>
    <t>Misumi</t>
  </si>
  <si>
    <t>Aims Motion Technology Sdn Bhd</t>
  </si>
  <si>
    <t>Aims</t>
  </si>
  <si>
    <t>Panamech (Penang) Sdn Bhd</t>
  </si>
  <si>
    <t>Panamech</t>
  </si>
  <si>
    <t>APLUS TOOLS ENGINEERING</t>
  </si>
  <si>
    <t>Aplus</t>
  </si>
  <si>
    <t>Wention Technology Sdn Bhd</t>
  </si>
  <si>
    <t>Wention</t>
  </si>
  <si>
    <t>Grands Technologies</t>
  </si>
  <si>
    <t>Grand Tech</t>
  </si>
  <si>
    <t>PBA LEADER MOTION SDN BHD</t>
  </si>
  <si>
    <t>Leader Motion</t>
  </si>
  <si>
    <t>Teico Automation Supplies Sdn Bhd</t>
  </si>
  <si>
    <t>Teico</t>
  </si>
  <si>
    <t>I-LINEAR AUTOMATION (PG ) SDN BHD</t>
  </si>
  <si>
    <t>I-Linear</t>
  </si>
  <si>
    <t>INTERNATIONAL OEM SDN BHD</t>
  </si>
  <si>
    <t>International OEM</t>
  </si>
  <si>
    <t>Elcomp Trading Sdn Bhd</t>
  </si>
  <si>
    <t>Elcomp</t>
  </si>
  <si>
    <t>Dynaseiki Industrial Supplies Sdn. Bhd.</t>
  </si>
  <si>
    <t>Dynaseiki</t>
  </si>
  <si>
    <t>RS Components Sdn Bhd</t>
  </si>
  <si>
    <t>RS</t>
  </si>
  <si>
    <t>Servo Dynamics Sdn Bhd</t>
  </si>
  <si>
    <t>Servo Dynamics</t>
  </si>
  <si>
    <t>FESTO SDN BERHAD</t>
  </si>
  <si>
    <t>Festo</t>
  </si>
  <si>
    <t>CASTOR &amp; WHEEL (M) SDN.BHD.</t>
  </si>
  <si>
    <t>Castor &amp; Wheel</t>
  </si>
  <si>
    <t>Qualimatic Technologies Sdn Bhd</t>
  </si>
  <si>
    <t>Qualimatic</t>
  </si>
  <si>
    <t>DNT Sales &amp; Service</t>
  </si>
  <si>
    <t>DNT</t>
  </si>
  <si>
    <t>Chi-Tak Electrical Sdn Bhd</t>
  </si>
  <si>
    <t>Chi-Tak</t>
  </si>
  <si>
    <t>IG AUTOMATION SDN. BHD.</t>
  </si>
  <si>
    <t>IG</t>
  </si>
  <si>
    <t>LOW SON TRADING</t>
  </si>
  <si>
    <t>Low Son</t>
  </si>
  <si>
    <t>A.I.S. Industrial Supply Sdn Bhd</t>
  </si>
  <si>
    <t>AIS</t>
  </si>
  <si>
    <t>Plant &amp; Mill Motion Control Sdn Bhd</t>
  </si>
  <si>
    <t>Plant &amp; Mill</t>
  </si>
  <si>
    <t>Gmax Engineering Sdn Bhd</t>
  </si>
  <si>
    <t>Gmax</t>
  </si>
  <si>
    <t>Flexible Automation System Sdn Bhd</t>
  </si>
  <si>
    <t>Flexible</t>
  </si>
  <si>
    <t>Letromec Industries (M) Sdn Bhd</t>
  </si>
  <si>
    <t>Letromec</t>
  </si>
  <si>
    <t>PBA INDUSTRIES (PG) SDN BHD</t>
  </si>
  <si>
    <t>PBA</t>
  </si>
  <si>
    <t>T-SUMMIT TECHNOLOGY (M) SDN BHD</t>
  </si>
  <si>
    <t>T-Summit</t>
  </si>
  <si>
    <t>Precise Talent Sdn Bhd</t>
  </si>
  <si>
    <t>Precise Talent</t>
  </si>
  <si>
    <t>Notion Tech Engineering Sdn Bhd</t>
  </si>
  <si>
    <t>Notion Tech</t>
  </si>
  <si>
    <t>CSB SPRING &amp; HARDWARE SDN BHD</t>
  </si>
  <si>
    <t>CSB</t>
  </si>
  <si>
    <t>ASIA AUTOMATION PARTS SUPPLY (PG ) SDN BHD</t>
  </si>
  <si>
    <t>Asia Automation</t>
  </si>
  <si>
    <t>Updated By :</t>
  </si>
  <si>
    <t>Supplier</t>
  </si>
  <si>
    <t>Outsource</t>
  </si>
  <si>
    <t>Additional Resources are required</t>
  </si>
  <si>
    <t>Complete</t>
  </si>
  <si>
    <t>Machine # &amp; Description</t>
  </si>
  <si>
    <t xml:space="preserve">Design Available? </t>
  </si>
  <si>
    <t>Designer</t>
  </si>
  <si>
    <t>NOTE:</t>
  </si>
  <si>
    <t>URGENT &amp; IMPORTANT</t>
  </si>
  <si>
    <t>URGENT BUT NOT IMPORTANT</t>
  </si>
  <si>
    <t>IMPORTANT BUT NOT URGENT</t>
  </si>
  <si>
    <t>NOT IMPORTANT AND NOT URGENT</t>
  </si>
  <si>
    <t>Item</t>
  </si>
  <si>
    <t>Action Plan</t>
  </si>
  <si>
    <t>PIC</t>
  </si>
  <si>
    <t>ETA</t>
  </si>
  <si>
    <t>Status</t>
  </si>
  <si>
    <t>Priority</t>
  </si>
  <si>
    <t>Open</t>
  </si>
  <si>
    <t xml:space="preserve">OVER DUE DATE </t>
  </si>
  <si>
    <t>PENDING AND WAITING FOR THE PART</t>
  </si>
  <si>
    <t xml:space="preserve"> PART RECEIVED</t>
  </si>
  <si>
    <t>STANDARD PART</t>
  </si>
  <si>
    <t>PART MODIFIED OR REWORK</t>
  </si>
  <si>
    <t>GOT PROBLEM NEED TO ASK PURCHASER</t>
  </si>
  <si>
    <t>CANCEL THE PART</t>
  </si>
  <si>
    <t xml:space="preserve"> </t>
  </si>
  <si>
    <t>PARTIALY DELIVERY</t>
  </si>
  <si>
    <t>WAFTECH PART DESCRIPTION</t>
  </si>
  <si>
    <t>MODULE</t>
  </si>
  <si>
    <t>WAFTECH 
PART NUMBER</t>
  </si>
  <si>
    <t>QTY</t>
  </si>
  <si>
    <t>COST / 
UNIT</t>
  </si>
  <si>
    <t>TOTAL COST</t>
  </si>
  <si>
    <t>MR Request Date</t>
  </si>
  <si>
    <t>MR</t>
  </si>
  <si>
    <t>MR APPROVAL DATE</t>
  </si>
  <si>
    <t>PR</t>
  </si>
  <si>
    <t>PR APPROVAL DATE</t>
  </si>
  <si>
    <t>PO</t>
  </si>
  <si>
    <t>DOCUMENT DATE</t>
  </si>
  <si>
    <t>BOM SUBMISSION DATE</t>
  </si>
  <si>
    <t>PO Approval Date</t>
  </si>
  <si>
    <t>PO STATUS</t>
  </si>
  <si>
    <t>VENDOR</t>
  </si>
  <si>
    <t>REVISE DATE</t>
  </si>
  <si>
    <t>RECEIVED BY</t>
  </si>
  <si>
    <t>RECEIVED DATE</t>
  </si>
  <si>
    <t>TAKEN BY</t>
  </si>
  <si>
    <t>TAKEN DATE</t>
  </si>
  <si>
    <t>OBSOLETE</t>
  </si>
  <si>
    <t>REMARKS</t>
  </si>
  <si>
    <t>1316.1 - DEFECT COST</t>
  </si>
  <si>
    <t>1316.3 - FOUP PORT (3LP) (MECH)</t>
  </si>
  <si>
    <t>CASTER, MISUMI, CNGJ50-R</t>
  </si>
  <si>
    <t>510-0120-00</t>
  </si>
  <si>
    <t>PR2408000028</t>
  </si>
  <si>
    <t>09/03/2024</t>
  </si>
  <si>
    <t>PO2409000071</t>
  </si>
  <si>
    <t>2024-09-06</t>
  </si>
  <si>
    <t>TAKEN</t>
  </si>
  <si>
    <t>09/23/2024</t>
  </si>
  <si>
    <t>dennis</t>
  </si>
  <si>
    <t>N</t>
  </si>
  <si>
    <t>ADJUSTER PADS, MISUMI, FJGM16-100-D</t>
  </si>
  <si>
    <t xml:space="preserve"> 510-0042-00</t>
  </si>
  <si>
    <t>METAL WASHER, MISUMI, WSSM20-8-2</t>
  </si>
  <si>
    <t>550-0601-00</t>
  </si>
  <si>
    <t>MANIFOLD; 5 PORTS, CKD, M4GA1R-00-5</t>
  </si>
  <si>
    <t>430-0258-00</t>
  </si>
  <si>
    <t>PO2409000074</t>
  </si>
  <si>
    <t>09/20/2024</t>
  </si>
  <si>
    <t>SOLENOID VALVE; 5/3 WAY; CENTER CLOSE; 24VDC, CKD, 4GA139R-C6-E2-3</t>
  </si>
  <si>
    <t>430-0149-01</t>
  </si>
  <si>
    <t>VALVE; SINGLE SOLENOID; 5/2 WAY, CKD, 4GA119R-C4-E2H-3</t>
  </si>
  <si>
    <t>430-0254-00</t>
  </si>
  <si>
    <t>MASKING PLATE, CKD, 4G1R-MP</t>
  </si>
  <si>
    <t>450-0176-00</t>
  </si>
  <si>
    <t>SILENCER, SMC, AN10-01</t>
  </si>
  <si>
    <t>410-0614-00</t>
  </si>
  <si>
    <t>FITTING; ELBOW, SMC, KQ2L06-01AS</t>
  </si>
  <si>
    <t>410-0213-00</t>
  </si>
  <si>
    <t>UNION T, SMC, KQ2T06-00A</t>
  </si>
  <si>
    <t>410-0234-00</t>
  </si>
  <si>
    <t>FITTING, SMC, KQ2T04-00A</t>
  </si>
  <si>
    <t>410-0492-00</t>
  </si>
  <si>
    <t>SENSOR; THRU-BEAM; SIDE SENSING, PANASONIC, EX-19EA</t>
  </si>
  <si>
    <t>100-0546-00</t>
  </si>
  <si>
    <t>PO2409000371</t>
  </si>
  <si>
    <t>2024-10-09</t>
  </si>
  <si>
    <t>GOLDLINK INDUSTRIES CO.,LTD</t>
  </si>
  <si>
    <t>10/25/2024</t>
  </si>
  <si>
    <t>JY</t>
  </si>
  <si>
    <t>SENSOR; PHOTOELECTRIC, PANASONIC, EX-13EA</t>
  </si>
  <si>
    <t>100-0060-00</t>
  </si>
  <si>
    <t>MAGNETIC SENSOR, OMRON, GLS-01 (FULL SET)</t>
  </si>
  <si>
    <t>100-0209-00</t>
  </si>
  <si>
    <t>PILOT LIGHT; 16MM; YELLOW; A SERIES; 24VDC, IDEC, AL6M-P4Y</t>
  </si>
  <si>
    <t>110-0120-00</t>
  </si>
  <si>
    <t>MOTOR; SERVO WITHOUT BRAKE; 100W/200V, YASKAWA, SGM7J-01AFA61</t>
  </si>
  <si>
    <t>120-0640-00</t>
  </si>
  <si>
    <t>PO2409000333</t>
  </si>
  <si>
    <t>2024-10-01</t>
  </si>
  <si>
    <t>11/12/2024</t>
  </si>
  <si>
    <t>DRIVER; FOR 100W SERVO MOTOR; ETHERCAT; SIGMA 7, YASKAWA, SGD7S-R90AA0A</t>
  </si>
  <si>
    <t>120-0634-00</t>
  </si>
  <si>
    <t>SGM7J-SERIES; 1M LOCALIZE FLEXI MOTOR CABLE (100W WITHOUT BRAKE), YASKAWA, LC-JZSP-C7M12F-01-E</t>
  </si>
  <si>
    <t>150-0788-00</t>
  </si>
  <si>
    <t>11/08/2024</t>
  </si>
  <si>
    <t>ROTARY CLAMP CYLINDER, SMC, MKB16-10LZ-A93L</t>
  </si>
  <si>
    <t>440-0361-00</t>
  </si>
  <si>
    <t>10/11/2024</t>
  </si>
  <si>
    <t>FITTING; UNION ELBOW, SMC, KQ2L04-M5A</t>
  </si>
  <si>
    <t>410-0561-00</t>
  </si>
  <si>
    <t>FLOW CONTROLLER; STRAIGHT UNION, KGN, KSSU4M</t>
  </si>
  <si>
    <t>410-0433-00</t>
  </si>
  <si>
    <t>PO2409000069</t>
  </si>
  <si>
    <t>2024-09-05</t>
  </si>
  <si>
    <t>KGN Corporation Sdn Bhd</t>
  </si>
  <si>
    <t>09/21/2024</t>
  </si>
  <si>
    <t>LINEAR SHAFT, MISUMI, CPSFJW8-146-M5-N5</t>
  </si>
  <si>
    <t>540-0289-00</t>
  </si>
  <si>
    <t>LINEAR GUIDE, MISUMI, SSE2BM20-340</t>
  </si>
  <si>
    <t xml:space="preserve"> 500-0420-00</t>
  </si>
  <si>
    <t>BALLSCREW; ROLLED, MISUMI, C-BSSC1004-270</t>
  </si>
  <si>
    <t>560-0304-00</t>
  </si>
  <si>
    <t>BALLSCREW SUPPORT UNIT SET, MISUMI, C-BSW8-SET</t>
  </si>
  <si>
    <t>560-0306-00</t>
  </si>
  <si>
    <t>COMPRESSION SPRING, MISUMI, UY6-10</t>
  </si>
  <si>
    <t>490-0072-00</t>
  </si>
  <si>
    <t/>
  </si>
  <si>
    <t>KEYWAY, MISUMI, KES6-20</t>
  </si>
  <si>
    <t>530-0240-00</t>
  </si>
  <si>
    <t>BEARING; DEEP GROVE, MISUMI, B6010ZZ</t>
  </si>
  <si>
    <t>480-0696-00</t>
  </si>
  <si>
    <t>BEARING SPACER, MISUMI, CLBPM50-60-68</t>
  </si>
  <si>
    <t>480-0702-00</t>
  </si>
  <si>
    <t>BEARING NUT, MISUMI, BNRC50</t>
  </si>
  <si>
    <t>480-0695-00</t>
  </si>
  <si>
    <t>LEVELING SCREW, MISUMI, LVWM12-10</t>
  </si>
  <si>
    <t>550-0572-00</t>
  </si>
  <si>
    <t>WASHER, MISUMI, WSSM16-5-2</t>
  </si>
  <si>
    <t>510-0065-00</t>
  </si>
  <si>
    <t>SHOULDER SCREW, MISUMI, SMSB8-15</t>
  </si>
  <si>
    <t>550-0574-00</t>
  </si>
  <si>
    <t>SENSOR; FIBEROPTIC; REFLECTIVE, KEYENCE, FU-41TZ</t>
  </si>
  <si>
    <t xml:space="preserve"> 100-0306-00</t>
  </si>
  <si>
    <t>PO2409000067</t>
  </si>
  <si>
    <t>09/09/2024</t>
  </si>
  <si>
    <t>AMPLIFIER; PHOTOELECTRIC SENSOR, KEYENCE, FS-N11N</t>
  </si>
  <si>
    <t xml:space="preserve"> 100-0171-00</t>
  </si>
  <si>
    <t>AMPLIFIER BRACKET, KEYENCE, OP-73880</t>
  </si>
  <si>
    <t xml:space="preserve">100-0255-00 </t>
  </si>
  <si>
    <t>COUPLING, R+W, BKL-2-6-8</t>
  </si>
  <si>
    <t>560-0478-00</t>
  </si>
  <si>
    <t>PO2409000073</t>
  </si>
  <si>
    <t>PBA SYSTEMS (PG) SDN BHD</t>
  </si>
  <si>
    <t>10/04/2024</t>
  </si>
  <si>
    <t>FITTING; MINIATURE, SMC, M-5HL-4</t>
  </si>
  <si>
    <t>410-0366-00</t>
  </si>
  <si>
    <t>SENSOR; PHOTOELECTRIC; DIFFUSE REFLECTIVE TYPE; COMPACT, PANASONIC, CX-421</t>
  </si>
  <si>
    <t>100-0058-00</t>
  </si>
  <si>
    <t>PR2409000058</t>
  </si>
  <si>
    <t>09/17/2024</t>
  </si>
  <si>
    <t>PO2409000428</t>
  </si>
  <si>
    <t>SENSOR; SLOT, PANASONIC, PM-L25</t>
  </si>
  <si>
    <t>100-0447-00</t>
  </si>
  <si>
    <t>Taken</t>
  </si>
  <si>
    <t>SENSOR; SLOT, PANASONIC, PM-U25</t>
  </si>
  <si>
    <t>100-0438-00</t>
  </si>
  <si>
    <t>SELECTOR VALVE, MINDMAN, MVHA-3V</t>
  </si>
  <si>
    <t>430-0245-00</t>
  </si>
  <si>
    <t>ELBOW, KGN, KTL4-M5M</t>
  </si>
  <si>
    <t>410-0447-00</t>
  </si>
  <si>
    <t>RETAINER; C CLIP, MISUMI, STWS12</t>
  </si>
  <si>
    <t>590-1859-00</t>
  </si>
  <si>
    <t xml:space="preserve"> 490-0072-00</t>
  </si>
  <si>
    <t>LINEAR BUSHING, MISUMI, LMU6</t>
  </si>
  <si>
    <t xml:space="preserve"> 480-0528-00</t>
  </si>
  <si>
    <t>OIL FREE BUSHING, MISUMI, MDZB4-6</t>
  </si>
  <si>
    <t xml:space="preserve"> 480-0492-00</t>
  </si>
  <si>
    <t>SPEED CONTROLLER, CKD, SC3W-M3-4</t>
  </si>
  <si>
    <t xml:space="preserve"> 410-0226-01</t>
  </si>
  <si>
    <t>CYLINDER; AIR SLIDE TABLE; C/W REED SWITCH, SMC, MXS6L-20-A96</t>
  </si>
  <si>
    <t>440-0314-00</t>
  </si>
  <si>
    <t>BALL SCREW; ROLLED (FULL THREAD), MORIMOTO, MV1210-600L</t>
  </si>
  <si>
    <t>560-0210-00</t>
  </si>
  <si>
    <t>CYLINDER; FREE MOUNT, SMC, CDU20-40D-A93L</t>
  </si>
  <si>
    <t>441-0247-00</t>
  </si>
  <si>
    <t>SHOULDER SCREW, MISUMI, GMSB8-15</t>
  </si>
  <si>
    <t>550-0378-00</t>
  </si>
  <si>
    <t>SUPPORT UNIT; ROUND; FIX SIDE ECONOMY, MISUMI, BRWE10S</t>
  </si>
  <si>
    <t>560-0134-00</t>
  </si>
  <si>
    <t>MECHALOCK PULLEY, MISUMI, HTLA44S3M150-E-8</t>
  </si>
  <si>
    <t>460-0668-00</t>
  </si>
  <si>
    <t>BALL BEARING, MISUMI, SBC6000ZZ</t>
  </si>
  <si>
    <t>480-0105-00</t>
  </si>
  <si>
    <t>LINEAR GUIDE, MISUMI, SSX2R24G-580</t>
  </si>
  <si>
    <t>500-0127-00</t>
  </si>
  <si>
    <t>LINEAR GUIDE, MISUMI, SSE2BWMZ16G-190-MC</t>
  </si>
  <si>
    <t>500-0167-00</t>
  </si>
  <si>
    <t>MECHALOCK PULLEY, MISUMI, HTLA44S3M150-E-14</t>
  </si>
  <si>
    <t>460-0667-00</t>
  </si>
  <si>
    <t>BELT; TIMING, MISUMI, HTBN318S3M-150</t>
  </si>
  <si>
    <t>460-0965-00</t>
  </si>
  <si>
    <t>LOCK NUT, MISUMI, BNG4</t>
  </si>
  <si>
    <t>480-0318-00</t>
  </si>
  <si>
    <t>LOCK NUT, MISUMI, BNG6</t>
  </si>
  <si>
    <t>480-0274-00</t>
  </si>
  <si>
    <t>PARALLEL KEY, MISUMI, KEGF3-7</t>
  </si>
  <si>
    <t>590-0656-00</t>
  </si>
  <si>
    <t>BEARING; STAINLESS STEEL, MISUMI, SBC694ZZ</t>
  </si>
  <si>
    <t>480-0316-00</t>
  </si>
  <si>
    <t>BALL BEARING, MISUMI, SBC696ZZ</t>
  </si>
  <si>
    <t>480-0120-00</t>
  </si>
  <si>
    <t>ROD END BEARING, MISUMI, PHSCM5</t>
  </si>
  <si>
    <t>540-0040-00</t>
  </si>
  <si>
    <t>HEXAGON POST, MISUMI, PLSBG8-55-M5-N5</t>
  </si>
  <si>
    <t>540-0286-00</t>
  </si>
  <si>
    <t>VACUUM VALVE; 3/2 WAY; 24VDC, CKD, 3PA110-M5-3</t>
  </si>
  <si>
    <t>430-0143-00</t>
  </si>
  <si>
    <t>SOLENOID VALVE; 5/3 WAY; CENTER CLOSED, CKD, 4GA130R-C4-E2-3</t>
  </si>
  <si>
    <t>430-0244-00</t>
  </si>
  <si>
    <t>SPEED CONTROLLER, CKD, SC3W-M5-4</t>
  </si>
  <si>
    <t>410-0193-00</t>
  </si>
  <si>
    <t>CYLINDER; PEN, CKD, SCPD3-CB-16C-45</t>
  </si>
  <si>
    <t>440-0206-01</t>
  </si>
  <si>
    <t>TUBE CONNECTOR, FESTO, L-PK-4</t>
  </si>
  <si>
    <t>410-0056-00</t>
  </si>
  <si>
    <t>PO2409000066</t>
  </si>
  <si>
    <t>CABLE CHAIN, HANSHIN, HSP0450-1BN-R50</t>
  </si>
  <si>
    <t>520-0023-00</t>
  </si>
  <si>
    <t>PO2409000068</t>
  </si>
  <si>
    <t>2024-09-10</t>
  </si>
  <si>
    <t>09/26/2024</t>
  </si>
  <si>
    <t>CABLE CHAIN END BRACKET, HANSHIN, HSP0450-1BN-EB</t>
  </si>
  <si>
    <t>520-0086-00</t>
  </si>
  <si>
    <t>FLOW CONTROLLER, SMC, AS1201F-M5-06A</t>
  </si>
  <si>
    <t>410-0300-01</t>
  </si>
  <si>
    <t>FLOATING JOINT, SMC, JA15-6-100</t>
  </si>
  <si>
    <t>590-0973-00</t>
  </si>
  <si>
    <t>FITTING, SMC, KQ2S06-01AS</t>
  </si>
  <si>
    <t>410-0714-00</t>
  </si>
  <si>
    <t>SILENCER, SMC, AN120-M5</t>
  </si>
  <si>
    <t>430-0014-00</t>
  </si>
  <si>
    <t>FITTING; EXTENDED, SMC, KQ2W04-M5A</t>
  </si>
  <si>
    <t>410-0891-00</t>
  </si>
  <si>
    <t>MULTI TUBE HOLDER, SMC, TM-06</t>
  </si>
  <si>
    <t>590-1223-00</t>
  </si>
  <si>
    <t>FITTING; PLUG, SMC, KQ2P-04</t>
  </si>
  <si>
    <t>160-0209-00</t>
  </si>
  <si>
    <t>DIFFERENT DIAMETER DOUBLE Y, SMC, KQ2UD04-06A</t>
  </si>
  <si>
    <t>410-0237-00</t>
  </si>
  <si>
    <t>FITTING; MINIATURE, SMC, M-5HL-6</t>
  </si>
  <si>
    <t>410-0016-00</t>
  </si>
  <si>
    <t>PUMP; VACUUM, VTEC, VC202P</t>
  </si>
  <si>
    <t>400-0176-00</t>
  </si>
  <si>
    <t>PO2409000070</t>
  </si>
  <si>
    <t>MAXPELL SDN BHD</t>
  </si>
  <si>
    <t>10/08/2024</t>
  </si>
  <si>
    <t>VACUUM CUP, VTEC, VF50WS</t>
  </si>
  <si>
    <t>400-0050-00</t>
  </si>
  <si>
    <t>MUFFLER; PLASTIC, KGN, KM-11-KGN</t>
  </si>
  <si>
    <t>410-0328-00</t>
  </si>
  <si>
    <t>ELBOW, KGN, KTL6-M5M</t>
  </si>
  <si>
    <t>410-0448-00</t>
  </si>
  <si>
    <t>UNION Y, KGN, KUY6M</t>
  </si>
  <si>
    <t>410-0451-00</t>
  </si>
  <si>
    <t>QUICK FITTING ELBOW, KGN, KTL6-01M</t>
  </si>
  <si>
    <t>590-0730-00</t>
  </si>
  <si>
    <t>MOTOR; SERVO; 400W; A6; WITH ABSOLUTE ENCODER; WITH BRAKE, PANASONIC, MSMF042L1V2</t>
  </si>
  <si>
    <t>120-0495-00</t>
  </si>
  <si>
    <t>PO2409000400</t>
  </si>
  <si>
    <t>DRIVER; SERVO MOTOR; 400W; ETHERCAT; A6, PANASONIC, MBDLT25BF</t>
  </si>
  <si>
    <t>120-0607-00</t>
  </si>
  <si>
    <t>ENCODER CABLE; A6 SERVO MOTOR; FLEXI; 1 METER, PANASONIC, ECD-A6-0010-FD</t>
  </si>
  <si>
    <t xml:space="preserve"> 150-0736-00</t>
  </si>
  <si>
    <t>PO PFA</t>
  </si>
  <si>
    <t>Y</t>
  </si>
  <si>
    <t>MOTOR CABLE; A6 SERVO MOTOR; FLEXI; 1 METER, PANASONIC, MT-A6-0010-FD</t>
  </si>
  <si>
    <t xml:space="preserve"> 150-0737-00</t>
  </si>
  <si>
    <t>BRAKE CABLE; A6 SERVO MOTOR; FLEXI; 1 METER, PANASONIC, BK-A6-0010-FD</t>
  </si>
  <si>
    <t xml:space="preserve"> 150-0738-00</t>
  </si>
  <si>
    <t>PRESSURE SENSOR; NEGATIVE PRESSURE, PANASONIC, DP-101</t>
  </si>
  <si>
    <t>100-0115-00</t>
  </si>
  <si>
    <t>PANEL MOUNT FRONT COVER; FOR PRESSURE SENSOR, PANASONIC, MS-DP1-3</t>
  </si>
  <si>
    <t>100-0111-00</t>
  </si>
  <si>
    <t>PANEL MOUNT BRACKET; FOR PRESSURE SENSOR, PANASONIC, MS-DP1-2</t>
  </si>
  <si>
    <t>100-0110-01</t>
  </si>
  <si>
    <t>SPUR GEAR, MISUMI, GEAHBG1.0-15-12-A-6</t>
  </si>
  <si>
    <t>470-0140-00</t>
  </si>
  <si>
    <t>BALL BEARING, MISUMI, B693ZZ</t>
  </si>
  <si>
    <t>480-1085-00</t>
  </si>
  <si>
    <t>STOPPER, MISUMI, STFHN8-3</t>
  </si>
  <si>
    <t>650-0158-00</t>
  </si>
  <si>
    <t>PULLEY; TIMING; LENGTH=100mm, MISUMI, BMXL20</t>
  </si>
  <si>
    <t>460-0978-00</t>
  </si>
  <si>
    <t>FD</t>
  </si>
  <si>
    <t>BEARING; BALL, MISUMI, 688A-H-ZZ1</t>
  </si>
  <si>
    <t>480-1135-00</t>
  </si>
  <si>
    <t>HARD LOCK NUTS FOR BEARINGS; FINE THREAD, MISUMI, BNR6</t>
  </si>
  <si>
    <t>480-0391-00</t>
  </si>
  <si>
    <t>GEAR; RACK TYPE, MISUMI, RGEAL1.0Z-56-A6-B22-C22</t>
  </si>
  <si>
    <t>470-0097-00</t>
  </si>
  <si>
    <t>SWITCH; CONTACT; MINIATURE, MISUMI, MSN-L</t>
  </si>
  <si>
    <t>110-0166-00</t>
  </si>
  <si>
    <t>WASHER, MISUMI, FWSSM-D7-V3-T1</t>
  </si>
  <si>
    <t>550-0577-00</t>
  </si>
  <si>
    <t>BELT; TIMING, MISUMI, TBN50MXL025</t>
  </si>
  <si>
    <t>460-0980-00</t>
  </si>
  <si>
    <t>09/27/2024</t>
  </si>
  <si>
    <t>LINEAR GUIDE, MISUMI, SSEBM13-95</t>
  </si>
  <si>
    <t>500-0356-00</t>
  </si>
  <si>
    <t>SPACER; FOR BEARING, MISUMI, CLBPS3-5-5.5</t>
  </si>
  <si>
    <t>650-0159-00</t>
  </si>
  <si>
    <t>SPACER, MISUMI, KNCLM3-8-20</t>
  </si>
  <si>
    <t>650-0161-00</t>
  </si>
  <si>
    <t>T CONNECTOR, FESTO, T-PK-3</t>
  </si>
  <si>
    <t>410-0207-00</t>
  </si>
  <si>
    <t>BRACKET; AMPLIFIER, KEYENCE, OP-88245</t>
  </si>
  <si>
    <t xml:space="preserve"> 650-0300-00</t>
  </si>
  <si>
    <t>AMPLIFIER; FS SERIES; TWO OUTPUT, KEYENCE, FS-N43N</t>
  </si>
  <si>
    <t>100-0522-00</t>
  </si>
  <si>
    <t>SENSOR; FIBER, THRUBEAM, KEYENCE, FU-18</t>
  </si>
  <si>
    <t xml:space="preserve">100-0412-00 </t>
  </si>
  <si>
    <t>CYLINDER; PEN TYPE; WITH MAGNET; WITHOUT SWITCH, SMC, CDJ2B10-45Z-B</t>
  </si>
  <si>
    <t>441-0252-00</t>
  </si>
  <si>
    <t>CYLINDER; ROTARY, SMC, CRB2BW10-90SEZ</t>
  </si>
  <si>
    <t>441-0253-00</t>
  </si>
  <si>
    <t>FITTING; MINIATURE, SMC, M-3AU-4</t>
  </si>
  <si>
    <t>410-0725-00</t>
  </si>
  <si>
    <t>FLOATING JOINT, SMC, JA10-4-070</t>
  </si>
  <si>
    <t>410-0054-00</t>
  </si>
  <si>
    <t>SPEED CONTROLLER, SMC, AS1201F-M5-04A</t>
  </si>
  <si>
    <t>410-0052-00</t>
  </si>
  <si>
    <t>FITTING; PLUG-IN ELBOW, SMC, KQ2L04-99A</t>
  </si>
  <si>
    <t>410-0581-00</t>
  </si>
  <si>
    <t>FITTING; EXTENDED ELBOW, SMC, KQ2W04-99A</t>
  </si>
  <si>
    <t>410-1027-00</t>
  </si>
  <si>
    <t>VALVE; 5/2 WAY; DC 24V, CKD, 4GA110R-C4-E2H-3</t>
  </si>
  <si>
    <t>430-0236-00</t>
  </si>
  <si>
    <t xml:space="preserve">MULTI-CONNECTOR; W COVER, SMC, DMK6-04-C2
</t>
  </si>
  <si>
    <t>410-1182-00</t>
  </si>
  <si>
    <t>CABLE CHAIN; DIVIDER, HANSHIN, HSP0450-1BN</t>
  </si>
  <si>
    <t>520-0253-00</t>
  </si>
  <si>
    <t>SENSOR; PROXIMITY, KEYENCE, EV-108M</t>
  </si>
  <si>
    <t>100-0448-00</t>
  </si>
  <si>
    <t>CYLINDER; SLIDE TABLE, CKD, LCM-6-10-R</t>
  </si>
  <si>
    <t>441-0280-00</t>
  </si>
  <si>
    <t>POGO PIN; RECEPTACLE; SOLDER CUP, ECT, SPR-2W-1</t>
  </si>
  <si>
    <t>160-0429-00</t>
  </si>
  <si>
    <t>POGO PIN; SPRING LOADED PROBE, ECT, EPA-2L</t>
  </si>
  <si>
    <t>160-0430-00</t>
  </si>
  <si>
    <t>COMPRESSION SPRING, MISUMI, UY16-20</t>
  </si>
  <si>
    <t>490-0435-00</t>
  </si>
  <si>
    <t>PO2409000344</t>
  </si>
  <si>
    <t>2024-09-25</t>
  </si>
  <si>
    <t>ESD PLUG; BANANA JACK, EST-MARUSHIN, MK-628, RED</t>
  </si>
  <si>
    <t xml:space="preserve"> 290-0487-00</t>
  </si>
  <si>
    <t>BUTTON; MOMENTARY; 22mm WITH 24V LED; GREEN, RS, 811-4135</t>
  </si>
  <si>
    <t>110-0178-00</t>
  </si>
  <si>
    <t>EMBEDDED PULL, TAKIGEN, AP-197-1-3</t>
  </si>
  <si>
    <t xml:space="preserve"> 530-0112-00</t>
  </si>
  <si>
    <t>PR2408000132</t>
  </si>
  <si>
    <t>09/02/2024</t>
  </si>
  <si>
    <t>PO2409000026</t>
  </si>
  <si>
    <t>2024-09-04</t>
  </si>
  <si>
    <t>09/18/2024</t>
  </si>
  <si>
    <t>SHAFT, MISUMI, SSFJZ12-234-M5-N5-SC114-LKC</t>
  </si>
  <si>
    <t>540-0336-00</t>
  </si>
  <si>
    <t>PO2409000027</t>
  </si>
  <si>
    <t>09/11/2024</t>
  </si>
  <si>
    <t>PAD; ADJUSTABLE, MISUMI, FJGN16-130</t>
  </si>
  <si>
    <t>590-1923-00</t>
  </si>
  <si>
    <t>REGULATOR GAUGE UNION, PISCO, RVUMP6-6</t>
  </si>
  <si>
    <t>410-1393-00</t>
  </si>
  <si>
    <t>FITTING; REDUCER ELBOW, SMC, KQ2L04-06A</t>
  </si>
  <si>
    <t>410-0711-00</t>
  </si>
  <si>
    <t>PR2409000101</t>
  </si>
  <si>
    <t>PO2410000009</t>
  </si>
  <si>
    <t>10/15/2024</t>
  </si>
  <si>
    <t>FITTING; ONE TOUCH, SMC, KQ2R04-06A</t>
  </si>
  <si>
    <t>410-0727-00</t>
  </si>
  <si>
    <t>FITTING; UNION Y, SMC, KQ2U04-00A</t>
  </si>
  <si>
    <t>410-0793-00</t>
  </si>
  <si>
    <t>ENCODER CABLE; A6 SERVO MOTOR; FLEXI; 1 METER; PURCHASE FROM CHINA, PANASONIC, MFECA0010EAD-S</t>
  </si>
  <si>
    <t>150-0840-00</t>
  </si>
  <si>
    <t>PO2410000010</t>
  </si>
  <si>
    <t>MOTOR CABLE; A6 SERVO MOTOR; FLEXI; 1 METER; PURCHASE FROM CHINA, PANASONIC, MFMCA0010EED</t>
  </si>
  <si>
    <t>150-0844-00</t>
  </si>
  <si>
    <t>BRAKE CABLE; A6 SERVO MOTOR; FLEXI; 1 METER; PURCHASE FROM CHINA, PANASONIC, MFMCB0010GET</t>
  </si>
  <si>
    <t>150-0836-00</t>
  </si>
  <si>
    <t>FITTING, SMC, KQ2L04-00A</t>
  </si>
  <si>
    <t>410-0815-00</t>
  </si>
  <si>
    <t>PR2411000055</t>
  </si>
  <si>
    <t>11/11/2024</t>
  </si>
  <si>
    <t>PO2411000339</t>
  </si>
  <si>
    <t>2024-11-13</t>
  </si>
  <si>
    <t>store</t>
  </si>
  <si>
    <t>SELF TAPPING INSERTS; M2.5x0.45, TAOBAO, N/A</t>
  </si>
  <si>
    <t>550-1283-00</t>
  </si>
  <si>
    <t>under 1249, ETA 06-Dec</t>
  </si>
  <si>
    <t>1316.5 - ON ROBOT ALIGNER (MECH)</t>
  </si>
  <si>
    <t>LINEAR MOTOR; MAGNET COIL, AKRIBIS, AJM80-B4-J-H9D-5.0-9W4M</t>
  </si>
  <si>
    <t>120-0585-00</t>
  </si>
  <si>
    <t>PR2408000058</t>
  </si>
  <si>
    <t>PO2409000226</t>
  </si>
  <si>
    <t>2024-09-23</t>
  </si>
  <si>
    <t>AKRIBIS SYSTEMS SDN BHD</t>
  </si>
  <si>
    <t>11/07/2024</t>
  </si>
  <si>
    <t>LINEAR MOTOR; MAGNET TRACK, AKRIBIS, AJM80-TL400-S</t>
  </si>
  <si>
    <t>120-0577-00</t>
  </si>
  <si>
    <t>APPROVED</t>
  </si>
  <si>
    <t>11/29/2024</t>
  </si>
  <si>
    <t>LINEAR MOTOR; MAGNET TRACK, AKRIBIS, AJM80-TL80-S</t>
  </si>
  <si>
    <t>120-0597-00</t>
  </si>
  <si>
    <t>DRIVER; FOR LINEAR MOTOR; ETHERCAT, AKRIBIS, AGD155-EC-2A06</t>
  </si>
  <si>
    <t>170-0219-00</t>
  </si>
  <si>
    <t>CONNECTOR; FOR AGD 155 DRIVER, AKRIBIS, AGD155-AF-CKS2</t>
  </si>
  <si>
    <t>160-0559-00</t>
  </si>
  <si>
    <t>HALL CABLE; FOR AGD 155 (THERMOSTAT), AKRIBIS, YC-AGD155-HALL-JSG</t>
  </si>
  <si>
    <t>150-0816-00</t>
  </si>
  <si>
    <t>CABLE; ENCODER FEEDBACK, AKRIBIS, YC-AGC301-R41D-NHSG</t>
  </si>
  <si>
    <t>150-0817-00</t>
  </si>
  <si>
    <t>LINEAR ENCODER READHEAD (0.5MICRON), RENISHAW, Q4BCZ30D40A</t>
  </si>
  <si>
    <t>100-0559-00</t>
  </si>
  <si>
    <t>PD</t>
  </si>
  <si>
    <t>LINEAR SCALE; 1500mm, RENISHAW, A-6567-0100</t>
  </si>
  <si>
    <t>100-0579-00</t>
  </si>
  <si>
    <t>EPOXY END CLAMP, RENISHAW, A-9585-0035</t>
  </si>
  <si>
    <t>100-0580-00</t>
  </si>
  <si>
    <t>CABLE CONVERTER, AKRIBIS, C-SEDE-DB9-FLSG</t>
  </si>
  <si>
    <t>150-0827-00</t>
  </si>
  <si>
    <t>MOTOR EXTENSION CABLE 3.0 METER WITH FERRITE BEAD, AKRIBIS, MC-11-FB-30SG</t>
  </si>
  <si>
    <t>150-0818-00</t>
  </si>
  <si>
    <t>HALL SENSOR EXTENSION CABLE 30 METER DSUB, AKRIBIS, HC-DB9-30SG</t>
  </si>
  <si>
    <t>150-0819-00</t>
  </si>
  <si>
    <t>ENCODER EXTENSION CABLE 5.0 METER, AKRIBIS, EC-DB15-50SG</t>
  </si>
  <si>
    <t>150-0820-00</t>
  </si>
  <si>
    <t>HINGE; STEEL, MISUMI, SHHPT6-3</t>
  </si>
  <si>
    <t>530-0115-00</t>
  </si>
  <si>
    <t>PO2409000234</t>
  </si>
  <si>
    <t>10/07/2024</t>
  </si>
  <si>
    <t>SENSOR; SLOT, PANASONIC, PM-L45</t>
  </si>
  <si>
    <t>100-0443-00</t>
  </si>
  <si>
    <t>PO2409000404</t>
  </si>
  <si>
    <t>SLIDE, HIWIN, QHW20CC2R1700Z0C (G=10/10)</t>
  </si>
  <si>
    <t>500-0376-00</t>
  </si>
  <si>
    <t>PO2409000232</t>
  </si>
  <si>
    <t>09/30/2024</t>
  </si>
  <si>
    <t>CABLE CHAIN, HANSHIN, HSP0625-1BN-75R</t>
  </si>
  <si>
    <t>520-0102-00</t>
  </si>
  <si>
    <t>CABLE CHAIN LINK,  HANSHIN, HSP0625-1BN-EB</t>
  </si>
  <si>
    <t>520-0103-00</t>
  </si>
  <si>
    <t>CABLE CHAIN DIVIDER, HANSHIN, HSP0625-1BN (DIVIDER)</t>
  </si>
  <si>
    <t>520-0288-00</t>
  </si>
  <si>
    <t>LINEAR GUIDE; FOR HEAVY LOAD, MISUMI, SXRLZ33-480</t>
  </si>
  <si>
    <t>500-0209-00</t>
  </si>
  <si>
    <t>LINEAR GUIDE BLOCK; FOR MEDIUM LOAD, MISUMI, SVRB33</t>
  </si>
  <si>
    <t>500-0210-00</t>
  </si>
  <si>
    <t>BALLSCREW; PRECISION, MISUMI, BSS2510-528</t>
  </si>
  <si>
    <t>560-0196-00</t>
  </si>
  <si>
    <t>SUPPORT UNIT, MISUMI, BRW20</t>
  </si>
  <si>
    <t>560-0195-00</t>
  </si>
  <si>
    <t>TIMING PULLEY; NON-BACKLASH, MISUMI, BLPA25S8M250-A-H12</t>
  </si>
  <si>
    <t>460-0679-00</t>
  </si>
  <si>
    <t>TIMING BELT; S8M, MISUMI, HTBN480S8M-250</t>
  </si>
  <si>
    <t>460-0680-00</t>
  </si>
  <si>
    <t>MECHA LOCK, MISUMI, MLSL15</t>
  </si>
  <si>
    <t>460-0681-00</t>
  </si>
  <si>
    <t>MECHA LOCK, MISUMI, MLSL19</t>
  </si>
  <si>
    <t>460-0682-00</t>
  </si>
  <si>
    <t>BEARING; BALL, MISUMI, B6204ZZ</t>
  </si>
  <si>
    <t>480-0442-00</t>
  </si>
  <si>
    <t>MOTOR; SERVO; 750W; WITH BRAKE; SIGMA 7, YASKAWA, SGM7J-08AFA6C</t>
  </si>
  <si>
    <t>120-0655-00</t>
  </si>
  <si>
    <t>PO2409000334</t>
  </si>
  <si>
    <t>12/20/2024</t>
  </si>
  <si>
    <t>Pending Improvement Date</t>
  </si>
  <si>
    <t>DRIVER; FOR SERVO MOTOR; ETHERCAT; SIGMA 7, YASKAWA, SGD7S-5R5AA0A</t>
  </si>
  <si>
    <t>170-0218-00</t>
  </si>
  <si>
    <t>MOTOR CABLE; SIGMA 7 SERIES; FLEXI WITH BRAKE (750W); 5 METER, YASKAWA, JZSP-C7M34F-05-E</t>
  </si>
  <si>
    <t>150-0821-00</t>
  </si>
  <si>
    <t>11/18/2024</t>
  </si>
  <si>
    <t>ENCODER CABLE; SIGMA 7 SERIES; FLEXI; 5 METER, YASKAWA, JZSP-C7PI2D-05-E</t>
  </si>
  <si>
    <t>150-0765-00</t>
  </si>
  <si>
    <t>11/22/2024</t>
  </si>
  <si>
    <t>CONNECTOR; I/O SIGNAL (26 PIN), YASKAWA, JZSP-CSI9-2-E</t>
  </si>
  <si>
    <t>160-0552-00</t>
  </si>
  <si>
    <t>CABLE CHAIN END BRACKETS, HANSHIN, HSP0450-3BN-EB</t>
  </si>
  <si>
    <t>520-0194-00</t>
  </si>
  <si>
    <t>PO2409000225</t>
  </si>
  <si>
    <t>10/03/2024</t>
  </si>
  <si>
    <t>CABLE CHAIN, HANSHIN, HSP0450-3BN-50R</t>
  </si>
  <si>
    <t>520-0193-00</t>
  </si>
  <si>
    <t>CABLE CHAIN DIVIDER, HANSHIN, HSP0450-3BN (DIVIDER)</t>
  </si>
  <si>
    <t>590-2192-00</t>
  </si>
  <si>
    <t>GEARHEAD; FOR 400W YASKAWA SERVO MOTOR SGM7J-04AFA61, SHIMPO, STH170-36C-400-T1</t>
  </si>
  <si>
    <t>120-0644-00</t>
  </si>
  <si>
    <t>PO2409000239</t>
  </si>
  <si>
    <t>TSUBACO SINGAPORE PTE LTD</t>
  </si>
  <si>
    <t>29-Nov Best Date</t>
  </si>
  <si>
    <t>MOTOR; SERVO; 400W; WITH BATTERYLESS ABSOLUTE ENCODER; SIGMA X, YASKAWA, SGMXJ-04AWA61A1</t>
  </si>
  <si>
    <t>120-0637-00</t>
  </si>
  <si>
    <t>DRIVER; FOR SERVO MOTOR; ETHERCAT; SIGMA X, YASKAWA, SGDXS-2R8AA0A</t>
  </si>
  <si>
    <t>170-0211-00</t>
  </si>
  <si>
    <t>ENCODER CABLE; SGMXJ-SERIES; FLEXI; 10 METER, YASKAWA, JWSP-XP2IF1-10</t>
  </si>
  <si>
    <t>150-0772-00</t>
  </si>
  <si>
    <t>MOTOR CABLE; SGMXJ-SERIES; FLEXI; 10 METER, YASKAWA, JWSP-XMA5NF1-10</t>
  </si>
  <si>
    <t>150-0771-00</t>
  </si>
  <si>
    <t>METAL WASHER, MISUMI, WSSM20-10-2.5</t>
  </si>
  <si>
    <t>550-0279-00</t>
  </si>
  <si>
    <t>SOLENOID VALVE, CKD, 4GA110R-C6-E2H-3</t>
  </si>
  <si>
    <t>430-0260-00</t>
  </si>
  <si>
    <t>PO2409000237</t>
  </si>
  <si>
    <t>Inventory - 6pcs</t>
  </si>
  <si>
    <t>FITTING, SMC, KQ2W06-M5A</t>
  </si>
  <si>
    <t>410-0766-00</t>
  </si>
  <si>
    <t>FITTING; UNION Y, SMC, KQ2U06-00A</t>
  </si>
  <si>
    <t>410-0673-00</t>
  </si>
  <si>
    <t>CYLINDER; GUIDED; SLIDE BEARING, SMC, MGPM20-20Z</t>
  </si>
  <si>
    <t>440-0793-00</t>
  </si>
  <si>
    <t>FITTING; STRAIGHT, SMC, KQ2H06-M5A</t>
  </si>
  <si>
    <t>410-1048-00</t>
  </si>
  <si>
    <t>FITTING; PLUG, SMC, KQ2P-06</t>
  </si>
  <si>
    <t>410-0299-00</t>
  </si>
  <si>
    <t>MOTOR CABLE; SIGMA 7 SERIES; FLEXI; 10 METER, YASKAWA, JZSP-C7M12F-10-E</t>
  </si>
  <si>
    <t>150-0792-00</t>
  </si>
  <si>
    <t>11/15/2024</t>
  </si>
  <si>
    <t>ENCODER CABLE; SIGMA 7 SERIES; FLEXI; 10 METER, YASKAWA, JZSP-C7PI2D-10-E</t>
  </si>
  <si>
    <t>150-0770-00</t>
  </si>
  <si>
    <t>GEARHEAD; FOR 100W SERVO MOTOR, SHIMPO, VRXF-LB-5B-K-8AG8</t>
  </si>
  <si>
    <t>470-0155-00</t>
  </si>
  <si>
    <t>METAL WASHER, MISUMI, WSSM10-4-2</t>
  </si>
  <si>
    <t>550-0278-00</t>
  </si>
  <si>
    <t>FLANGE IDER; S3M, MISUMI, AHTFW32-S3M100-8</t>
  </si>
  <si>
    <t>460-0721-00</t>
  </si>
  <si>
    <t>TIMING BELT; OPEN END; S3M, MISUMI, HTBO-S3M100-510</t>
  </si>
  <si>
    <t>460-0720-00</t>
  </si>
  <si>
    <t>METAL FITTING FOR TIMING BELT, MISUMI, TBCR-S3M100</t>
  </si>
  <si>
    <t>460-0453-00</t>
  </si>
  <si>
    <t>LINEAR GUIDE, THK, SSR15XV2UUC1+640LY</t>
  </si>
  <si>
    <t>500-0211-00</t>
  </si>
  <si>
    <t>PO2409000227</t>
  </si>
  <si>
    <t>CMS SUPPLIES SDN BHD</t>
  </si>
  <si>
    <t>10/21/2024</t>
  </si>
  <si>
    <t>STOPPER BOLT, MISUMI, UST5-15</t>
  </si>
  <si>
    <t>490-0115-00</t>
  </si>
  <si>
    <t>IDLERS, MISUMI, AFDF15-30</t>
  </si>
  <si>
    <t>590-0268-00</t>
  </si>
  <si>
    <t>TIMING PULLEY, MISUMI, HTPA34S3M100-A-N12-KC90</t>
  </si>
  <si>
    <t>460-0429-00</t>
  </si>
  <si>
    <t>PRESSURE SENSOR; POSITIVE PRESSURE, PANASONIC, DP-102</t>
  </si>
  <si>
    <t>100-0117-00</t>
  </si>
  <si>
    <t>CABLE CHAIN, HANSHIN, HSP0130-2B 28R</t>
  </si>
  <si>
    <t>520-0177-00</t>
  </si>
  <si>
    <t>CABLE CHAIN END BRACKET, HANSHIN, HSP0130-2B-EB</t>
  </si>
  <si>
    <t>520-0178-00</t>
  </si>
  <si>
    <t>PO2409000100</t>
  </si>
  <si>
    <t>10/22/2024</t>
  </si>
  <si>
    <t>FITTING, SMC, KQ2VS06-M5A</t>
  </si>
  <si>
    <t>410-0759-00</t>
  </si>
  <si>
    <t>FITTING, SMC, KQ2L06-99A</t>
  </si>
  <si>
    <t>410-0652-00</t>
  </si>
  <si>
    <t>PLUG M5, SMC, M-5P</t>
  </si>
  <si>
    <t>410-0077-00</t>
  </si>
  <si>
    <t>O-RING; NITRILE; ID=5.0mm; C/S=1.0mm, ERIKS, N/A</t>
  </si>
  <si>
    <t>590-0020-00</t>
  </si>
  <si>
    <t>PR2410000035</t>
  </si>
  <si>
    <t>10/09/2024</t>
  </si>
  <si>
    <t>AIR REGULATOR; ELECTRO PNEUMATIC REGULATOR, SMC, ITV2050-RC2BL</t>
  </si>
  <si>
    <t>450-0157-00</t>
  </si>
  <si>
    <t>SILENCER, SMC, AN15-02</t>
  </si>
  <si>
    <t>410-0718-00</t>
  </si>
  <si>
    <t>NUT; COMPACT, MISUMI, SNTRCS6</t>
  </si>
  <si>
    <t>550-0743-00</t>
  </si>
  <si>
    <t>FITTING, SMC, KQ2L06-02AS</t>
  </si>
  <si>
    <t>410-0731-00</t>
  </si>
  <si>
    <t>ROTARY MOTOR W/ GEARHEAD, ORIENTAL MOTOR, DGM85R-AZAC</t>
  </si>
  <si>
    <t>120-0684-00</t>
  </si>
  <si>
    <t>PO2409000230</t>
  </si>
  <si>
    <t>10/18/2024</t>
  </si>
  <si>
    <t>DRIVER; AZ SERIES ETHERCAT, ORIENTAL, AZD-CED</t>
  </si>
  <si>
    <t>170-0225-00</t>
  </si>
  <si>
    <t>CABLE; 3M, ORIENTAL, CC030VZR</t>
  </si>
  <si>
    <t>150-0697-00</t>
  </si>
  <si>
    <t>CABLE; FLEXIBLE; DG2 SERIES; AC; 7METER, ORIENTAL MOTOR, CC070VAR</t>
  </si>
  <si>
    <t>150-0627-00</t>
  </si>
  <si>
    <t>MOTOR; Ezi-SERVOII-ETHERCAT; WITH TORQUE OFF DRIVER; C/W 10m MOTOR &amp; ENCODER CABLE, FASTECH, 14E2215K4-87.8SSSR</t>
  </si>
  <si>
    <t>120-0689-00</t>
  </si>
  <si>
    <t>PO2409000238</t>
  </si>
  <si>
    <t>I-Motion Pte Ltd</t>
  </si>
  <si>
    <t>11/25/2024</t>
  </si>
  <si>
    <t>FITTING, SMC, KSH06-M5</t>
  </si>
  <si>
    <t>410-0158-00</t>
  </si>
  <si>
    <t>BALL BEARING, MISUMI, B688ZZ</t>
  </si>
  <si>
    <t>480-0565-00</t>
  </si>
  <si>
    <t>COLLAR; BEARING, MISUMI, CLBPM8-10-1</t>
  </si>
  <si>
    <t>480-0649-00</t>
  </si>
  <si>
    <t>FITTING, SMC, KQ2S06-M5A</t>
  </si>
  <si>
    <t>410-0653-00</t>
  </si>
  <si>
    <t>VACUUM PUMP,V-MECA, VTM20-C</t>
  </si>
  <si>
    <t>400-0099-00</t>
  </si>
  <si>
    <t>PO2409000233</t>
  </si>
  <si>
    <t>VACUUM VALVE; 3/2 WAY; WITH MOUNTING PLATE; 24VDC, CKD, 3PA210-06-P-3</t>
  </si>
  <si>
    <t>430-0167-00</t>
  </si>
  <si>
    <t>PR2409000054</t>
  </si>
  <si>
    <t>09/19/2024</t>
  </si>
  <si>
    <t>PO2409000286</t>
  </si>
  <si>
    <t>2024-09-24</t>
  </si>
  <si>
    <t>LINEAR GUIDE, MISUMI, SSEBSL13G-80</t>
  </si>
  <si>
    <t>500-0350-00</t>
  </si>
  <si>
    <t>END CAP, MAPS, PS40-EC40X80-8</t>
  </si>
  <si>
    <t>590-0720-00</t>
  </si>
  <si>
    <t>HEX POST; FEMALE AND MALE THREAD, MISUMI, SLSBWRK8-35</t>
  </si>
  <si>
    <t>540-0210-00</t>
  </si>
  <si>
    <t>WASHER; URETHANE, MISUMI, URFM-D20-V7-T5.5</t>
  </si>
  <si>
    <t>550-1265-00</t>
  </si>
  <si>
    <t>HARD LOCK NUTS; FOR BEARINGS, MISUMI, BNRS8</t>
  </si>
  <si>
    <t>550-1107-00</t>
  </si>
  <si>
    <t>FITTING, SMC, KQ2L06-03AS</t>
  </si>
  <si>
    <t>410-0915-00</t>
  </si>
  <si>
    <t>BALL SPLINE; KEYWAY (EQUIVALENT TO MISUMI_KES3-12) PROVIDED, NB, SSP10-1-130</t>
  </si>
  <si>
    <t>480-1063-01</t>
  </si>
  <si>
    <t>PO2409000231</t>
  </si>
  <si>
    <t>Gokosha (M) Sdn Bhd</t>
  </si>
  <si>
    <t>12/16/2024</t>
  </si>
  <si>
    <t>CIRCLIP; INTERNAL, FON KOK, D1300-21</t>
  </si>
  <si>
    <t>590-2726-00</t>
  </si>
  <si>
    <t>SENSOR; SLOT, PANASONIC, PM-K25</t>
  </si>
  <si>
    <t>100-0441-00</t>
  </si>
  <si>
    <t>Panasonic - China</t>
  </si>
  <si>
    <t>SET SCREW SOFT TYPE, MISUMI, SBCPS4-6</t>
  </si>
  <si>
    <t>550-0543-00</t>
  </si>
  <si>
    <t>MOTOR; SERVO; A6; WITH ABSOLUTE ENCODER, PANASONIC, MSMF012L1U2</t>
  </si>
  <si>
    <t>120-0526-00</t>
  </si>
  <si>
    <t>PO2409000403</t>
  </si>
  <si>
    <t>DRIVER; SERVO MOTOR; 100W; A6, PANASONIC, MADLT05BF</t>
  </si>
  <si>
    <t>120-0663-00</t>
  </si>
  <si>
    <t>PO2410000293</t>
  </si>
  <si>
    <t>2024-10-21</t>
  </si>
  <si>
    <t>MOTOR CABLE; A6 SERVO MOTOR; FLEXI; 10 METER, PANASONIC, MT-A6-0100-FD</t>
  </si>
  <si>
    <t>150-0693-00</t>
  </si>
  <si>
    <t>ENCODER CABLE; A6 SERVO MOTOR; FLEXI; 10 METER, PANASONIC, ECD-A6-0100-FD</t>
  </si>
  <si>
    <t>150-0692-00</t>
  </si>
  <si>
    <t>LQ-SERIES INTERFACE CONNECTOR, PANASONIC, DVOP0770</t>
  </si>
  <si>
    <t>160-0391-00</t>
  </si>
  <si>
    <t>ACTUATOR; BELT DRIVE, FESTO, EGC-50-140-TB-KF-0H-GK</t>
  </si>
  <si>
    <t>441-0187-00</t>
  </si>
  <si>
    <t>PO2409000229</t>
  </si>
  <si>
    <t>10/17/2024</t>
  </si>
  <si>
    <t>SENSOR; MINIATURE; PHOTOELECTRIC, PANASONIC, PM-T45</t>
  </si>
  <si>
    <t>100-0440-00</t>
  </si>
  <si>
    <t>COUPLING, R+W, BKL/2/8/8</t>
  </si>
  <si>
    <t>560-0242-00</t>
  </si>
  <si>
    <t>PO2409000235</t>
  </si>
  <si>
    <t>DRIVE SHAFT, FESTO, EAMB-16-7-8X15-8X10</t>
  </si>
  <si>
    <t>440-0441-00</t>
  </si>
  <si>
    <t>SLOT NUT, FESTO, NST-3-M3</t>
  </si>
  <si>
    <t>440-0321-00</t>
  </si>
  <si>
    <t>GUSSET, MISUMI, RQDM50-80</t>
  </si>
  <si>
    <t>590-1332-00</t>
  </si>
  <si>
    <t>BRACKET; PI-INLINE MINI &amp; SILENCER, PIAB, 0126009</t>
  </si>
  <si>
    <t>400-0065-00</t>
  </si>
  <si>
    <t>PO2409000236</t>
  </si>
  <si>
    <t>10/01/2024</t>
  </si>
  <si>
    <t>SILENCER; PI-INLINE MINI, PIAB, 0125466</t>
  </si>
  <si>
    <t>400-0064-00</t>
  </si>
  <si>
    <t>VACUUM EJECTOR; PiINLINE; MINI Xi; 6-6mm, PIAB, 0122895</t>
  </si>
  <si>
    <t>400-0048-00</t>
  </si>
  <si>
    <t>ONE TOUCH FITTING, SMC, KQ2L06-99A</t>
  </si>
  <si>
    <t>410-0666-00</t>
  </si>
  <si>
    <t>10/10/2024</t>
  </si>
  <si>
    <t>FITTING; UNION T, SMC, KQ2T06-00A</t>
  </si>
  <si>
    <t>FITTING, SMC, KQ2UD06-08A</t>
  </si>
  <si>
    <t>410-1175-00</t>
  </si>
  <si>
    <t>FITTING; BRANCH UNION ELBOW, SMC, KQ2LU06-00A</t>
  </si>
  <si>
    <t>410-0738-00</t>
  </si>
  <si>
    <t>CONNECTOR; PLUG KIT MINI I/O TYPE I, BLACK LATCH, TE, 2013595-1, RS 703-9673</t>
  </si>
  <si>
    <t>160-0553-00</t>
  </si>
  <si>
    <t>PO2409000228</t>
  </si>
  <si>
    <t>ELSO Technologies Sdn Bhd</t>
  </si>
  <si>
    <t>CABLE CHAIN, HANSHIN, HSP0450-4BN-R50</t>
  </si>
  <si>
    <t>520-0157-00</t>
  </si>
  <si>
    <t>END BRACKET, HANSHIN, HSP0450-4BN-EB</t>
  </si>
  <si>
    <t>520-0158-00</t>
  </si>
  <si>
    <t>CABLE CHAIN DIVIDER, HANSHIN, HSP0450-4BN (DIVIDER)</t>
  </si>
  <si>
    <t>520-0290-00</t>
  </si>
  <si>
    <t>PR2408000074</t>
  </si>
  <si>
    <t>09/04/2024</t>
  </si>
  <si>
    <t>PO2409000099</t>
  </si>
  <si>
    <t>09/13/2024</t>
  </si>
  <si>
    <t>MOTOR CABLE; A6 SERVO MOTOR; FLEXI; 7 METER; PURCHASE FROM CHINA, PANASONIC, MFMCA0070EED</t>
  </si>
  <si>
    <t>150-0846-00</t>
  </si>
  <si>
    <t>PR2409000115</t>
  </si>
  <si>
    <t>PO2410000018</t>
  </si>
  <si>
    <t>ENCODER CABLE; A6 SERVO MOTOR; FLEXI; 7 METER; PURCHASE FROM CHINA, PANASONIC, MFECA0070EAD-S</t>
  </si>
  <si>
    <t>150-0842-00</t>
  </si>
  <si>
    <t>1316.7 - INTERLEAF TRANSFER ARM (MECH)</t>
  </si>
  <si>
    <t>MOTOR; DC SERVO; 24V; WITH GEARHEAD; 1628T024B K1155 171K50:1, FAULHABER, 1628.A0322</t>
  </si>
  <si>
    <t>120-0626-00</t>
  </si>
  <si>
    <t>PR2408000042</t>
  </si>
  <si>
    <t>PO2409000089</t>
  </si>
  <si>
    <t>2024-09-11</t>
  </si>
  <si>
    <t>FAULHABER MALAYSIA SDN BHD</t>
  </si>
  <si>
    <t>DRIVER; FOR DC SERVO MOTOR; MC5004 P ET 5621, FAULHABER, 6500.01688</t>
  </si>
  <si>
    <t>120-0628-00</t>
  </si>
  <si>
    <t>DRIVER COMPONENT; 1-AXIS ADAPTOR BOARD (MC5004P); FOR DC SERVO MOTOR, FAULHABER, FS-600-001</t>
  </si>
  <si>
    <t>170-0210-00</t>
  </si>
  <si>
    <t>ACTUATOR; TOOTHED BELT AXES, FESTO, EGC-80-1400-TB-KF-0H-GK</t>
  </si>
  <si>
    <t>440-0347-00</t>
  </si>
  <si>
    <t>PR2408000036</t>
  </si>
  <si>
    <t>taken</t>
  </si>
  <si>
    <t>DRIVE SHAFT, FESTO, EAMB-24-6-15X21-16X20</t>
  </si>
  <si>
    <t>540-0064-00</t>
  </si>
  <si>
    <t>PO2409000091</t>
  </si>
  <si>
    <t>PROFILE MOUNTING, FESTO, MUE-70/80</t>
  </si>
  <si>
    <t>590-0921-00</t>
  </si>
  <si>
    <t>ACTUATOR; ELECTRICAL CYLINDER, FESTO, ESBF-BS-32-200-10P</t>
  </si>
  <si>
    <t>441-0240-00</t>
  </si>
  <si>
    <t>SENSOR MOUNT; FOR ESBF, FESTO, SMB-8-FENG-32/40</t>
  </si>
  <si>
    <t>590-1502-00</t>
  </si>
  <si>
    <t>REED SWITCH FOR ACTUATOR, FESTO, SME-8M-DO-24V-K-7.5-OE</t>
  </si>
  <si>
    <t>440-0422-00</t>
  </si>
  <si>
    <t>GEARHEAD; FOR MSMD042J1U, APEX, PEII070-005</t>
  </si>
  <si>
    <t>470-0096-00</t>
  </si>
  <si>
    <t>PO2409000093</t>
  </si>
  <si>
    <t>iMS MOTIONET SDN BHD</t>
  </si>
  <si>
    <t>CYLINDER; SLIDE TABLE, CKD, LCM-6-20-R-F2H3-R</t>
  </si>
  <si>
    <t>440-0548-00</t>
  </si>
  <si>
    <t>PO2409000097</t>
  </si>
  <si>
    <t>10/23/2024</t>
  </si>
  <si>
    <t>PR2408000114</t>
  </si>
  <si>
    <t>08/28/2024</t>
  </si>
  <si>
    <t>PO2409000096</t>
  </si>
  <si>
    <t>METAL WASHER, MISUMI, WSSS30-8-2</t>
  </si>
  <si>
    <t>550-0562-00</t>
  </si>
  <si>
    <t>PO2409000095</t>
  </si>
  <si>
    <t>GEAR; SPUR, MISUMI, GEABS0.5-15-8-K-4</t>
  </si>
  <si>
    <t>470-0106-00</t>
  </si>
  <si>
    <t>GEARS; RACKS, MISUMI, RGEAS0.5-300-N</t>
  </si>
  <si>
    <t>470-0107-00</t>
  </si>
  <si>
    <t>SLIDE GUIDE, MISUMI, SSELBL8-120</t>
  </si>
  <si>
    <t>500-0422-00</t>
  </si>
  <si>
    <t>LINEAR BUSHING, MISUMI, SLHFCW10</t>
  </si>
  <si>
    <t>480-0850-00</t>
  </si>
  <si>
    <t>HEX POST, MISUMI, SLSBG6-20-M4-N4</t>
  </si>
  <si>
    <t>540-0435-00</t>
  </si>
  <si>
    <t>SHAFT; LINEAR, MISUMI, PSFUZ20-335-M6-ND6-SC10</t>
  </si>
  <si>
    <t>540-0436-00</t>
  </si>
  <si>
    <t>URETHANE BUMPER, MISUMI, AXFL-D40-L15-V20-N</t>
  </si>
  <si>
    <t>490-0303-00</t>
  </si>
  <si>
    <t>LINEAR BUSHING, MISUMI, SLHKRLFS20</t>
  </si>
  <si>
    <t>480-0851-00</t>
  </si>
  <si>
    <t>LINEAR GUIDE, MISUMI, SSEBS8-55</t>
  </si>
  <si>
    <t>500-0439-00</t>
  </si>
  <si>
    <t>VALVE; 3/2 WAY; WITH MOUNTING PLATE; 24VDC, CKD, 3PA210-06-P-3</t>
  </si>
  <si>
    <t>MANIFOLD; 2 PORTS, CKD, M4GA1R-00-2</t>
  </si>
  <si>
    <t>450-0209-00</t>
  </si>
  <si>
    <t>PO2408000137</t>
  </si>
  <si>
    <t>2024-08-29</t>
  </si>
  <si>
    <t>09/16/2024</t>
  </si>
  <si>
    <t>VALVE; SINGLE SOLENOID; 5/2 WAY, CKD, 4GA119R-C4-E2-3</t>
  </si>
  <si>
    <t>430-0306-00</t>
  </si>
  <si>
    <t>CABLE CHAIN, HANSHIN, HANSHIN-HSP0450-1BN 75R</t>
  </si>
  <si>
    <t>520-0085-00</t>
  </si>
  <si>
    <t>PO2409000090</t>
  </si>
  <si>
    <t>END BRACKETS FOR CABLE CHAIN; 2 BRACKETS PER SET, HANSHIN, HSP0450-1BN-EB</t>
  </si>
  <si>
    <t>520-0024-00</t>
  </si>
  <si>
    <t>MOTOR; SERVO; 400W; A6; WITH ABSOLUTE ENCODER, PANASONIC, MSMF042L1U2</t>
  </si>
  <si>
    <t>120-0502-00</t>
  </si>
  <si>
    <t>PR2410000032</t>
  </si>
  <si>
    <t>PO2410000285</t>
  </si>
  <si>
    <t xml:space="preserve"> 150-0692-00</t>
  </si>
  <si>
    <t xml:space="preserve"> 150-0693-00</t>
  </si>
  <si>
    <t>LQ-SERIES; INTERFACE CONNECTOR, PANASONIC, DVOP0770</t>
  </si>
  <si>
    <t>PO2409000420</t>
  </si>
  <si>
    <t>2024-10-04</t>
  </si>
  <si>
    <t>MOTOR; SERVO; 100W; A6; WITH ABSOLUTE ENCODER; WITH BRAKE, PANASONIC, MSMF012L1V2</t>
  </si>
  <si>
    <t>120-0503-00</t>
  </si>
  <si>
    <t>BRAKE CABLE; A6 SERVO MOTOR; 10 METER, PANASONIC, BK-A6-0100-FD</t>
  </si>
  <si>
    <t xml:space="preserve"> 150-0690-00</t>
  </si>
  <si>
    <t>PO2409000421</t>
  </si>
  <si>
    <t>SENSOR; PHOTO, PANASONIC, EX-14A</t>
  </si>
  <si>
    <t>100-0017-00</t>
  </si>
  <si>
    <t>PR2409000057</t>
  </si>
  <si>
    <t>COUPLING, R+W, BKL/10/15/16</t>
  </si>
  <si>
    <t>560-0299-00</t>
  </si>
  <si>
    <t>PO2409000098</t>
  </si>
  <si>
    <t>COUPLING, R+W, BKL/2/6/8</t>
  </si>
  <si>
    <t>120-0068-00</t>
  </si>
  <si>
    <t>FITTING, SMC, KQ2L06-01AS</t>
  </si>
  <si>
    <t>410-0606-00</t>
  </si>
  <si>
    <t>VACUUM CUP; WITH BUFFER, SMC, ZP3-T04BGSJ3-B5</t>
  </si>
  <si>
    <t>400-0168-00</t>
  </si>
  <si>
    <t>4pcs Taken</t>
  </si>
  <si>
    <t>PLUG-IN REDUCER, SMC, KQ2R06-10A</t>
  </si>
  <si>
    <t>410-0577-00</t>
  </si>
  <si>
    <t>FITTING, SMC, KQ2Z10-02AS</t>
  </si>
  <si>
    <t>410-1053-00</t>
  </si>
  <si>
    <t>FITTING; ELBOW FITTING, SMC, KQ2L10-00A</t>
  </si>
  <si>
    <t>410-0541-00</t>
  </si>
  <si>
    <t>Inventory got 1pc</t>
  </si>
  <si>
    <t>FITTING; T-JOINT, SMC, KQ2T04-06A</t>
  </si>
  <si>
    <t>410-0494-00</t>
  </si>
  <si>
    <t>Y CONNECTOR, FESTO, Y-PK-3</t>
  </si>
  <si>
    <t>410-0206-00</t>
  </si>
  <si>
    <t>FITTING; MINIATURE, SMC, M-3ALU-4</t>
  </si>
  <si>
    <t>410-0058-00</t>
  </si>
  <si>
    <t>Received 2pcs, balance Inventory got 2pcs</t>
  </si>
  <si>
    <t>RECEIVED 2 PCS FROM VENDOR</t>
  </si>
  <si>
    <t>FITTING; SPEED CONTROLLER, SMC, AS1002F-04A</t>
  </si>
  <si>
    <t>450-0098-01</t>
  </si>
  <si>
    <t>PO2410000284</t>
  </si>
  <si>
    <t>10/29/2024</t>
  </si>
  <si>
    <t>FITTING; MANIFOLD, SMC, KM13-06-10-3</t>
  </si>
  <si>
    <t>410-0558-00</t>
  </si>
  <si>
    <t>FITTING, SMC, KQ2P-10</t>
  </si>
  <si>
    <t>410-0701-00</t>
  </si>
  <si>
    <t>FITTING, SMC, KQ2L10-01AS</t>
  </si>
  <si>
    <t>410-1040-00</t>
  </si>
  <si>
    <t>FITTING, SMC, KQ2L10-02AS</t>
  </si>
  <si>
    <t>410-1041-00</t>
  </si>
  <si>
    <t>ONE TOUCH FITTING; ELBOW, SMC, KQ2L10-99A</t>
  </si>
  <si>
    <t>410-0936-00</t>
  </si>
  <si>
    <t>HEX POST; FEMALE AND MALE THREAD, MISUMI, SLSBG12-77-M5-N5</t>
  </si>
  <si>
    <t>540-0967-00</t>
  </si>
  <si>
    <t>CABLE CHAIN; SEPARATOR, IGUS, 21.1</t>
  </si>
  <si>
    <t>520-0261-00</t>
  </si>
  <si>
    <t>PO2409000092</t>
  </si>
  <si>
    <t>IGUS MALAYSIA SDN. BHD</t>
  </si>
  <si>
    <t>09/24/2024</t>
  </si>
  <si>
    <t>CABLE CHAIN, IGUS, 1500.038.038.0</t>
  </si>
  <si>
    <t>520-0255-00</t>
  </si>
  <si>
    <t>CABLE CHAIN; END BRACKET, IGUS, 14038.34PZ</t>
  </si>
  <si>
    <t>520-0256-00</t>
  </si>
  <si>
    <t>LINEAR GUIDE, HIWIN, HGW25CC-1-R-1550-Z0-C</t>
  </si>
  <si>
    <t>500-0583-00</t>
  </si>
  <si>
    <t>PO2409000094</t>
  </si>
  <si>
    <t>FITTING, SMC, M-5AU-4</t>
  </si>
  <si>
    <t>410-0245-00</t>
  </si>
  <si>
    <t>HEX POST; MISUMI, SLSBG6-25-M4-N4</t>
  </si>
  <si>
    <t>540-0388-00</t>
  </si>
  <si>
    <t>Received 1 from store</t>
  </si>
  <si>
    <t>LEVEL ADJUSTING SCREWS, MISUMI, LVWM20-15</t>
  </si>
  <si>
    <t>550-0212-00</t>
  </si>
  <si>
    <t>PO2409000088</t>
  </si>
  <si>
    <t>SLOT NUT, MISUMI, L5-TST5</t>
  </si>
  <si>
    <t xml:space="preserve"> 550-1240-00</t>
  </si>
  <si>
    <t>BRAKE CABLE; A6 SERVO MOTOR; FLEXI; 10 METER; PUCHASE FROM CHINA, PANASONIC, MFMCB0100GET</t>
  </si>
  <si>
    <t>150-0839-00</t>
  </si>
  <si>
    <t>PR2409000113</t>
  </si>
  <si>
    <t>PO2410000017</t>
  </si>
  <si>
    <t>ENCODER CABLE; A6 SERVO MOTOR; FLEXI; 10 METER; PURCHASE FROM CHINA, PANASONIC, MFECA0100EAD-S</t>
  </si>
  <si>
    <t>150-0843-00</t>
  </si>
  <si>
    <t>MOTOR CABLE; A6 SERVO MOTOR; FLEXI; 10 METER; PURCHASE FROM CHINA, PANASONIC, MFMCA0100EED</t>
  </si>
  <si>
    <t>150-0847-00</t>
  </si>
  <si>
    <t>1316.9 - INSPECTION MODULE (MECH)</t>
  </si>
  <si>
    <t>PR2408000120</t>
  </si>
  <si>
    <t>09/05/2024</t>
  </si>
  <si>
    <t>PO2409000149</t>
  </si>
  <si>
    <t>09/25/2024</t>
  </si>
  <si>
    <t>PT</t>
  </si>
  <si>
    <t>PO2409000153</t>
  </si>
  <si>
    <t>ACTUATOR, THK, VLA-ST-45-12-0300-N-000-N-N-N</t>
  </si>
  <si>
    <t>440-0316-00</t>
  </si>
  <si>
    <t>PO2409000150</t>
  </si>
  <si>
    <t>10/26/2024</t>
  </si>
  <si>
    <t>SENSOR; ULTRASONIC, P+F, UC500-30GM-IUR2-V15</t>
  </si>
  <si>
    <t>100-0338-00</t>
  </si>
  <si>
    <t>PO2409000154</t>
  </si>
  <si>
    <t>Micro Electromec (M) Sdn Bhd</t>
  </si>
  <si>
    <t>CABLE CONNECTOR; FOR ULTRASONIC SENSOR, P+F, V1-G-10M-PVC</t>
  </si>
  <si>
    <t>100-0339-00</t>
  </si>
  <si>
    <t>CABLE CONNECTOR; FOR ULTRASONIC SENSOR; WITH RS232 CONNECTOR, P+F, UC-30GM-R2</t>
  </si>
  <si>
    <t>100-0340-00</t>
  </si>
  <si>
    <t>COUPLING; BELLOW, R+W, BKL-10-15-14</t>
  </si>
  <si>
    <t>560-0216-00</t>
  </si>
  <si>
    <t>PO2409000147</t>
  </si>
  <si>
    <t>COUPLING; DISC, MISUMI, CPDW19-5-8</t>
  </si>
  <si>
    <t>560-0217-00</t>
  </si>
  <si>
    <t>PO2410000100</t>
  </si>
  <si>
    <t>2024-10-10</t>
  </si>
  <si>
    <t>MOTOR CABLE; A6 SERVO MOTOR; FLEXI; 7 METER, PANASONIC, MT-A6-0070-FD</t>
  </si>
  <si>
    <t>150-0641-00</t>
  </si>
  <si>
    <t>ENCODER CABLE; A6 SERVO MOTOR; FLEXI; 7 METER, PANASONIC, ECD-A6-0070-FD</t>
  </si>
  <si>
    <t>150-0640-00</t>
  </si>
  <si>
    <t>BRAKE CABLE; A6 SERVO MOTOR; FLEXI; 7 METER, PANASONIC, BK-A6-0070-FD</t>
  </si>
  <si>
    <t xml:space="preserve"> 150-0484-00</t>
  </si>
  <si>
    <t>MOTOR CABLE; A6 SERVO MOTOR; FLEXI; 5 METER, PANASONIC, MT-A6-0050-FD</t>
  </si>
  <si>
    <t>150-0588-00</t>
  </si>
  <si>
    <t>ENCODER CABLE; A6 SERVO MOTOR; FLEXI; 5 METER, PANASONIC, ECD-A6-0050-FD</t>
  </si>
  <si>
    <t>150-0587-00</t>
  </si>
  <si>
    <t>100-0171-00</t>
  </si>
  <si>
    <t>PO2409000152</t>
  </si>
  <si>
    <t>PHOTOELECTRIC SENSOR; FIBER, KEYENCE, FU-40</t>
  </si>
  <si>
    <t>100-0247-00</t>
  </si>
  <si>
    <t>DIN RAIL STOPPER BRACKET; 1 PACKET 10 PCS, MISUMI, BNL6-10P</t>
  </si>
  <si>
    <t>530-0208-00</t>
  </si>
  <si>
    <t>Inventory - 121pcs</t>
  </si>
  <si>
    <t>100-0255-00</t>
  </si>
  <si>
    <t>PO2409000151</t>
  </si>
  <si>
    <t>CABLE CHAIN, IGUS, 1500.050.038.0</t>
  </si>
  <si>
    <t>520-0257-00</t>
  </si>
  <si>
    <t>CABLE CHAIN; END BRACKET, IGUS, 14050.34PZ</t>
  </si>
  <si>
    <t>520-0258-00</t>
  </si>
  <si>
    <t>CABLE CHAIN, IGUS, 1500.025.038.0</t>
  </si>
  <si>
    <t>520-0259-00</t>
  </si>
  <si>
    <t>Inventory - 1pcs</t>
  </si>
  <si>
    <t>CABLE CHAIN; END BRACKET, IGUS, 14025.34PZ</t>
  </si>
  <si>
    <t>520-0260-00</t>
  </si>
  <si>
    <t>PO2409000148</t>
  </si>
  <si>
    <t>PR2409000108</t>
  </si>
  <si>
    <t>PO2410000014</t>
  </si>
  <si>
    <t>BRAKE CABLE; A6 SERVO MOTOR; FLEXI; 7 METER; PURCHASE FROM CHINA, PANASONIC, MFMCB0070GET</t>
  </si>
  <si>
    <t>150-0838-00</t>
  </si>
  <si>
    <t>MOTOR CABLE; A6 SERVO MOTOR; FLEXI; 5 METER; PURCHASE FROM CHINA, PANASONIC, MFMCA0050EED</t>
  </si>
  <si>
    <t>150-0845-00</t>
  </si>
  <si>
    <t>ENCODER CABLE; A6 SERVO MOTOR; FLEXI; 5 METER; PURCHASE FROM CHINA, PANASONIC, MFECA0050EAD-S</t>
  </si>
  <si>
    <t>150-0841-00</t>
  </si>
  <si>
    <t>1316.11 - WAFER FLIPPER (MECH)</t>
  </si>
  <si>
    <t>CYLINDER; ROTARY, SMC, MSQA50R-M9BW</t>
  </si>
  <si>
    <t>440-0533-00</t>
  </si>
  <si>
    <t>PR2408000061</t>
  </si>
  <si>
    <t>PO2409000110</t>
  </si>
  <si>
    <t>CABLE CHAIN; FOR ROBOTIC APPLICATIONS; EASY, IGUS, TRE.30.50.0</t>
  </si>
  <si>
    <t>520-0163-00</t>
  </si>
  <si>
    <t>PO2409000104</t>
  </si>
  <si>
    <t>09/12/2024</t>
  </si>
  <si>
    <t>END BRACKET FOR CABLE CHAIN; FOR ROBOTIC APPLICATIONS, IGUS, TL.30.01.Z1</t>
  </si>
  <si>
    <t>520-0142-00</t>
  </si>
  <si>
    <t>PO2409000109</t>
  </si>
  <si>
    <t>COUPLING; BELLOW, R+W, BKL/10/8/14</t>
  </si>
  <si>
    <t>560-0280-00</t>
  </si>
  <si>
    <t>LINEAR ACTUATOR, HIWIN, KK8610C-440A1-F0C</t>
  </si>
  <si>
    <t>440-0391-00</t>
  </si>
  <si>
    <t>PO2409000106</t>
  </si>
  <si>
    <t>LINEAR ACTUATOR, HIWIN, KK6005C-300A1-F0C</t>
  </si>
  <si>
    <t>440-0534-00</t>
  </si>
  <si>
    <t>PR2408000063</t>
  </si>
  <si>
    <t>PO2409000407</t>
  </si>
  <si>
    <t>PO2409000406</t>
  </si>
  <si>
    <t>PO2411000207</t>
  </si>
  <si>
    <t>PO2409000405</t>
  </si>
  <si>
    <t>PO2409000408</t>
  </si>
  <si>
    <t>FITTING; L-TYPE PLUG, CKD, GWP66-L</t>
  </si>
  <si>
    <t>410-0584-00</t>
  </si>
  <si>
    <t>FITTING; SPEED CONTROLLER, CKD, SC3W-6-6</t>
  </si>
  <si>
    <t>410-0587-00</t>
  </si>
  <si>
    <t>FITTING; FY TYPE, CKD, GWFY4-M5</t>
  </si>
  <si>
    <t>410-0585-00</t>
  </si>
  <si>
    <t>FITTING; FY TYPE, CKD, GWFY6-M5</t>
  </si>
  <si>
    <t>410-0586-00</t>
  </si>
  <si>
    <t>SHOULDER SCREW, MISUMI, SMSB5-25</t>
  </si>
  <si>
    <t>550-0325-00</t>
  </si>
  <si>
    <t>PO2409000107</t>
  </si>
  <si>
    <t>PARALLEL KEY, MISUMI, KES4-15</t>
  </si>
  <si>
    <t>590-0336-00</t>
  </si>
  <si>
    <t xml:space="preserve">ONE TOUCH FITTING, SMC, KQ2L06-99A </t>
  </si>
  <si>
    <t>PO2409000112</t>
  </si>
  <si>
    <t>MINIATURE FITTING, SMC, M-5UT</t>
  </si>
  <si>
    <t>410-0528-00</t>
  </si>
  <si>
    <t>MINIATURE FITTING, SMC, M-5AN-4</t>
  </si>
  <si>
    <t>410-1009-00</t>
  </si>
  <si>
    <t>MINATURE FITTING, SMC, M-5ALHN-4</t>
  </si>
  <si>
    <t>410-0672-00</t>
  </si>
  <si>
    <t>FITTING, SMC, KQ2L06-00A</t>
  </si>
  <si>
    <t>410-0607-00</t>
  </si>
  <si>
    <t>FITTING, SMC, KQ2R06-04A</t>
  </si>
  <si>
    <t>410-0726-00</t>
  </si>
  <si>
    <t>VACUUM CUP; 10 POWER OF 6-9Ω, WELL MECH, BIB-0050-SIE55</t>
  </si>
  <si>
    <t>400-0159-00</t>
  </si>
  <si>
    <t>3pcs taken</t>
  </si>
  <si>
    <t>Inventory got 2pcs</t>
  </si>
  <si>
    <t>PO2409000108</t>
  </si>
  <si>
    <t>taken 5pcs</t>
  </si>
  <si>
    <t>FITTING; DIFFERENT DIAMETER TEE, SMC, KQ2T10-08A</t>
  </si>
  <si>
    <t>410-0559-00</t>
  </si>
  <si>
    <t>ONE TOUCH FITTING, SMC, KQ2L06-08A</t>
  </si>
  <si>
    <t>410-0939-00</t>
  </si>
  <si>
    <t>FITTING, SMC, KQ2U08-10A</t>
  </si>
  <si>
    <t>410-1049-00</t>
  </si>
  <si>
    <t>FITTING; PLUG-IN REDUCER, SMC, KQ2R06-08A</t>
  </si>
  <si>
    <t>410-0560-00</t>
  </si>
  <si>
    <t>CHECK VALVE, SMC, AKH08A-01S</t>
  </si>
  <si>
    <t>410-1055-00</t>
  </si>
  <si>
    <t xml:space="preserve">FITTING; ELBOW FITTING, SMC, KQ2T10-00A  </t>
  </si>
  <si>
    <t>410-0557-00</t>
  </si>
  <si>
    <t>REDUCER, SMC, KQ2R08-10A</t>
  </si>
  <si>
    <t>410-0335-00</t>
  </si>
  <si>
    <t>FITTING, SMC, KQ2L08-99A</t>
  </si>
  <si>
    <t>410-0761-00</t>
  </si>
  <si>
    <t>FITTING, SMC, KQ2L04-M3G</t>
  </si>
  <si>
    <t>410-1179-00</t>
  </si>
  <si>
    <t>S/CONTROLLER, SMC, AS1002F-04</t>
  </si>
  <si>
    <t>450-0098-00</t>
  </si>
  <si>
    <t>CYLINDER; WITH LINEAR GUIDE, CKD, LCM-6-15-R-F2H3-R</t>
  </si>
  <si>
    <t>441-0282-00</t>
  </si>
  <si>
    <t>CHECK VALVE, SMC, AKH10-00</t>
  </si>
  <si>
    <t>410-1188-00</t>
  </si>
  <si>
    <t>SILENCER, KGN, KM-02-S</t>
  </si>
  <si>
    <t>590-2060-00</t>
  </si>
  <si>
    <t>PO2409000105</t>
  </si>
  <si>
    <t>O-RING; NITRILE; ID=12.0mm; C/S=1.0mm, ERIKS, N/A</t>
  </si>
  <si>
    <t>590-2927-00</t>
  </si>
  <si>
    <t>PO2409000102</t>
  </si>
  <si>
    <t>B-WISCO ENGINEERING &amp; TRADING SDN BHD</t>
  </si>
  <si>
    <t>O-RING; NITRILE; ID=28.0mm; C/S=1.0mm, ERIKS, N/A</t>
  </si>
  <si>
    <t>590-2928-00</t>
  </si>
  <si>
    <t>PR2409000026</t>
  </si>
  <si>
    <t>CABLE CHAIN, HANSHIN, HSP0450-2BN-50R</t>
  </si>
  <si>
    <t>590-0239-00</t>
  </si>
  <si>
    <t>PO2409000101</t>
  </si>
  <si>
    <t>CABLE CHAIN END BRACKETS, HANSHIN, HSP0450-2BN-EB</t>
  </si>
  <si>
    <t>520-0047-00</t>
  </si>
  <si>
    <t>PO2409000141</t>
  </si>
  <si>
    <t>CABLE CHAIN; DIVIDER, HANSHIN, HSP0450-2BN</t>
  </si>
  <si>
    <t>520-0254-00</t>
  </si>
  <si>
    <t>DR SERIES; MOTOR, ORIENTAL MOTOR, DR20T1B02-AZAKD</t>
  </si>
  <si>
    <t>120-0586-00</t>
  </si>
  <si>
    <t>PO2409000103</t>
  </si>
  <si>
    <t>DRIVER; LINEAR ACTUATOR, ORIENTAL, AZD-KED</t>
  </si>
  <si>
    <t>120-0681-00</t>
  </si>
  <si>
    <t>150-0690-00</t>
  </si>
  <si>
    <t>CABLE; 10 METER FLEXIBLE, ORIENTAL MOTOR, CC100VZ2R2</t>
  </si>
  <si>
    <t>150-0606-00</t>
  </si>
  <si>
    <t>PO2409000111</t>
  </si>
  <si>
    <t>MOTOR CABLE; A6 SERVO MOTOR; FLEXI; 10 METER; PURCHASE FROM CHINA, PANASONIC, MFMCA0100EED-S</t>
  </si>
  <si>
    <t>PR2409000119</t>
  </si>
  <si>
    <t>PO2410000020</t>
  </si>
  <si>
    <t>ENCODER CABLE; A6 SERVO MOTOR; FLEXI; 10 METER; PURCHASE FROM CHINA, PANASONIC, MFECA0100EAD-</t>
  </si>
  <si>
    <t>Eric to check - PR not trigger</t>
  </si>
  <si>
    <t>1316.13 - COINSTACKED BOX STATION (MECH)</t>
  </si>
  <si>
    <t>PR2410000217</t>
  </si>
  <si>
    <t>11/04/2024</t>
  </si>
  <si>
    <t>PO2411000205</t>
  </si>
  <si>
    <t>2024-11-11</t>
  </si>
  <si>
    <t>PO2411000206</t>
  </si>
  <si>
    <t>SOLENOID VALVE; 5/3 WAY; CENTER CLOSE; 24VDC, CKD, 4GA139R-C4-E2-3</t>
  </si>
  <si>
    <t>430-0247-00</t>
  </si>
  <si>
    <t>MANIFOLD, CKD, M4GA1R-00-7</t>
  </si>
  <si>
    <t>450-0206-00</t>
  </si>
  <si>
    <t>DIGITAL INPUT/OUTPUT MODULE; ETHERCAT; 16IN; 16OUT; NPN TYPE, FASTECH, Ezi-IO-EC-I16O16N-E</t>
  </si>
  <si>
    <t>170-0200-00</t>
  </si>
  <si>
    <t>no PR</t>
  </si>
  <si>
    <t>520-0258-00 </t>
  </si>
  <si>
    <t>PO2411000199</t>
  </si>
  <si>
    <t>520-0261-00 </t>
  </si>
  <si>
    <t>PO2411000200</t>
  </si>
  <si>
    <t>IONIZER BLOW TYPE, KGN, KIB-025 C/W KIB-N01S</t>
  </si>
  <si>
    <t>320-0406-01</t>
  </si>
  <si>
    <t>PO2411000201</t>
  </si>
  <si>
    <t>12/11/2025</t>
  </si>
  <si>
    <t>MULTIBLOCK SPACER,MAPS,PS-MBS3-8/10</t>
  </si>
  <si>
    <t>590-0726-00</t>
  </si>
  <si>
    <t>URETHENE BUMPER, MISUMI, AXFL-D28-L10-V15-N</t>
  </si>
  <si>
    <t>590-2248-00</t>
  </si>
  <si>
    <t>PO2411000202</t>
  </si>
  <si>
    <t>BEARING; SMALL, MISUMI, B685ZZ</t>
  </si>
  <si>
    <t>480-0764-00</t>
  </si>
  <si>
    <t>BALL BEARING, MISUMI, B698ZZ</t>
  </si>
  <si>
    <t>480-0330-00</t>
  </si>
  <si>
    <t>SUPPORT UNIT, MISUMI, BRW10</t>
  </si>
  <si>
    <t>480-0070-00</t>
  </si>
  <si>
    <t>BALL SCREW; C10; 320MM, MISUMI, BSSZ1405-320</t>
  </si>
  <si>
    <t>560-0337-00</t>
  </si>
  <si>
    <t>IDLER, MISUMI, C-AFBD15-30</t>
  </si>
  <si>
    <t>460-1613-00</t>
  </si>
  <si>
    <t>IDLER; S3M, MISUMI, C-AHTF32S3M100</t>
  </si>
  <si>
    <t>460-1615-00</t>
  </si>
  <si>
    <t>BEARING, MISUMI, C-E628ZZ</t>
  </si>
  <si>
    <t>480-1225-00</t>
  </si>
  <si>
    <t>BELT, TIMING, MISUMI, C-HTBN1245S3M-100</t>
  </si>
  <si>
    <t>460-1616-00</t>
  </si>
  <si>
    <t>PULLYE; TIMING; S3M, MISUMI, C-HTPA32S3M100-A-N12</t>
  </si>
  <si>
    <t>460-1614-00</t>
  </si>
  <si>
    <t>SPACER FOR BEARING, MISUMI, CLBPM5-8-4</t>
  </si>
  <si>
    <t>650-0277-00</t>
  </si>
  <si>
    <t>SPACER FOR BEARING, MISUMI, CLBUM4-7-17.5</t>
  </si>
  <si>
    <t>590-2176-00</t>
  </si>
  <si>
    <t>FLOATING JOINT, MISUMI, FJDSW5-0.8-4</t>
  </si>
  <si>
    <t>590-3351-00</t>
  </si>
  <si>
    <t>PULLEY; TIMING; KEYLESS, MISUMI, HTLA40S3M100-E-8</t>
  </si>
  <si>
    <t>460-1022-00</t>
  </si>
  <si>
    <t>TIMING BELT; HIGH TORQUE; POLYURETHANE, MISUMI, HTUN327S3M-100</t>
  </si>
  <si>
    <t>460-1112-00</t>
  </si>
  <si>
    <t>LINEAR BUSHING, MISUMI, LHMCWMF16</t>
  </si>
  <si>
    <t>490-0039-00</t>
  </si>
  <si>
    <t>LEVELING SCREW, MISUMI, LVWS30-25</t>
  </si>
  <si>
    <t>590-1926-00</t>
  </si>
  <si>
    <t>SHOULDER BOLTS; SHOULDER SCREW, MISUMI, MSB6.5-40</t>
  </si>
  <si>
    <t>550-0770-00</t>
  </si>
  <si>
    <t>CONTACT SWITCHES, MISUMI, MSNC3</t>
  </si>
  <si>
    <t>590-1608-00</t>
  </si>
  <si>
    <t>BLOCK NUT; WIDE BLOCK, MISUMI, MTSBHL14</t>
  </si>
  <si>
    <t>550-0766-00</t>
  </si>
  <si>
    <t>BLOCK NUT; WIDE BLOCK, MISUMI, MTSBHR14</t>
  </si>
  <si>
    <t>550-0764-00</t>
  </si>
  <si>
    <t>LEAD SCREW; BOTH HAND THREAD, MISUMI, MTSBWKB14-522-F8-E8-G32-V10-S15-R8-X194-BV10</t>
  </si>
  <si>
    <t>550-0763-00</t>
  </si>
  <si>
    <t>COLLAR, MISUMI, NCLA15-30-90</t>
  </si>
  <si>
    <t>590-3352-00</t>
  </si>
  <si>
    <t>HEX POST, MISUMI, NLSBG6-40-M4-N4</t>
  </si>
  <si>
    <t>540-1091-00</t>
  </si>
  <si>
    <t>ROD END BEARING, MISUMI, PHSCM4</t>
  </si>
  <si>
    <t>480-0289-00</t>
  </si>
  <si>
    <t>LINEAR SHAFT, MISUMI, SSFJW8-20-M4-N4</t>
  </si>
  <si>
    <t>540-1095-00</t>
  </si>
  <si>
    <t>LINEAR SHAFT; ONE END TAPPED WITH WRENCH FLATS, MISUMI, PSFGC10-160-M5-SC15</t>
  </si>
  <si>
    <t>540-1094-00</t>
  </si>
  <si>
    <t>SHOULDER SCREW, MISUMI, SGMSB6-35</t>
  </si>
  <si>
    <t>550-1268-00</t>
  </si>
  <si>
    <t>LINEAR BUSHING, MISUMI, SLHFCW10G</t>
  </si>
  <si>
    <t>480-1226-00</t>
  </si>
  <si>
    <t>SHAFT; CANTILEVER, MISUMI, SLXAB8-8-F6-MA4</t>
  </si>
  <si>
    <t>540-1092-00</t>
  </si>
  <si>
    <t>LINEAR GUIDE; MINIATURE, MISUMI, SSEBM16-150</t>
  </si>
  <si>
    <t>500-0620-00</t>
  </si>
  <si>
    <t>SHAFT, MISUMI, SSFJZ20-65-M8-N8-SC10</t>
  </si>
  <si>
    <t>540-1093-00</t>
  </si>
  <si>
    <t>LINEAR GUIDE; HEAVY LOAD, MISUMI, SXRNL24-146</t>
  </si>
  <si>
    <t>550-0769-00</t>
  </si>
  <si>
    <t>ROLLER; URETHANE, MISUMI, UMCM20-8-10</t>
  </si>
  <si>
    <t>460-1612-00</t>
  </si>
  <si>
    <t>SENSOR; FIBEROPTIC; BREAK RESISTANCE, OMRON, E32-T11R 2M</t>
  </si>
  <si>
    <t>100-0494-00</t>
  </si>
  <si>
    <t>PO2411000198</t>
  </si>
  <si>
    <t>AMPLIFIER BRACKET, OMRON, E39-L143</t>
  </si>
  <si>
    <t>100-0330-00</t>
  </si>
  <si>
    <t>SENSOR; AMPLIFIER, OMRON, E3NX-FA11 2M OMS</t>
  </si>
  <si>
    <t>100-0389-00</t>
  </si>
  <si>
    <t>PO2411000197</t>
  </si>
  <si>
    <t>11/26/2024</t>
  </si>
  <si>
    <t>PRESSURE SENSOR; C/W PANEL MOUNT BRACKET, PANASONIC, DP-101+MS-DP1-2</t>
  </si>
  <si>
    <t>100-0110-00 </t>
  </si>
  <si>
    <t>100-0111-00 </t>
  </si>
  <si>
    <t>MULTIBLOCK, MAPS, PS40-MB6-8</t>
  </si>
  <si>
    <t>590-0728-00</t>
  </si>
  <si>
    <t>COUPLING, R+W, BKL-2-8-8</t>
  </si>
  <si>
    <t>560-0509-00</t>
  </si>
  <si>
    <t>PO2411000203</t>
  </si>
  <si>
    <t>11/20/2024</t>
  </si>
  <si>
    <t>GEARHEAD; RATIO 1:5; FOR PANASONIC MSMD012J1U, SESAME, PAC50-005-P2</t>
  </si>
  <si>
    <t>470-0153-00</t>
  </si>
  <si>
    <t>PO2411000204</t>
  </si>
  <si>
    <t>FLOW CONTROLLER, SMC, AS2211F-01-08SA</t>
  </si>
  <si>
    <t>410-0748-00</t>
  </si>
  <si>
    <t>CYLINDER; PIN, SMC, CDJP2D10-20D-A96LS</t>
  </si>
  <si>
    <t>441-0286-00</t>
  </si>
  <si>
    <t>12/13/2024</t>
  </si>
  <si>
    <t>CYLINDER, SMC, CDQSYB20-30DC-A93L</t>
  </si>
  <si>
    <t>440-0943-00</t>
  </si>
  <si>
    <t>MULTI-CONNECTOR, SMC, DMK6-04</t>
  </si>
  <si>
    <t>410-1064-00</t>
  </si>
  <si>
    <t>FITTING; STAINLESS STEEL, SMC, KGD06-01S</t>
  </si>
  <si>
    <t>410-1071-00</t>
  </si>
  <si>
    <t>FITTING; STAINLESS STEEL, SMC, KGL06-00</t>
  </si>
  <si>
    <t>410-1059-00</t>
  </si>
  <si>
    <t>FITTING; STAINLESS STEEL, SMC, KGL06-M5</t>
  </si>
  <si>
    <t>410-1067-00</t>
  </si>
  <si>
    <t>FITTING; STAINLESS STEEL, SMC, KGL08-99</t>
  </si>
  <si>
    <t>410-1170-00</t>
  </si>
  <si>
    <t>FITTING; STAINLESS STEEL, SMC, KGS08-01S</t>
  </si>
  <si>
    <t>410-1069-00</t>
  </si>
  <si>
    <t>FITTING; STAINLESS STEEL, SMC, KGW06-M5</t>
  </si>
  <si>
    <t>410-1070-00</t>
  </si>
  <si>
    <t>FITTING, SMC, KM11-08-12-6</t>
  </si>
  <si>
    <t>410-0926-00</t>
  </si>
  <si>
    <t>FITTING; STRAIGHT, SMC, KQ2H08-01AS</t>
  </si>
  <si>
    <t>410-0729-00</t>
  </si>
  <si>
    <t>FITTING, SMC, KQ2L06-M5A</t>
  </si>
  <si>
    <t>410-0716-00</t>
  </si>
  <si>
    <t>FITTING, SMC, KQ2L08-01AS</t>
  </si>
  <si>
    <t>410-0762-00</t>
  </si>
  <si>
    <t>ELBOW FITTING, SMC, KQ2L08-02AS</t>
  </si>
  <si>
    <t>410-0800-00</t>
  </si>
  <si>
    <t>ONE TOUCH FITTING, SMC, KQ2L12-00A</t>
  </si>
  <si>
    <t>410-0937-00</t>
  </si>
  <si>
    <t>FITTING; PLUG-IN ELBOW, SMC, KQ2L12-99A</t>
  </si>
  <si>
    <t>410-0573-00</t>
  </si>
  <si>
    <t>PLUG, SMC, KQ2P-08</t>
  </si>
  <si>
    <t>410-0318-00</t>
  </si>
  <si>
    <t>ONE TOUCH FITTING, SMC, KQ2P-12</t>
  </si>
  <si>
    <t>590-1115-00</t>
  </si>
  <si>
    <t>FITTING; STAINLESS STEEL, SMC, MS-5AU-4</t>
  </si>
  <si>
    <t>410-1066-00</t>
  </si>
  <si>
    <t>STAINLESS STEEL FITTING; EXTENSION, SMC, MS-5J</t>
  </si>
  <si>
    <t>410-1240-00</t>
  </si>
  <si>
    <t>PLUG; STAINLESS STEEL, SMC, MS-5P</t>
  </si>
  <si>
    <t>410-1065-00</t>
  </si>
  <si>
    <t>BRAKE CABLE; A6 SERVO MOTOR; FLEXI; 3 METER; PURCHASE FROM CHINA, PANASONIC, MFMCB0030GET-S</t>
  </si>
  <si>
    <t>150-0850-00</t>
  </si>
  <si>
    <t>ENCODER CABLE; A6 SERVO MOTOR; FLEXI; 3 METER; PURCHASE FROM CHINA, PANASONIC, MFECA0030EAD-S</t>
  </si>
  <si>
    <t>150-0848-00</t>
  </si>
  <si>
    <t>MOTOR CABLE; A6 SERVO MOTOR; FLEXI; 3 METER; PURCHASE FROM CHINA, PANASONIC, MFMCA0030EED-S</t>
  </si>
  <si>
    <t>150-0849-00</t>
  </si>
  <si>
    <t>MOTOR CABLE; A6 SERVO MOTOR; FLEXI; 5 METER; PURCHASE FROM CHINA, PANASONIC, MFMCA0050EED-S</t>
  </si>
  <si>
    <t>COLLAR, MISUMI, NCLA15-20-100</t>
  </si>
  <si>
    <t>590-3403-00</t>
  </si>
  <si>
    <t>PR2411000060</t>
  </si>
  <si>
    <t>PR PFA</t>
  </si>
  <si>
    <t>35MM TABLE HOLE CAP, THYE HUAT, N/A</t>
  </si>
  <si>
    <t xml:space="preserve"> 590-0895-00</t>
  </si>
  <si>
    <t>59mm TABLE HOLE CAP, THYE HUAT, N/A</t>
  </si>
  <si>
    <t>590-1019-00</t>
  </si>
  <si>
    <t>UNTREADED NYLON BLANKING PLUG; 100 PCS PER PACK, RS, 865-9805 (22.2mm), MOQ 100 PCS</t>
  </si>
  <si>
    <t>320-0404-00</t>
  </si>
  <si>
    <t>ABSOLUTE BATTERY; FOR A6 SERVO MOTOR, PANASONIC, DVOP2990</t>
  </si>
  <si>
    <t>290-0460-00</t>
  </si>
  <si>
    <t>ABSOLUTE BATTERY CASING; FOR A6 SERVO MOTOR, PANASONIC, DVOP4430</t>
  </si>
  <si>
    <t>590-1791-00</t>
  </si>
  <si>
    <t>1316.15 - BOX ADAPTOR (MECH)</t>
  </si>
  <si>
    <t>1316.17 - INTERLEAF BIN (MECH)</t>
  </si>
  <si>
    <t>PR2408000069</t>
  </si>
  <si>
    <t>PO2409000178</t>
  </si>
  <si>
    <t>2024-09-17</t>
  </si>
  <si>
    <t>10/31/2024</t>
  </si>
  <si>
    <t>AIR CYLINDER; DOUBLE ACTING; SINGLE ROD, SMC, CDJ2D16-100Z-M9B-B</t>
  </si>
  <si>
    <t>441-0246-00</t>
  </si>
  <si>
    <t>PO2409000410</t>
  </si>
  <si>
    <t>BALL ROLLER, MISUMI, BCHL6</t>
  </si>
  <si>
    <t>460-0538-00</t>
  </si>
  <si>
    <t>PO2409000177</t>
  </si>
  <si>
    <t>HARD LOCK NUTS FOR BEARINGS; FINE THREAD, MISUMI, BNR17</t>
  </si>
  <si>
    <t>480-0357-00</t>
  </si>
  <si>
    <t>BALL BEARING, MISUMI, B6203</t>
  </si>
  <si>
    <t>480-0369-00</t>
  </si>
  <si>
    <t>BEARING, N/A, B696ZZ</t>
  </si>
  <si>
    <t>480-0140-00</t>
  </si>
  <si>
    <t>PROXIMITY SENSOR, OMRON, E2J-W10MA 1M</t>
  </si>
  <si>
    <t>100-0210-00</t>
  </si>
  <si>
    <t>PO2409000176</t>
  </si>
  <si>
    <t>SENSOR AMPLIFIER, OMRON, E2J-JC4A 2M</t>
  </si>
  <si>
    <t>100-0254-00</t>
  </si>
  <si>
    <t>FITTING; STAINLESS, SMC, KGL06-99</t>
  </si>
  <si>
    <t>410-1050-00</t>
  </si>
  <si>
    <t>FITTING; STAINLESS, SMC, KGU06-00</t>
  </si>
  <si>
    <t>410-1051-00</t>
  </si>
  <si>
    <t>FITTING; STAINLESS, SMC, KGS06-M5</t>
  </si>
  <si>
    <t>410-1052-00</t>
  </si>
  <si>
    <t>SHOULDER SCREW, FON KOK, M5X10</t>
  </si>
  <si>
    <t>550-1219-00</t>
  </si>
  <si>
    <t>PR2409000039</t>
  </si>
  <si>
    <t>1316.19 - SPONGE BIN (MECH)</t>
  </si>
  <si>
    <t>EXTERNAL LINEAR STEPPER MOTOR, DINGS MOTION, 35E234-2.54-1-4-003</t>
  </si>
  <si>
    <t>120-0455-00</t>
  </si>
  <si>
    <t>DRIVER; STEPPER; STO, RTA, CSD-ET-S4</t>
  </si>
  <si>
    <t>120-0682-00</t>
  </si>
  <si>
    <t>PR2408000078</t>
  </si>
  <si>
    <t>PO2409000362</t>
  </si>
  <si>
    <t>11/01/2024</t>
  </si>
  <si>
    <t>11/8/2024 -1319.19</t>
  </si>
  <si>
    <t>BALLSCREW, THK, BTK1208V-2.6ZZ+555LT</t>
  </si>
  <si>
    <t>560-0324-00</t>
  </si>
  <si>
    <t>PO2409000358</t>
  </si>
  <si>
    <t>2024-09-27</t>
  </si>
  <si>
    <t>10/24/2024</t>
  </si>
  <si>
    <t>PO2409000360</t>
  </si>
  <si>
    <t>FITTING; STAINLESS STEEL, SMC, KGS06-01S</t>
  </si>
  <si>
    <t>410-1058-00</t>
  </si>
  <si>
    <t>PO2409000363</t>
  </si>
  <si>
    <t>2024-09-30</t>
  </si>
  <si>
    <t>11/14/2024</t>
  </si>
  <si>
    <t>10/14/2024</t>
  </si>
  <si>
    <t>SUPPORT UNITS;FIXED SIDE/ROUND, MISUMI, BRW10S</t>
  </si>
  <si>
    <t>480-0698-00</t>
  </si>
  <si>
    <t>PO2409000361</t>
  </si>
  <si>
    <t>BEARINGS WITH HOUSINGS; STANDARD WITH PILOT; RETAINED, MISUMI, BGRR628ZZ</t>
  </si>
  <si>
    <t>480-0699-00</t>
  </si>
  <si>
    <t>FLANGED LINEAR BUSHINGS; LONG; PILOT, MISUMI, LHKIRLF16</t>
  </si>
  <si>
    <t>480-0700-00</t>
  </si>
  <si>
    <t>LINEAR SHAFTS; BOTH ENDS FEMALE THREAD WITH WRENCH FLATS, MISUMI, CPSFJZ16-514-M5-N5-SC100</t>
  </si>
  <si>
    <t>540-0239-00</t>
  </si>
  <si>
    <t>URETHANE BUMPERS; CONFIGURABLE, MISUMI, AXFL-D30-L23-V18-N</t>
  </si>
  <si>
    <t>490-0258-00</t>
  </si>
  <si>
    <t>SHOULDER SCREW, MISUMI, SMSB6-10</t>
  </si>
  <si>
    <t>550-0405-00</t>
  </si>
  <si>
    <t>SMALL BALL BEARING; DOUBLE SHIELDED, MISUMI, C-B626ZZ</t>
  </si>
  <si>
    <t>480-0701-00</t>
  </si>
  <si>
    <t>BEARING SPACERS; FOR INNER RING, MISUMI, CLBPM6-9-2</t>
  </si>
  <si>
    <t>590-1519-00</t>
  </si>
  <si>
    <t>BEARING NUT, MISUMI, BNR40</t>
  </si>
  <si>
    <t>480-0612-00</t>
  </si>
  <si>
    <t>BEARING; DEEP GROOVE, MISUMI, B6008ZZ</t>
  </si>
  <si>
    <t>480-0672-00</t>
  </si>
  <si>
    <t>BEARING SPACERS; FOR INNER RING, MISUMI, CLBPM40-46-6</t>
  </si>
  <si>
    <t>590-1520-00</t>
  </si>
  <si>
    <t>MINIATURE LINEAR GUIDE, MISUMI, SSEBM16-110</t>
  </si>
  <si>
    <t>500-0353-00</t>
  </si>
  <si>
    <t>SHAFT SUPPORTS; FLANGED MOUNT WITH SLIT; LONG SLEEVES, MISUMI, STHWSL12</t>
  </si>
  <si>
    <t>590-1521-00</t>
  </si>
  <si>
    <t>METAL WASHERS; CONFIGURABLE, MISUMI, WSSM10-4-1.5</t>
  </si>
  <si>
    <t>550-0569-00</t>
  </si>
  <si>
    <t>LINEAR SHAFTS, MISUMI, PSFJ12-416</t>
  </si>
  <si>
    <t>540-0240-00</t>
  </si>
  <si>
    <t>HEX POST; BOTH END TAPPED, MISUMI, BLSBF8-61-M4-N4</t>
  </si>
  <si>
    <t>540-0245-00</t>
  </si>
  <si>
    <t>LINEAR SHAFTS; BOTH ENDS FEMALE THREAD WITH WRENCH FLATS, MISUMI, CPSFJZ16-312-M6-N6-SC100</t>
  </si>
  <si>
    <t>540-0248-00</t>
  </si>
  <si>
    <t>AIR NOZZLE, MISUMI, NZAL11</t>
  </si>
  <si>
    <t>450-0096-00</t>
  </si>
  <si>
    <t>WASHER; URETHANE, MISUMI, URWL20-8-5</t>
  </si>
  <si>
    <t>550-0667-00</t>
  </si>
  <si>
    <t>WASHER; URETHANE, MISUMI, URWL15-8-1</t>
  </si>
  <si>
    <t>550-0668-00</t>
  </si>
  <si>
    <t>SENSOR; FIBER UNIT, KEYENCE, FU-77TZ</t>
  </si>
  <si>
    <t>100-0000-00</t>
  </si>
  <si>
    <t>PO2409000359</t>
  </si>
  <si>
    <t>SENSOR; MINIATURE; PHOTOELECTRIC, PANASONIC, PM-K45</t>
  </si>
  <si>
    <t>100-0445-00</t>
  </si>
  <si>
    <t>PO2409000412</t>
  </si>
  <si>
    <t>BRAKE CABLE; A6 SERVO MOTOR; FLEXI; 5 METER, PANASONIC, BK-A6-0050-FD</t>
  </si>
  <si>
    <t>150-0586-00</t>
  </si>
  <si>
    <t>PR2410000235</t>
  </si>
  <si>
    <t>10/30/2024</t>
  </si>
  <si>
    <t>PO2411000021</t>
  </si>
  <si>
    <t>2024-11-05</t>
  </si>
  <si>
    <t>SHOULDER SCREW, FON KOK, M6X16</t>
  </si>
  <si>
    <t>550-1238-00</t>
  </si>
  <si>
    <t>PR2410000029</t>
  </si>
  <si>
    <t>COUPLING; BELLOW, R+W, BKL002 (BORE DIA: 8MM/8MM)</t>
  </si>
  <si>
    <t>560-0166-00</t>
  </si>
  <si>
    <t>CABLE CHAIN, HANSHIN, HSP0180-2BN-50R</t>
  </si>
  <si>
    <t>520-0202-00</t>
  </si>
  <si>
    <t>PO2409000357</t>
  </si>
  <si>
    <t>ROBOT CHAIN END BRACKET, HANSHIN ROBOCHAIN, HSP0180-2BN-EB</t>
  </si>
  <si>
    <t>520-0182-00</t>
  </si>
  <si>
    <t>FITTING, SMC, KQ2E16-00A</t>
  </si>
  <si>
    <t xml:space="preserve"> 410-1237-00</t>
  </si>
  <si>
    <t>CIRCULAR POST, MISUMI, SETN6-15-SC6-M4</t>
  </si>
  <si>
    <t>540-1081-00</t>
  </si>
  <si>
    <t>BUMPER; URETHANE, MISUMI, AXFM-D12-L12-V7-N</t>
  </si>
  <si>
    <t>590-3177-00</t>
  </si>
  <si>
    <t>PR2409000117</t>
  </si>
  <si>
    <t>PO2410000019</t>
  </si>
  <si>
    <t>BRAKE CABLE; A6 SERVO MOTOR; FLEXI; 5 METER; PURCHASE FROM CHINA, PANASONIC, MFMCB0050GET-S</t>
  </si>
  <si>
    <t>150-0837-00</t>
  </si>
  <si>
    <t>LINEAR SHAFTS; BOTH ENDS FEMALE THREAD WITH WRENCH FLATS; SUS440C; g6 , MISUMI, SSFJW16-312-M6-N6-SC100</t>
  </si>
  <si>
    <t>540-1112-00</t>
  </si>
  <si>
    <t>PO2410000141</t>
  </si>
  <si>
    <t>2024-10-14</t>
  </si>
  <si>
    <t>LINEAR SHAFTS; BOTH ENDS TAPPED THREAD WITH WRENCH FLATS; SUS440C; g6, MISUMI, SSFJZ16-514-M5-N5-SC100</t>
  </si>
  <si>
    <t>540-1113-00</t>
  </si>
  <si>
    <t>1316.21 - FRAME STRUCTURE (MECH)</t>
  </si>
  <si>
    <t>LEVELING PAD, N/A, LM100M20205</t>
  </si>
  <si>
    <t>510-0127-00</t>
  </si>
  <si>
    <t>PR2408000072</t>
  </si>
  <si>
    <t>PO2409000218</t>
  </si>
  <si>
    <t>2024-09-21</t>
  </si>
  <si>
    <t>END PLATE, DBASIX, 001.0094.007.00</t>
  </si>
  <si>
    <t>510-0083-00</t>
  </si>
  <si>
    <t>SWIVEL; NYLON; 65MM, HAMMER, 540S-NRB</t>
  </si>
  <si>
    <t>510-0025-00</t>
  </si>
  <si>
    <t>SHUT-OFF VALVE; WITH LOCKOUT, CKD, V3010-10-W</t>
  </si>
  <si>
    <t>450-0174-00</t>
  </si>
  <si>
    <t>PO2409000224</t>
  </si>
  <si>
    <t>SILENCER, CKD, SLW-10A</t>
  </si>
  <si>
    <t>450-0072-00</t>
  </si>
  <si>
    <t>FILTER REGULATOR UNIT, CKD, W3000-10-W-T8</t>
  </si>
  <si>
    <t>450-0112-00</t>
  </si>
  <si>
    <t>PRESSURE SWITCH, CKD, P4100-10-W</t>
  </si>
  <si>
    <t>450-0114-00</t>
  </si>
  <si>
    <t>T-TYPE BRACKET, CKD, B310-W</t>
  </si>
  <si>
    <t>450-0086-00</t>
  </si>
  <si>
    <t>PIPING ADAPTER, CKD, A400-10-W</t>
  </si>
  <si>
    <t>450-0115-00</t>
  </si>
  <si>
    <t>PRESSURE GAUGE, CKD, G59D-8-P10</t>
  </si>
  <si>
    <t>450-0116-00</t>
  </si>
  <si>
    <t>SLOW START VALVE, CKD, V3301-10-W-LS-3-S</t>
  </si>
  <si>
    <t>450-0113-00</t>
  </si>
  <si>
    <t>PO2409000222</t>
  </si>
  <si>
    <t>SOLENOID VALVE, FESTO, VUVS-L30-M32C-AZD-G38-F8-1B2</t>
  </si>
  <si>
    <t>450-0233-00</t>
  </si>
  <si>
    <t>PO2409000221</t>
  </si>
  <si>
    <t>SOCKET CONNECTOR, FESTO, MSSD-F</t>
  </si>
  <si>
    <t>450-0234-00</t>
  </si>
  <si>
    <t>CHECK VALVE, SMC, AKH12-00</t>
  </si>
  <si>
    <t>410-0321-00</t>
  </si>
  <si>
    <t>VALVE;OR, FESTO, OS-1/8-B</t>
  </si>
  <si>
    <t>430-0125-00</t>
  </si>
  <si>
    <t>FITTING, SMC, KQ2S12-03AS</t>
  </si>
  <si>
    <t>410-0760-00</t>
  </si>
  <si>
    <t>T-UNION, SMC, KQ2T12-10A</t>
  </si>
  <si>
    <t>410-0576-00</t>
  </si>
  <si>
    <t>FITTING, SMC, KQ2H06-01AS</t>
  </si>
  <si>
    <t>410-0222-00</t>
  </si>
  <si>
    <t>FITTING, SMC, KQ2L12-03AS</t>
  </si>
  <si>
    <t>590-1862-00</t>
  </si>
  <si>
    <t>INDEXING PLUNGERS, MISUMI, FPXK16L</t>
  </si>
  <si>
    <t>530-0397-00</t>
  </si>
  <si>
    <t>JOINER SET, CKD, C4000-J400-W</t>
  </si>
  <si>
    <t>450-0087-00</t>
  </si>
  <si>
    <t>FITTING, SMC, KQ2V12-03AS</t>
  </si>
  <si>
    <t>410-0695-00</t>
  </si>
  <si>
    <t>FITTING; SMC, KQ2ZD08-03AS</t>
  </si>
  <si>
    <t>410-0820-00</t>
  </si>
  <si>
    <t>ONE TOUCH FITTING, SMC, KQ2E06-00A</t>
  </si>
  <si>
    <t>410-0674-00</t>
  </si>
  <si>
    <t>6pcs Taken</t>
  </si>
  <si>
    <t>PO2409000411</t>
  </si>
  <si>
    <t>ONE TOUCH FITTING, SMC, KQ2LE12-00</t>
  </si>
  <si>
    <t>410-0460-00</t>
  </si>
  <si>
    <t>3pcs Taken, 1pc Inventory</t>
  </si>
  <si>
    <t>ANTI-VIBRATION PAD, MISUMI, BPATF2H10-200-50-F150-G13-N5</t>
  </si>
  <si>
    <t>510-0132-00</t>
  </si>
  <si>
    <t>SCREW; ADJUSTING BOLT, MISUMI, AJSTSR8-40</t>
  </si>
  <si>
    <t>550-0609-00</t>
  </si>
  <si>
    <t>FAN;SLEEVE; 120X120X38mm; AC240V, SUPER ORIX, GH12038 HAZSL</t>
  </si>
  <si>
    <t>230-0047-00</t>
  </si>
  <si>
    <t>PO2409000220</t>
  </si>
  <si>
    <t>FAN GUARD; 4", N/A, N/A</t>
  </si>
  <si>
    <t>230-0008-00</t>
  </si>
  <si>
    <t>VENTILATION GRILL, RS, 348-7309</t>
  </si>
  <si>
    <t>590-1881-00</t>
  </si>
  <si>
    <t>PO2409000223</t>
  </si>
  <si>
    <t>6 WATTS; LED LIGHT; 12INCH LENGTH, N/A, LED LIGHT 24VDC-GL-MLT030CS-6CW</t>
  </si>
  <si>
    <t>130-0360-00</t>
  </si>
  <si>
    <t>TOWER LIGHT C/W BUZZER; LED TYPE, PATLITE, LR4-402LJBW R/Y/G/B</t>
  </si>
  <si>
    <t xml:space="preserve">240-0022-00 </t>
  </si>
  <si>
    <t>PO2409000219</t>
  </si>
  <si>
    <t>CONNECTOR; RJ45 COUPLING; VS-08-BU-RJ45/BU, PHOENIX CONTACT, 1689064</t>
  </si>
  <si>
    <t>160-0504-00</t>
  </si>
  <si>
    <t>LEVELING PAD, N/A, LM100M24205</t>
  </si>
  <si>
    <t xml:space="preserve"> 510-0126-00</t>
  </si>
  <si>
    <t>PR2409000011</t>
  </si>
  <si>
    <t>PO2409000207</t>
  </si>
  <si>
    <t>L-CONNECTOR; FOR PROFILE 80X80, DBASIX, 001.0063.006.02</t>
  </si>
  <si>
    <t>590-1097-00</t>
  </si>
  <si>
    <t>END CAP, MAPS, PS40-EC40X40-8</t>
  </si>
  <si>
    <t>590-0737-00</t>
  </si>
  <si>
    <t>PO2409000206</t>
  </si>
  <si>
    <t>IONIZER; BAR, KEYENCE, SJ-H108A C/W POWER SUPPLY CABLE 5M, SJ-C5U C/W MOUNTING BRACKET, OP-84297</t>
  </si>
  <si>
    <t>290-0414-00</t>
  </si>
  <si>
    <t>PO2409000209</t>
  </si>
  <si>
    <t>IONISER; BAR TYPE, C/W CONTROLLER SJ-M300, KEYENCE, SJ-M030</t>
  </si>
  <si>
    <t>590-1270-00</t>
  </si>
  <si>
    <t>FLOW CONTROLLER, SMC, AS2211F-01-06SA</t>
  </si>
  <si>
    <t>410-0749-00</t>
  </si>
  <si>
    <t>PO2409000211</t>
  </si>
  <si>
    <t>FITTING; DIFFERENT DIA PLUG-IN Y, SMC, KQ2X06-08A</t>
  </si>
  <si>
    <t>410-0747-00</t>
  </si>
  <si>
    <t>BLACK STRIP; 2m, MAPS, PS40-BS2000-8</t>
  </si>
  <si>
    <t>590-0563-00</t>
  </si>
  <si>
    <t>SWITCH; ROCKER SWITCH, RS, 377-9759</t>
  </si>
  <si>
    <t>110-0171-00</t>
  </si>
  <si>
    <t>PO2409000208</t>
  </si>
  <si>
    <t>ONE TOUCH FITTING, SMC, KQ2LE08-00A</t>
  </si>
  <si>
    <t>410-0756-00</t>
  </si>
  <si>
    <t>BULKHEAD ELBOW, SMC, KQ2LE06-00A</t>
  </si>
  <si>
    <t>410-0705-00</t>
  </si>
  <si>
    <t>IONIZER; BAR, KEYENCE, SJ-H060A</t>
  </si>
  <si>
    <t>290-0478-00</t>
  </si>
  <si>
    <t>GUSSET ELEMENT, MAPS, PS40-GE40X40-8</t>
  </si>
  <si>
    <t>590-0894-00</t>
  </si>
  <si>
    <t>IONISER CONVERSION BRACKET; ROTARY, KEYENCE, OP-84297</t>
  </si>
  <si>
    <t>290-0338-00 </t>
  </si>
  <si>
    <t>PROFILE END CAP; 80X80, MAPS, PS80-EC80X80-8</t>
  </si>
  <si>
    <t>590-0719-00</t>
  </si>
  <si>
    <t>NUT, MISUMI, C-LVNA16</t>
  </si>
  <si>
    <t>550-1198-00</t>
  </si>
  <si>
    <t>PO2409000210</t>
  </si>
  <si>
    <t>LEVELING SCREW, MISUMI, LVFBS16-27</t>
  </si>
  <si>
    <t>550-1235-00</t>
  </si>
  <si>
    <t>INDEXING PLUNGER, MISUMI, C-SXYKN16L</t>
  </si>
  <si>
    <t>530-0472-00</t>
  </si>
  <si>
    <t>REGULATOR GAUGE UNION, PISCO, RVUMP8-8</t>
  </si>
  <si>
    <t>450-0479-00</t>
  </si>
  <si>
    <t>PO2409000212</t>
  </si>
  <si>
    <t>Unipac Engineering (PG) Sdn Bhd</t>
  </si>
  <si>
    <t>CABLE; FOR SJ-H SERIES, KEYENCE, SJ-C5U</t>
  </si>
  <si>
    <t>150-0507-00</t>
  </si>
  <si>
    <t>FITTING, SMC, KM11-08-12-10</t>
  </si>
  <si>
    <t>410-0697-00</t>
  </si>
  <si>
    <t>FITTING; ELBOW, SMC, KQ2L10-12A</t>
  </si>
  <si>
    <t>410-0945-00</t>
  </si>
  <si>
    <t>PR2410000067</t>
  </si>
  <si>
    <t>PO2410000181</t>
  </si>
  <si>
    <t>RUBBER ROLLER; WITH BEARING, MISUMI, C-RORGA50-50</t>
  </si>
  <si>
    <t>460-1589-00</t>
  </si>
  <si>
    <t>BEARING SPACER, MISUMI, CLBP15-19-5</t>
  </si>
  <si>
    <t>480-1206-00</t>
  </si>
  <si>
    <t>FITTING, SMC, KQ2U12-00A</t>
  </si>
  <si>
    <t>410-1354-00</t>
  </si>
  <si>
    <t>HEXAGONAL POST, MISUMI, SLSBFA8-164</t>
  </si>
  <si>
    <t>540-1106-00</t>
  </si>
  <si>
    <t>HEX POST; BOTH ENDS FEMALE THREAD, MISUMI, PLSBRK10-120</t>
  </si>
  <si>
    <t>540-0866-00</t>
  </si>
  <si>
    <t>FEMALE UNC4-40 SCREWLOCK; USE WITH D CONNECTOR, RS, 453-886, MOQ 10</t>
  </si>
  <si>
    <t>550-0777-00</t>
  </si>
  <si>
    <t>BEARING, MISUMI, B6210ZZ</t>
  </si>
  <si>
    <t>590-2356-00</t>
  </si>
  <si>
    <t>MAGNET; HIGH STRENGTH, MISUMI, MGCST70</t>
  </si>
  <si>
    <t>590-2982-00</t>
  </si>
  <si>
    <t>1316.23 - AUTO FOCUS MODULE (MECH)</t>
  </si>
  <si>
    <t>PR2410000221</t>
  </si>
  <si>
    <t>PO2411000214</t>
  </si>
  <si>
    <t>STRAIGHT FITTING; MINIATURE NIPPLE, SMC, M-5H-4</t>
  </si>
  <si>
    <t>410-0218-00</t>
  </si>
  <si>
    <t>new</t>
  </si>
  <si>
    <t>410-0087-01</t>
  </si>
  <si>
    <t>ACTUATOR; BELT DRIVE, FESTO, EGC-50-150-TB-KF-0H-GK</t>
  </si>
  <si>
    <t>440-0554-00</t>
  </si>
  <si>
    <t>PO2411000210</t>
  </si>
  <si>
    <t>PO2411000213</t>
  </si>
  <si>
    <t>MOTOR CABLE; A6 SERVO MOTOR; FLEXI; 7 METER; PURCHASE FROM CHINA, PANASONIC, MFMCA0070EED-S</t>
  </si>
  <si>
    <t>BRAKE CABLE; A6 SERVO MOTOR; FLEXI; 7 METER; PURCHASE FROM CHINA, PANASONIC, MFMCB0070GET-S</t>
  </si>
  <si>
    <t>PO2411000209</t>
  </si>
  <si>
    <t>pending improvement</t>
  </si>
  <si>
    <t>GEARHEAD; PLANETARY, REVO, PE40-005-SB</t>
  </si>
  <si>
    <t>470-0055-00</t>
  </si>
  <si>
    <t>COUPLING; BELLOW, R+W, BKL/2/8/12</t>
  </si>
  <si>
    <t>560-0261-00</t>
  </si>
  <si>
    <t>PO2411000212</t>
  </si>
  <si>
    <t>CIRCLIP; FOR SHAFT DIAMETER 15mm, FON KOK, D1400-15</t>
  </si>
  <si>
    <t>590-1924-00</t>
  </si>
  <si>
    <t>PR2411000128</t>
  </si>
  <si>
    <t>STAINLESS STEEL HOLLOW TUBES, MISUMI, PSTS15-160</t>
  </si>
  <si>
    <t>540-0439-00</t>
  </si>
  <si>
    <t>PO2411000211</t>
  </si>
  <si>
    <t>STAINLESS STEEL HOLLOW TUBES, MISUMI, PSTS15-170</t>
  </si>
  <si>
    <t>540-0440-00</t>
  </si>
  <si>
    <t>LEVELING SCREW, MISUMI, LVBS10-15</t>
  </si>
  <si>
    <t>590-1865-00</t>
  </si>
  <si>
    <t>HEX NUT; FINE THREAD, MISUMI, STNTR10-1.0-3</t>
  </si>
  <si>
    <t>550-0785-00</t>
  </si>
  <si>
    <t>FITTING; EXTENSION, SMC, M-5J</t>
  </si>
  <si>
    <t>410-0767-00</t>
  </si>
  <si>
    <t>FITTING, SMC, KQ2T06-M5A</t>
  </si>
  <si>
    <t>410-0603-00</t>
  </si>
  <si>
    <t>FITTING, SMC, KQ2D06-M5A</t>
  </si>
  <si>
    <t>410-0699-00</t>
  </si>
  <si>
    <t>LINEAR GUIDE, MISUMI, SV2RZ24-880</t>
  </si>
  <si>
    <t>440-0555-00</t>
  </si>
  <si>
    <t>LINEAR GUIDE; MEDIUM LOAD, MISUMI, SV2RLZ24-500</t>
  </si>
  <si>
    <t>500-0427-00</t>
  </si>
  <si>
    <t xml:space="preserve">PRECISION BALL SCREW, MISUMI, BSS1510-891 </t>
  </si>
  <si>
    <t>560-0339-00</t>
  </si>
  <si>
    <t>PRECISION BALL SCREW, MISUMI, BSS1510-486</t>
  </si>
  <si>
    <t>560-0340-00</t>
  </si>
  <si>
    <t xml:space="preserve">BALL BEARING, MISUMI, B6000ZZ </t>
  </si>
  <si>
    <t>480-0198-00</t>
  </si>
  <si>
    <t>BALL SCREW HOUSING, MISUMI, BRW12</t>
  </si>
  <si>
    <t>560-0013-00</t>
  </si>
  <si>
    <t>COUPLING; BELLOW, R+W, BKL/4.5/10/14</t>
  </si>
  <si>
    <t>560-0341-00</t>
  </si>
  <si>
    <t>PULLEY; TIMING, MISUMI, HTLA30S5M150-F-10</t>
  </si>
  <si>
    <t>460-1119-00</t>
  </si>
  <si>
    <t>PULLEY; TIMING, MISUMI, HTLA30S5M150-E-14</t>
  </si>
  <si>
    <t>460-0923-00</t>
  </si>
  <si>
    <t>TIMING BELT, MISUMI, HTBN305S5M-150</t>
  </si>
  <si>
    <t>460-1118-00</t>
  </si>
  <si>
    <t>METAL WASHER, MISUMI, WLM8</t>
  </si>
  <si>
    <t>550-0747-00</t>
  </si>
  <si>
    <t>CABLE CHAIN END BRACKET, HANSHIN, HSP0180-4BN-EB</t>
  </si>
  <si>
    <t>520-0168-00</t>
  </si>
  <si>
    <t>PO2411000208</t>
  </si>
  <si>
    <t>CABLE CHAIN LINK, HANSHIN, HSP0180-4BN-28R</t>
  </si>
  <si>
    <t>520-0167-00</t>
  </si>
  <si>
    <t>CABLE CHAIN END BRACKETS, HANSHIN, HSP0320-3BN-EB</t>
  </si>
  <si>
    <t>520-0112-00</t>
  </si>
  <si>
    <t>CABLE CHAIN, HANSHIN, HSP0320-3BN-50R</t>
  </si>
  <si>
    <t>520-0155-00</t>
  </si>
  <si>
    <t>Taken 7pcs</t>
  </si>
  <si>
    <t>SPEED CONTROLLER, SMC, AS2201F-01-06A</t>
  </si>
  <si>
    <t>410-0668-00</t>
  </si>
  <si>
    <t>PLUG, SMC, PLUG 1/8</t>
  </si>
  <si>
    <t>410-1414-00</t>
  </si>
  <si>
    <t>SCREW; SOCKET HEAD CAP; HALF THREAD; NICKEL PLATED; M8X70, N/A, N/A</t>
  </si>
  <si>
    <t>550-1242-00</t>
  </si>
  <si>
    <t>1316.25 - SLAVE STRUCTURE MODULE (MECH)</t>
  </si>
  <si>
    <t>TERMINAL BLOCK; GROUNDING BAR, MISUMI, ETB6-4</t>
  </si>
  <si>
    <t>290-0336-00</t>
  </si>
  <si>
    <t>FAN; 4 INCH BALL BEARING; AC240V, SUPER ORIX, GH12025HA2BL</t>
  </si>
  <si>
    <t>230-0040-00</t>
  </si>
  <si>
    <t>PR2409000167</t>
  </si>
  <si>
    <t>PO2410000091</t>
  </si>
  <si>
    <t>2024-10-07</t>
  </si>
  <si>
    <t>5</t>
  </si>
  <si>
    <t>LEVELING PAD, JS CLAMP, LF-100M20160</t>
  </si>
  <si>
    <t>510-0149-00</t>
  </si>
  <si>
    <t>PO2410000088</t>
  </si>
  <si>
    <t>6</t>
  </si>
  <si>
    <t>CONDUIT FITTING, RS, 731-4286 (1 PACK OF 2 PCS )</t>
  </si>
  <si>
    <t>520-0198-00</t>
  </si>
  <si>
    <t>7</t>
  </si>
  <si>
    <t xml:space="preserve"> 590-1019-00</t>
  </si>
  <si>
    <t>8</t>
  </si>
  <si>
    <t>PAD; ANTIVIBRATION, MISUMI, BPATF4H20-100-100-F40-G70-N9</t>
  </si>
  <si>
    <t>510-0150-00</t>
  </si>
  <si>
    <t>PO2410000092</t>
  </si>
  <si>
    <t>9</t>
  </si>
  <si>
    <t>590-0895-00</t>
  </si>
  <si>
    <t>10</t>
  </si>
  <si>
    <t>BUTTON; MOMENTARY; 22mm WITH 24V LED; RED, RS, 811-4113</t>
  </si>
  <si>
    <t>110-0177-00</t>
  </si>
  <si>
    <t>11</t>
  </si>
  <si>
    <t>12</t>
  </si>
  <si>
    <t>BUTTON; MOMENTARY; 22mm WITH 24V LED; WHITE, EAO,  82-6651.1154</t>
  </si>
  <si>
    <t>110-0197-00</t>
  </si>
  <si>
    <t>13</t>
  </si>
  <si>
    <t>SWITCH; MICRO, HONEYWELL, 1DM21; RS PART NUMBER 842-6283</t>
  </si>
  <si>
    <t>110-0005-00</t>
  </si>
  <si>
    <t>14</t>
  </si>
  <si>
    <t>10-24 ANGLE FREE TILTING MONITOR MOUNT, LOCTEK, WLB061</t>
  </si>
  <si>
    <t>590-1247-00</t>
  </si>
  <si>
    <t>15</t>
  </si>
  <si>
    <t xml:space="preserve">IONIZER; FAN TYPE C/W CONTROLLER, KEYENCE, SJ-F035 &amp; SJ-F300 </t>
  </si>
  <si>
    <t>590-1242-00</t>
  </si>
  <si>
    <t>16</t>
  </si>
  <si>
    <t>IONIZER; FAN TYPE, KEYENCE, C/W CABLE(SJ-C2P) &amp; SJ-F035</t>
  </si>
  <si>
    <t>590-1197-00</t>
  </si>
  <si>
    <t>17</t>
  </si>
  <si>
    <t>SPANNER LOCK, RS, 450-9955</t>
  </si>
  <si>
    <t>590-0276-00</t>
  </si>
  <si>
    <t>PO2410000090</t>
  </si>
  <si>
    <t>18</t>
  </si>
  <si>
    <t>HANDLE; PLASTIC COATED; ALUMINUM, RS, 237-615</t>
  </si>
  <si>
    <t xml:space="preserve"> 590-0208-00</t>
  </si>
  <si>
    <t>PR2410000227</t>
  </si>
  <si>
    <t>PO2411000217</t>
  </si>
  <si>
    <t>2024-11-12</t>
  </si>
  <si>
    <t>19</t>
  </si>
  <si>
    <t>530-0112-00</t>
  </si>
  <si>
    <t>PO2410000089</t>
  </si>
  <si>
    <t>20</t>
  </si>
  <si>
    <t>21</t>
  </si>
  <si>
    <t>EMO STICKER, N/A, 300-0148-00</t>
  </si>
  <si>
    <t>300-0148-00</t>
  </si>
  <si>
    <t>22</t>
  </si>
  <si>
    <t>UNTREADED NYLON BLANKING PLUG; 100 PCS PER PACK, RS, 865-9805 (22.2mm)</t>
  </si>
  <si>
    <t>23</t>
  </si>
  <si>
    <t>PO2410000087</t>
  </si>
  <si>
    <t>24</t>
  </si>
  <si>
    <t>MAGNET CATCH, TAKIGEN, C-100-A-2</t>
  </si>
  <si>
    <t>590-0142-00</t>
  </si>
  <si>
    <t>25</t>
  </si>
  <si>
    <t>26</t>
  </si>
  <si>
    <t>27</t>
  </si>
  <si>
    <t>28</t>
  </si>
  <si>
    <t>29</t>
  </si>
  <si>
    <t>STOPPER; SHOCK ABSORPTION, MISUMI, UNST6-40</t>
  </si>
  <si>
    <t>490-0291-00</t>
  </si>
  <si>
    <t>BALL CATCH, MISUMI, C-BCAS50</t>
  </si>
  <si>
    <t>590-1615-00</t>
  </si>
  <si>
    <t>PO2411000216</t>
  </si>
  <si>
    <t>PULLEY; TIMING, MISUMI, AHTF22S5M150</t>
  </si>
  <si>
    <t>460-1080-00</t>
  </si>
  <si>
    <t>BEARING SPACER; COLLAR, MISUMI, CLBP8-11-4</t>
  </si>
  <si>
    <t>480-0572-00</t>
  </si>
  <si>
    <t>LINEAR SHAFT, MISUMI, CSFJC12-587-M6-SC15</t>
  </si>
  <si>
    <t>540-0441-00</t>
  </si>
  <si>
    <t>SLIDE RAIL, MISUMI, SRXY2745</t>
  </si>
  <si>
    <t>500-0386-00</t>
  </si>
  <si>
    <t>ROLLER; URETHANE, MISUMI, UMBBR5-16</t>
  </si>
  <si>
    <t>460-1114-00</t>
  </si>
  <si>
    <t>SHOULDER SCREW, MISUMI, GMSB5-15</t>
  </si>
  <si>
    <t>550-0767-00</t>
  </si>
  <si>
    <t>BEARING SPACER; COLLAR, MISUMI, CLBP5-8-3</t>
  </si>
  <si>
    <t>480-0848-00</t>
  </si>
  <si>
    <t>590-0208-00</t>
  </si>
  <si>
    <t>BUSHING; OILESS, MISUMI, MPBZ13-20</t>
  </si>
  <si>
    <t>480-0806-00</t>
  </si>
  <si>
    <t>METAL FITTING FOR TIMING BELT, MISUMI, TBCR-S5M150</t>
  </si>
  <si>
    <t>460-1081-00</t>
  </si>
  <si>
    <t>CIRCULAR POST, MISUMI, SETN8-20-SC10-M5</t>
  </si>
  <si>
    <t>540-0433-00</t>
  </si>
  <si>
    <t>SAFETY LIGHT CURTAIN, OMRON, F3SG-4RE0510P30</t>
  </si>
  <si>
    <t>590-2109-00</t>
  </si>
  <si>
    <t>CABLE CONNECTOR; CURTAIN SENSOR, OMRON, XS5F-D421-G80-F</t>
  </si>
  <si>
    <t>590-1890-00</t>
  </si>
  <si>
    <t>SHOULDER SCREW, MISUMI, GMSB8-25</t>
  </si>
  <si>
    <t>550-0779-00</t>
  </si>
  <si>
    <t>BELT; TIMING, MISUMI, HTBN1250S5M-150</t>
  </si>
  <si>
    <t>460-1115-00</t>
  </si>
  <si>
    <t>JOYSTICK; 3 AXES; SELF CENTERING; POTENTIOMETER, CH PRODUCT, S40L091P-50
Rs Stock No : 548-7581</t>
  </si>
  <si>
    <t>140-0284-00</t>
  </si>
  <si>
    <t>11/21/2024</t>
  </si>
  <si>
    <t>SPONGE TAPE, MISUMI, SGNPTA3-20-500</t>
  </si>
  <si>
    <t>590-3398-00</t>
  </si>
  <si>
    <t>JOYSTICK; 2 WAY; SPRING RETURN; C/W 1 NO PER DIRECTION, TELEMECANIQUE, XD4PA22</t>
  </si>
  <si>
    <t>110-0065-00</t>
  </si>
  <si>
    <t>IONIZER; FAN TYPE, KEYENCE, C/W BRACKET(OP-88767), SJ-F700</t>
  </si>
  <si>
    <t>590-3402-00</t>
  </si>
  <si>
    <t>PO2411000215</t>
  </si>
  <si>
    <t>LINEAR SHAFT, MISUMI, E-PSFJC12-587-M6-SC15</t>
  </si>
  <si>
    <t>540-1131-00</t>
  </si>
  <si>
    <t>PR2411000061</t>
  </si>
  <si>
    <t>PO2411000347</t>
  </si>
  <si>
    <t>SAFETY LIGHT CURTAIN, OMRON, F3SG-4SRB0520-25-F</t>
  </si>
  <si>
    <t>590-3411-00</t>
  </si>
  <si>
    <t>LEFT CABLE CONNECTOR; CURTAIN SENSOR, OMRON,F39-JG3A-L</t>
  </si>
  <si>
    <t>590-3412-00</t>
  </si>
  <si>
    <t>RIGHT CABLE CONNECTOR; CURTAIN SENSOR, OMRON,F39-JG3A-D</t>
  </si>
  <si>
    <t>590-3413-00</t>
  </si>
  <si>
    <t>MOUNTING BRACKET; CURTAIN SENSOR; OMRON, F39-LSGF</t>
  </si>
  <si>
    <t>590-3414-00</t>
  </si>
  <si>
    <t>1316.27 - MACRO INSPECTION MODULE (MECH)</t>
  </si>
  <si>
    <t>LINEAR ACTUATOR, HIWIN, KK8620C-640A2-H0C</t>
  </si>
  <si>
    <t>440-0547-00</t>
  </si>
  <si>
    <t>PR2410000233</t>
  </si>
  <si>
    <t>11/06/2024</t>
  </si>
  <si>
    <t>PO2411000222</t>
  </si>
  <si>
    <t>PO2411000218</t>
  </si>
  <si>
    <t>PO2411000220</t>
  </si>
  <si>
    <t>PO2411000223</t>
  </si>
  <si>
    <t>PULLEY; TIMING, MISUMI, HTLA28S5M150-F-8</t>
  </si>
  <si>
    <t>460-0924-00</t>
  </si>
  <si>
    <t>BELT; TIMING, MISUMI, HTBN390S5M-150</t>
  </si>
  <si>
    <t>460-1117-00</t>
  </si>
  <si>
    <t>MOTOR; STEPPER MOTOR; DC POWER; RIGHT ANGLE GEARED, ORIENTAL MOTOR, AZM24AK-FC25UA</t>
  </si>
  <si>
    <t>120-0701-00</t>
  </si>
  <si>
    <t>PO2411000221</t>
  </si>
  <si>
    <t>CABLE; FLEXI; 5M; DR SERIES, ORIENTAL MOTOR, CC050VZ2R2</t>
  </si>
  <si>
    <t>150-0759-00</t>
  </si>
  <si>
    <t>MOTOR; STEPPER; ABSOLUTE MECHANICAL ENCODER, ORIENTAL MOTOR, AZM66AC-PS25</t>
  </si>
  <si>
    <t>120-0612-00</t>
  </si>
  <si>
    <t>CABLE CHAIN END BRACKET, HANSHIN, HSP0320-35B-EB</t>
  </si>
  <si>
    <t>320-0411-01</t>
  </si>
  <si>
    <t>PO2411000219</t>
  </si>
  <si>
    <t>CABLE CHAIN, HANSHIN, HSP0320-35B-50R</t>
  </si>
  <si>
    <t>320-0410-00</t>
  </si>
  <si>
    <t>PULLEY; TIMING; KEYLESS, MISUMI, HTLA25S8M150-F-12</t>
  </si>
  <si>
    <t>460-1116-00</t>
  </si>
  <si>
    <t>LEVELING; BOLT, MISUMI, LVB12-25</t>
  </si>
  <si>
    <t>550-0281-00</t>
  </si>
  <si>
    <t>SCREW STOPPER, MISUMI, LVN12</t>
  </si>
  <si>
    <t>550-0282-00</t>
  </si>
  <si>
    <t>MECHA LOCK; EN PLATING, MISUMI, MLRP38</t>
  </si>
  <si>
    <t>590-3401-00</t>
  </si>
  <si>
    <t>PULLEY; TIMING, MISUMI, BLPA34S8M150-B-H38</t>
  </si>
  <si>
    <t>460-1646-00</t>
  </si>
  <si>
    <t>BELT; TIMING, MISUMI, HTBN600S8M-150</t>
  </si>
  <si>
    <t>460-1110-00</t>
  </si>
  <si>
    <t>VALVE; SOLENOID; BODY PORTED; INTERNAL PILOT, SMC, VEX3122-015LZ-B</t>
  </si>
  <si>
    <t>430-0324-00</t>
  </si>
  <si>
    <t>PO2411000225</t>
  </si>
  <si>
    <t>FITTING; SPEED CONTROLLER, SMC, AS2201F-01-06SA</t>
  </si>
  <si>
    <t>410-0277-00</t>
  </si>
  <si>
    <t>FLOW CONTROLLER; IN-LINE, SMC, AS1002F-06A</t>
  </si>
  <si>
    <t>410-0735-00</t>
  </si>
  <si>
    <t xml:space="preserve">SMC_FITTING, SMC, KQ2L06-00A
</t>
  </si>
  <si>
    <t>PR2411000062</t>
  </si>
  <si>
    <t>PO2411000351</t>
  </si>
  <si>
    <t>2024-11-14</t>
  </si>
  <si>
    <t>11/27/2024</t>
  </si>
  <si>
    <t xml:space="preserve">MISUMI_BEARING NUT, MISUMI, BNRS40
</t>
  </si>
  <si>
    <t>550-0528-00</t>
  </si>
  <si>
    <t>BEARING SPACER, MISUMI, CLBPS40-49-19.8</t>
  </si>
  <si>
    <t>480-1243-00</t>
  </si>
  <si>
    <t>BEARING; DEEP GROVE, MISUMI, B6208ZZ</t>
  </si>
  <si>
    <t>480-0037-00</t>
  </si>
  <si>
    <t>BEARING; DOUBLE ROW ANGULAR CONTACT, NSK, 5208C3</t>
  </si>
  <si>
    <t>480-1244-00</t>
  </si>
  <si>
    <t>BUSHING; OIL FREE; FLANGE TYPE, MISUMI, JZF25-20</t>
  </si>
  <si>
    <t>480-0901-00</t>
  </si>
  <si>
    <t>KEY; PARALLEL, MISUMI, KES6-25</t>
  </si>
  <si>
    <t>590-0848-00</t>
  </si>
  <si>
    <t>TIMING PULLEY; ECONOMY SERIES, MISUMI, C-HTPA30S3M060-A-P8</t>
  </si>
  <si>
    <t>460-1648-00</t>
  </si>
  <si>
    <t>MISUMI_BEARING; ECONOMY; SMALL, MISUMI, C-E688ZZ</t>
  </si>
  <si>
    <t>480-1242-00</t>
  </si>
  <si>
    <t>MISUMI_BEARING SPACER; COLLAR, MISUMI, CLBP8-11-1</t>
  </si>
  <si>
    <t>480-1238-00</t>
  </si>
  <si>
    <t>MISUMI_POST; SRPING; ECONOMY SERIES, MISUMI, C-AIPO3-25</t>
  </si>
  <si>
    <t>540-1119-00</t>
  </si>
  <si>
    <t>POST; CIRCULAR, MISUMI, PETGRS6-32-SC10</t>
  </si>
  <si>
    <t>540-1120-00</t>
  </si>
  <si>
    <t>POST; HEXAGONAL, MISUMI, PLSBG6-15.5-M3-N4</t>
  </si>
  <si>
    <t>540-1121-00</t>
  </si>
  <si>
    <t>TIMING BELT IDLER, MISUMI, C-AFDF11-15</t>
  </si>
  <si>
    <t>460-1574-00</t>
  </si>
  <si>
    <t>SHAFT; CANTILEVER; RETAINING RING, MISUMI, SLXAA5-3-F11</t>
  </si>
  <si>
    <t>540-1122-00</t>
  </si>
  <si>
    <t>MISUMI_E-CLIP, MISUMI, NETWS4</t>
  </si>
  <si>
    <t>650-0340-00</t>
  </si>
  <si>
    <t>FLANGED IDLERS; WITH TEETH; BOTH SIDES BEARING, MISUMI, C-AHTFW20-S3M060-3</t>
  </si>
  <si>
    <t>460-1650-00</t>
  </si>
  <si>
    <t>TIMING BELT IDLER; WITOUT FLANGE; BACKSIDE, MISUMI,C-AFBD11-15</t>
  </si>
  <si>
    <t>460-1645-00</t>
  </si>
  <si>
    <t>FLANGED IDLERS; WITH TEETH; BOTH SIDES BEARING, MISUMI, C-AHTFW24-S3M060-5</t>
  </si>
  <si>
    <t>460-1649-00</t>
  </si>
  <si>
    <t>SHAFT; CANTILEVER; RETAINING RING, MISUMI, SLXAA3-3-F11</t>
  </si>
  <si>
    <t>540-1123-00</t>
  </si>
  <si>
    <t>E-CLIP, MISUMI, NETWS2</t>
  </si>
  <si>
    <t>590-3400-00</t>
  </si>
  <si>
    <t>CYLINDER; AIR; SINGLE ACTING, SMC, CDUJB6-8SM-F8B</t>
  </si>
  <si>
    <t>440-0965-00</t>
  </si>
  <si>
    <t>PRECISION LINEAR SLIDE, IKO, BSP1025SL</t>
  </si>
  <si>
    <t>500-0301-00</t>
  </si>
  <si>
    <t>PO2411000224</t>
  </si>
  <si>
    <t>12/05/2024</t>
  </si>
  <si>
    <t>Best Date</t>
  </si>
  <si>
    <t>C-SNAP RING; FOR SHAFT, MISUMI, STWS6</t>
  </si>
  <si>
    <t>550-0314-00</t>
  </si>
  <si>
    <t>SPUR GEAR; MODULE 0.5; 32 TEETH, MISUMI, GEABS0.5-32-3-B-4</t>
  </si>
  <si>
    <t>470-0173-00</t>
  </si>
  <si>
    <t>SMC_FITTING; MINIATURE, SMC, M-3ALU-4</t>
  </si>
  <si>
    <t>BEARING, MISUMI, C-B696ZZ</t>
  </si>
  <si>
    <t>480-0750-00</t>
  </si>
  <si>
    <t>Taken 1pcs</t>
  </si>
  <si>
    <t>SPUR GEAR; MODULE 0.5; 32 TEETH, MISUMI, GEAHB0.5-32-3-B-3</t>
  </si>
  <si>
    <t>470-0172-00</t>
  </si>
  <si>
    <t>MISUMI_SHAFT; CANTILEVER; RETAINING RING, MISUMI, SLXAA4-2-F6</t>
  </si>
  <si>
    <t>540-1118-00</t>
  </si>
  <si>
    <t>BEARING; SMALL; DOUBLE SHIELDED, MISUMI, C-E674ZZ</t>
  </si>
  <si>
    <t>480-1241-00</t>
  </si>
  <si>
    <t>E-CLIP, MISUMI, NETWS3</t>
  </si>
  <si>
    <t>590-0836-00</t>
  </si>
  <si>
    <t>SCREW; SOCKET HEAD, MISUMI, SCB2.6-4</t>
  </si>
  <si>
    <t>550-1303-00</t>
  </si>
  <si>
    <t>SCREW; SOCKET HEAD, MISUMI, SCB2.6-6</t>
  </si>
  <si>
    <t>550-1304-00</t>
  </si>
  <si>
    <t>SPUR GEAR; MODULE 0.5; 32 TEETH, MISUMI, GEAHB0.5-32-3-A-3</t>
  </si>
  <si>
    <t>470-0175-00</t>
  </si>
  <si>
    <t>STOPPER BOLT, MISUMI, USS4-10</t>
  </si>
  <si>
    <t>550-0457-00</t>
  </si>
  <si>
    <t>SPRING; ULTRA SPRING EXTENSION, MISUMI, E507</t>
  </si>
  <si>
    <t>490-0525-00</t>
  </si>
  <si>
    <t>SPRING; ULTRA SPRING EXTENSION, MISUMI, E503</t>
  </si>
  <si>
    <t>490-0524-00</t>
  </si>
  <si>
    <t>SPRING; ULTRA SPRING EXTENSION, MISUMI, E538</t>
  </si>
  <si>
    <t>490-0526-00</t>
  </si>
  <si>
    <t>HIGH TORQUE TIMING PULLEY, MISUMI, HTPA25S3M060-A-P6</t>
  </si>
  <si>
    <t>460-1651-00</t>
  </si>
  <si>
    <t>TIMING BELT; HIGH TORQUE; S3M, MISUMI, HTBN1596S3M-60</t>
  </si>
  <si>
    <t>460-1655-00</t>
  </si>
  <si>
    <t>BEARING; DOUBLE ROW ANGULAR CONTACT, NTN, 3208S</t>
  </si>
  <si>
    <t>480-1244-01</t>
  </si>
  <si>
    <t>PO2411000350</t>
  </si>
  <si>
    <t>2024-11-15</t>
  </si>
  <si>
    <t>TIMING BELT; HIGH TORQUE; S3M, MISUMI, C-HTBN1596S3M-60</t>
  </si>
  <si>
    <t>460-1660-00</t>
  </si>
  <si>
    <t>SET SCREW; PEEK, MISUMI, PEKSF4-20</t>
  </si>
  <si>
    <t>550-1308-00</t>
  </si>
  <si>
    <t>NUT; PEEK, MISUMI, PEKN4</t>
  </si>
  <si>
    <t>550-1309-00</t>
  </si>
  <si>
    <t>SHAFT; CANTILEVER; RETAINING RING, MISUMI, SLXAA4-2-F7</t>
  </si>
  <si>
    <t>540-1133-00</t>
  </si>
  <si>
    <t>BALL BEARING; MINIATURE, MISUMI, BC4-8ZZ</t>
  </si>
  <si>
    <t>480-1250-00</t>
  </si>
  <si>
    <t>HEXAGON POST; ONE END THREADED AND TAPPED, MISUMI, E-LSBWF6-33</t>
  </si>
  <si>
    <t>540-1134-00</t>
  </si>
  <si>
    <t>SHOULDER SCREW, MISUMI, SGMSB6-20</t>
  </si>
  <si>
    <t>550-0535-00</t>
  </si>
  <si>
    <t>BEARING, MISUMI, C-B686ZZ</t>
  </si>
  <si>
    <t>480-1251-00</t>
  </si>
  <si>
    <t>SHOULDER SCREW, MISUMI, GMSB5-25</t>
  </si>
  <si>
    <t>550-0140-00</t>
  </si>
  <si>
    <t>1316.29 - BOX CLASSIFICATION MODULE (MECH)</t>
  </si>
  <si>
    <t>SHAFT SUPPORT, MISUMI, SSTHWSL12</t>
  </si>
  <si>
    <t>590-3366-00</t>
  </si>
  <si>
    <t>PR2409000081</t>
  </si>
  <si>
    <t>PO2409000185</t>
  </si>
  <si>
    <t>2024-09-19</t>
  </si>
  <si>
    <t>10/02/2024</t>
  </si>
  <si>
    <t>CLAMP; STRUT, MISUMI, C-MDKT12</t>
  </si>
  <si>
    <t>590-3012-00</t>
  </si>
  <si>
    <t>LINEAR SHAFT, MISUMI, PSSFG12-100</t>
  </si>
  <si>
    <t>540-1099-00</t>
  </si>
  <si>
    <t>1316.31 - BOX GRIPPER ARM (MECH)</t>
  </si>
  <si>
    <t>PR2408000126</t>
  </si>
  <si>
    <t>09/10/2024</t>
  </si>
  <si>
    <t>PO2409000423</t>
  </si>
  <si>
    <t>ENCODER CABLE; A6 SERVO MOTOR; FLEXI; 3 METER, PANASONIC, ECD-A6-0030-FD</t>
  </si>
  <si>
    <t>150-0584-00</t>
  </si>
  <si>
    <t>MOTOR CABLE; A6 SERVO MOTOR; FLEXI; 3 METER, PANASONIC, MT-A6-0030-FD</t>
  </si>
  <si>
    <t>150-0585-00</t>
  </si>
  <si>
    <t>BRAKE CABLE; A6 SERVO MOTOR; FLEXI; 3 METER, PANASONIC, BK-A6-0030-FD</t>
  </si>
  <si>
    <t>150-0790-00</t>
  </si>
  <si>
    <t>SENSOR; PUSH BUTTON, AUTONICS, BS5-P1MD</t>
  </si>
  <si>
    <t>100-0599-00</t>
  </si>
  <si>
    <t>PO2409000424</t>
  </si>
  <si>
    <t>WENTION CONTROLS SDN BHD</t>
  </si>
  <si>
    <t>3pcs - 14/Oct</t>
  </si>
  <si>
    <t>SPRING; ROUND WIRE COIL, MISUMI, C-UV5-10</t>
  </si>
  <si>
    <t>490-0513-00</t>
  </si>
  <si>
    <t>PO2409000160</t>
  </si>
  <si>
    <t>BELT CLAMP PLT; S-TYPE OPEN END, MISUMI, C-TBCR-S3M100</t>
  </si>
  <si>
    <t>460-1617-00</t>
  </si>
  <si>
    <t>URETHANE; PILOTED TYPE, MISUMI, DXSK8-5-5-10</t>
  </si>
  <si>
    <t>590-3362-00</t>
  </si>
  <si>
    <t>SHOULDER BOLTS; SHOULDER SCREW, MISUMI, SMSB4-25</t>
  </si>
  <si>
    <t>550-1269-00</t>
  </si>
  <si>
    <t>IDLER, MISUMI, AHTFW20-S3M100-4</t>
  </si>
  <si>
    <t>460-1065-00</t>
  </si>
  <si>
    <t>BEARING SPACER; INNER, MISUMI, CLBU4-7-8</t>
  </si>
  <si>
    <t>590-3363-00</t>
  </si>
  <si>
    <t>BEARING SPACER; INNER, MISUMI, CLBU8-11-12.5</t>
  </si>
  <si>
    <t>590-3364-00</t>
  </si>
  <si>
    <t>TIMING BELT IDLER, MISUMI, C-AFDF15-30</t>
  </si>
  <si>
    <t>460-1618-00</t>
  </si>
  <si>
    <t>SHOULDER SCREW, MISUMI, SMSB8-20</t>
  </si>
  <si>
    <t>550-0433-00</t>
  </si>
  <si>
    <t>CIRCULAR POST; WRENCH FLAT, MISUMI, SETG6-35-M4-N4</t>
  </si>
  <si>
    <t>540-1096-00</t>
  </si>
  <si>
    <t>BEARING SPACER; INNER, MISUMI, CLBU8-11-5.5</t>
  </si>
  <si>
    <t>590-3365-00</t>
  </si>
  <si>
    <t>CIRCULAR POST; WRENCH FLAT, MISUMI, SETR12-100</t>
  </si>
  <si>
    <t>540-1097-00</t>
  </si>
  <si>
    <t>PULLEY; TIMING, MISUMI, HTPA28S3M100-A-P8</t>
  </si>
  <si>
    <t>460-0586-00</t>
  </si>
  <si>
    <t>HEXAGONAL POST, MISUMI, C-PLSBWRK10-60</t>
  </si>
  <si>
    <t>540-1098-00</t>
  </si>
  <si>
    <t>SENSOR; FIBER; THRUBEAM, KEYENCE, FU-18</t>
  </si>
  <si>
    <t>100-0412-00</t>
  </si>
  <si>
    <t>PO2409000162</t>
  </si>
  <si>
    <t>AMPLIFIER; FS SERIES, KEYENCE, FS-N41N</t>
  </si>
  <si>
    <t>320-0407-01</t>
  </si>
  <si>
    <t>650-0300-00</t>
  </si>
  <si>
    <t>CIRCULAR POST; WRENCH FLATS, MISUMI, SETR10-120</t>
  </si>
  <si>
    <t>540-1100-00</t>
  </si>
  <si>
    <t>PULLEY; TIMING, MISUMI, HTLA30S5M100-E-14</t>
  </si>
  <si>
    <t>460-1620-00</t>
  </si>
  <si>
    <t>LINEAR GUIDE, HIWIN, HGW15CC2R580Z0C</t>
  </si>
  <si>
    <t>440-0944-00</t>
  </si>
  <si>
    <t>PO2409000163</t>
  </si>
  <si>
    <t>BALL SCREW BEARING HOUSING; SUPPORT UNIT, MISUMI, C-TFK12</t>
  </si>
  <si>
    <t>480-1229-00</t>
  </si>
  <si>
    <t>ROLLED BALL SCREW, MISUMI, C-TBSE1510-642</t>
  </si>
  <si>
    <t>560-0513-00</t>
  </si>
  <si>
    <t>BALL BEARING, MISUMI, SB6800ZZ</t>
  </si>
  <si>
    <t>480-0556-00</t>
  </si>
  <si>
    <t>SENSOR; MINIATURE; SLOT, PANASONIC, PM-Y45</t>
  </si>
  <si>
    <t>100-0442-00</t>
  </si>
  <si>
    <t>PULLEY; TIMING, MISUMI, HTLA30S5M100-E-10</t>
  </si>
  <si>
    <t>460-1621-00</t>
  </si>
  <si>
    <t>C-SNAP RING; FOR SHAFT, MISUMI, STWS10</t>
  </si>
  <si>
    <t>590-1677-00</t>
  </si>
  <si>
    <t>BELT CLAMP PLT; S-TYPE OPEN END, MISUMI, C-TBCR-S5M150</t>
  </si>
  <si>
    <t>460-1622-00</t>
  </si>
  <si>
    <t>BELT; TIMING; S5M, MISUMI, HTBN415S5M-100</t>
  </si>
  <si>
    <t>460-1623-00</t>
  </si>
  <si>
    <t>IDLER; FLANGED, MISUMI, AHTFW20-S5M150-8</t>
  </si>
  <si>
    <t>460-1624-00</t>
  </si>
  <si>
    <t>SHOULDER SCREW, MISUMI, SMSB8-35</t>
  </si>
  <si>
    <t>550-1271-00</t>
  </si>
  <si>
    <t>SHOULDER SCREW, MISUMI, SMSB8-30</t>
  </si>
  <si>
    <t>550-1272-00</t>
  </si>
  <si>
    <t>CIRCULAR POST; WRENCH FLAT, MISUMI, SETGR10-20</t>
  </si>
  <si>
    <t>540-1101-00</t>
  </si>
  <si>
    <t>CIRCULAR POST; WRENCH FLAT, MISUMI, SETGR10-45</t>
  </si>
  <si>
    <t>540-1102-00</t>
  </si>
  <si>
    <t>CIRCULAR POST; WRENCH FLAT, MISUMI, SETGR10-35</t>
  </si>
  <si>
    <t>540-1103-00</t>
  </si>
  <si>
    <t>HEXAGONAL POST, MISUMI, C-PLSBWRK7-40</t>
  </si>
  <si>
    <t>540-1104-00</t>
  </si>
  <si>
    <t>BEARING SPACER; INNER, MISUMI, CLBP8-11-10</t>
  </si>
  <si>
    <t>480-1227-00</t>
  </si>
  <si>
    <t>BEARING SPACER; INNER, MISUMI, CLBP8-11-3</t>
  </si>
  <si>
    <t>480-1228-00</t>
  </si>
  <si>
    <t>TIMING BELT; HIGH TORQUE; S5M, MISUMI, HTBN1125S5M-150</t>
  </si>
  <si>
    <t>460-1625-00</t>
  </si>
  <si>
    <t>SLIDE RAIL, IGUS, WSQ-06-30-480</t>
  </si>
  <si>
    <t>500-0622-00</t>
  </si>
  <si>
    <t>PO2409000161</t>
  </si>
  <si>
    <t>SLIDE CARRIAGE, IGUS, WWC-06-30-06</t>
  </si>
  <si>
    <t>500-0623-00</t>
  </si>
  <si>
    <t>10+B762:T762/2/2024</t>
  </si>
  <si>
    <t>TIMING PULLEY; HIGH TORQUE; S5M, MISUMI, HTLA44S5M100-E-14</t>
  </si>
  <si>
    <t>460-1626-00</t>
  </si>
  <si>
    <t>TIMING PULLEY; HIGH TORQUE; S5M, MISUMI, HTLA44S5M100-E-15</t>
  </si>
  <si>
    <t>460-1627-00</t>
  </si>
  <si>
    <t>TIMING BELT; S5M, MISUMI, HTBN550S5M-100</t>
  </si>
  <si>
    <t>460-1406-00</t>
  </si>
  <si>
    <t>FIXED SIDE SUPPORT UNIT, MISUMI, BRWN20-SET</t>
  </si>
  <si>
    <t>480-0964-00</t>
  </si>
  <si>
    <t>SENSOR; SLOT, PANASONIC, PM-R45</t>
  </si>
  <si>
    <t>100-0449-00</t>
  </si>
  <si>
    <t>ROLLED BALL SCREW, MISUMI, BSSZ2505-422</t>
  </si>
  <si>
    <t>560-0514-00</t>
  </si>
  <si>
    <t>LINEAR GUIDE, HIWIN, HGW20CC2R320Z0C</t>
  </si>
  <si>
    <t>500-0624-00</t>
  </si>
  <si>
    <t>PR2410000066</t>
  </si>
  <si>
    <t>PO2410000366</t>
  </si>
  <si>
    <t>2024-10-18</t>
  </si>
  <si>
    <t>MOTOR CABLE; A6 SERVO MOTOR; FLEXI; 3 METER; PURCHASE FROM CHINA, PANASONIC, MFMCA0030EED</t>
  </si>
  <si>
    <t>BRAKE CABLE; A6 SERVO MOTOR; FLEXI; 3 METER; PURCHASE FROM CHINA, PANASONIC, MFMCB0030GET</t>
  </si>
  <si>
    <t>MOTOR; DC SERVO; 24V; 3216X012BXTH 7831 IERS3-500 L Z5418 32GPT 44:1, FAULHABER, 3216.G0322</t>
  </si>
  <si>
    <t>120-0696-00</t>
  </si>
  <si>
    <t>PR2410000065</t>
  </si>
  <si>
    <t>PO2410000437</t>
  </si>
  <si>
    <t>2024-10-26</t>
  </si>
  <si>
    <t>dec</t>
  </si>
  <si>
    <t>DRIVER; FOR DC SERVO MOTOR;  CONTROLLER MC3603 S ET, FAULHABER, 6500.01814</t>
  </si>
  <si>
    <t>170-0220-00</t>
  </si>
  <si>
    <t>CABLE; STECKERSET; MC3001 MC3603 STD, FAULHABER, 6501.00362</t>
  </si>
  <si>
    <t>590-3283-00</t>
  </si>
  <si>
    <t>PR2411000064</t>
  </si>
  <si>
    <t>PO2411000348</t>
  </si>
  <si>
    <t>PULLEY; TIMING, MISUMI, HTLA44S5M150-E-14</t>
  </si>
  <si>
    <t>460-1657-00</t>
  </si>
  <si>
    <t>PO2411000349</t>
  </si>
  <si>
    <t>PULLEY; TIMING, MISUMI, HTLA44S5M150-E-15</t>
  </si>
  <si>
    <t>460-1658-00</t>
  </si>
  <si>
    <t>TIMING BELT; S5M, MISUMI, HTBN550S5M-150</t>
  </si>
  <si>
    <t>460-1659-00</t>
  </si>
  <si>
    <t>1316.33 - BOX LOADING STATION (MECH)</t>
  </si>
  <si>
    <t>LINEAR GUIDE, HIWIN, HGW25CA2R1330Z0C</t>
  </si>
  <si>
    <t>500-0625-00</t>
  </si>
  <si>
    <t>PR2410000268</t>
  </si>
  <si>
    <t>PO2411000277</t>
  </si>
  <si>
    <t>CANTILEVER SHAFT, MISUMI, PLXNAB10-12-F16-N12-MA6</t>
  </si>
  <si>
    <t>540-1107-00</t>
  </si>
  <si>
    <t>PO2411000278</t>
  </si>
  <si>
    <t>IDLER; S3M, MISUMI, C-AHTF32S5M150</t>
  </si>
  <si>
    <t>460-1629-00</t>
  </si>
  <si>
    <t>METAL WASHER, MISUMI, WSSM16-6-2</t>
  </si>
  <si>
    <t>550-0570-00</t>
  </si>
  <si>
    <t>IDLER, MISUMI, AFDF22-45</t>
  </si>
  <si>
    <t>460-1569-00</t>
  </si>
  <si>
    <t>CANTILEVER SHAFT, MISUMI, PLXAB10-15-F9-MA6</t>
  </si>
  <si>
    <t>540-1108-00</t>
  </si>
  <si>
    <t>PO2411000273</t>
  </si>
  <si>
    <t>MOTOR; SERVO; 750W; A6; WITH ABSOLUTE ENCODER, PANASONIC, MSMF082L1U2</t>
  </si>
  <si>
    <t>120-0497-00</t>
  </si>
  <si>
    <t>SERVO DRIVER; A6-SERIES; 750W; ETHERCAT, PANASONIC, MCDLT35BF</t>
  </si>
  <si>
    <t>120-0698-00</t>
  </si>
  <si>
    <t>A6-SERIES INTERFACE CABLE 2M; FULL PIN, PANASONIC, INF-A6B-0020-FULL</t>
  </si>
  <si>
    <t>150-0855-00</t>
  </si>
  <si>
    <t>GEARHEAD; PLANETARY, APEX, PEII090-020</t>
  </si>
  <si>
    <t>470-0171-00</t>
  </si>
  <si>
    <t>PO2411000276</t>
  </si>
  <si>
    <t>12/06/2024</t>
  </si>
  <si>
    <t>PULLEY; TIMING, MISUMI, HTPA44S5M150-A-N22</t>
  </si>
  <si>
    <t>460-1630-00</t>
  </si>
  <si>
    <t>SHOCK ABSORPTION STOPPER, MISUMI, UNST10-40</t>
  </si>
  <si>
    <t>590-2547-00</t>
  </si>
  <si>
    <t>BELT; TIMING; OPEN END; CHLOROPRENE RUBBER, MISUMI, HTBOG-S5M150-670</t>
  </si>
  <si>
    <t>460-1633-00</t>
  </si>
  <si>
    <t>MINIATURE LINEAR GUIDE; WIDE RAIL; LONG BLOCK, MISUMI, SSEL2BWLZ16-460</t>
  </si>
  <si>
    <t>500-0626-00</t>
  </si>
  <si>
    <t>MINIATURE LINEAR GUIDE; WIDE RAIL; LONG BLOCK, MISUMI, SSEL2BWZ14-430</t>
  </si>
  <si>
    <t>500-0627-00</t>
  </si>
  <si>
    <t>MINIATURE SLIDE GUIDE, MISUMI, SSEBMZ10-175</t>
  </si>
  <si>
    <t>500-0628-00</t>
  </si>
  <si>
    <t>SHOULDER SCREW, MISUMI, MSB6-15</t>
  </si>
  <si>
    <t>550-0446-00</t>
  </si>
  <si>
    <t>COLLAR; BEARING, MISUMI, CLBPM6-9-1.5</t>
  </si>
  <si>
    <t>480-0595-00</t>
  </si>
  <si>
    <t>SHOULDER SCREW, MISUMI, MSB6-25</t>
  </si>
  <si>
    <t>550-0445-00</t>
  </si>
  <si>
    <t>BEARING, MISUMI, B696ZZ</t>
  </si>
  <si>
    <t>COMPACT CYLINDER; ROUND, SMC, JCML25-135D</t>
  </si>
  <si>
    <t>440-0948-00</t>
  </si>
  <si>
    <t>PO2411000279</t>
  </si>
  <si>
    <t>12/31/2024</t>
  </si>
  <si>
    <t>FLOATING JOINT, SMC, JA30-10-125</t>
  </si>
  <si>
    <t>430-0105-00</t>
  </si>
  <si>
    <t>CHAIN, HANSHIN, HSP0180-2BN 37R</t>
  </si>
  <si>
    <t>520-0241-00</t>
  </si>
  <si>
    <t>PO2411000274</t>
  </si>
  <si>
    <t>CYLINDER; COMPACT GUIDE; FINE SPEED, SMC, MGPL20-30Z-A93VL-XB13</t>
  </si>
  <si>
    <t>440-0949-00</t>
  </si>
  <si>
    <t>12/09/2024</t>
  </si>
  <si>
    <t>FITTING; FLOW CONTROLLER, SMC, AS2201F-01-06SA</t>
  </si>
  <si>
    <t>410-0765-00</t>
  </si>
  <si>
    <t>MOTOR; Ezi-SERVOII-ETHERCAT; WITH TORQUE OFF DRIVER; C/W 10m MOTOR &amp; ENCODER CABLE, FASTECH, 14E2215K4-97.8SSSR</t>
  </si>
  <si>
    <t>120-0697-00</t>
  </si>
  <si>
    <t>PO2411000280</t>
  </si>
  <si>
    <t>12/30/2024</t>
  </si>
  <si>
    <t>BOM Released on WW46</t>
  </si>
  <si>
    <t>LINEAR GUIDE; SUPER HEAVY LOAD, MISUMI, SH2WTLZ36-440</t>
  </si>
  <si>
    <t>500-0630-00</t>
  </si>
  <si>
    <t>COMPACT CYLINDER; ROUND, SMC, JCML40TR-270D</t>
  </si>
  <si>
    <t>440-0950-00</t>
  </si>
  <si>
    <t>FLOATING JOINT, MISUMI, FJR14-1.5-10</t>
  </si>
  <si>
    <t>590-3391-00</t>
  </si>
  <si>
    <t>HINGE; HEAVY LOAD, MISUMI, C-HHSZTN50</t>
  </si>
  <si>
    <t>530-0486-00</t>
  </si>
  <si>
    <t>NON-RETURN VALVE, FESTO, HGL-1/8-1/8-B</t>
  </si>
  <si>
    <t>430-0315-00</t>
  </si>
  <si>
    <t>PO2411000275</t>
  </si>
  <si>
    <t>FLOW CONTROLLER; IN-LINE, SMC, AS2052F-08</t>
  </si>
  <si>
    <t>410-1364-00</t>
  </si>
  <si>
    <t>FITTING, SMC, KQ2L08-00A</t>
  </si>
  <si>
    <t>410-0306-00</t>
  </si>
  <si>
    <t>FITTING; Y-JOINT, SMC, KQ2U08-00A</t>
  </si>
  <si>
    <t>410-0764-00</t>
  </si>
  <si>
    <t>CABLE CHAIN, HANSHIN, HSP0450-1BN-50R</t>
  </si>
  <si>
    <t>MANIFOLD; 7 STATION, CKD, M4GA1R-00-7</t>
  </si>
  <si>
    <t>430-0175-00</t>
  </si>
  <si>
    <t>430-0154-00</t>
  </si>
  <si>
    <t>SOLENOID VALVE; POWER VALVE, SMC, SY5320-5LZD-C8-F2</t>
  </si>
  <si>
    <t>430-0277-00</t>
  </si>
  <si>
    <t>A6-SERIES INTERFACE CABLE 2M; FULL PIN; PURCHASE FROM CHINA, PANASONIC, DV0P0800-2M</t>
  </si>
  <si>
    <t>1316.35 - CANISTER LID OPENER (MECH)</t>
  </si>
  <si>
    <t>PR2411000029</t>
  </si>
  <si>
    <t>PO2411000226</t>
  </si>
  <si>
    <t>PR2410000269</t>
  </si>
  <si>
    <t>PO2411000035</t>
  </si>
  <si>
    <t>PO2411000036</t>
  </si>
  <si>
    <t>120-0663-00 </t>
  </si>
  <si>
    <t>1316.37 - BOX LOADING STRUCTURE (MECH)</t>
  </si>
  <si>
    <t>store - 22/Nov</t>
  </si>
  <si>
    <t>PO2410000594</t>
  </si>
  <si>
    <t>LEVELING PAD, JGS, LPBZ-100M24205</t>
  </si>
  <si>
    <t>510-0186-00</t>
  </si>
  <si>
    <t>PR2410000249</t>
  </si>
  <si>
    <t>PO2411000029</t>
  </si>
  <si>
    <t>JGS INDUSTRIES (M) SDN BHD</t>
  </si>
  <si>
    <t>PO2411000026</t>
  </si>
  <si>
    <t>SENSOR; CURTAIN, AUTONICS, BW20-28</t>
  </si>
  <si>
    <t>100-0479-00</t>
  </si>
  <si>
    <t>PO2411000030</t>
  </si>
  <si>
    <t>CABLE; FOR BW SERIES, AUTONICS, CID4-3T+CID4-3R</t>
  </si>
  <si>
    <t>150-0508-00</t>
  </si>
  <si>
    <t>PO2411000028</t>
  </si>
  <si>
    <t>PO2411000027</t>
  </si>
  <si>
    <t>1316.39 - FASTENER</t>
  </si>
  <si>
    <t>ELECTRICAL PART</t>
  </si>
  <si>
    <t>1316.2 - ELECTRONICS &amp; ELECTRICALS )PC, CCTV, UPS, ETC)</t>
  </si>
  <si>
    <t>IPC; INTEL I5-9500; 16GB RAM; 2x1TB SSD; 1xPCIe (x8); 3xPCIe (x4); MIC-75M40; Win 10 IoT Ent 2019 LTSC; 150W POWER ADAPTOR; HDMI/REMOTE POWER CONN. MOD; ADVANTECH, MIC-770Q</t>
  </si>
  <si>
    <t>660-0148-00</t>
  </si>
  <si>
    <t>UPS; 650VA; 230VAC; 4 IEC OUT, APC, BK650-AS</t>
  </si>
  <si>
    <t>693-0145-00</t>
  </si>
  <si>
    <t>PR2409000030</t>
  </si>
  <si>
    <t>PO2410000252</t>
  </si>
  <si>
    <t>ADVANCE RELIABILITY TECHNOLOGY SDN BHD</t>
  </si>
  <si>
    <t>PEN DRIVE; USB 3.0 TYPE A; 256GB, N/A, N/A</t>
  </si>
  <si>
    <t>672-0105-01</t>
  </si>
  <si>
    <t>PO2410000261</t>
  </si>
  <si>
    <t xml:space="preserve">ANTIVIRUS; SYMANTEC ENDPOINT PROTECTION; INITIAL SUBSCRIPTION LICENSE WITH SUPPORT, 1-24 DEVICES 1YR SEP-NEW-S-1-25-1Y	</t>
  </si>
  <si>
    <t>690-0055-00</t>
  </si>
  <si>
    <t>23.8 INCH; CAPACITIVE TOUCH MONITOR; HDMI &amp; VGA, JIEYSSOEN, JS-101ED02</t>
  </si>
  <si>
    <t>681-0065-00</t>
  </si>
  <si>
    <t>PO2410000259</t>
  </si>
  <si>
    <t>2024-10-17</t>
  </si>
  <si>
    <t>TAOBAO</t>
  </si>
  <si>
    <t>WIRELESS HANDHELD 2D BARCODE SCANNER; C/W CRADLE AND USB CABLE, ZEBEX, Z-3392BT</t>
  </si>
  <si>
    <t>200-0030-00</t>
  </si>
  <si>
    <t>PO2410000257</t>
  </si>
  <si>
    <t>12/14/2024</t>
  </si>
  <si>
    <t>Dec</t>
  </si>
  <si>
    <t>MINI KEYBOARD; 88 KEYS; USB; BLACK COLOUR, N/A, ACK595</t>
  </si>
  <si>
    <t>678-0029-00</t>
  </si>
  <si>
    <t>MOUSE; OPTICAL TRACKBALL, SANWA SUPPLY, MA-TB128BK</t>
  </si>
  <si>
    <t>678-0039-00</t>
  </si>
  <si>
    <t>PUSH BUTTON; 16mm; BLUE CAP; FLUSH; MOMENTARY; C/W 1 NO, IDEC, AB6M-M1-S</t>
  </si>
  <si>
    <t xml:space="preserve"> 110-0196-00</t>
  </si>
  <si>
    <t>PO2410000256</t>
  </si>
  <si>
    <t>FLIP GUARD; 180 DEGREE; SPRING RETURN; IDEC (AL-K6SP),  RS, 828-8090</t>
  </si>
  <si>
    <t>290-0397-00</t>
  </si>
  <si>
    <t>4 PORT INDUSTRIAL GRADE USB 3.0 HUB, SIPOLAR, AX-143</t>
  </si>
  <si>
    <t>693-0146-00</t>
  </si>
  <si>
    <t>USB 2.0 ADAPTOR; PANEL MOUNT; FEMALE, RS PRO, CP30208NMB, ORDER CODE # 916-0221</t>
  </si>
  <si>
    <t>696-0081-00</t>
  </si>
  <si>
    <t>Received 4 from store base on picking requisiton</t>
  </si>
  <si>
    <t>SWITCH; 8 PORT, TP-LINK, TL-SG2008</t>
  </si>
  <si>
    <t>693-0150-00</t>
  </si>
  <si>
    <t>CARD; 4 PORT PCI EXPRESS GBE, ADVANTECH, PCIE-1674E-AE</t>
  </si>
  <si>
    <t>693-0140-00</t>
  </si>
  <si>
    <t>store - 1/Nov</t>
  </si>
  <si>
    <t>ETHERNET SERVER ADAPTER, INTEL, I210-T1</t>
  </si>
  <si>
    <t>693-0148-00</t>
  </si>
  <si>
    <t>ETHERNET TO SERIAL PORT; 8-PORT, SUNIX, DPAS08H00</t>
  </si>
  <si>
    <t>693-0143-00</t>
  </si>
  <si>
    <t>PO2410000251</t>
  </si>
  <si>
    <t>AD One Technology (KL) Sdn Bhd</t>
  </si>
  <si>
    <t>ETHERNET TO SERIAL PORT; 4-PORT, SUNIX, DPAS04H00</t>
  </si>
  <si>
    <t>693-0142-00</t>
  </si>
  <si>
    <t>4.X FIELDBUS RUNTIME; CORE PACKAGE SOLO; MOTION PACKAGE SYNC.; AXIS PACKAGE LEVEL 4(UNLIMITED-AXIS); HARDWARE SMALL DONGLE, KINGSTAR, KS64-40-RT;PKG-KS64-40-MS;PKG-KS64-40-A4; HW-SM-DONGLE</t>
  </si>
  <si>
    <t>690-0060-00</t>
  </si>
  <si>
    <t>PO2410000264</t>
  </si>
  <si>
    <t>INTERVALZERO, INC.</t>
  </si>
  <si>
    <t>4-PORT PCI EXPRESS USB VISION FRAME GRABBER, ADVANTECH, PCIE-1154</t>
  </si>
  <si>
    <t xml:space="preserve">693-0136-00 </t>
  </si>
  <si>
    <t>PO2410000254</t>
  </si>
  <si>
    <t>Advantech Co. Malaysia Sdn Bhd</t>
  </si>
  <si>
    <t>TEACH PENDANT; TOUCH PEN; C/W JUNCTION BOX &amp; 10 METER CABLE, DAINCUBE, DTP10-D</t>
  </si>
  <si>
    <t>681-0064-00</t>
  </si>
  <si>
    <t>PO2410000263</t>
  </si>
  <si>
    <t>DAIN CUBE CORP</t>
  </si>
  <si>
    <t>12/24/2024</t>
  </si>
  <si>
    <t>WALL BRACKET FOR DTP10, DAINCUBE, N/A</t>
  </si>
  <si>
    <t>693-0129-00</t>
  </si>
  <si>
    <t>CABLE; MINI USB TO USB; CW FILTER; LENGTH = 3 METER, N/A, N/A</t>
  </si>
  <si>
    <t>666-0007-00</t>
  </si>
  <si>
    <t>CABLE; MONITOR VGA; LENGTH = 5 METER, N/A, N/A</t>
  </si>
  <si>
    <t>666-0006-01</t>
  </si>
  <si>
    <t>OPEN eVISION INSPECTION BUNDLE (OeV-USB)</t>
  </si>
  <si>
    <t>690-0041-00</t>
  </si>
  <si>
    <t>PO2410000253</t>
  </si>
  <si>
    <t>ADVANCE ULTRAVISION SDN BHD</t>
  </si>
  <si>
    <t>ACE CAMERA PoE CMOS 1/2.3"; 3856x2764; MONO; 10fps m roll, BASLER, acA3800-10gm</t>
  </si>
  <si>
    <t>181-0150-00</t>
  </si>
  <si>
    <t>CAMERA IO CABLE; 3 METER; 6-PIN HIROSE TO OPEN END, BASLER, IO-6P-3.0M</t>
  </si>
  <si>
    <t>150-0422-00</t>
  </si>
  <si>
    <t>DISTORTIONLESS MACRO LENS; 4MM, VST, VS-MCA4</t>
  </si>
  <si>
    <t>181-0141-00</t>
  </si>
  <si>
    <t>BANDPASS FILTER; 630nm, MIDWEST OPTICAL SYSTEMS, BP635-27</t>
  </si>
  <si>
    <t>180-0209-00</t>
  </si>
  <si>
    <t>LED BACKLIGHT; RED; C/W DIFFUSER; C/W ANTI-STATIC PERSPEX AT TOP LAYER; COLLIMINATED THIN FILMS; DIAMETER 375mm, TMS LITE, BHS3-00-375-X-R-24V-WE05</t>
  </si>
  <si>
    <t>130-0405-00</t>
  </si>
  <si>
    <t>WAFER ID READER; SPECIAL BALL LENS, IOSS, WID 120/44 BL SHS/E</t>
  </si>
  <si>
    <t>181-0134-01</t>
  </si>
  <si>
    <t>CAMERA; PoE; CMOS 1/2.3"; 3840x2748; COLOUR; 10fps, BASLER, acA3800-10gc</t>
  </si>
  <si>
    <t>180-0218-00</t>
  </si>
  <si>
    <t>PO2410000262</t>
  </si>
  <si>
    <t>SODA VISION PTE LTD</t>
  </si>
  <si>
    <t>CONCENTRATED RING ILLUMINATION LIGHTING; WHITE; 24VDC, TMS, LSW-15-090-4-W-24V</t>
  </si>
  <si>
    <t>130-0411-00</t>
  </si>
  <si>
    <t>PO2410000260</t>
  </si>
  <si>
    <t>TMS LITE SDN BHD</t>
  </si>
  <si>
    <t>HDMI; FIBRE OPTIC; 5 METER, N/A, N/A</t>
  </si>
  <si>
    <t>666-0103-00</t>
  </si>
  <si>
    <t>USB 3.0 EXTENDER C/W BOOSTER; 5 METER, XINDAYING, XDY-U9040-5</t>
  </si>
  <si>
    <t>666-0098-00</t>
  </si>
  <si>
    <t>BOARD; PCB, WAFANT-1 46mm X 41MM, 563123K_Y1440</t>
  </si>
  <si>
    <t>220-0053-00</t>
  </si>
  <si>
    <t>store - 15/Nov</t>
  </si>
  <si>
    <t>with Penny</t>
  </si>
  <si>
    <t>MRD2EVM -  Evaluation Board, USB Based Reader Module, TIs Low Frequency Half Duplex Advanced Transponders,ELEMENT14 Order Code No : 2445321</t>
  </si>
  <si>
    <t>220-0048-00</t>
  </si>
  <si>
    <t>PO2410000265</t>
  </si>
  <si>
    <t>Mouser Electronics, Inc.</t>
  </si>
  <si>
    <t>Taken 2pcs</t>
  </si>
  <si>
    <t>HDMI; FIBRE OPTIC; 3 METER, N/A, N/A</t>
  </si>
  <si>
    <t>666-0102-00</t>
  </si>
  <si>
    <t>HDMI Connector, 19 Contacts, Jack, Panel Mount,
Feed Through, Gold Plated Contacts</t>
  </si>
  <si>
    <t>696-0113-00</t>
  </si>
  <si>
    <t>PO2410000255</t>
  </si>
  <si>
    <t>PREMIUM USB CABLE TYPE A-B CABLE, 3.0M, L-COM, CSMUAB-3M</t>
  </si>
  <si>
    <t>150-0559-00</t>
  </si>
  <si>
    <t>DSUB 9WAY CONNECTOR; MALE; C/W  METAL COVER, N/A, N/A</t>
  </si>
  <si>
    <t xml:space="preserve"> 160-0290-00</t>
  </si>
  <si>
    <t>PREMIUM USB CABLE TYPE A-A CABLE; 5.0M, L-COM,  CSMUAA-5M</t>
  </si>
  <si>
    <t>150-0546-00</t>
  </si>
  <si>
    <t>PREMIUM USB CABLE TYPE A-B CABLE, 5.0M, L-COM, CSMUAB-5M</t>
  </si>
  <si>
    <t>150-0544-00</t>
  </si>
  <si>
    <t>2-Port USB FHD HDMI Cable; kVM Switch with Remote Port Selector,ATEN, CS22HF</t>
  </si>
  <si>
    <t>666-0114-00</t>
  </si>
  <si>
    <t>PR2409000035</t>
  </si>
  <si>
    <t>PO2409000186</t>
  </si>
  <si>
    <t>PENTECH SOLUTION SDN BHD</t>
  </si>
  <si>
    <t>Camera, ace, area scan, GigE, 1440 x 1080, 73 fps, color, IMX273, 1/2.9", Basler</t>
  </si>
  <si>
    <t>180-0229-00</t>
  </si>
  <si>
    <t>PR2410000187</t>
  </si>
  <si>
    <t>PO2411000196</t>
  </si>
  <si>
    <t>HF0420M;6MP CCTV(F:4MM);HIK Robot</t>
  </si>
  <si>
    <t>180-0228-00</t>
  </si>
  <si>
    <t>PR2409000128</t>
  </si>
  <si>
    <t>PO2411000003</t>
  </si>
  <si>
    <t>BITMAP ENGINEERING SDN BHD</t>
  </si>
  <si>
    <t>NAVITAR OPTICAL ZOOM LENS INTEGRATED WITH ATF MODULE; ATF6 SYS+Z ACTUATOR+ILLUMINATION+10X MITUTOYO OBJ LENS+1.33X MINI ADAPTER</t>
  </si>
  <si>
    <t>100-0633-00</t>
  </si>
  <si>
    <t>PR2409000173</t>
  </si>
  <si>
    <t>PO2410000232</t>
  </si>
  <si>
    <t>irad Services</t>
  </si>
  <si>
    <t>01/24/2025</t>
  </si>
  <si>
    <t>to expedite</t>
  </si>
  <si>
    <t>Jan</t>
  </si>
  <si>
    <t>666-0113-00</t>
  </si>
  <si>
    <t>666-0116-00</t>
  </si>
  <si>
    <t>666-0117-00</t>
  </si>
  <si>
    <t>1316.4 - FOUP PORT (3LP) (E&amp;E)</t>
  </si>
  <si>
    <t>3 PIN PLUG, MASTER PLUG UK MAINS CONNECTOR BS1363, 13A, CABLE MOUNT, 250VAC; RS 323-6252</t>
  </si>
  <si>
    <t>290-0524-00</t>
  </si>
  <si>
    <t>CONNECTOR;POWER;P/N:NAC3MPA,CHASIS,POWER IN, STOCK NO. 2468290</t>
  </si>
  <si>
    <t>160-0100-00</t>
  </si>
  <si>
    <t>CONNECTOR;POWER;P/N:NAC3FCA,CABLE,POWER IN,STOCK NO. 2468278</t>
  </si>
  <si>
    <t>160-0099-00</t>
  </si>
  <si>
    <t>MCB; 10A; 1 POLE, SCHNEIDER, A9F74110</t>
  </si>
  <si>
    <t>140-0315-00</t>
  </si>
  <si>
    <t>TERMINAL BLOCK; 4 CONDUCTOR DOUBLE DECK; GREY, WAGO, 2002-2208</t>
  </si>
  <si>
    <t>290-0191-00</t>
  </si>
  <si>
    <t>END PLATE, WAGO, 2002-2292</t>
  </si>
  <si>
    <t>290-0192-00</t>
  </si>
  <si>
    <t>TERMINAL BLOCK; 4 CONDUCTOR DOUBLE DECK; GROUND (EARTH), WAGO, 2002-2207</t>
  </si>
  <si>
    <t>290-0189-00</t>
  </si>
  <si>
    <t>2-CONDUCTOR THROUGH TERMINAL BLOCK (2.5mmÂ²) 2-WAY JUMPER BARS, WAGO, 2002-402</t>
  </si>
  <si>
    <t>290-0133-00</t>
  </si>
  <si>
    <t>END STOP,10mm WIDE, WAGO, 249-117</t>
  </si>
  <si>
    <t>290-0135-00</t>
  </si>
  <si>
    <t>POWER SUPPLY; 120W; 24V, 5A OMRON, S8VK-G12024</t>
  </si>
  <si>
    <t>210-0098-00</t>
  </si>
  <si>
    <t>PR2408000095</t>
  </si>
  <si>
    <t>PO2409000213</t>
  </si>
  <si>
    <t>POWER SUPPLY; 60WATT, 24V, 2,5A, DIN RAIL MOUNT, OMRON, S8VK-G06024</t>
  </si>
  <si>
    <t>210-0100-00</t>
  </si>
  <si>
    <t>2-CONDUCTOR THROUGH TERMINAL BLOCK (2.5mmÂ²) 3-WAY JUMPER BARS, WAGO, 2002-403</t>
  </si>
  <si>
    <t>290-0134-00</t>
  </si>
  <si>
    <t>PANEL MOUNT SOCKET, JR SERIES, (FEMALE) 24 PINS SOLDER TYPE SHELL SIZE 25; JR25RK-24S</t>
  </si>
  <si>
    <t>160-0492-00</t>
  </si>
  <si>
    <t>FREE PLUG (MALE) 24 PINS SOLDER TYPE C/W COVER SHELL SIZE 25; JR25PK-24P(71)</t>
  </si>
  <si>
    <t>160-0493-00</t>
  </si>
  <si>
    <t>CONNECTOR;DB9 FEMALE, C/W COVER PLASTIC</t>
  </si>
  <si>
    <t>160-0203-00</t>
  </si>
  <si>
    <t>PO2409000214</t>
  </si>
  <si>
    <t>CONNECTOR;DB9 MALE, C/W COVER PLASTIC</t>
  </si>
  <si>
    <t>160-0202-00</t>
  </si>
  <si>
    <t>RJ 45 plug screened fawn Hirose (VE=50); Anti-kink Protection , Fully Screened; LAPP, CE6324</t>
  </si>
  <si>
    <t>160-0463-00</t>
  </si>
  <si>
    <t>PO2409000215</t>
  </si>
  <si>
    <t>JJ-LAPP (M) SDN BHD</t>
  </si>
  <si>
    <t>ETHERLINE FD P CAT5e 4X2XAWG26; Water Blue Jacket , Stranded Conduct/19; 100 meter; LAPP, 2170489</t>
  </si>
  <si>
    <t>150-0573-01</t>
  </si>
  <si>
    <t>TERMINAL BOARD; 16 WAY; D-SUB 25 MALE RIGHT ANGLE, SF MICRO, D25M16S3-L</t>
  </si>
  <si>
    <t>220-0039-00</t>
  </si>
  <si>
    <t>L177SDB25S -  D Sub Connector, 25 Contacts, Receptacle, DB, SD Series, Steel Body, Solder; Element14 P/N 2401235</t>
  </si>
  <si>
    <t>160-0193-01</t>
  </si>
  <si>
    <t>CONNECTOR;DSUB COVER, 25 WAY, PLASTIC BODY, MHCCOV-25SC-LG, UL94HB Material, ELEMENT14 PN 3938037</t>
  </si>
  <si>
    <t>160-0483-00</t>
  </si>
  <si>
    <t>MOLEX 0050-37-5033 (HOUSING 3 WAY)</t>
  </si>
  <si>
    <t>160-0419-01</t>
  </si>
  <si>
    <t>MOLEX 0008-70-1039 (PINS)</t>
  </si>
  <si>
    <t>160-0420-01</t>
  </si>
  <si>
    <t>DIGITAL INPUT/OUTPUT MODULE; ETHERCAT; 16IN; NPN TYPE, FASTECH, Ezi-IO-EC-I16N-E</t>
  </si>
  <si>
    <t>170-0196-00</t>
  </si>
  <si>
    <t>PO2409000217</t>
  </si>
  <si>
    <t>AUTONICS 4 WAYS WIRE MOUNT PLUG, AWG 26 TO 24, AUTONICS, CNE-P04-YW</t>
  </si>
  <si>
    <t>160-0525-00</t>
  </si>
  <si>
    <t>PR2410000112</t>
  </si>
  <si>
    <t>PO2410000498</t>
  </si>
  <si>
    <t>2024-10-28</t>
  </si>
  <si>
    <t>12/19/2024</t>
  </si>
  <si>
    <t>PO2409000409</t>
  </si>
  <si>
    <t>AUTONICS 4 WAYS WIRE MOUNT SOCKET, AWG 26 TO 24, AUTONICS, CNE-S04-YW</t>
  </si>
  <si>
    <t>160-0526-00</t>
  </si>
  <si>
    <t>RECEIVED 1 PC, PO2410000085</t>
  </si>
  <si>
    <t>DIGITAL INPUT/OUTPUT MODULE; ETHERCAT; 16OUT; NPN TYPE, FASTECH, Ezi-IO-EC-O16N-E</t>
  </si>
  <si>
    <t>170-0197-00</t>
  </si>
  <si>
    <t>PO2409000409 &amp; PO2410000498</t>
  </si>
  <si>
    <t>DIGITAL INPUT/OUTPUT MODULE; ETHERCAT; 8IN; 8OUT; NPN TYPE, FASTECH, Ezi-IO-EC-I8O8N-E</t>
  </si>
  <si>
    <t>170-0195-00</t>
  </si>
  <si>
    <t>PO2410000085 RECEIVED 2 PC</t>
  </si>
  <si>
    <t>MCB; IC60N 1P 6A C CURVE 10KA 400VAC, SCHNEIDER ELECTRIC, A9F74106</t>
  </si>
  <si>
    <t>140-0408-00</t>
  </si>
  <si>
    <t>PO2409000216</t>
  </si>
  <si>
    <t>KVC Industrial Supplies Sdn Bhd</t>
  </si>
  <si>
    <t>CONNECTOR; RJ-45 DOUBLE SIDED SOCKET PANEL MOUNT; VS-08-BU-RJ45/BU PHOENIX CONTACT #1689064</t>
  </si>
  <si>
    <t>160-0495-00</t>
  </si>
  <si>
    <t>RELAY; DOUBLE POLE DOUBLE THROW; 24VDC COIL, C/W RELAY BASE ; SLIM TYPE, OMRON G2R-2-SN DC24(S) BY OMB &amp; SOCKET P2RFZ-08-E BY OMZ</t>
  </si>
  <si>
    <t>140-0410-00</t>
  </si>
  <si>
    <t>SPLIT CORE FERRITE, 13MM, 50MHZ, 500MHZ, 150 Ohm, ZCAT SERIES; ZCAT3035-1330; RS STOCK CODE : 170-3333</t>
  </si>
  <si>
    <t>140-0298-00</t>
  </si>
  <si>
    <t>MCB; IC60N 1P 4A C CURVE 10KA 400VAC, SCHNEIDER ELECTRIC, A9F74104</t>
  </si>
  <si>
    <t>140-0409-00</t>
  </si>
  <si>
    <t>AUTONICS 4 WAYS WIRE MOUNT PLUG, AWG 26 TO 24, AUTONICS, CNE-P04-OG</t>
  </si>
  <si>
    <t>160-0521-00</t>
  </si>
  <si>
    <t>RESISTOR; 5O OHM; 50 WATT, ARCOL, HS50 50R J;RS STOCK CODE : 160-988</t>
  </si>
  <si>
    <t>140-0279-00</t>
  </si>
  <si>
    <t>1316.6 - ON ROBOT ALIGNER (E&amp;E)</t>
  </si>
  <si>
    <t>PR2408000097</t>
  </si>
  <si>
    <t>PO2409000196</t>
  </si>
  <si>
    <t>PO2409000194</t>
  </si>
  <si>
    <t>PO2409000197</t>
  </si>
  <si>
    <t>RELAY; DOUBLE POLE DOUBLE THROW; 24VDC COIL, C/W RELAY BASE ; SLIM TYPE, OMRON G2R-2-SN DC24(S) BY OMB &amp; SOCKET P2RFZ-05-E BY OMZ</t>
  </si>
  <si>
    <t>DSUB 9 WAY CONNECTOR; FEMALE; C/W METAL COVER, N/A, N/A</t>
  </si>
  <si>
    <t>160-0204-00</t>
  </si>
  <si>
    <t>160-0290-00</t>
  </si>
  <si>
    <t>PO2409000195</t>
  </si>
  <si>
    <t>PO2409000413</t>
  </si>
  <si>
    <t>9/10/2024+B114:XA114:X186</t>
  </si>
  <si>
    <t>1316.8 - INTERLEAF TRANSFER ARM (E&amp;E)</t>
  </si>
  <si>
    <t xml:space="preserve"> 290-0524-00</t>
  </si>
  <si>
    <t>PR2408000099</t>
  </si>
  <si>
    <t>PO2409000257</t>
  </si>
  <si>
    <t>PO2409000256</t>
  </si>
  <si>
    <t>PO2409000255</t>
  </si>
  <si>
    <t>DSUB 9 CONNECTOR; FEMALE; C/W COVER, N/A, N/A</t>
  </si>
  <si>
    <t>DSUB 9 CONNECTOR; MALE; C/W COVER, N/A, N/A</t>
  </si>
  <si>
    <t>PO2409000414</t>
  </si>
  <si>
    <t>PR2409000059</t>
  </si>
  <si>
    <t>PO2409000432</t>
  </si>
  <si>
    <t>1316.10 - INSPECTION MODULE (E&amp;E)</t>
  </si>
  <si>
    <t>PR2409000060</t>
  </si>
  <si>
    <t>PO2409000277</t>
  </si>
  <si>
    <t>PR2408000101</t>
  </si>
  <si>
    <t>PO2409000260</t>
  </si>
  <si>
    <t>PO2409000276</t>
  </si>
  <si>
    <t>PR2411000041</t>
  </si>
  <si>
    <t>PO2411000286</t>
  </si>
  <si>
    <t>PO2409000258</t>
  </si>
  <si>
    <t>PO2409000429</t>
  </si>
  <si>
    <t>1316.12 - WAFER FLIPPER (E&amp;E)</t>
  </si>
  <si>
    <t>PR2408000103</t>
  </si>
  <si>
    <t>PO2409000267</t>
  </si>
  <si>
    <t>PO2409000266</t>
  </si>
  <si>
    <t>PR2409000062</t>
  </si>
  <si>
    <t>PO2409000278</t>
  </si>
  <si>
    <t>PO2409000430</t>
  </si>
  <si>
    <t>1316.14 - COINSTACKED BOX STATION (E&amp;E)</t>
  </si>
  <si>
    <t>PR2409000063</t>
  </si>
  <si>
    <t>PO2409000280</t>
  </si>
  <si>
    <t>PR2408000105</t>
  </si>
  <si>
    <t>PO2409000263</t>
  </si>
  <si>
    <t>PO2410000296</t>
  </si>
  <si>
    <t>PO2409000279</t>
  </si>
  <si>
    <t>PO2409000431</t>
  </si>
  <si>
    <t>PO2409000417</t>
  </si>
  <si>
    <t>1316.16 - BOX ADAPTOR (E&amp;E)</t>
  </si>
  <si>
    <t>1316.18 - INTERLEAF BIN (E&amp;E)</t>
  </si>
  <si>
    <t>PR2408000107</t>
  </si>
  <si>
    <t>08/29/2024</t>
  </si>
  <si>
    <t>PO2409000002</t>
  </si>
  <si>
    <t>2024-09-02</t>
  </si>
  <si>
    <t>PO2409000003</t>
  </si>
  <si>
    <t>PO2409000418</t>
  </si>
  <si>
    <t>1316.20 - SPONGE BIN (E&amp;E)</t>
  </si>
  <si>
    <t>PR2408000109</t>
  </si>
  <si>
    <t>08/26/2024</t>
  </si>
  <si>
    <t>PO2408000138</t>
  </si>
  <si>
    <t>PO2409000419</t>
  </si>
  <si>
    <t>RECEIVED 10 PCS</t>
  </si>
  <si>
    <t>1316.22 - FRAME STRUCTURE (E&amp;E)</t>
  </si>
  <si>
    <t>CONNECTOR;POWER;P/N:NAC3FC-HC,CABLE,POWER IN, 250V, 32A, ELEMENT14 STOCK NO. 1630641</t>
  </si>
  <si>
    <t>160-0455-00</t>
  </si>
  <si>
    <t>PR2408000111</t>
  </si>
  <si>
    <t>PO2410000035</t>
  </si>
  <si>
    <t>Element14 Sdn Bhd</t>
  </si>
  <si>
    <t>CONNECTOR;POWER;P/N:NAC3MP-HC,CHASIS,POWER IN, 250V, 32A, ELEMENT14 STOCK NO. 1630642</t>
  </si>
  <si>
    <t>160-0454-00</t>
  </si>
  <si>
    <t>POWER SUPPLY 24V &amp; 14.6A, MeanWell, LRS-350-24</t>
  </si>
  <si>
    <t>210-0075-00</t>
  </si>
  <si>
    <t>2 POLE MCB; SCHNEIDER; A9F74240</t>
  </si>
  <si>
    <t>290-0461-00</t>
  </si>
  <si>
    <t>ELCB, SCHNEIDER, A9R12240</t>
  </si>
  <si>
    <t>140-0314-00</t>
  </si>
  <si>
    <t>SURGE ARRESTER; PF 20; 1P+N, SCHNEIDER, A9L15692</t>
  </si>
  <si>
    <t>290-0187-01</t>
  </si>
  <si>
    <t>SINGLE PHASE FILTER 30A, SCHAFFNER, FN2030-30-08;</t>
  </si>
  <si>
    <t>140-0368-00</t>
  </si>
  <si>
    <t>10/16/2024</t>
  </si>
  <si>
    <t>PILOT LIGHT; 22mm; 24VDC WHITE LED LAMP; FLUSH STYLE, IDEC, YW1P-1EQ4W</t>
  </si>
  <si>
    <t>110-0112-00</t>
  </si>
  <si>
    <t>POWER CONNECTOR; MALE CONTACT; PANEL MOUNT; 2 WAY + EARTH; 16A, HIRSCHMANN, 930622106</t>
  </si>
  <si>
    <t>160-0412-00</t>
  </si>
  <si>
    <t>POWER CONNECTOR; FEMALE CONTACT; 2 WAY + EARTH; 16A, HIRSCHMANN, 930621106</t>
  </si>
  <si>
    <t>160-0413-00</t>
  </si>
  <si>
    <t>POWER CONNECTOR; FEMALE CONTACT; PANEL MOUNT; 2 WAY + EARTH; 16A, HIRSCHMANN, 930647106</t>
  </si>
  <si>
    <t>160-0414-00</t>
  </si>
  <si>
    <t>POWER CONNECTOR; MALE CONTACT; 2 WAY + EARTH; 16A, HIRSCHMANN, 930620106</t>
  </si>
  <si>
    <t>160-0415-00</t>
  </si>
  <si>
    <t>POWER CONNECTOR; FEMALE CONTACT; PANEL MOUNT; 3 WAY + EARTH; 16A, HIRSCHMANN, 932142106</t>
  </si>
  <si>
    <t>160-0416-01</t>
  </si>
  <si>
    <t xml:space="preserve">POWER CONNECTOR; MALE CONTACT; 3 WAY + EARTH; 16A, HIRSCHMANN, 932143106 </t>
  </si>
  <si>
    <t>160-0417-00</t>
  </si>
  <si>
    <t>CONNECTOR;DB9 FEMALE; N/A; N/A</t>
  </si>
  <si>
    <t>160-0213-00</t>
  </si>
  <si>
    <t>DSUB CONNECTOR SCREW;  #4-40 x 3/8"; 8MM C/W 1 NUT AND 2 SPRING WASHERS, RS-STOCK NO : 453-886</t>
  </si>
  <si>
    <t>160-0105-00</t>
  </si>
  <si>
    <t>CONTACTOR; 4 POLES (4 NO); CONTROL COIL 24VDC, SCHNEIDER, LC1DT32BD</t>
  </si>
  <si>
    <t>140-0413-00</t>
  </si>
  <si>
    <t>PO2410000038</t>
  </si>
  <si>
    <t>CONNECTOR; METAL CONNECTOR; PANEL MOUNT FIXED WITH FLANGE 3 PINS, MALE , AMPHENOL; 97-3100A-14S-1P</t>
  </si>
  <si>
    <t>160-0474-00</t>
  </si>
  <si>
    <t>CONNECTOR; METAL CONNECTOR; FREE MOUNT FIXED WITH RECEPTACLE 3 PINS, FEMALE , AMPHENOL; 97-3106A-14S-1S</t>
  </si>
  <si>
    <t>160-0477-00</t>
  </si>
  <si>
    <t>CONNECTOR; METAL CONNECTOR; PANEL MOUNT FIXED WITH FLANGE 4 PINS, MALE , AMPHENOL; 97-3100A-14S-2P</t>
  </si>
  <si>
    <t>160-0475-00</t>
  </si>
  <si>
    <t>CONNECTOR; METAL CONNECTOR; FREE MOUNT FIXED WITH RECEPTACLE 4 PINS, FEMALE , AMPHENOL; 97-3106A-14S-2S</t>
  </si>
  <si>
    <t>160-0478-00</t>
  </si>
  <si>
    <t>CONNECTOR; METAL CONNECTOR; PANEL MOUNT FIXED WITH FLANGE 5 PINS, MALE , AMPHENOL; 97-3100A-14S-5P</t>
  </si>
  <si>
    <t>160-0476-00</t>
  </si>
  <si>
    <t>CONNECTOR; METAL CONNECTOR; FREE MOUNT FIXED WITH RECEPTACLE 5 PINS, FEMALE , AMPHENOL; 97-3106A-14S-5S</t>
  </si>
  <si>
    <t>160-0479-00</t>
  </si>
  <si>
    <t>CIRCULAR CONNECTOR CLAMP , MS3057A TYPE W/BUSHING, 12SL,14,14S, 11.1MM, ZINC ALLOY, 97 SERIES, MS3057-6A, AMPHENOL, ELEMENT 14: 2360459</t>
  </si>
  <si>
    <t>160-0491-01</t>
  </si>
  <si>
    <t>DISCONNECTOR SWITCH; 3 POLE; 25A; 60MM X 60MM; 4 SCREWS FIXING; PADLOCKABLE, TELEMECANIQUE, VCF 0</t>
  </si>
  <si>
    <t>140-0118-00</t>
  </si>
  <si>
    <t>NETWORK CONNECTOR; RS, 468-6232</t>
  </si>
  <si>
    <t>160-0210-00</t>
  </si>
  <si>
    <t>UNIVERSAL EXTENSION, WES4 SERIES, 6 GANG SOCKETS, WONPRO; WES4-D107</t>
  </si>
  <si>
    <t>140-0340-00</t>
  </si>
  <si>
    <t>PO2410000036</t>
  </si>
  <si>
    <t>10/28/2024</t>
  </si>
  <si>
    <t>SOCKET, IEC, FREE, BULGIN, PX0587</t>
  </si>
  <si>
    <t>160-0119-00</t>
  </si>
  <si>
    <t>PLUG, IEC, FREE, BULGIN, PX0686; ELEMENT14 9997270</t>
  </si>
  <si>
    <t>160-0519-00</t>
  </si>
  <si>
    <t>UNIVERSAL EXTENSION, WES4 SERIES, 6 GANG SOCKETS, WONPRO; WES4-D108</t>
  </si>
  <si>
    <t>MCB; IC60N 1P 20A C CURVE 10KA 400VAC, SCHNEIDER ELECTRIC, A9F74120</t>
  </si>
  <si>
    <t>140-0412-00</t>
  </si>
  <si>
    <t>POWER SUPPLY; 480W; 24V, 20A OMRON, S8VK-G48024</t>
  </si>
  <si>
    <t>210-0102-00</t>
  </si>
  <si>
    <t>PO2410000034</t>
  </si>
  <si>
    <t>24VDC POWER SUPPLY; 60WATT, 2.5A, DIN RAIL MOUNT, OMRON, S8VK-G06024</t>
  </si>
  <si>
    <t>POWER SUPPLY; 240W; 24V, 10A OMRON, S8VK-G24024</t>
  </si>
  <si>
    <t>210-0101-00</t>
  </si>
  <si>
    <t>ELECTRONIC CIRCUIT BREAKER, 8-CHANNEL, 24VDC, INPUT VOLTAGE ADJUSTABLE 2..~..10A; WAGO: 787-1668</t>
  </si>
  <si>
    <t>290-0593-00</t>
  </si>
  <si>
    <t>PR2410000023</t>
  </si>
  <si>
    <t>PO2410000283</t>
  </si>
  <si>
    <t>ELECTRONIC CIRCUIT BREAKER, 4-CHANNEL, 24VDC, INPUT VOLTAGE ADJUSTABLE 2..~..10A; WAGO: 787-1664</t>
  </si>
  <si>
    <t>290-0592-00</t>
  </si>
  <si>
    <t>PO2410000037</t>
  </si>
  <si>
    <t>HPH INDUSTRIES SDN. BHD.</t>
  </si>
  <si>
    <t>POWER SUPPLY; 60W; 12V, 4,5A OMRON, S8VK-G06012</t>
  </si>
  <si>
    <t>210-0103-00</t>
  </si>
  <si>
    <t>HIK VISION - 8 CHANNELS  TURBO HD-DVR RECORDER -CCTV SURVEILLANCE SYSTEM, C/W REMOTE CONTROL &amp; MOUSE, DS7208HUHI-K2</t>
  </si>
  <si>
    <t>180-0203-00</t>
  </si>
  <si>
    <t>3.5 INCH HARD DISK; 1TB; SATA</t>
  </si>
  <si>
    <t>675-0023-00</t>
  </si>
  <si>
    <t>HIK VISION -HD 1.0 MEGAPIXEL (IR) DOME CAMERA INCLUSIVE OF 2 X BNC CONNECTOR &amp;1 POWER ADAPATOR CONNECTOR, Model: DS-2CE76D0T-EXIPF, 2.8mm</t>
  </si>
  <si>
    <t>180-0137-02</t>
  </si>
  <si>
    <t>RG59 COAXIAL CABLE FOR CCTV CAMERA; LENGTH = 1METER, N/A, N/A</t>
  </si>
  <si>
    <t>150-0379-02</t>
  </si>
  <si>
    <t>SWITCH; KEYLOCK; MAINTAIN; DPDT;BLACK; APEM LK68GB126M3; RS 125-8231</t>
  </si>
  <si>
    <t>110-0217-00</t>
  </si>
  <si>
    <t xml:space="preserve">SWITCH; E-STOP; C/W 2 NC; 22MM, IDEC, YW1B-V4E02-R </t>
  </si>
  <si>
    <t>110-0105-00</t>
  </si>
  <si>
    <t>E-STOP SAFETY COVER, IDEC, HW9Z-KG1</t>
  </si>
  <si>
    <t>110-0029-00</t>
  </si>
  <si>
    <t>SAFETY RELAY, OMRON, G9SE-201 DC24</t>
  </si>
  <si>
    <t>140-0320-00</t>
  </si>
  <si>
    <t>RELAY; 4 POLES DOUBLE THROW, PYF14A-E C/W BASE, OMRON, MY4N-GS CD24</t>
  </si>
  <si>
    <t>140-0187-01</t>
  </si>
  <si>
    <t>DIGITAL INPUT/OUTPUT MODULE; ETHERCAT; 32IN; NPN TYPE, FASTECH, Ezi-IO-EC-I32N-E</t>
  </si>
  <si>
    <t>170-0198-00</t>
  </si>
  <si>
    <t>DIGITAL INPUT/OUTPUT MODULE; ETHERCAT; 32OUT; NPN TYPE, FASTECH, Ezi-IO-EC-O32N-E</t>
  </si>
  <si>
    <t>170-0199-00</t>
  </si>
  <si>
    <t>PO2410000085</t>
  </si>
  <si>
    <t>PR2410000126</t>
  </si>
  <si>
    <t>PO2410000412</t>
  </si>
  <si>
    <t>AUTONICS 4 WAYS WIRE MOUNT PLUG, AWG 22 TO 20, AUTONICS, CNE-P04-GY</t>
  </si>
  <si>
    <t>160-0527-00</t>
  </si>
  <si>
    <t>AUTONICS 4 WAYS WIRE MOUNT PLUG, AWG 30 TO 28, AUTONICS, CNE-P04-VT</t>
  </si>
  <si>
    <t>160-0523-00</t>
  </si>
  <si>
    <t>SOCKET, EXTENSION, AC230V; 1WAY; RUBBER; WHITE; PRO ELEC 0138-W; ELEMENT14 1286443</t>
  </si>
  <si>
    <t>160-0560-00</t>
  </si>
  <si>
    <t>SOCKET, EXTENSION, AC230V; 2WAYS; RUBBER; BLACK; PRO ELEC 0139-BK; ELEMENT14 1286446</t>
  </si>
  <si>
    <t>160-0561-00</t>
  </si>
  <si>
    <t>HIK VISION - 8 CHANNELS  TURBO HD-DVR RECORDER -CCTV SURVEILLANCE SYSTEM, C/W REMOTE CONTROL &amp; MOUSE, DS7208HUHI-M2/S</t>
  </si>
  <si>
    <t>707-0004-00</t>
  </si>
  <si>
    <t>PO2410000418</t>
  </si>
  <si>
    <t>2024-10-23</t>
  </si>
  <si>
    <t>SWISSPAC RESOURCES SDN BHD</t>
  </si>
  <si>
    <t>3.5 INCH HARD DISK; 1TB; SATA; SEAGATE; ST1000VX005</t>
  </si>
  <si>
    <t>707-0006-00</t>
  </si>
  <si>
    <t>HIK VISION -HD 1.0 MEGAPIXEL (IR) DOME CAMERA INCLUSIVE OF 2 X BNC CONNECTOR &amp;1 POWER ADAPATOR CONNECTOR, Model: HD 2.0 MEGAPIXEL, 2.8mm</t>
  </si>
  <si>
    <t>707-0005-00</t>
  </si>
  <si>
    <t>COMPACT SPLICING CONNECTOR; MAX 4MM2, 3-CONDUCTORS, TRANSPARENT, 50/PKT, WAGO 221-413</t>
  </si>
  <si>
    <t>160-0547-01</t>
  </si>
  <si>
    <t>PR2410000229</t>
  </si>
  <si>
    <t>PO2411000020</t>
  </si>
  <si>
    <t>1316.24 - AUTO FOCUS MODULE (E&amp;E)</t>
  </si>
  <si>
    <t>PR2410000225</t>
  </si>
  <si>
    <t>PO2411000018</t>
  </si>
  <si>
    <t>LED, Low Power, Red, Through Hole, T-1 3/4 (5mm), 13 mA, 5 V, 625 nm; KINGBRIGHT L-53ID-5V, element14 1142556</t>
  </si>
  <si>
    <t>130-0415-00</t>
  </si>
  <si>
    <t>PO2411000016</t>
  </si>
  <si>
    <t>PO2411000017</t>
  </si>
  <si>
    <t>ANALOG INPUT MODULE; ETHERCAT AD; 8CH; ANALOG INPUT, FASTECH, Ezi-IO-EC-AD08-T</t>
  </si>
  <si>
    <t>170-0226-00</t>
  </si>
  <si>
    <t>PO2411000019</t>
  </si>
  <si>
    <t xml:space="preserve">Pending Improvement </t>
  </si>
  <si>
    <t>1316.26 - SLAVE STRUCTURE MODULE (E&amp;E)</t>
  </si>
  <si>
    <t>PR2409000159</t>
  </si>
  <si>
    <t>PO2410000032</t>
  </si>
  <si>
    <t>2024-10-08</t>
  </si>
  <si>
    <t>PO2410000033</t>
  </si>
  <si>
    <t>PO2410000031</t>
  </si>
  <si>
    <t>POWER SUPPLY; 15W; 5V, 3A OMRON, S8VK-G01505</t>
  </si>
  <si>
    <t>210-0110-00</t>
  </si>
  <si>
    <t>RELAY; 4 POLES DOUBLE THROW, PYF14A-E C/W BASE, OMRON, MY4N-GS DC24</t>
  </si>
  <si>
    <t>1316.28 - MACRO INSPECTION MODULE (E&amp;E)</t>
  </si>
  <si>
    <t>PR2410000241</t>
  </si>
  <si>
    <t>PO2411000024</t>
  </si>
  <si>
    <t>PO2411000023</t>
  </si>
  <si>
    <t>1316.30 - BOX CLASSIFICATION MODULE (E&amp;E)</t>
  </si>
  <si>
    <t>PR2409000089</t>
  </si>
  <si>
    <t>PO2409000281</t>
  </si>
  <si>
    <t>1316.32 - BOX GRIPPER ARM (E&amp;E)</t>
  </si>
  <si>
    <t>PR2409000090</t>
  </si>
  <si>
    <t>PO2409000340</t>
  </si>
  <si>
    <t>PO2409000339</t>
  </si>
  <si>
    <t>1316.34 - BOX LOADING STATION (E&amp;E)</t>
  </si>
  <si>
    <t>PR2409000091</t>
  </si>
  <si>
    <t>PO2409000283</t>
  </si>
  <si>
    <t>PR2409000125</t>
  </si>
  <si>
    <t>1316.36 - CANISTER LID OPENER (E&amp;E)</t>
  </si>
  <si>
    <t>PR2409000092</t>
  </si>
  <si>
    <t>PO2409000435</t>
  </si>
  <si>
    <t>PO2409000434</t>
  </si>
  <si>
    <t>PO2410000365</t>
  </si>
  <si>
    <t>1316.38 - BOX LOADING STRUCTURE (E&amp;E)</t>
  </si>
  <si>
    <t>PR2409000164</t>
  </si>
  <si>
    <t>PO2410000040</t>
  </si>
  <si>
    <t>PO2410000042</t>
  </si>
  <si>
    <t>PO2410000039</t>
  </si>
  <si>
    <t>PO2410000041</t>
  </si>
  <si>
    <t>1316.40 - MISC</t>
  </si>
  <si>
    <t>FABRICATION PART</t>
  </si>
  <si>
    <t>FO-RO-RT CYL BLK, N/A, 805-0683-00</t>
  </si>
  <si>
    <t>805-0683-00</t>
  </si>
  <si>
    <t>RT CYL BRACKE (R), N/A, 805-0679-00</t>
  </si>
  <si>
    <t>805-0679-00</t>
  </si>
  <si>
    <t>RT CYL BRACKET (L), N/A, 805-0678-00</t>
  </si>
  <si>
    <t>805-0678-00</t>
  </si>
  <si>
    <t>AWS300CBUP-INSP-C. CHAIN CONNECTING BRK, N/A, 805-1247-00</t>
  </si>
  <si>
    <t>805-1247-00</t>
  </si>
  <si>
    <t>PR2411000098</t>
  </si>
  <si>
    <t>GSH Metal</t>
  </si>
  <si>
    <t>AWS300CBUP-INSP-VERT CC BRK, N/A, 805-1248-00</t>
  </si>
  <si>
    <t>805-1248-00</t>
  </si>
  <si>
    <t>Stay Motions</t>
  </si>
  <si>
    <t>FO-RO-WALL PLATE, N/A, 805-0045-00</t>
  </si>
  <si>
    <t>805-0045-00</t>
  </si>
  <si>
    <t>PR2407000133</t>
  </si>
  <si>
    <t>08/05/2024</t>
  </si>
  <si>
    <t>PO2408000015</t>
  </si>
  <si>
    <t>2024-08-05</t>
  </si>
  <si>
    <t>FO-RO-STRUCTURE BASE SIDE HOLDER, N/A, 802-4275-01</t>
  </si>
  <si>
    <t>802-4275-01</t>
  </si>
  <si>
    <t>PR2408000027</t>
  </si>
  <si>
    <t>08/16/2024</t>
  </si>
  <si>
    <t>PO2408000079</t>
  </si>
  <si>
    <t>2024-08-27</t>
  </si>
  <si>
    <t xml:space="preserve">Waftech Tooling </t>
  </si>
  <si>
    <t>FO-RO-STRUCTURE BASE SIDE HOLDER (M), N/A, 802-4276-00</t>
  </si>
  <si>
    <t>802-4276-00</t>
  </si>
  <si>
    <t>FO-RO-STAND BASE PLATE, N/A, 802-4277-02</t>
  </si>
  <si>
    <t>802-4277-02</t>
  </si>
  <si>
    <t>PO2408000072</t>
  </si>
  <si>
    <t>AFP301-FO-INDICATOR COVER, N/A, 804-8055-00</t>
  </si>
  <si>
    <t>804-8055-00</t>
  </si>
  <si>
    <t>PO2408000073</t>
  </si>
  <si>
    <t>FO-STRUCTURE WIRE SHIELD, N/A, 800-6839-00</t>
  </si>
  <si>
    <t>800-6839-00</t>
  </si>
  <si>
    <t>FO-RO-STRUCTURE BASE HOLDER, N/A, 802-4218-00</t>
  </si>
  <si>
    <t>802-4218-00</t>
  </si>
  <si>
    <t>FO-TAC HOLDER, N/A, 800-8229-00</t>
  </si>
  <si>
    <t>800-8229-00</t>
  </si>
  <si>
    <t>FO-LOADPORT INDICATOR PLATE, N/A, 804-9186-00</t>
  </si>
  <si>
    <t>804-9186-00</t>
  </si>
  <si>
    <t>PO2408000075</t>
  </si>
  <si>
    <t>FO-RO-DOOR SWITCH PLATE, N/A, 802-4360-00</t>
  </si>
  <si>
    <t>802-4360-00</t>
  </si>
  <si>
    <t>PO2408000082</t>
  </si>
  <si>
    <t xml:space="preserve">YK CNC </t>
  </si>
  <si>
    <t>FO-RO-TILTED ROTATE BUTTON BRK, N/A, 802-4362-01</t>
  </si>
  <si>
    <t>802-4362-01</t>
  </si>
  <si>
    <t>FO-RO-STAND STRUCTURE ENCLOSURE HOLDER, N/A, 802-4409-00</t>
  </si>
  <si>
    <t>802-4409-00</t>
  </si>
  <si>
    <t>FO-RO-PARALLEL IO WINDOW, N/A, 802-4410-00</t>
  </si>
  <si>
    <t>802-4410-00</t>
  </si>
  <si>
    <t>FO-RO-CASTOR WHEEL MOUNT PLT #1, N/A, 803-0640-00</t>
  </si>
  <si>
    <t>803-0640-00</t>
  </si>
  <si>
    <t>FO-RO-CASTOR WHEEL MOUNT PLT #2, N/A, 803-0641-00</t>
  </si>
  <si>
    <t>803-0641-00</t>
  </si>
  <si>
    <t>FO-RO-MOTOR DRIVER BRK, N/A, 804-7402-00</t>
  </si>
  <si>
    <t>804-7402-00</t>
  </si>
  <si>
    <t>PO2408000076</t>
  </si>
  <si>
    <t>RC</t>
  </si>
  <si>
    <t>FO-RO-AUXILLARY EE-PANEL, N/A, 804-7404-01</t>
  </si>
  <si>
    <t>804-7404-01</t>
  </si>
  <si>
    <t>FO-RO-PANEL SEPARATOR, N/A, 803-2028-00</t>
  </si>
  <si>
    <t>803-2028-00</t>
  </si>
  <si>
    <t>PO2408000077</t>
  </si>
  <si>
    <t>Stay Motion</t>
  </si>
  <si>
    <t>FO-RO-8IN MC PROTRUSION SENSOR BLK, N/A, 803-6350-00</t>
  </si>
  <si>
    <t>803-6350-00</t>
  </si>
  <si>
    <t>PO2408000080</t>
  </si>
  <si>
    <t>WLS</t>
  </si>
  <si>
    <t>FO-RO-8IN MC PROTRUSION SENSOR BLK (M), N/A, 803-6351-00</t>
  </si>
  <si>
    <t>803-6351-00</t>
  </si>
  <si>
    <t>FO-RO-ORANGE BOARD #1, N/A, 804-7403-00</t>
  </si>
  <si>
    <t>804-7403-00</t>
  </si>
  <si>
    <t>FO-RO-BASE RAIL MOUNTING BLOCK, N/A, 802-4171-02</t>
  </si>
  <si>
    <t>802-4171-02</t>
  </si>
  <si>
    <t>FO-RO-REST PORT MOUNTING BLOCK, N/A, 802-4172-00</t>
  </si>
  <si>
    <t>802-4172-00</t>
  </si>
  <si>
    <t>FO-RO-BASE RAIL MOUNTING BLOCK (M), N/A, 802-4174-01</t>
  </si>
  <si>
    <t>802-4174-01</t>
  </si>
  <si>
    <t>FO-RO-STRIP SUPPORT, N/A, 802-4175-00</t>
  </si>
  <si>
    <t>802-4175-00</t>
  </si>
  <si>
    <t>FO-RO-RESTPORT DRIVE STOPPER #1, N/A, 802-4176-00</t>
  </si>
  <si>
    <t>802-4176-00</t>
  </si>
  <si>
    <t>FO-RO-RESTPORT DRIVE STOPPER #2, N/A, 802-4177-01</t>
  </si>
  <si>
    <t>802-4177-01</t>
  </si>
  <si>
    <t>FO-RO-RESTPORT DRIVE MTR BRK, N/A, 804-7412-01</t>
  </si>
  <si>
    <t>804-7412-01</t>
  </si>
  <si>
    <t>FO-RO-RESTPORT DRIVE BS BRK #1, N/A, 802-4179-00</t>
  </si>
  <si>
    <t>802-4179-00</t>
  </si>
  <si>
    <t>FO-RO-RESTPORT DRIVE BS BRK #2, N/A, 802-4180-00</t>
  </si>
  <si>
    <t>802-4180-00</t>
  </si>
  <si>
    <t>FO-RO-RESTPORT SENSOR PLT, N/A, 802-4181-00</t>
  </si>
  <si>
    <t>802-4181-00</t>
  </si>
  <si>
    <t>FO-RO-SENSOR ADAPTER, N/A, 802-4182-00</t>
  </si>
  <si>
    <t>802-4182-00</t>
  </si>
  <si>
    <t>FO-RO-BASE SLOT COVER, N/A, 802-4183-06</t>
  </si>
  <si>
    <t>802-4183-06</t>
  </si>
  <si>
    <t>FO-RO-COVER PULL PLATE, N/A, 802-4184-00</t>
  </si>
  <si>
    <t>802-4184-00</t>
  </si>
  <si>
    <t>FO-PRESSED FINGER, N/A, 802-1004-01</t>
  </si>
  <si>
    <t>802-1004-01</t>
  </si>
  <si>
    <t>FO-RESTPORT PRESENT SENSOR MOUNTING PLATE, N/A, 800-6885-02</t>
  </si>
  <si>
    <t>800-6885-02</t>
  </si>
  <si>
    <t>FO-RO-CLAMP CYLINDER BASE, N/A, 802-4240-01</t>
  </si>
  <si>
    <t>802-4240-01</t>
  </si>
  <si>
    <t>FO-RO-GUIDE PIN PLATE, N/A, 802-4259-03</t>
  </si>
  <si>
    <t>802-4259-03</t>
  </si>
  <si>
    <t>FO-RO-GUIDE PIN, N/A, 802-4260-01</t>
  </si>
  <si>
    <t>802-4260-01</t>
  </si>
  <si>
    <t>FO-RO-WING EXTEND PLATE, N/A, 802-4261-00</t>
  </si>
  <si>
    <t>802-4261-00</t>
  </si>
  <si>
    <t>FO-RO-GUIDE PIN PLATE (M), N/A, 802-4285-01</t>
  </si>
  <si>
    <t>802-4285-01</t>
  </si>
  <si>
    <t>FO-RO-SENSOR LIMIT PROFILE (LONGER), N/A, 802-4312-00</t>
  </si>
  <si>
    <t>802-4312-00</t>
  </si>
  <si>
    <t>FO-RO-CABLE PIPE, N/A, 802-4420-00</t>
  </si>
  <si>
    <t>802-4420-00</t>
  </si>
  <si>
    <t>FO-RO-TILTED HANG PLATE, N/A, 803-0494-00</t>
  </si>
  <si>
    <t>803-0494-00</t>
  </si>
  <si>
    <t>FO-RO-TILTED HANG PLATE(M), N/A, 803-0501-00</t>
  </si>
  <si>
    <t>803-0501-00</t>
  </si>
  <si>
    <t>FO-RO-SENSOR LIMIT PROFILE, N/A, 802-4257-00</t>
  </si>
  <si>
    <t>802-4257-00</t>
  </si>
  <si>
    <t>FO-SENSOR LIMIT PROFILE 01, N/A, 801-0971-01</t>
  </si>
  <si>
    <t>801-0971-01</t>
  </si>
  <si>
    <t>FO-RO-SENSOR BLOCK, N/A, 802-4256-01</t>
  </si>
  <si>
    <t>802-4256-01</t>
  </si>
  <si>
    <t>FO-SENSOR BLOCK REV-01, N/A, 801-0969-02</t>
  </si>
  <si>
    <t>801-0969-02</t>
  </si>
  <si>
    <t>FO-SENSOR STOPPER PLATE, N/A, 801-0970-00</t>
  </si>
  <si>
    <t>801-0970-00</t>
  </si>
  <si>
    <t>FO-RO-8_12 INCH RESTPORT BASE, N/A, 803-5811-03</t>
  </si>
  <si>
    <t>803-5811-03</t>
  </si>
  <si>
    <t>FO-RO-RESTPORT BOTTOM COVER(M), N/A, 803-0500-00</t>
  </si>
  <si>
    <t>803-0500-00</t>
  </si>
  <si>
    <t>FO-RO-RESTPORT BOTTOM COVER, N/A, 803-0499-00</t>
  </si>
  <si>
    <t>803-0499-00</t>
  </si>
  <si>
    <t>FO-CENTER SENSOR DOG (LONGER), N/A, 804-1820-00</t>
  </si>
  <si>
    <t>804-1820-00</t>
  </si>
  <si>
    <t>FO-RO-PG PROBE PIN BASE, N/A, 802-4267-00</t>
  </si>
  <si>
    <t>802-4267-00</t>
  </si>
  <si>
    <t>FO-RO-PG PROBE PIN COVER, N/A, 802-4268-00</t>
  </si>
  <si>
    <t>802-4268-00</t>
  </si>
  <si>
    <t>FO-RO-PG PROBE PIN COVER 2, N/A, 802-4269-00</t>
  </si>
  <si>
    <t>802-4269-00</t>
  </si>
  <si>
    <t>FO-RO-POGO PIN DRIVE BRK, N/A, 802-5621-00</t>
  </si>
  <si>
    <t>802-5621-00</t>
  </si>
  <si>
    <t>FO-RO-SHAFT BEARING HOLDER, N/A, 802-4160-01</t>
  </si>
  <si>
    <t>802-4160-01</t>
  </si>
  <si>
    <t>FO-RO-MOTOR LINK PLATE, N/A, 802-4162-02</t>
  </si>
  <si>
    <t>802-4162-02</t>
  </si>
  <si>
    <t>FO-RO-BEARING HOUSING PLATE, N/A, 802-4169-00</t>
  </si>
  <si>
    <t>802-4169-00</t>
  </si>
  <si>
    <t>FO-ROTARY SHAFT, N/A, 802-4170-00</t>
  </si>
  <si>
    <t>802-4170-00</t>
  </si>
  <si>
    <t>FO-RO-STOPPER COLLAR, N/A, 802-4186-01</t>
  </si>
  <si>
    <t>802-4186-01</t>
  </si>
  <si>
    <t>FO-LOADPORT CARRIER GUIDE PIN, N/A, 803-8455-01</t>
  </si>
  <si>
    <t>803-8455-01</t>
  </si>
  <si>
    <t>FO-RO-BASE PLATE (L), N/A, 805-0046-00</t>
  </si>
  <si>
    <t>805-0046-00</t>
  </si>
  <si>
    <t>FO-RO-RESTPORT COVER (CONFIG #3), N/A, 804-0733-00</t>
  </si>
  <si>
    <t>804-0733-00</t>
  </si>
  <si>
    <t>FO-RO-BEARING HOUSING BLOCK, N/A, 802-4163-03</t>
  </si>
  <si>
    <t>802-4163-03</t>
  </si>
  <si>
    <t>FO-POSITIONING PLATE, N/A, 802-1051-00</t>
  </si>
  <si>
    <t>802-1051-00</t>
  </si>
  <si>
    <t>FO-CENTER SENSOR DOG, N/A, 801-3290-03</t>
  </si>
  <si>
    <t>801-3290-03</t>
  </si>
  <si>
    <t>FO-RO-8 INCH CASSETTE FRONT GUIDE, N/A, 803-0489-00</t>
  </si>
  <si>
    <t>803-0489-00</t>
  </si>
  <si>
    <t>FO-RO-8 INCH CASSETTE FRONT GUIDE(M), N/A, 803-0490-00</t>
  </si>
  <si>
    <t>803-0490-00</t>
  </si>
  <si>
    <t>FO-RO-CYLINDER BLOCK, N/A, 803-0497-00</t>
  </si>
  <si>
    <t>803-0497-00</t>
  </si>
  <si>
    <t>FO-RO-LINEAR BUSHING BLOCK, N/A, 803-0495-00</t>
  </si>
  <si>
    <t>803-0495-00</t>
  </si>
  <si>
    <t>FO-RO-SHAFT HOLDER BLOCK, N/A, 803-0496-00</t>
  </si>
  <si>
    <t>803-0496-00</t>
  </si>
  <si>
    <t>FO-RO-8 INCH SHAFT END PLATE, N/A, 803-0631-00</t>
  </si>
  <si>
    <t>803-0631-00</t>
  </si>
  <si>
    <t>FO-LINEAR SHAFT, N/A, 801-0964-01</t>
  </si>
  <si>
    <t>801-0964-01</t>
  </si>
  <si>
    <t>FO-POSITIONING PIN, N/A, 802-1050-00</t>
  </si>
  <si>
    <t>802-1050-00</t>
  </si>
  <si>
    <t>FO-SHAFT, N/A, 800-9421-00</t>
  </si>
  <si>
    <t>800-9421-00</t>
  </si>
  <si>
    <t>FO-LINKAGE BAR, N/A, 800-9420-00</t>
  </si>
  <si>
    <t>800-9420-00</t>
  </si>
  <si>
    <t>FO-CONNECTION BODY REV-01, N/A, 801-0957-01</t>
  </si>
  <si>
    <t>801-0957-01</t>
  </si>
  <si>
    <t>FO-RO-8IN CST REAR GUIDE (TOP MOUNT), N/A, 803-5812-00</t>
  </si>
  <si>
    <t>803-5812-00</t>
  </si>
  <si>
    <t>FO-RO-8IN CST REAR GUIDE (TOP MOUNT) (M), N/A, 803-5813-00</t>
  </si>
  <si>
    <t>803-5813-00</t>
  </si>
  <si>
    <t>FO-CONTACT SENSOR SHAFT, N/A, 803-9518-00</t>
  </si>
  <si>
    <t>803-9518-00</t>
  </si>
  <si>
    <t>FO-RO-BUTTON PLUG, N/A, 802-5641-01</t>
  </si>
  <si>
    <t>802-5641-01</t>
  </si>
  <si>
    <t>FO-RO-ROTARY LOCK PLATE, N/A, 802-5606-00</t>
  </si>
  <si>
    <t>802-5606-00</t>
  </si>
  <si>
    <t>FO-RO-DOOR OPENER LATCH KEY (RADIUS), N/A, 804-4607-00</t>
  </si>
  <si>
    <t>804-4607-00</t>
  </si>
  <si>
    <t>PO2408000074</t>
  </si>
  <si>
    <t>GSH Tech</t>
  </si>
  <si>
    <t>FO-MODIFY-MORIMOTO MV1210-600L, N/A, 800-8117-00</t>
  </si>
  <si>
    <t>800-8117-00</t>
  </si>
  <si>
    <t>FO-DAMPER, N/A, 800-6862-01</t>
  </si>
  <si>
    <t>800-6862-01</t>
  </si>
  <si>
    <t>FO-RO-UPPER DAMPER, N/A, 802-4224-00</t>
  </si>
  <si>
    <t>802-4224-00</t>
  </si>
  <si>
    <t>FO-RO-BALL SCREW NUT HOLDER, N/A, 802-4225-00</t>
  </si>
  <si>
    <t>802-4225-00</t>
  </si>
  <si>
    <t>FO-RO-LEAD SCREW END BLOCK, N/A, 802-4226-00</t>
  </si>
  <si>
    <t>802-4226-00</t>
  </si>
  <si>
    <t>FO-RO-END BEARING SUPPORT, N/A, 802-4227-01</t>
  </si>
  <si>
    <t>802-4227-01</t>
  </si>
  <si>
    <t>FO-RO-STRUCTURE DL LM SPACER, N/A, 802-4223-00</t>
  </si>
  <si>
    <t>802-4223-00</t>
  </si>
  <si>
    <t>FO-RO-STRUCTURE DL BASE, N/A, 802-4212-00</t>
  </si>
  <si>
    <t>802-4212-00</t>
  </si>
  <si>
    <t>FO-RO-RIB, N/A, 802-4213-00</t>
  </si>
  <si>
    <t>802-4213-00</t>
  </si>
  <si>
    <t>FO-RO-SLIDE LM BLOCK MOUNTER, N/A, 802-4214-00</t>
  </si>
  <si>
    <t>802-4214-00</t>
  </si>
  <si>
    <t>FO-RO-SLIDE LM BLOCK MOUNTER (M), N/A, 802-4215-00</t>
  </si>
  <si>
    <t>802-4215-00</t>
  </si>
  <si>
    <t>FO-RO-CC BRK, N/A, 802-4216-00</t>
  </si>
  <si>
    <t>802-4216-00</t>
  </si>
  <si>
    <t>FO-RO-FLOATING JOINT PLATE, N/A, 802-4217-00</t>
  </si>
  <si>
    <t>802-4217-00</t>
  </si>
  <si>
    <t>FO-RO-DL SLIDE RAIL BLOCK, N/A, 802-4199-00</t>
  </si>
  <si>
    <t>802-4199-00</t>
  </si>
  <si>
    <t>FO-RO-DL SLIDE RAIL BLOCK (M), N/A, 802-4200-00</t>
  </si>
  <si>
    <t>802-4200-00</t>
  </si>
  <si>
    <t>FO-RO-DO SENSOR FLAG, N/A, 802-4229-00</t>
  </si>
  <si>
    <t>802-4229-00</t>
  </si>
  <si>
    <t>FO-RO-CABLE HOLD PLT, N/A, 802-4468-00</t>
  </si>
  <si>
    <t>802-4468-00</t>
  </si>
  <si>
    <t>FO-PLACEMENT SENSOR HOLDER, N/A, 800-6871-00</t>
  </si>
  <si>
    <t>800-6871-00</t>
  </si>
  <si>
    <t>FO-DOOR OPENER LATCH CYLINDER EYE BRACKET, N/A, 800-6898-00</t>
  </si>
  <si>
    <t>800-6898-00</t>
  </si>
  <si>
    <t>FO-DOOR OPENER LATCH CYLINDER JOINT SHAFT, N/A, 800-6899-00</t>
  </si>
  <si>
    <t>800-6899-00</t>
  </si>
  <si>
    <t>FO-SENSOR BRACKET, N/A, 800-6900-00</t>
  </si>
  <si>
    <t>800-6900-00</t>
  </si>
  <si>
    <t>FO-DOOR OPENER LATCH BASE, N/A, 800-6903-02</t>
  </si>
  <si>
    <t>800-6903-02</t>
  </si>
  <si>
    <t>FO-DOOR INTERFACE LATCH BEARING SPACER, N/A, 800-6904-00</t>
  </si>
  <si>
    <t>800-6904-00</t>
  </si>
  <si>
    <t>FO-RO-DOOR OPENER LATCH CLAMP LINK, N/A, 804-4606-00</t>
  </si>
  <si>
    <t>804-4606-00</t>
  </si>
  <si>
    <t>FO-DOOR OPENER LATCH CYLINDER ROD CLEVIS, N/A, 800-6906-00</t>
  </si>
  <si>
    <t>800-6906-00</t>
  </si>
  <si>
    <t>FO-DOOR OPENER LATCH LINKAGE BEARING SHAFT, N/A, 800-6908-00</t>
  </si>
  <si>
    <t>800-6908-00</t>
  </si>
  <si>
    <t>FO-DOOR OPENER LATCH LINKAGE BAR, N/A, 800-6909-00</t>
  </si>
  <si>
    <t>800-6909-00</t>
  </si>
  <si>
    <t>FO-DOOR OPENER LATCH LINKAGE BEARING SPACER, N/A, 800-6910-00</t>
  </si>
  <si>
    <t>800-6910-00</t>
  </si>
  <si>
    <t>FO-DOOR OPENER LATCH SENSOR FLAT, N/A, 800-6911-00</t>
  </si>
  <si>
    <t>800-6911-00</t>
  </si>
  <si>
    <t>FO-DOOR INTERFACE 3-2 WAY VALVE MOUNTING BRACKET, N/A, 800-6912-00</t>
  </si>
  <si>
    <t>800-6912-00</t>
  </si>
  <si>
    <t>FO-DOOR INTERFACE VACUUM CATRIDGE POD, N/A, 800-6913-01</t>
  </si>
  <si>
    <t>800-6913-01</t>
  </si>
  <si>
    <t>FO-DOOR OPENER VACUUM FITTING, N/A, 800-6915-01</t>
  </si>
  <si>
    <t>800-6915-01</t>
  </si>
  <si>
    <t>FO-RO-DOOR INTERFACE HOLD PLATE, N/A, 802-4457-02</t>
  </si>
  <si>
    <t>802-4457-02</t>
  </si>
  <si>
    <t>FO-RO-DOOR OPENER PNEUMATIC PANEL, N/A, 802-4458-00</t>
  </si>
  <si>
    <t>802-4458-00</t>
  </si>
  <si>
    <t>FO-RO-DOOR INTERFACE PLATE, N/A, 802-4459-02</t>
  </si>
  <si>
    <t>802-4459-02</t>
  </si>
  <si>
    <t>FO-RO-DOOR OPENER BTM COVER, N/A, 802-4469-00</t>
  </si>
  <si>
    <t>802-4469-00</t>
  </si>
  <si>
    <t>FO-RO-TERMINAL BLOCK SPACER, N/A, 802-4685-00</t>
  </si>
  <si>
    <t>802-4685-00</t>
  </si>
  <si>
    <t>FO-RO-MOTOR MOUNT PLT, N/A, 802-4232-00</t>
  </si>
  <si>
    <t>802-4232-00</t>
  </si>
  <si>
    <t>FO-RO-TENSIONER PLT, N/A, 802-4235-00</t>
  </si>
  <si>
    <t>802-4235-00</t>
  </si>
  <si>
    <t>FO-RO-MTR SIDE MOUNT, N/A, 802-4236-00</t>
  </si>
  <si>
    <t>802-4236-00</t>
  </si>
  <si>
    <t>FO-RO-MODIFIED FROM MISUMI_BMXL20, N/A, 802-4437-00</t>
  </si>
  <si>
    <t>802-4437-00</t>
  </si>
  <si>
    <t>FO-RO-MODIFIED FROM MISUMI_BMXL20, N/A, 802-4438-00</t>
  </si>
  <si>
    <t>802-4438-00</t>
  </si>
  <si>
    <t>FO-RO-SENSOR SWING ARM, N/A, 802-4439-03</t>
  </si>
  <si>
    <t>802-4439-03</t>
  </si>
  <si>
    <t>PO2408000078</t>
  </si>
  <si>
    <t>Tat Hin</t>
  </si>
  <si>
    <t>FO-RO-SENSOR SWING ARM (M), N/A, 802-4440-02</t>
  </si>
  <si>
    <t>802-4440-02</t>
  </si>
  <si>
    <t>FO-RO-MP MAIN MOUNT BLK, N/A, 802-4442-00</t>
  </si>
  <si>
    <t>802-4442-00</t>
  </si>
  <si>
    <t>FO-RO-MP FIBER SENSOR SHIELD, N/A, 802-4443-00</t>
  </si>
  <si>
    <t>802-4443-00</t>
  </si>
  <si>
    <t>FO-RO-SENSOR BEARING HOUSING, N/A, 802-4444-00</t>
  </si>
  <si>
    <t>802-4444-00</t>
  </si>
  <si>
    <t>FO-RO-MP MOVE PLT (LHS), N/A, 802-4446-00</t>
  </si>
  <si>
    <t>802-4446-00</t>
  </si>
  <si>
    <t>FO-RO-STOPPER SENSOR BRK, N/A, 802-4447-01</t>
  </si>
  <si>
    <t>802-4447-01</t>
  </si>
  <si>
    <t>FO-RO-MP MOVE PLT (RHS), N/A, 802-4448-00</t>
  </si>
  <si>
    <t>802-4448-00</t>
  </si>
  <si>
    <t>FO-RO-STOPPER SENSOR BRK (M), N/A, 802-4449-01</t>
  </si>
  <si>
    <t>802-4449-01</t>
  </si>
  <si>
    <t>FO-RO-MP LM BRK, N/A, 802-4450-00</t>
  </si>
  <si>
    <t>802-4450-00</t>
  </si>
  <si>
    <t>FO-RO-MP LM BRK (RHS), N/A, 802-4451-00</t>
  </si>
  <si>
    <t>802-4451-00</t>
  </si>
  <si>
    <t>FO-RO-MP CONVERSION SENSOR FLAG, N/A, 802-4452-00</t>
  </si>
  <si>
    <t>802-4452-00</t>
  </si>
  <si>
    <t>FO-RO-MP GEAR EXT BRK, N/A, 802-4453-00</t>
  </si>
  <si>
    <t>802-4453-00</t>
  </si>
  <si>
    <t>FO-RO-PINION HOLD PLT, N/A, 802-4454-00</t>
  </si>
  <si>
    <t>802-4454-00</t>
  </si>
  <si>
    <t>FO-RO-MP CYL BRK, N/A, 802-4455-00</t>
  </si>
  <si>
    <t>802-4455-00</t>
  </si>
  <si>
    <t>FO-RO-RT CYL ADAPTER, N/A, 802-4495-01</t>
  </si>
  <si>
    <t>802-4495-01</t>
  </si>
  <si>
    <t>FO-RO-DOOR OPENER COVER (W), N/A, 802-5377-00</t>
  </si>
  <si>
    <t>802-5377-00</t>
  </si>
  <si>
    <t>FO-RO-AMPLIFIER BRK, N/A, 802-5607-00</t>
  </si>
  <si>
    <t>802-5607-00</t>
  </si>
  <si>
    <t>FO-RO-MODIFIED FROM MISUMI_RGEAL1.0Z-56-A6-B22-C22, N/A, 803-4641-00</t>
  </si>
  <si>
    <t>803-4641-00</t>
  </si>
  <si>
    <t>PR2408000122</t>
  </si>
  <si>
    <t xml:space="preserve">HP Plating </t>
  </si>
  <si>
    <t>FO-RO-DOOR OPENER VACUUM HOLDER, N/A, 802-4441-00</t>
  </si>
  <si>
    <t>802-4441-00</t>
  </si>
  <si>
    <t>FO-RO-PROX SENSOR SPRING BASE (L), N/A, 804-1122-00</t>
  </si>
  <si>
    <t>804-1122-00</t>
  </si>
  <si>
    <t>FO-RO-PROX SENSOR ADAPTER (L), N/A, 804-1123-00</t>
  </si>
  <si>
    <t>804-1123-00</t>
  </si>
  <si>
    <t>FO-RO-RFID COVER PLATE, N/A, 804-0771-01</t>
  </si>
  <si>
    <t>804-0771-01</t>
  </si>
  <si>
    <t>FO-RO-RFID BTM BLOCK, N/A, 804-0772-00</t>
  </si>
  <si>
    <t>804-0772-00</t>
  </si>
  <si>
    <t>MODIFIED FROM MISUMI_GEAHBG1.0-15-12-A-6, N/A, 804-1977-00</t>
  </si>
  <si>
    <t>804-1977-00</t>
  </si>
  <si>
    <t>FO-PLACEMENT SENSOR SHAFT (947), N/A, 804-5672-00</t>
  </si>
  <si>
    <t>804-5672-00</t>
  </si>
  <si>
    <t>FO-RO-TUBING BRK (LHS), N/A, 804-9933-00</t>
  </si>
  <si>
    <t>804-9933-00</t>
  </si>
  <si>
    <t>FO-RO-TUBING BRK (RHS), N/A, 804-9934-00</t>
  </si>
  <si>
    <t>804-9934-00</t>
  </si>
  <si>
    <t>FO-ESD BRACKET, N/A, 804-3542-00</t>
  </si>
  <si>
    <t>804-3542-00</t>
  </si>
  <si>
    <t>FO-RO-FRONT COVER, N/A, 803-0800-01</t>
  </si>
  <si>
    <t>803-0800-01</t>
  </si>
  <si>
    <t>PO2409000287</t>
  </si>
  <si>
    <t>FO-RO-SIDE COVER, N/A, 802-4365-00</t>
  </si>
  <si>
    <t>802-4365-00</t>
  </si>
  <si>
    <t>PO2409000284</t>
  </si>
  <si>
    <t>FO-RO-SIDE COVER (M), N/A, 802-4366-00</t>
  </si>
  <si>
    <t>802-4366-00</t>
  </si>
  <si>
    <t>FO-DOOR BOTTOM COVER, N/A, 803-9474-00</t>
  </si>
  <si>
    <t>803-9474-00</t>
  </si>
  <si>
    <t>FO-LOADPORT 1 LABEL PLT, N/A, 803-9514-00</t>
  </si>
  <si>
    <t>803-9514-00</t>
  </si>
  <si>
    <t>FO-LOADPORT 2 LABEL PLT, N/A, 803-9515-00</t>
  </si>
  <si>
    <t>803-9515-00</t>
  </si>
  <si>
    <t>FO-LOADPORT 3 LABEL PLT, N/A, 803-9516-00</t>
  </si>
  <si>
    <t>803-9516-00</t>
  </si>
  <si>
    <t>AWS300CBUP-FO-RP-SHIPPING JIG, N/A, 803-5716-01</t>
  </si>
  <si>
    <t>803-5716-01</t>
  </si>
  <si>
    <t>AWS300CBUP-FO-FOUP BASE COVER PLATE, N/A, 803-6249-00</t>
  </si>
  <si>
    <t>803-6249-00</t>
  </si>
  <si>
    <t>PO2409000289</t>
  </si>
  <si>
    <t>FO-RO-SENSOR ALIGNMENT JIG, N/A, 802-4460-01</t>
  </si>
  <si>
    <t>802-4460-01</t>
  </si>
  <si>
    <t>FO-RO-TEACHING JIG, N/A, 802-6336-00</t>
  </si>
  <si>
    <t>802-6336-00</t>
  </si>
  <si>
    <t>PO2409000282</t>
  </si>
  <si>
    <t>FO-RO-8IN PIN GUIDE, N/A, 802-4377-00</t>
  </si>
  <si>
    <t>802-4377-00</t>
  </si>
  <si>
    <t>FO-LOADPORT SHIPPING PROFILE STRUCTURE (3LP), N/A, 750-8322-01</t>
  </si>
  <si>
    <t>750-8322-01</t>
  </si>
  <si>
    <t>PR2408000131</t>
  </si>
  <si>
    <t>PO2409000270</t>
  </si>
  <si>
    <t>Worldwide</t>
  </si>
  <si>
    <t>FO-LOADPORT-PROFILE 2, N/A, 803-1381-00</t>
  </si>
  <si>
    <t>803-1381-00</t>
  </si>
  <si>
    <t>FO-LOADPORT-PROFILE 3, N/A, 803-1382-01</t>
  </si>
  <si>
    <t>803-1382-01</t>
  </si>
  <si>
    <t>FO-LOADPORT-PROFILE 4, N/A, 803-1383-00</t>
  </si>
  <si>
    <t>803-1383-00</t>
  </si>
  <si>
    <t>FO-LOADPORT-PROFILE 5, N/A, 803-1384-01</t>
  </si>
  <si>
    <t>803-1384-01</t>
  </si>
  <si>
    <t>FO-LOADPORT-PROFILE 6, N/A, 804-2233-01</t>
  </si>
  <si>
    <t>804-2233-01</t>
  </si>
  <si>
    <t>FO-LOADPORT-PROFILE 7, N/A, 804-2235-01</t>
  </si>
  <si>
    <t>804-2235-01</t>
  </si>
  <si>
    <t>FO-AGV-LEVELING PAD PLT, N/A, 803-1390-01</t>
  </si>
  <si>
    <t>803-1390-01</t>
  </si>
  <si>
    <t>FO-CURTAIN SENSOR SHIPPING JIG, N/A, 804-2234-00</t>
  </si>
  <si>
    <t>804-2234-00</t>
  </si>
  <si>
    <t>RT CYL BRACKET, N/A, 805-0678-00</t>
  </si>
  <si>
    <t>PR2410000214</t>
  </si>
  <si>
    <t>FS-LVL PAD16 BOLT DOWN BRK, N/A, 805-0062-01</t>
  </si>
  <si>
    <t>805-0062-01</t>
  </si>
  <si>
    <t>PR2411000081</t>
  </si>
  <si>
    <t>FO-RO-SHIPPING JIG #1, N/A, 802-4411-00</t>
  </si>
  <si>
    <t>802-4411-00</t>
  </si>
  <si>
    <t>FO-MODIFIED FROM SMC_KQ2L04-00A, N/A, 805-0742-00</t>
  </si>
  <si>
    <t>805-0742-00</t>
  </si>
  <si>
    <t>PR2411000091</t>
  </si>
  <si>
    <t>DAR-MODIFIED PULLEY FOR MLSL15 (MISUMI_BLPA25S8M250-A-H12), N/A, 801-2185-00</t>
  </si>
  <si>
    <t>801-2185-00</t>
  </si>
  <si>
    <t>PR2408000057</t>
  </si>
  <si>
    <t>PO2409000122</t>
  </si>
  <si>
    <t>Micron</t>
  </si>
  <si>
    <t>modify</t>
  </si>
  <si>
    <t>DAR-MODIFIED PULLEY FOR MLSL19 (MISUMI_BLPA25S8M250-A-H12), N/A, 801-2186-01</t>
  </si>
  <si>
    <t>801-2186-01</t>
  </si>
  <si>
    <t>DAR-BRACKET FOR BALL SCREW NUT, N/A, 800-7858-00</t>
  </si>
  <si>
    <t>800-7858-00</t>
  </si>
  <si>
    <t>PO2409000119</t>
  </si>
  <si>
    <t xml:space="preserve">Grand Tech </t>
  </si>
  <si>
    <t>DAR-MAIN VERTICAL BLOCK, N/A, 801-2187-04</t>
  </si>
  <si>
    <t>801-2187-04</t>
  </si>
  <si>
    <t>PO2409000129</t>
  </si>
  <si>
    <t>YK CNC</t>
  </si>
  <si>
    <t>DAR-Z-AXIS BEARING SUPPORT HOLDER, N/A, 800-7857-00</t>
  </si>
  <si>
    <t>800-7857-00</t>
  </si>
  <si>
    <t>AWS300CBUP-RB-Z AXIS BTM DAMPER (IN), N/A, 804-9877-00</t>
  </si>
  <si>
    <t>804-9877-00</t>
  </si>
  <si>
    <t>PO2409000127</t>
  </si>
  <si>
    <t>DAR-Z-AXIS MOTOR BRACKET, N/A, 800-7860-00</t>
  </si>
  <si>
    <t>800-7860-00</t>
  </si>
  <si>
    <t>DAR-Z-AXIS TENSION BRACKET, N/A, 800-7862-00</t>
  </si>
  <si>
    <t>800-7862-00</t>
  </si>
  <si>
    <t>DAR-Z-AXIS MOTOR ADJUSTABLE BRACKET, N/A, 801-2200-00</t>
  </si>
  <si>
    <t>801-2200-00</t>
  </si>
  <si>
    <t>DAR-Z-AXIS END BEARING BRACKET, N/A, 800-7859-00</t>
  </si>
  <si>
    <t>800-7859-00</t>
  </si>
  <si>
    <t>DAR-Z-AXIS TOP DAMPER, N/A, 801-2201-00</t>
  </si>
  <si>
    <t>801-2201-00</t>
  </si>
  <si>
    <t>DAR-Z-AXIS LIMIT SENSOR BRACKET (FIXED), N/A, 801-9962-00</t>
  </si>
  <si>
    <t>801-9962-00</t>
  </si>
  <si>
    <t>DAR-MODULE SUPPORT BLOCK 02, N/A, 801-2026-01</t>
  </si>
  <si>
    <t>801-2026-01</t>
  </si>
  <si>
    <t>DAR-SUPPORT BLOCK SIDE ENCLOSURE, N/A, 800-7911-00</t>
  </si>
  <si>
    <t>800-7911-00</t>
  </si>
  <si>
    <t>PO2409000120</t>
  </si>
  <si>
    <t>DAR-Z-AXIS SENSOR FLAG BRACKET, N/A, 800-7867-00</t>
  </si>
  <si>
    <t>800-7867-00</t>
  </si>
  <si>
    <t>AWS300CBUP-RB-Z AXIS SENSOR FLAG (IN), N/A, 804-9878-00</t>
  </si>
  <si>
    <t>804-9878-00</t>
  </si>
  <si>
    <t>PO2409000125</t>
  </si>
  <si>
    <t xml:space="preserve">Stay Motion </t>
  </si>
  <si>
    <t>DAR-MODULE SUPPORT BLOCK REAR COVER, N/A, 800-7912-00</t>
  </si>
  <si>
    <t>800-7912-00</t>
  </si>
  <si>
    <t>DAR-THETA AXIS DAMPER, N/A, 800-7898-00</t>
  </si>
  <si>
    <t>800-7898-00</t>
  </si>
  <si>
    <t>PR2409000171</t>
  </si>
  <si>
    <t>PO2410000422</t>
  </si>
  <si>
    <t>RB-DLCC BERNOULLI FORK (S), N/A, 802-5541-01</t>
  </si>
  <si>
    <t>802-5541-01</t>
  </si>
  <si>
    <t>PR2409000131</t>
  </si>
  <si>
    <t>PO2410000051</t>
  </si>
  <si>
    <t>Waftech Tooling</t>
  </si>
  <si>
    <t>RB-BACK PLATE FORK(S) 1, N/A, 802-4699-00</t>
  </si>
  <si>
    <t>802-4699-00</t>
  </si>
  <si>
    <t>PO2409000320</t>
  </si>
  <si>
    <t>Vik say 1319's one set is for 1316</t>
  </si>
  <si>
    <t>RB-BACK PLATE FORK(S) 2, N/A, 802-4700-00</t>
  </si>
  <si>
    <t>802-4700-00</t>
  </si>
  <si>
    <t>ALRB-MIDDLE RIB 1, N/A, 802-1732-02</t>
  </si>
  <si>
    <t>802-1732-02</t>
  </si>
  <si>
    <t>ALRB-MIDDLE RIB 2, N/A, 802-1733-02</t>
  </si>
  <si>
    <t>802-1733-02</t>
  </si>
  <si>
    <t>ALRB-ROBOT ALIGNER ARM, N/A, 803-0005-00</t>
  </si>
  <si>
    <t>803-0005-00</t>
  </si>
  <si>
    <t>ALRB-ARM REINFORCED PLATE, N/A, 802-1753-00</t>
  </si>
  <si>
    <t>802-1753-00</t>
  </si>
  <si>
    <t>DAR-END EFFECTOR PLATE_R1, N/A, 802-9063-03</t>
  </si>
  <si>
    <t>802-9063-03</t>
  </si>
  <si>
    <t>ALRB-BELT CLAMP PLATE, N/A, 802-1757-03</t>
  </si>
  <si>
    <t>802-1757-03</t>
  </si>
  <si>
    <t>ALRB-EXTENDER SENSOR FLAG, N/A, 802-1758-00</t>
  </si>
  <si>
    <t>802-1758-00</t>
  </si>
  <si>
    <t>ALRB-MAP SENSOR COVER, N/A, 802-1765-00</t>
  </si>
  <si>
    <t>802-1765-00</t>
  </si>
  <si>
    <t>PO2409000124</t>
  </si>
  <si>
    <t>ALRB-RB SIDE COVER 1, N/A, 802-1766-00</t>
  </si>
  <si>
    <t>802-1766-00</t>
  </si>
  <si>
    <t>ALRB-RB SIDE COVER 2, N/A, 802-1767-01</t>
  </si>
  <si>
    <t>802-1767-01</t>
  </si>
  <si>
    <t>ALRB-RB FRONT COVER 1, N/A, 802-1768-00</t>
  </si>
  <si>
    <t>802-1768-00</t>
  </si>
  <si>
    <t>ALRB-RB FRONT COVER 2, N/A, 802-1769-00</t>
  </si>
  <si>
    <t>802-1769-00</t>
  </si>
  <si>
    <t>ALRB-MAP SENSOR COVER, N/A, 802-1770-00</t>
  </si>
  <si>
    <t>802-1770-00</t>
  </si>
  <si>
    <t>ALRB-END PLATE WITH OPENING, N/A, 802-1771-00</t>
  </si>
  <si>
    <t>802-1771-00</t>
  </si>
  <si>
    <t>ALRB-END PLATE, N/A, 802-1772-02</t>
  </si>
  <si>
    <t>802-1772-02</t>
  </si>
  <si>
    <t>ALRB-THETA ADAPTER, N/A, 802-1809-00</t>
  </si>
  <si>
    <t>802-1809-00</t>
  </si>
  <si>
    <t>ALRB-THETA HARD STOPPER, N/A, 802-1810-00</t>
  </si>
  <si>
    <t>802-1810-00</t>
  </si>
  <si>
    <t>ALRB-THETA STOPPER, N/A, 802-1811-00</t>
  </si>
  <si>
    <t>802-1811-00</t>
  </si>
  <si>
    <t>ALRB-THETA POSITIONING PLATE, N/A, 802-1812-00</t>
  </si>
  <si>
    <t>802-1812-00</t>
  </si>
  <si>
    <t>ALRB-COSMETIC ENCLOSURE, N/A, 802-1814-00</t>
  </si>
  <si>
    <t>802-1814-00</t>
  </si>
  <si>
    <t>ALRB-PNEUMATIC PLATE 1, N/A, 802-1861-00</t>
  </si>
  <si>
    <t>802-1861-00</t>
  </si>
  <si>
    <t>ALRB-PNEUMATIC PLATE 2, N/A, 802-1862-00</t>
  </si>
  <si>
    <t>802-1862-00</t>
  </si>
  <si>
    <t>ALRB-ROTARY SENSOR FLAG, N/A, 802-1889-00</t>
  </si>
  <si>
    <t>802-1889-00</t>
  </si>
  <si>
    <t>DAR-CABLE PIPE, N/A, 800-7871-00</t>
  </si>
  <si>
    <t>800-7871-00</t>
  </si>
  <si>
    <t>DAR-MODIFIED Set Screw M6x10, N/A, 802-9064-00</t>
  </si>
  <si>
    <t>802-9064-00</t>
  </si>
  <si>
    <t>DAR-BIGGER END PULLEY SUPPORT, N/A, 800-7877-00</t>
  </si>
  <si>
    <t>800-7877-00</t>
  </si>
  <si>
    <t>DAR-GEARHEAD MOUNTING PLATE, N/A, 800-7874-00</t>
  </si>
  <si>
    <t>800-7874-00</t>
  </si>
  <si>
    <t>DAR-X-AXIS MOTOR BRACKET, N/A, 800-7875-00</t>
  </si>
  <si>
    <t>800-7875-00</t>
  </si>
  <si>
    <t>DAR-END IDLER SUPPORT, N/A, 800-7876-00</t>
  </si>
  <si>
    <t>800-7876-00</t>
  </si>
  <si>
    <t>DAR-DUAL PRESSURE SENSOR BRK, N/A, 801-2184-00</t>
  </si>
  <si>
    <t>801-2184-00</t>
  </si>
  <si>
    <t>ALRB-ALIGNER BASE, N/A, 802-3689-01</t>
  </si>
  <si>
    <t>802-3689-01</t>
  </si>
  <si>
    <t>ALRB-BACKLIGHT SUPPORT PLATE, N/A, 802-1670-00</t>
  </si>
  <si>
    <t>802-1670-00</t>
  </si>
  <si>
    <t>ALRB-MOTOR MOUNT PLATE, N/A, 802-3668-00</t>
  </si>
  <si>
    <t>802-3668-00</t>
  </si>
  <si>
    <t>ALRB-VERTICAL SUPPORT PLATE, N/A, 802-3663-03</t>
  </si>
  <si>
    <t>802-3663-03</t>
  </si>
  <si>
    <t>ALRB-VERTICAL SUPPORT PLATE(M), N/A, 802-3664-03</t>
  </si>
  <si>
    <t>802-3664-03</t>
  </si>
  <si>
    <t>ALRB-DELRIN COVER, N/A, 802-1679-01</t>
  </si>
  <si>
    <t>802-1679-01</t>
  </si>
  <si>
    <t>ALRB-Z-AXIS SENSOR FLAG, N/A, 802-3669-00</t>
  </si>
  <si>
    <t>802-3669-00</t>
  </si>
  <si>
    <t>ALRB-VISION ADJUSTMENT PLATE, N/A, 802-1734-00</t>
  </si>
  <si>
    <t>802-1734-00</t>
  </si>
  <si>
    <t>ALRB-VISION REINFORCED BLOCK, N/A, 802-1735-00</t>
  </si>
  <si>
    <t>802-1735-00</t>
  </si>
  <si>
    <t>ALRB-VISION X-AXIS PLATFORM, N/A, 802-1736-01</t>
  </si>
  <si>
    <t>802-1736-01</t>
  </si>
  <si>
    <t>ALRB-PROFILE SUPPORT, N/A, 802-1737-03</t>
  </si>
  <si>
    <t>802-1737-03</t>
  </si>
  <si>
    <t>PO2409000128</t>
  </si>
  <si>
    <t>Worldwide APS</t>
  </si>
  <si>
    <t>ALRB-MODIFIED END CAP, N/A, 802-1738-01</t>
  </si>
  <si>
    <t>802-1738-01</t>
  </si>
  <si>
    <t>ALRB-COVER MOUNT BLOCK, N/A, 802-1739-02</t>
  </si>
  <si>
    <t>802-1739-02</t>
  </si>
  <si>
    <t>ALRB-OCR MOTOR HOUSING, N/A, 802-1740-00</t>
  </si>
  <si>
    <t>802-1740-00</t>
  </si>
  <si>
    <t>ALRB-ACTUATOR MOUNT PLATE, N/A, 802-1741-00</t>
  </si>
  <si>
    <t>802-1741-00</t>
  </si>
  <si>
    <t>ALRB-ACTUATOR GUIDE PLATE, N/A, 802-1742-00</t>
  </si>
  <si>
    <t>802-1742-00</t>
  </si>
  <si>
    <t>ALRB-OCR MOUNT PLATE, N/A, 802-1743-01</t>
  </si>
  <si>
    <t>802-1743-01</t>
  </si>
  <si>
    <t>ALRB-PROFILE PLATE, N/A, 802-1745-00</t>
  </si>
  <si>
    <t>802-1745-00</t>
  </si>
  <si>
    <t>ALRB-OCR COVER 1, N/A, 802-1748-02</t>
  </si>
  <si>
    <t>802-1748-02</t>
  </si>
  <si>
    <t>ALRB-OCR COVER 2, N/A, 802-1749-01</t>
  </si>
  <si>
    <t>802-1749-01</t>
  </si>
  <si>
    <t>ALRB-SLOT GUIDE, N/A, 802-1829-00</t>
  </si>
  <si>
    <t>802-1829-00</t>
  </si>
  <si>
    <t>ALRB-OCR SENSOR FLAG, N/A, 802-2291-00</t>
  </si>
  <si>
    <t>802-2291-00</t>
  </si>
  <si>
    <t>AL300V-VISION X-AXIS ADJUSTMENT PLT, N/A, 801-2251-01</t>
  </si>
  <si>
    <t>801-2251-01</t>
  </si>
  <si>
    <t>AL300V-VISION Z-AXIS PLATFORM, N/A, 801-2249-00</t>
  </si>
  <si>
    <t>801-2249-00</t>
  </si>
  <si>
    <t>AL300V-VISION COVER, N/A, 801-2250-00</t>
  </si>
  <si>
    <t>801-2250-00</t>
  </si>
  <si>
    <t>ALRB-OCR COVER; 802-3499-00</t>
  </si>
  <si>
    <t>802-3499-00</t>
  </si>
  <si>
    <t>ALRB-OCR BRACKET, N/A, 802-3500-00</t>
  </si>
  <si>
    <t>802-3500-00</t>
  </si>
  <si>
    <t>ALRB-LINEAR GUIDE PLATE, N/A, 802-3665-01</t>
  </si>
  <si>
    <t>802-3665-01</t>
  </si>
  <si>
    <t>DAR-CABLE CHAIN HINGE PLATE #1, N/A, 801-2445-00</t>
  </si>
  <si>
    <t>801-2445-00</t>
  </si>
  <si>
    <t>DAR-TRACK AXIS SENSOR FLAG, N/A, 800-8269-00</t>
  </si>
  <si>
    <t>800-8269-00</t>
  </si>
  <si>
    <t>DAR-TRACK AXIS LIMIT SENSOR BRACKET, N/A, 801-2202-01</t>
  </si>
  <si>
    <t>801-2202-01</t>
  </si>
  <si>
    <t>DAR-MALE PULLEY COVER, N/A, 803-0678-01</t>
  </si>
  <si>
    <t>803-0678-01</t>
  </si>
  <si>
    <t>DAR-FEMALE PULLEY COVER, N/A, 803-0679-01</t>
  </si>
  <si>
    <t>803-0679-01</t>
  </si>
  <si>
    <t>AWS300CPUB-ALRB-BRAKE PAD, N/A, 804-0793-00</t>
  </si>
  <si>
    <t>804-0793-00</t>
  </si>
  <si>
    <t>DAR-X MOTOR ENCLOSURE (LCS), N/A, 803-3161-00</t>
  </si>
  <si>
    <t>803-3161-00</t>
  </si>
  <si>
    <t>ST-BASE PLATE LINKING BAR, N/A, 802-0468-03</t>
  </si>
  <si>
    <t>802-0468-03</t>
  </si>
  <si>
    <t>AWS300CBUP-RB-MAIN PLATE 2, N/A, 802-5751-04</t>
  </si>
  <si>
    <t>802-5751-04</t>
  </si>
  <si>
    <t>PO2409000123</t>
  </si>
  <si>
    <t xml:space="preserve">Precise Talent </t>
  </si>
  <si>
    <t>AWS300CPUB-FS-RB PLATE GUSSET, N/A, 803-9436-00</t>
  </si>
  <si>
    <t>803-9436-00</t>
  </si>
  <si>
    <t>AWS300CBUP-RB-MAIN PLATE (LM), N/A, 804-1925-01</t>
  </si>
  <si>
    <t>804-1925-01</t>
  </si>
  <si>
    <t>PO2409000121</t>
  </si>
  <si>
    <t>AWS300CBUP-ALRB-MAGNET TRACK BLOCK, N/A, 804-1926-01</t>
  </si>
  <si>
    <t>804-1926-01</t>
  </si>
  <si>
    <t>AWD200#3-RB STOPPER BLOCK 2, N/A, 804-0594-00</t>
  </si>
  <si>
    <t>804-0594-00</t>
  </si>
  <si>
    <t>AWD200#3-RB STOPPER BLOCK, N/A, 804-0596-00</t>
  </si>
  <si>
    <t>804-0596-00</t>
  </si>
  <si>
    <t>AWS300CBUP-ALRB-BRAKING CYL MOUNT BLOCK, N/A, 804-1928-00</t>
  </si>
  <si>
    <t>804-1928-00</t>
  </si>
  <si>
    <t>CBUP-DAR-ROBOT TRAVELLING BASE, N/A, 804-1952-02</t>
  </si>
  <si>
    <t>804-1952-02</t>
  </si>
  <si>
    <t>AWS300CPUB-ALRB-RB STOPPER BLOCK, N/A, 803-9442-00</t>
  </si>
  <si>
    <t>803-9442-00</t>
  </si>
  <si>
    <t>AWS300CPUB-ALRB-RB PU STOPPER, N/A, 803-9448-00</t>
  </si>
  <si>
    <t>803-9448-00</t>
  </si>
  <si>
    <t>AWS300CPUB-ALRB-CABLE ROUTING BRK, N/A, 804-0484-00</t>
  </si>
  <si>
    <t>804-0484-00</t>
  </si>
  <si>
    <t>AWD200-ALRB-RB DRIVING PLATE 1, N/A, 804-5407-00</t>
  </si>
  <si>
    <t>804-5407-00</t>
  </si>
  <si>
    <t>AWD200-ALRB-RB DRIVING PLATE 2, N/A, 804-5408-00</t>
  </si>
  <si>
    <t>804-5408-00</t>
  </si>
  <si>
    <t>AWD200-ALRB-RB DRIVING PLATE 3, N/A, 804-5409-00</t>
  </si>
  <si>
    <t>804-5409-00</t>
  </si>
  <si>
    <t>AWD200-ALRB-MTR COIL ALIGNMENT BLK, N/A, 804-5410-01</t>
  </si>
  <si>
    <t>804-5410-01</t>
  </si>
  <si>
    <t>AWD200-ALRB-LINEAR MTR ADAPTER, N/A, 804-5411-00</t>
  </si>
  <si>
    <t>804-5411-00</t>
  </si>
  <si>
    <t>AWD200-ALRB-RB DRIVING PLATE 4, N/A, 804-5370-00</t>
  </si>
  <si>
    <t>804-5370-00</t>
  </si>
  <si>
    <t>RB-BERNOULLI FORK (S) (DLCC), N/A, 804-6206-00</t>
  </si>
  <si>
    <t>804-6206-00</t>
  </si>
  <si>
    <t>Shoube Tech</t>
  </si>
  <si>
    <t>ALV-300MM CALIBRATION JIG, N/A, 802-6057-00</t>
  </si>
  <si>
    <t>802-6057-00</t>
  </si>
  <si>
    <t>ALV-200MM CALIBRATION JIG, N/A, 802-6289-00</t>
  </si>
  <si>
    <t>802-6289-00</t>
  </si>
  <si>
    <t>AWS300CBUP-RB-MALE PULLEY COVER, N/A, 804-9379-00</t>
  </si>
  <si>
    <t>804-9379-00</t>
  </si>
  <si>
    <t>AWS300CBUP-RB-FEMALE PULLEY COVER, N/A, 804-9380-00</t>
  </si>
  <si>
    <t>804-9380-00</t>
  </si>
  <si>
    <t>ALRB-ARM DRIVING BRACKET, N/A, 802-1750-02</t>
  </si>
  <si>
    <t>802-1750-02</t>
  </si>
  <si>
    <t>ALBR-BEARING HOUSING BLOCK, N/A, 803-0006-00</t>
  </si>
  <si>
    <t>803-0006-00</t>
  </si>
  <si>
    <t>ALRB-MODIFICATION OF SSPF 10-1-130, N/A, 805-0020-00</t>
  </si>
  <si>
    <t>805-0020-00</t>
  </si>
  <si>
    <t>Std part ETA 16/Dec</t>
  </si>
  <si>
    <t>DAR-CABLE CHAIN HINGE PLATE, N/A, 805-0028-00</t>
  </si>
  <si>
    <t>805-0028-00</t>
  </si>
  <si>
    <t>ALRB-DUAL CABLE CHAIN SUPPORT PLATE, N/A, 805-0227-00</t>
  </si>
  <si>
    <t>805-0227-00</t>
  </si>
  <si>
    <t>PR2408000073</t>
  </si>
  <si>
    <t>PO2409000117</t>
  </si>
  <si>
    <t>ALRB-EMBEDED BALL SPINE HOUSING, N/A, 805-0021-00</t>
  </si>
  <si>
    <t>805-0021-00</t>
  </si>
  <si>
    <t>AWS300CPUB-ALRB-ENCODER READ HEAD HOLDER, N/A, 803-9446-01</t>
  </si>
  <si>
    <t>803-9446-01</t>
  </si>
  <si>
    <t>AWS300CPUB-ALRB-CABLE CHAIN MOVE BRK, N/A, 805-0030-00</t>
  </si>
  <si>
    <t>805-0030-00</t>
  </si>
  <si>
    <t>AWS300CPUB-ALRB-C.CHAIN SUPPORT BRK, N/A, 805-0029-00</t>
  </si>
  <si>
    <t>805-0029-00</t>
  </si>
  <si>
    <t>AWS300CBUP-ALRB-C.C. SUPPORT PLATE, N/A, 805-0031-00</t>
  </si>
  <si>
    <t>805-0031-00</t>
  </si>
  <si>
    <t>ALRB-ALIGNER CHUCK (R) (DLCC), N/A, 805-0015-00</t>
  </si>
  <si>
    <t>805-0015-00</t>
  </si>
  <si>
    <t>ALRB-ALIGNER Z AXIS BTM DAMPER, N/A, 805-0022-00</t>
  </si>
  <si>
    <t>805-0022-00</t>
  </si>
  <si>
    <t>ALRB-ALIGNER CHUCK COLLAR, N/A, 805-0023-00</t>
  </si>
  <si>
    <t>805-0023-00</t>
  </si>
  <si>
    <t>ALRB-ALIGNER CHUCK (R) (NO FINISHING), N/A, 805-0016-00</t>
  </si>
  <si>
    <t>805-0016-00</t>
  </si>
  <si>
    <t>ALRB-OCR SHIPPING JIG, N/A, 802-1746-01</t>
  </si>
  <si>
    <t>802-1746-01</t>
  </si>
  <si>
    <t>DAR-THETA SHIPPING JIG, N/A, 800-8225-01</t>
  </si>
  <si>
    <t>800-8225-01</t>
  </si>
  <si>
    <t>ALRB-EXTENDER SHIPPING JIG, N/A, 805-0027-00</t>
  </si>
  <si>
    <t>805-0027-00</t>
  </si>
  <si>
    <t>CBUP-ALRB-ROBOT TRACK SHIPPING JIG, N/A, 804-2014-01</t>
  </si>
  <si>
    <t>804-2014-01</t>
  </si>
  <si>
    <t>ALRB-ROBOT BASE PLATE, N/A, 802-1731-02</t>
  </si>
  <si>
    <t>802-1731-02</t>
  </si>
  <si>
    <t>PO2409000126</t>
  </si>
  <si>
    <t>ALRB-MOTOR COVER, N/A, 805-0024-00</t>
  </si>
  <si>
    <t>805-0024-00</t>
  </si>
  <si>
    <t>RB-BERNOULLI FORK (S) (DLCC), N/A, 805-0324-00</t>
  </si>
  <si>
    <t>805-0324-00</t>
  </si>
  <si>
    <t>PO2409000118</t>
  </si>
  <si>
    <t xml:space="preserve">Tair Ying </t>
  </si>
  <si>
    <t>CAST ALUMINIUM - MAIN VERTICAL BLOCK, N/A, 800-2016-00</t>
  </si>
  <si>
    <t>800-2016-00</t>
  </si>
  <si>
    <t xml:space="preserve">Wei Thong Trading </t>
  </si>
  <si>
    <t>CAST ALUMINIUM - MODULE SUPPORT BLOCK, N/A, 800-1191-00</t>
  </si>
  <si>
    <t>800-1191-00</t>
  </si>
  <si>
    <t>CB-ITA-ACTUATOR SIDE BRK, N/A, 800-8589-02</t>
  </si>
  <si>
    <t>800-8589-02</t>
  </si>
  <si>
    <t>PR2408000041</t>
  </si>
  <si>
    <t>PO2408000049</t>
  </si>
  <si>
    <t>2024-08-21</t>
  </si>
  <si>
    <t>CB-ITA-SENSOR ADAPTER, N/A, 800-8591-00</t>
  </si>
  <si>
    <t>800-8591-00</t>
  </si>
  <si>
    <t>AWS3004-ITA-GEARHEAD HOUSING, N/A, 802-3890-00</t>
  </si>
  <si>
    <t>802-3890-00</t>
  </si>
  <si>
    <t>PO2408000068</t>
  </si>
  <si>
    <t>AWS300CBUP-ITA-VAC SENSOR BRK, N/A, 802-5757-00</t>
  </si>
  <si>
    <t>802-5757-00</t>
  </si>
  <si>
    <t>PO2408000065</t>
  </si>
  <si>
    <t>CB-ITA-ANGLE BAR GUSSET, N/A, 800-8580-01</t>
  </si>
  <si>
    <t>800-8580-01</t>
  </si>
  <si>
    <t>FP-COVER MOUNT BLOCK, N/A, 802-3849-00</t>
  </si>
  <si>
    <t>802-3849-00</t>
  </si>
  <si>
    <t>PR2408000081</t>
  </si>
  <si>
    <t>PO2410000180</t>
  </si>
  <si>
    <t>2024-10-12</t>
  </si>
  <si>
    <t>AWS3004-ITA-TRUNKING BKT, N/A, 802-3821-00</t>
  </si>
  <si>
    <t>802-3821-00</t>
  </si>
  <si>
    <t>CB-ITA-SENSOR L-BRK, N/A, 800-8565-00</t>
  </si>
  <si>
    <t>800-8565-00</t>
  </si>
  <si>
    <t>PO2408000067</t>
  </si>
  <si>
    <t>AWS3004-ITA-COUPLING HOUSING, N/A, 802-3822-01</t>
  </si>
  <si>
    <t>802-3822-01</t>
  </si>
  <si>
    <t>AWS3004-ITA-EX-14 BRACKET (CUT), N/A, 802-5782-00</t>
  </si>
  <si>
    <t>802-5782-00</t>
  </si>
  <si>
    <t>PO2408000052</t>
  </si>
  <si>
    <t xml:space="preserve">Micron Precision </t>
  </si>
  <si>
    <t>AWS300CBUP-ITA-GUIDE SHAFT, N/A, 802-5732-00</t>
  </si>
  <si>
    <t>802-5732-00</t>
  </si>
  <si>
    <t>CB-ITA-FLOATING JOINT, N/A, 800-8950-00</t>
  </si>
  <si>
    <t>800-8950-00</t>
  </si>
  <si>
    <t>AWS3004-ITA-CABLE CHAIN PLATE, N/A, 802-3832-00</t>
  </si>
  <si>
    <t>802-3832-00</t>
  </si>
  <si>
    <t>AWS300-ITA-OVERPRESS PLATE, N/A, 803-0583-00</t>
  </si>
  <si>
    <t>803-0583-00</t>
  </si>
  <si>
    <t>AWS300-ITA-OVERPRESS MOUNT PLATE, N/A, 803-0584-00</t>
  </si>
  <si>
    <t>803-0584-00</t>
  </si>
  <si>
    <t>AWS3004-ITA-EXTENDED PLATE, N/A, 802-3815-03</t>
  </si>
  <si>
    <t>802-3815-03</t>
  </si>
  <si>
    <t>AWS300-ITA-CABLE CHAIN HOLDER, N/A, 803-0599-00</t>
  </si>
  <si>
    <t>803-0599-00</t>
  </si>
  <si>
    <t>AWS300-ITA-VER CC COVER BRK, N/A, 803-0626-00</t>
  </si>
  <si>
    <t>803-0626-00</t>
  </si>
  <si>
    <t>PO2408000066</t>
  </si>
  <si>
    <t>AWS300-ITA-MODIFY MISUMI RGEAS0.5-300-N, N/A, 803-0625-00</t>
  </si>
  <si>
    <t>803-0625-00</t>
  </si>
  <si>
    <t>AWS300-ITA-CONV MOUNT BRK, N/A, 803-2192-00</t>
  </si>
  <si>
    <t>803-2192-00</t>
  </si>
  <si>
    <t>AWS300-ITA-LINEAR GUIDE MOUNT BRK, N/A, 803-2195-00</t>
  </si>
  <si>
    <t>803-2195-00</t>
  </si>
  <si>
    <t>AWS300-ITA-LINEAR GUIDE BRK, N/A, 803-2196-00</t>
  </si>
  <si>
    <t>803-2196-00</t>
  </si>
  <si>
    <t>AWS300-ITA STOPPER BRK, N/A, 803-2202-00</t>
  </si>
  <si>
    <t>803-2202-00</t>
  </si>
  <si>
    <t>AWS300-ITA-FITTING BLK, N/A, 803-2203-00</t>
  </si>
  <si>
    <t>803-2203-00</t>
  </si>
  <si>
    <t>AWS300-ITA-STOPPER BLK, N/A, 803-2204-00</t>
  </si>
  <si>
    <t>803-2204-00</t>
  </si>
  <si>
    <t>AWS300-ITA-SPEED CONTROL MOUNT, N/A, 803-2213-00</t>
  </si>
  <si>
    <t>803-2213-00</t>
  </si>
  <si>
    <t>AWS300-ITA-PU STOPPER, N/A, 803-0587-00</t>
  </si>
  <si>
    <t>803-0587-00</t>
  </si>
  <si>
    <t>CBUP-ITA-TUBING HOLDER(L), N/A, 803-4937-00</t>
  </si>
  <si>
    <t>803-4937-00</t>
  </si>
  <si>
    <t>CBUP-ITA-TUBING HOLDER(R), N/A, 803-4938-00</t>
  </si>
  <si>
    <t>803-4938-00</t>
  </si>
  <si>
    <t>AWS300-ITA-CABLE CHAIN COVER, N/A, 803-0600-01</t>
  </si>
  <si>
    <t>803-0600-01</t>
  </si>
  <si>
    <t>AWS300CPUB-ITA DUAL HWS PICKER BRK, N/A, 804-1248-00</t>
  </si>
  <si>
    <t>804-1248-00</t>
  </si>
  <si>
    <t>AWS300CPUB-ITA-CYL MOUNTING BRK, N/A, 804-1250-00</t>
  </si>
  <si>
    <t>804-1250-00</t>
  </si>
  <si>
    <t>AWS300CPUB-ITA-CY-INNER CORE, N/A, 804-1251-01</t>
  </si>
  <si>
    <t>804-1251-01</t>
  </si>
  <si>
    <t>PO2408000051</t>
  </si>
  <si>
    <t>AWS300CPUB-ITA-CY-BODY, N/A, 804-1252-01</t>
  </si>
  <si>
    <t>804-1252-01</t>
  </si>
  <si>
    <t>AWS300CPUB-ITA-CY MID BRK, N/A, 804-1253-00</t>
  </si>
  <si>
    <t>804-1253-00</t>
  </si>
  <si>
    <t>AWS300CPUB-ITA-CY SIDE BRK, N/A, 804-1254-00</t>
  </si>
  <si>
    <t>804-1254-00</t>
  </si>
  <si>
    <t>AWS300CPUB-ITA-SHAFT SUPPORT, N/A, 804-1255-00</t>
  </si>
  <si>
    <t>804-1255-00</t>
  </si>
  <si>
    <t>AWS300CPUB-ITA-SUCTION CHUCK LID, N/A, 804-1256-00</t>
  </si>
  <si>
    <t>804-1256-00</t>
  </si>
  <si>
    <t>AWS300CPUB-ITA-SUCTION CHUCK, N/A, 804-1257-00</t>
  </si>
  <si>
    <t>804-1257-00</t>
  </si>
  <si>
    <t>AWS300CPUB-ITA-PNEUMATIC PANEL, N/A, 804-1349-00</t>
  </si>
  <si>
    <t>804-1349-00</t>
  </si>
  <si>
    <t>AWS300CBUP-ITA-VAC CUP NUT (MODIFY), N/A, 804-2576-00</t>
  </si>
  <si>
    <t>804-2576-00</t>
  </si>
  <si>
    <t>AWS300CBUP-ITA-VERTICAL CABLE CHAIN COVER, N/A, 804-4382-00</t>
  </si>
  <si>
    <t>804-4382-00</t>
  </si>
  <si>
    <t>AWS300CBUP-ITA-Z-AXIS-CABLE CHAIN BRK 1, N/A, 804-4383-00</t>
  </si>
  <si>
    <t>804-4383-00</t>
  </si>
  <si>
    <t>AWS300CBUP-ITA-Z-AXIS-CABLE CHAIN BRK 3, N/A, 804-5587-00</t>
  </si>
  <si>
    <t>804-5587-00</t>
  </si>
  <si>
    <t>PO2408000050</t>
  </si>
  <si>
    <t>CBUP-ITA-ACTUATOR MOUNT PLATE, N/A, 804-6386-02</t>
  </si>
  <si>
    <t>804-6386-02</t>
  </si>
  <si>
    <t>PO2408000054</t>
  </si>
  <si>
    <t>CBUP-ITA-BASE MOUNT PLATE, N/A, 804-6388-00</t>
  </si>
  <si>
    <t>804-6388-00</t>
  </si>
  <si>
    <t>CBUP-ITA-BASE MOUNT PLATE (M), N/A, 804-6390-00</t>
  </si>
  <si>
    <t>804-6390-00</t>
  </si>
  <si>
    <t>CBUP-ITA-ACTUATOR VER PLATE, N/A, 804-6391-02</t>
  </si>
  <si>
    <t>804-6391-02</t>
  </si>
  <si>
    <t>CBUP-ITA-ACTUATOR HOR PLATE, N/A, 804-6392-01</t>
  </si>
  <si>
    <t>804-6392-01</t>
  </si>
  <si>
    <t>CBUP-ITA-LINEAR GUIDE SPACER, N/A, 804-6393-00</t>
  </si>
  <si>
    <t>804-6393-00</t>
  </si>
  <si>
    <t>CBUP-ITA-SENSOR FLAG, N/A, 804-6394-00</t>
  </si>
  <si>
    <t>804-6394-00</t>
  </si>
  <si>
    <t>CPUB-ITA-DUAL TYPE HWS PICKER, N/A, 804-8845-00</t>
  </si>
  <si>
    <t>804-8845-00</t>
  </si>
  <si>
    <t>AWS300CBUP-ITA-DRIVER PLT, N/A, 804-9257-00</t>
  </si>
  <si>
    <t>804-9257-00</t>
  </si>
  <si>
    <t>AWS300CBUP-ITA-DRIVER COVER, N/A, 804-9258-00</t>
  </si>
  <si>
    <t>804-9258-00</t>
  </si>
  <si>
    <t>AWS300CBUP-ITA-MOTOR PLT, N/A, 804-9259-00</t>
  </si>
  <si>
    <t>804-9259-00</t>
  </si>
  <si>
    <t>PO2408000069</t>
  </si>
  <si>
    <t>AWS300CBUP-ITA-PICKER MTR PLT, N/A, 804-9260-00</t>
  </si>
  <si>
    <t>804-9260-00</t>
  </si>
  <si>
    <t>AWS300CBUP-FITTING BRK, N/A, 804-9261-00</t>
  </si>
  <si>
    <t>804-9261-00</t>
  </si>
  <si>
    <t>CBUP-ITA-EXTENDED PLATE (L), N/A, 804-9927-00</t>
  </si>
  <si>
    <t>804-9927-00</t>
  </si>
  <si>
    <t>CBUP-ITA-HEAD LINK SHAFT, N/A, 804-9929-00</t>
  </si>
  <si>
    <t>804-9929-00</t>
  </si>
  <si>
    <t>CBUP-ITA-FLOATING JOINT HOLDER, N/A, 804-9930-00</t>
  </si>
  <si>
    <t>804-9930-00</t>
  </si>
  <si>
    <t>CBUP-ITA-PICKUP HEAD COVER, N/A, 804-9931-00</t>
  </si>
  <si>
    <t>804-9931-00</t>
  </si>
  <si>
    <t>AWS300CBUP-ITA-IO TERMINAL BRK, N/A, 804-9685-00</t>
  </si>
  <si>
    <t>804-9685-00</t>
  </si>
  <si>
    <t>CB-ITA-SHIPPING JIG, N/A, 800-8954-01</t>
  </si>
  <si>
    <t>800-8954-01</t>
  </si>
  <si>
    <t>PR2408000054</t>
  </si>
  <si>
    <t>08/27/2024</t>
  </si>
  <si>
    <t>PO2408000105</t>
  </si>
  <si>
    <t>CB-ITA-SENSOR FLAG, N/A, 800-8590-00</t>
  </si>
  <si>
    <t>800-8590-00</t>
  </si>
  <si>
    <t>PO2408000106</t>
  </si>
  <si>
    <t>CB-INSP-YORK, N/A, 800-8599-00</t>
  </si>
  <si>
    <t>800-8599-00</t>
  </si>
  <si>
    <t>PO2408000109</t>
  </si>
  <si>
    <t>CB-INSP-VERT SENSOR FLAG, N/A, 800-8600-00</t>
  </si>
  <si>
    <t>800-8600-00</t>
  </si>
  <si>
    <t>CB-INSP-SENSOR RAIL, N/A, 800-8602-00</t>
  </si>
  <si>
    <t>800-8602-00</t>
  </si>
  <si>
    <t>PO2408000104</t>
  </si>
  <si>
    <t xml:space="preserve">Aims Motion </t>
  </si>
  <si>
    <t>CB-INSP-VERT ACTUATOR ADAPTER, N/A, 800-8605-00</t>
  </si>
  <si>
    <t>800-8605-00</t>
  </si>
  <si>
    <t>CB-INSP-GEARHEAD HOLDER, N/A, 800-8608-02</t>
  </si>
  <si>
    <t>800-8608-02</t>
  </si>
  <si>
    <t>CB-INSP-MODULE HANG PLATE, N/A, 800-8609-01</t>
  </si>
  <si>
    <t>800-8609-01</t>
  </si>
  <si>
    <t>CB-INSP-SENSOR BRK, N/A, 800-8943-00</t>
  </si>
  <si>
    <t>800-8943-00</t>
  </si>
  <si>
    <t>CPUB-INSP-ACTUATOR BACKBONE, N/A, 800-9673-01</t>
  </si>
  <si>
    <t>800-9673-01</t>
  </si>
  <si>
    <t>PO2408000110</t>
  </si>
  <si>
    <t>AWS3004-VI-MOUNT BLOCK, N/A, 802-4115-00</t>
  </si>
  <si>
    <t>802-4115-00</t>
  </si>
  <si>
    <t>AWS3004-INSP-SIDE HANG PLATE-SHORT, N/A, 802-5103-00</t>
  </si>
  <si>
    <t>802-5103-00</t>
  </si>
  <si>
    <t>AWS300-CBUP-INSP-C. CHAIN HOLDER, N/A, 803-1013-01</t>
  </si>
  <si>
    <t>803-1013-01</t>
  </si>
  <si>
    <t>CB-INSP-VERTICAL BACKBONE (MACRONIX), N/A, 804-1426-00</t>
  </si>
  <si>
    <t>804-1426-00</t>
  </si>
  <si>
    <t>AWS300CBUP-INSP-C. CHAIN CONNECTING PLATE, N/A, 804-4399-00</t>
  </si>
  <si>
    <t>804-4399-00</t>
  </si>
  <si>
    <t>AWS300CBUP-IM-LIGHTING MOUNT BRK, N/A, 804-9765-00</t>
  </si>
  <si>
    <t>804-9765-00</t>
  </si>
  <si>
    <t>CB-INSP-TERMINAL BOARD PLATE, N/A, 802-6641-00</t>
  </si>
  <si>
    <t>802-6641-00</t>
  </si>
  <si>
    <t>AWS300CBUP-INSP-VERT CC BRK, N/A, 804-9300-00</t>
  </si>
  <si>
    <t>804-9300-00</t>
  </si>
  <si>
    <t>PO2408000108</t>
  </si>
  <si>
    <t>CB-INSP-MAPPING SENSOR HOLDER, N/A, 800-8596-01</t>
  </si>
  <si>
    <t>800-8596-01</t>
  </si>
  <si>
    <t>AWS300CBUP-INSP-SHIPPING JIG, N/A, 803-4536-01</t>
  </si>
  <si>
    <t>803-4536-01</t>
  </si>
  <si>
    <t>AWS300CBUP-INSP-CAM REAR ENCLOSURE COVER, N/A, 805-0092-00</t>
  </si>
  <si>
    <t>805-0092-00</t>
  </si>
  <si>
    <t>AWS300CBUP-INSP-CAM FRONT ENCLOSURE COVER, N/A, 805-0093-00</t>
  </si>
  <si>
    <t>805-0093-00</t>
  </si>
  <si>
    <t>AWS300CBUP-INSP-CAMERA BRK, N/A, 805-0094-00</t>
  </si>
  <si>
    <t>805-0094-00</t>
  </si>
  <si>
    <t>CBUP-FP-SUCTION CHUCK LID, N/A, 802-5562-01</t>
  </si>
  <si>
    <t>802-5562-01</t>
  </si>
  <si>
    <t>PR2408000062</t>
  </si>
  <si>
    <t>PO2408000132</t>
  </si>
  <si>
    <t>CBUP-FP-CLAMPING HUB, N/A, 802-5565-01</t>
  </si>
  <si>
    <t>802-5565-01</t>
  </si>
  <si>
    <t>PO2408000129</t>
  </si>
  <si>
    <t>2024-08-28</t>
  </si>
  <si>
    <t>FP-CY MOUNTING, N/A, 802-3844-00</t>
  </si>
  <si>
    <t>802-3844-00</t>
  </si>
  <si>
    <t>FP-CY MOUNTING #2, N/A, 802-3845-00</t>
  </si>
  <si>
    <t>802-3845-00</t>
  </si>
  <si>
    <t>CBUP-FP-MTR LIFT PIN, N/A, 802-5570-00</t>
  </si>
  <si>
    <t>802-5570-00</t>
  </si>
  <si>
    <t>PO2408000131</t>
  </si>
  <si>
    <t>Stech</t>
  </si>
  <si>
    <t>CBUP-FP-PICKUP HEAD ENCLOSURE, N/A, 802-5566-01</t>
  </si>
  <si>
    <t>802-5566-01</t>
  </si>
  <si>
    <t>PO2408000130</t>
  </si>
  <si>
    <t>PR2408000068</t>
  </si>
  <si>
    <t>PO2408000127</t>
  </si>
  <si>
    <t>CBUP-FP-U YORK, N/A, 802-5509-00</t>
  </si>
  <si>
    <t>802-5509-00</t>
  </si>
  <si>
    <t>CBUP-FP-BACKBONE RIB, N/A, 802-5510-01</t>
  </si>
  <si>
    <t>802-5510-01</t>
  </si>
  <si>
    <t>CB-FP-VERT MOTOR ADAPTER, N/A, 800-8553-01</t>
  </si>
  <si>
    <t>800-8553-01</t>
  </si>
  <si>
    <t>CBUP-FP-HORZ MOTOR ADAPTER, N/A, 802-5511-00</t>
  </si>
  <si>
    <t>802-5511-00</t>
  </si>
  <si>
    <t>PO2408000126</t>
  </si>
  <si>
    <t>CB-FP-VERTICAL SENSOR FLAG, N/A, 800-8550-00</t>
  </si>
  <si>
    <t>800-8550-00</t>
  </si>
  <si>
    <t>PO2408000128</t>
  </si>
  <si>
    <t>CBUP-FP-HORZ SENSOR FLAG, N/A, 802-5508-00</t>
  </si>
  <si>
    <t>802-5508-00</t>
  </si>
  <si>
    <t>CBUP-FP-PNEUMATIC PANEL, N/A, 802-5581-01</t>
  </si>
  <si>
    <t>802-5581-01</t>
  </si>
  <si>
    <t>CBUP-FP-FITTING ADAPTER, N/A, 802-5564-00</t>
  </si>
  <si>
    <t>802-5564-00</t>
  </si>
  <si>
    <t>CY-INNER CORE, N/A, 802-3801-02</t>
  </si>
  <si>
    <t>802-3801-02</t>
  </si>
  <si>
    <t>CY-BODY, N/A, 802-3802-00</t>
  </si>
  <si>
    <t>802-3802-00</t>
  </si>
  <si>
    <t>CBUP-FP-PNEU PANEL ADAPTER, N/A, 802-6278-00</t>
  </si>
  <si>
    <t>802-6278-00</t>
  </si>
  <si>
    <t>CBUP-FP-SENSOR BLK, N/A, 802-6194-00</t>
  </si>
  <si>
    <t>802-6194-00</t>
  </si>
  <si>
    <t>AWS3004-FP-SHAFT 2, N/A, 803-0008-00</t>
  </si>
  <si>
    <t>803-0008-00</t>
  </si>
  <si>
    <t>CPUB-FP ROTARY HUB (SLOTTED) 2, N/A, 803-0009-00</t>
  </si>
  <si>
    <t>803-0009-00</t>
  </si>
  <si>
    <t>CB-FP-VERTICAL BACKBONE 2, N/A, 803-0012-00</t>
  </si>
  <si>
    <t>803-0012-00</t>
  </si>
  <si>
    <t>CBUP-FP-OVERPRESS SENSOR SHAFT, N/A, 803-0652-00</t>
  </si>
  <si>
    <t>803-0652-00</t>
  </si>
  <si>
    <t>CBUP-FP-OVERPRESS SENSOR COVER PLT, N/A, 803-0653-01</t>
  </si>
  <si>
    <t>803-0653-01</t>
  </si>
  <si>
    <t>CBUP-FP-OVERPRESS SENSOR SPRING, N/A, 803-0680-00</t>
  </si>
  <si>
    <t>803-0680-00</t>
  </si>
  <si>
    <t>PO2408000125</t>
  </si>
  <si>
    <t xml:space="preserve">CSB Spring </t>
  </si>
  <si>
    <t>CBUP-FP-VACUUM SENSOR BRK, N/A, 803-7722-01</t>
  </si>
  <si>
    <t>803-7722-01</t>
  </si>
  <si>
    <t>AWS300CBUP-FP-C. CHAIN SUPPORT, N/A, 804-4385-00</t>
  </si>
  <si>
    <t>804-4385-00</t>
  </si>
  <si>
    <t>AWS300CBUP-FP-FIX C CHAIN BKT HOLDER, N/A, 804-4386-00</t>
  </si>
  <si>
    <t>804-4386-00</t>
  </si>
  <si>
    <t>AWS300CBUP-FP-C. CHAIN FRONT SUPPORT, N/A, 804-4387-01</t>
  </si>
  <si>
    <t>804-4387-01</t>
  </si>
  <si>
    <t>AWS300CBUP-FP-FLIP HEAD ARM 2, N/A, 804-4390-00</t>
  </si>
  <si>
    <t>804-4390-00</t>
  </si>
  <si>
    <t>CBUP-FP-SUCTION CHUCK, N/A, 802-5563-02</t>
  </si>
  <si>
    <t>802-5563-02</t>
  </si>
  <si>
    <t>CBUP-FP-SUCTION CHUCK (DLCC), N/A, 804-6243-00</t>
  </si>
  <si>
    <t>804-6243-00</t>
  </si>
  <si>
    <t>AWS300CBUP-FP-LIFT PIN MTR BRK, N/A, 804-9262-00</t>
  </si>
  <si>
    <t>804-9262-00</t>
  </si>
  <si>
    <t>AWS300CBUP-FP-LIFT PIN HOLDER, N/A, 804-9263-00</t>
  </si>
  <si>
    <t>804-9263-00</t>
  </si>
  <si>
    <t>AWS300CBUP-FP-LIFT PIN STAND BLK, N/A, 804-9264-00</t>
  </si>
  <si>
    <t>804-9264-00</t>
  </si>
  <si>
    <t>AWS300CBUP-FP-LIFT PIN DRIVE BLK, N/A,  804-9265-00</t>
  </si>
  <si>
    <t>804-9265-00</t>
  </si>
  <si>
    <t>AWS300CBUP-FP-CONDUIT BRK (L), N/A, 804-9266-00</t>
  </si>
  <si>
    <t>804-9266-00</t>
  </si>
  <si>
    <t>CBUP-FP-OP CYL BLK (S), N/A, 804-9767-00</t>
  </si>
  <si>
    <t>804-9767-00</t>
  </si>
  <si>
    <t>CBUP-FP-OP SENSOR BLK (S), N/A, 804-9768-00</t>
  </si>
  <si>
    <t>804-9768-00</t>
  </si>
  <si>
    <t>AWS300CBUP-FP-CONDUIT HOLDER, N/A, 805-0058-00</t>
  </si>
  <si>
    <t>805-0058-00</t>
  </si>
  <si>
    <t>CBUP-FP-SUCTION CHUCK (DLCC), N/A, 803-0014-01</t>
  </si>
  <si>
    <t>803-0014-01</t>
  </si>
  <si>
    <t>PO2408000123</t>
  </si>
  <si>
    <t>Tair Ying</t>
  </si>
  <si>
    <t>CBUP-WF-WAFER FLIPPER BASE PLATE, N/A, 805-0231-00</t>
  </si>
  <si>
    <t>805-0231-00</t>
  </si>
  <si>
    <t>PR2409000027</t>
  </si>
  <si>
    <t>PO2409000072</t>
  </si>
  <si>
    <t>AWS300CBUP-WAFER FLIPPER ROT JIG, N/A, 803-1260-01</t>
  </si>
  <si>
    <t>803-1260-01</t>
  </si>
  <si>
    <t>PO2409000065</t>
  </si>
  <si>
    <t>CB-FP-SHIPPING JIG, N/A, 800-8955-00</t>
  </si>
  <si>
    <t>800-8955-00</t>
  </si>
  <si>
    <t>PO2408000124</t>
  </si>
  <si>
    <t>AWS300CBUP-BOX STATION ALIGNMENT JIG, N/A, 802-6330-01</t>
  </si>
  <si>
    <t>802-6330-01</t>
  </si>
  <si>
    <t>CBUP-CSB-ADAPTER GUIDE BLOCK, N/A, 802-6013-01</t>
  </si>
  <si>
    <t>802-6013-01</t>
  </si>
  <si>
    <t>AWS300CBUP-CSB-RHS BASE, N/A, 802-6026-00</t>
  </si>
  <si>
    <t>802-6026-00</t>
  </si>
  <si>
    <t>PR2411000121</t>
  </si>
  <si>
    <t>AWS300CPUB-IB-AMPLIFIER BRACKET, N/A, 803-4512-00</t>
  </si>
  <si>
    <t>803-4512-00</t>
  </si>
  <si>
    <t>PR2408000066</t>
  </si>
  <si>
    <t>PO2409000076</t>
  </si>
  <si>
    <t>IB-DRIVING SHAFT, N/A, 800-4540-00</t>
  </si>
  <si>
    <t>800-4540-00</t>
  </si>
  <si>
    <t>PO2409000077</t>
  </si>
  <si>
    <t>IB-TURN TABLE SHAFT, N/A, 800-4546-00</t>
  </si>
  <si>
    <t>800-4546-00</t>
  </si>
  <si>
    <t>CPUB-IB-LINK BAR, N/A, 801-0045-00</t>
  </si>
  <si>
    <t>801-0045-00</t>
  </si>
  <si>
    <t>PO2409000075</t>
  </si>
  <si>
    <t>CPUB-IB-BEARING SPACER, N/A, 801-0047-00</t>
  </si>
  <si>
    <t>801-0047-00</t>
  </si>
  <si>
    <t>IB-INTERLEAF GUIDE SHAFT, N/A, 802-1508-00</t>
  </si>
  <si>
    <t>802-1508-00</t>
  </si>
  <si>
    <t>CBUP-IB-INTERLEAF BLOWER SHAFT, N/A, 802-5664-00</t>
  </si>
  <si>
    <t>802-5664-00</t>
  </si>
  <si>
    <t>CBUP-IB-300MM BASE, N/A, 802-5663-01</t>
  </si>
  <si>
    <t>802-5663-01</t>
  </si>
  <si>
    <t>CPUB-IB-TURN TABLE, N/A, 801-0044-00</t>
  </si>
  <si>
    <t>801-0044-00</t>
  </si>
  <si>
    <t>CBUP-IB CONVERSION LINK BAR, N/A, 802-5911-00</t>
  </si>
  <si>
    <t>802-5911-00</t>
  </si>
  <si>
    <t>PO2409000079</t>
  </si>
  <si>
    <t>CPUB-IB CONVERSION THREAD LINK, N/A, 801-1014-00</t>
  </si>
  <si>
    <t>801-1014-00</t>
  </si>
  <si>
    <t>CPUB-IB LINK BAR ROD CLEVIS, N/A, 801-1016-00</t>
  </si>
  <si>
    <t>801-1016-00</t>
  </si>
  <si>
    <t>CPUB-IB CLEVIS PIVOT SHAFT, N/A, 801-1017-00</t>
  </si>
  <si>
    <t>801-1017-00</t>
  </si>
  <si>
    <t>IB-CYLINDER CLEVIS HOLDER, N/A, 802-4061-01</t>
  </si>
  <si>
    <t>802-4061-01</t>
  </si>
  <si>
    <t>IB-CYL SUPPORT PLATE, N/A, 802-6758-00</t>
  </si>
  <si>
    <t>802-6758-00</t>
  </si>
  <si>
    <t>PO2409000078</t>
  </si>
  <si>
    <t>IB-AUTO CONVERSION LEVER, N/A, 802-4066-01</t>
  </si>
  <si>
    <t>802-4066-01</t>
  </si>
  <si>
    <t>CBUP-IB-BUILT-IN BLOWER ASSIST, N/A, 802-5665-00</t>
  </si>
  <si>
    <t>802-5665-00</t>
  </si>
  <si>
    <t>SB-SENSOR FLAG HOLDING BLOCK, N/A, 802-3904-00</t>
  </si>
  <si>
    <t>802-3904-00</t>
  </si>
  <si>
    <t>PR2408000077</t>
  </si>
  <si>
    <t>PO2409000007</t>
  </si>
  <si>
    <t>SB-SENSOR FLAG TIP, N/A, 802-3905-00</t>
  </si>
  <si>
    <t>802-3905-00</t>
  </si>
  <si>
    <t>PO2409000008</t>
  </si>
  <si>
    <t>DENNIS</t>
  </si>
  <si>
    <t>SB-CABLE CHAIN ATTACHMENT BRACKET, N/A, 802-3899-00</t>
  </si>
  <si>
    <t>802-3899-00</t>
  </si>
  <si>
    <t>SB-Z AXIS BOTTOM STOPPER, N/A, 802-3898-00</t>
  </si>
  <si>
    <t>802-3898-00</t>
  </si>
  <si>
    <t>PO2409000012</t>
  </si>
  <si>
    <t>SB-CONVERSION LINK BAR, N/A, 802-3875-00</t>
  </si>
  <si>
    <t>802-3875-00</t>
  </si>
  <si>
    <t>SB-CENTER FIXED SHAFT, N/A, 802-3900-01</t>
  </si>
  <si>
    <t>802-3900-01</t>
  </si>
  <si>
    <t>SB-CENTER ROTATION BEARING HOUSING, N/A, 802-3874-00</t>
  </si>
  <si>
    <t>802-3874-00</t>
  </si>
  <si>
    <t>SB-SHAFT TO LINEAR GUIDE ADAPTOR, N/A, 802-3876-00</t>
  </si>
  <si>
    <t>802-3876-00</t>
  </si>
  <si>
    <t>SB-CONVERSION LINK ROD, N/A, 802-3877-00</t>
  </si>
  <si>
    <t>802-3877-00</t>
  </si>
  <si>
    <t>SB-MOVING COVER, N/A, 802-3906-02</t>
  </si>
  <si>
    <t>802-3906-02</t>
  </si>
  <si>
    <t>PO2409000006</t>
  </si>
  <si>
    <t xml:space="preserve">SMW Engineering </t>
  </si>
  <si>
    <t>SB-MODIFIED 40CM ALUMINUM POT, N/A, 802-4155-00</t>
  </si>
  <si>
    <t>802-4155-00</t>
  </si>
  <si>
    <t>SB-MODIFIED FROM MISUMI_PSFJ12-416, N/A, 802-5777-00</t>
  </si>
  <si>
    <t>802-5777-00</t>
  </si>
  <si>
    <t>CBUP-SB-MODIFIED FROM THK_BTK 1208V-2.6ZZ+555LT, N/A, 802-5858-00</t>
  </si>
  <si>
    <t>802-5858-00</t>
  </si>
  <si>
    <t>SB-MOTOR HOLDER, N/A, 802-3894-00</t>
  </si>
  <si>
    <t>802-3894-00</t>
  </si>
  <si>
    <t>AWS3004-SB-AIR BLOWER BRK, N/A, 802-4840-00</t>
  </si>
  <si>
    <t>802-4840-00</t>
  </si>
  <si>
    <t>AWS3004-SB-IONIZER AIR BLOCK, N/A, 802-4841-00</t>
  </si>
  <si>
    <t>802-4841-00</t>
  </si>
  <si>
    <t>CBUP-SB-PNEU PANEL, N/A, 802-6031-01</t>
  </si>
  <si>
    <t>802-6031-01</t>
  </si>
  <si>
    <t>CBUP-CSB-IONIZER NOZZLE CONVERSION HEAD, N/A, 802-6139-02</t>
  </si>
  <si>
    <t>802-6139-02</t>
  </si>
  <si>
    <t>AWS300CBUP-SB-MOTOR BLOCK, N/A, 802-6832-00</t>
  </si>
  <si>
    <t>802-6832-00</t>
  </si>
  <si>
    <t>AWS300CBUP-SB-MOTOR DRIVE, N/A, 802-6830-01</t>
  </si>
  <si>
    <t>802-6830-01</t>
  </si>
  <si>
    <t>TRI ALRB-WASHER, N/A, 802-5693-00</t>
  </si>
  <si>
    <t>802-5693-00</t>
  </si>
  <si>
    <t>AWS300CBUP-SB-MOTOR BASE, N/A, 802-6829-02</t>
  </si>
  <si>
    <t>802-6829-02</t>
  </si>
  <si>
    <t>AWS300CBUP-SB-BEARING BLOCK, N/A, 802-6831-00</t>
  </si>
  <si>
    <t>802-6831-00</t>
  </si>
  <si>
    <t>AWS300CBUP-SB-SENSOR FLAG, N/A, 802-6833-01</t>
  </si>
  <si>
    <t>802-6833-01</t>
  </si>
  <si>
    <t>CBUP-SB-WIRING FITTING BRACKET, N/A, 803-5066-00</t>
  </si>
  <si>
    <t>803-5066-00</t>
  </si>
  <si>
    <t>CBUP-SB-SPONGE PLACEMENT PLATE, N/A, 803-5071-01</t>
  </si>
  <si>
    <t>803-5071-01</t>
  </si>
  <si>
    <t>PO2409000010</t>
  </si>
  <si>
    <t>CBUP-SB-FIXED BASE, N/A, 803-5072-04</t>
  </si>
  <si>
    <t>803-5072-04</t>
  </si>
  <si>
    <t>CBUP-SB-MOTOR MOUNTING PLATE, N/A, 803-5073-00</t>
  </si>
  <si>
    <t>803-5073-00</t>
  </si>
  <si>
    <t>CBUP-CSB-ADAPTER FEMALE GUIDE PLATE, N/A, 802-6131-00</t>
  </si>
  <si>
    <t>802-6131-00</t>
  </si>
  <si>
    <t>PO2409000011</t>
  </si>
  <si>
    <t xml:space="preserve">Micron </t>
  </si>
  <si>
    <t>CBUP-CSB-ADAPTER FEMALE GUIDE PLATE (R), N/A, 802-6132-00</t>
  </si>
  <si>
    <t>802-6132-00</t>
  </si>
  <si>
    <t>48N-IB-ADP SENSOR MOUNT, N/A, 802-8006-00</t>
  </si>
  <si>
    <t>802-8006-00</t>
  </si>
  <si>
    <t>PO2409000009</t>
  </si>
  <si>
    <t xml:space="preserve">WLS </t>
  </si>
  <si>
    <t>AWS300CBUP-FS-FRAME SKELETON ASSEM, N/A, 750-8549-00</t>
  </si>
  <si>
    <t>750-8549-00</t>
  </si>
  <si>
    <t>PR2409000010</t>
  </si>
  <si>
    <t>PO2409000394</t>
  </si>
  <si>
    <t>CBUP-FS-PROFILE 2 (L), N/A, 803-0612-00</t>
  </si>
  <si>
    <t>803-0612-00</t>
  </si>
  <si>
    <t>AWS3004-FS-PROFILE 7, N/A, 802-4021-00</t>
  </si>
  <si>
    <t>802-4021-00</t>
  </si>
  <si>
    <t>AWS300CBUP-FS-PROFILE 9, N/A, 802-5734-00</t>
  </si>
  <si>
    <t>802-5734-00</t>
  </si>
  <si>
    <t>AWS300CBUP-FS-PROFILE 15, N/A, 802-5735-00</t>
  </si>
  <si>
    <t>802-5735-00</t>
  </si>
  <si>
    <t>AWS300CBUP-FS-PROFILE 16, N/A, 802-5737-00</t>
  </si>
  <si>
    <t>802-5737-00</t>
  </si>
  <si>
    <t>AWS300CBUP-FS-PROFILE 13, N/A, 802-5738-00</t>
  </si>
  <si>
    <t>802-5738-00</t>
  </si>
  <si>
    <t>AWS3004-FS-PROFILE 25, N/A, 802-4039-00</t>
  </si>
  <si>
    <t>802-4039-00</t>
  </si>
  <si>
    <t>AWS3004-FS-PROFILE 30, N/A, 802-4044-00</t>
  </si>
  <si>
    <t>802-4044-00</t>
  </si>
  <si>
    <t>AWS3004-FS-PROFILE 27, N/A, 802-4041-00</t>
  </si>
  <si>
    <t>802-4041-00</t>
  </si>
  <si>
    <t>AWS300CBUP-FS-PROFILE 14, N/A, 802-5739-00</t>
  </si>
  <si>
    <t>802-5739-00</t>
  </si>
  <si>
    <t>AWS3004-FS-PROFILE 26, N/A, 802-4040-00</t>
  </si>
  <si>
    <t>802-4040-00</t>
  </si>
  <si>
    <t>AWS300CBUP-FS-PROFILE 4, N/A, 802-5742-00</t>
  </si>
  <si>
    <t>802-5742-00</t>
  </si>
  <si>
    <t>AWS3004-FS-PROFILE 21, N/A, 802-4035-01</t>
  </si>
  <si>
    <t>802-4035-01</t>
  </si>
  <si>
    <t>AWS300CBUP-FS-PROFILE 6, N/A, 802-5744-00</t>
  </si>
  <si>
    <t>802-5744-00</t>
  </si>
  <si>
    <t>AWS3004-FS-PROFILE 8, N/A, 802-4022-00</t>
  </si>
  <si>
    <t>802-4022-00</t>
  </si>
  <si>
    <t>AWS3004-FS-PROFILE 18, N/A, 802-4032-01</t>
  </si>
  <si>
    <t>802-4032-01</t>
  </si>
  <si>
    <t>AWS3004-FS-PROFILE 23, N/A, 802-4037-00</t>
  </si>
  <si>
    <t>802-4037-00</t>
  </si>
  <si>
    <t>AWS300CBUP-FS-PROFILE 17, N/A, 802-5745-00</t>
  </si>
  <si>
    <t>802-5745-00</t>
  </si>
  <si>
    <t>AWS300CBUP-FS-PROFILE 12, N/A, 802-5746-00</t>
  </si>
  <si>
    <t>802-5746-00</t>
  </si>
  <si>
    <t>AWS3004-FS-JOINT PLATE, N/A, 802-4048-01</t>
  </si>
  <si>
    <t>802-4048-01</t>
  </si>
  <si>
    <t>AWS3004-FS-PROFILE 29, N/A, 802-4043-01</t>
  </si>
  <si>
    <t>802-4043-01</t>
  </si>
  <si>
    <t>AWS3004-FS-PROFILE 31, N/A, 802-4045-00</t>
  </si>
  <si>
    <t>802-4045-00</t>
  </si>
  <si>
    <t>AWS3004-FS-PROFILE 19, N/A, 802-4033-00</t>
  </si>
  <si>
    <t>802-4033-00</t>
  </si>
  <si>
    <t>AWS300CBUP-FS-SUPPORT BLOCK, N/A, 802-5865-00</t>
  </si>
  <si>
    <t>802-5865-00</t>
  </si>
  <si>
    <t>AWS3004-FS-PROFILE SUPPORT, N/A, 802-4150-00</t>
  </si>
  <si>
    <t>802-4150-00</t>
  </si>
  <si>
    <t>CBUP-FS-PROFILE 3 (L), N/A, 803-0614-01</t>
  </si>
  <si>
    <t>803-0614-01</t>
  </si>
  <si>
    <t>AWS300CBUP-FS-PROFILE 33(L), N/A, 803-0637-00</t>
  </si>
  <si>
    <t>803-0637-00</t>
  </si>
  <si>
    <t>CBUP-FS-PROFILE 24 (L), N/A, 803-0610-00</t>
  </si>
  <si>
    <t>803-0610-00</t>
  </si>
  <si>
    <t>CBUP-FS-PROFILE 5 (L), N/A, 803-0613-00</t>
  </si>
  <si>
    <t>803-0613-00</t>
  </si>
  <si>
    <t>AWS3004-FS-PROFILE 5, N/A, 803-0611-01</t>
  </si>
  <si>
    <t>803-0611-01</t>
  </si>
  <si>
    <t>AWS3004-FS-PROFILE 24, N/A, 803-0076-00</t>
  </si>
  <si>
    <t>803-0076-00</t>
  </si>
  <si>
    <t>CBUP-FS-PC SUPPORT 40X40 PROFILE 1, N/A, 803-1120-00</t>
  </si>
  <si>
    <t>803-1120-00</t>
  </si>
  <si>
    <t>AWS300CBUP-FS-80X80 PROFILE #1, N/A, 805-0232-00</t>
  </si>
  <si>
    <t>805-0232-00</t>
  </si>
  <si>
    <t>AWS300CBUP-FS-80X80 PROFILE #2, N/A, 805-0233-00</t>
  </si>
  <si>
    <t>805-0233-00</t>
  </si>
  <si>
    <t>AWS300CBUP-FS-80X80 PROFILE #3, N/A, 805-0234-00</t>
  </si>
  <si>
    <t>805-0234-00</t>
  </si>
  <si>
    <t>AWS300CBUP-FS-80X80 PROFILE #4, N/A, 805-0235-00</t>
  </si>
  <si>
    <t>805-0235-00</t>
  </si>
  <si>
    <t>AWS300CBUP-FS-80X80 PROFILE #5, N/A, 805-0236-00</t>
  </si>
  <si>
    <t>805-0236-00</t>
  </si>
  <si>
    <t>AWS300CBUP-FS-80X80 PROFILE #6, N/A, 805-0237-00</t>
  </si>
  <si>
    <t>805-0237-00</t>
  </si>
  <si>
    <t>AWS300CBUP-FS-40X40 PROFILE #1, N/A, 805-0238-00</t>
  </si>
  <si>
    <t>805-0238-00</t>
  </si>
  <si>
    <t>AWS300CBUP-FS-40X40 PROFILE #2, N/A, 805-0239-00</t>
  </si>
  <si>
    <t>805-0239-00</t>
  </si>
  <si>
    <t>AWS300CBUP-FS-40X40 PROFILE #3, N/A, 805-0240-00</t>
  </si>
  <si>
    <t>805-0240-00</t>
  </si>
  <si>
    <t>AWS300CBUP-FS-40X40 PROFILE #4, N/A, 805-0241-00</t>
  </si>
  <si>
    <t>805-0241-00</t>
  </si>
  <si>
    <t>AWS300CBUP-FS-40X80 PROFILE #1, N/A, 805-0242-00</t>
  </si>
  <si>
    <t>805-0242-00</t>
  </si>
  <si>
    <t>AWS300CBUP-FS-40X80 PROFILE #2, N/A, 805-0243-00</t>
  </si>
  <si>
    <t>805-0243-00</t>
  </si>
  <si>
    <t>AWS300CBUP-FS-40X80 PROFILE #3, N/A, 805-0244-00</t>
  </si>
  <si>
    <t>805-0244-00</t>
  </si>
  <si>
    <t>AWS300CBUP-FS-40X80 PROFILE #4, N/A, 805-0245-00</t>
  </si>
  <si>
    <t>805-0245-00</t>
  </si>
  <si>
    <t>AWS300CBUP-FS-40X80 PROFILE #5, N/A, 805-0246-00</t>
  </si>
  <si>
    <t>805-0246-00</t>
  </si>
  <si>
    <t>AWS300CBUP-FS-40X80 PROFILE #6, N/A, 805-0247-00</t>
  </si>
  <si>
    <t>805-0247-00</t>
  </si>
  <si>
    <t>AWS300CBUP-FS-40X80 PROFILE #7, N/A, 805-0248-00</t>
  </si>
  <si>
    <t>805-0248-00</t>
  </si>
  <si>
    <t>AWS300CBUP-FS-40X80 PROFILE #8, N/A, 805-0249-00</t>
  </si>
  <si>
    <t>805-0249-00</t>
  </si>
  <si>
    <t>AWS300CBUP-FS-40X80 PROFILE #9, N/A, 805-0250-00</t>
  </si>
  <si>
    <t>805-0250-00</t>
  </si>
  <si>
    <t>AWS300CBUP-FS-40X80 PROFILE #10, N/A, 805-0251-00</t>
  </si>
  <si>
    <t>805-0251-00</t>
  </si>
  <si>
    <t>AWS300CBUP-FS-BTM BASE PLT 1, N/A, 805-0333-00</t>
  </si>
  <si>
    <t>805-0333-00</t>
  </si>
  <si>
    <t>PR2409000009</t>
  </si>
  <si>
    <t>PO2410000055</t>
  </si>
  <si>
    <t>AWS300CBUP-FS-BTM BASE PLT 2, N/A, 805-0334-00</t>
  </si>
  <si>
    <t>805-0334-00</t>
  </si>
  <si>
    <t>AWS300CBUP-FS-BTM BASE PLT 3, N/A, 805-0335-00</t>
  </si>
  <si>
    <t>805-0335-00</t>
  </si>
  <si>
    <t>AWS300CBUP-FS-BTM BASE PLT 4, N/A, 805-0336-00</t>
  </si>
  <si>
    <t>805-0336-00</t>
  </si>
  <si>
    <t>AWS300CBUP-FS-BTM BASE PLT 5, N/A, 805-0337-00</t>
  </si>
  <si>
    <t>805-0337-00</t>
  </si>
  <si>
    <t>AWS300CBUP-FS-BTM BASE PLT 6, N/A, 805-0338-00</t>
  </si>
  <si>
    <t>805-0338-00</t>
  </si>
  <si>
    <t>AWS300CBUP-FS-FRL PLT, N/A, 805-0329-00</t>
  </si>
  <si>
    <t>805-0329-00</t>
  </si>
  <si>
    <t>AWS300CBUP-FS-CASTER WHEEL PLT 2, N/A, 805-0331-00</t>
  </si>
  <si>
    <t>805-0331-00</t>
  </si>
  <si>
    <t>PO2410000058</t>
  </si>
  <si>
    <t>AWS300CBUP-FS-SP PROFILE SKELETON ASSEM, N/A, 750-8550-00</t>
  </si>
  <si>
    <t>750-8550-00</t>
  </si>
  <si>
    <t>AWS300CBUP-FS-SP PROFILE 80X80 #1, N/A, 805-0354-00</t>
  </si>
  <si>
    <t>805-0354-00</t>
  </si>
  <si>
    <t>AWS300CBUP-FS-SP PROFILE 80X80 #2, N/A, 805-0355-00</t>
  </si>
  <si>
    <t>805-0355-00</t>
  </si>
  <si>
    <t>AWS300CBUP-FS-SP PROFILE 80X80 #3, N/A, 805-0356-00</t>
  </si>
  <si>
    <t>805-0356-00</t>
  </si>
  <si>
    <t>AWS300CBUP-FS-SP PROFILE 40X80 #1, N/A, 805-0357-00</t>
  </si>
  <si>
    <t>805-0357-00</t>
  </si>
  <si>
    <t>AWS300CBUP-FS-SP PROFILE 40X80 #2, N/A, 805-0358-00</t>
  </si>
  <si>
    <t>805-0358-00</t>
  </si>
  <si>
    <t>AWS300CBUP-FS-SP PROFILE 40X80 #3, N/A, 805-0359-00</t>
  </si>
  <si>
    <t>805-0359-00</t>
  </si>
  <si>
    <t>AWS300CBUP-FS-SP PROFILE 40X80 #4, N/A, 805-0360-00</t>
  </si>
  <si>
    <t>805-0360-00</t>
  </si>
  <si>
    <t>AWS300CBUP-FS-SP PROFILE 40X80 #5, N/A, 805-0361-00</t>
  </si>
  <si>
    <t>805-0361-00</t>
  </si>
  <si>
    <t>AWS300CBUP-FS-SP PROFILE 40X80 #6, N/A, 805-0362-00</t>
  </si>
  <si>
    <t>805-0362-00</t>
  </si>
  <si>
    <t>AWS300CBUP-FS-SP PROFILE 40X80 #7, N/A, 805-0363-00</t>
  </si>
  <si>
    <t>805-0363-00</t>
  </si>
  <si>
    <t>AWS300CBUP-FS-SP PROFILE 40X80 #8, N/A, 805-0364-00</t>
  </si>
  <si>
    <t>805-0364-00</t>
  </si>
  <si>
    <t>AWS300CBUP-FS-SP PROFILE 40X80 #9, N/A, 805-0365-00</t>
  </si>
  <si>
    <t>805-0365-00</t>
  </si>
  <si>
    <t>AWS300CBUP-FS-SP PROFILE 40X40 #1, N/A, 805-0366-00</t>
  </si>
  <si>
    <t>805-0366-00</t>
  </si>
  <si>
    <t>AWS300CBUP-FS-SP PROFILE 40X40 #2, N/A, 805-0367-00</t>
  </si>
  <si>
    <t>805-0367-00</t>
  </si>
  <si>
    <t>AWS300CBUP-FS-SP PROFILE 40X40 #3, N/A, 805-0368-00</t>
  </si>
  <si>
    <t>805-0368-00</t>
  </si>
  <si>
    <t>AWS300CBUP-FS-SP PROFILE 40X40 #4, N/A, 805-0369-00</t>
  </si>
  <si>
    <t>805-0369-00</t>
  </si>
  <si>
    <t>AWS300CBUP-FS-SP PROFILE 40X40 #5, N/A, 805-0370-00</t>
  </si>
  <si>
    <t>805-0370-00</t>
  </si>
  <si>
    <t>AWS300CBUP-FS-SP PROFILE 40X40 #6, N/A, 805-0371-00</t>
  </si>
  <si>
    <t>805-0371-00</t>
  </si>
  <si>
    <t>AWS300CBUP-FS-SP EE BOX, N/A, 750-8551-00</t>
  </si>
  <si>
    <t>750-8551-00</t>
  </si>
  <si>
    <t>AWS300CBUP-FS-SWING EE PANEL, N/A, 805-0375-00</t>
  </si>
  <si>
    <t>805-0375-00</t>
  </si>
  <si>
    <t>AWS300CBUP-FS-SWING PANEL BTM FOOT, N/A, 805-0376-00</t>
  </si>
  <si>
    <t>805-0376-00</t>
  </si>
  <si>
    <t>AWS300CBUP-FS-SP PROFILE BTM PLT, N/A, 805-0380-00</t>
  </si>
  <si>
    <t>805-0380-00</t>
  </si>
  <si>
    <t>PO2410000054</t>
  </si>
  <si>
    <t>AWS300CBUP-FS-COINSTACK EE BOX, N/A, 805-0382-00</t>
  </si>
  <si>
    <t>805-0382-00</t>
  </si>
  <si>
    <t>AWS300CBUP-FS-IONIZER BRACKET, N/A, 802-6049-00</t>
  </si>
  <si>
    <t>802-6049-00</t>
  </si>
  <si>
    <t>PO2410000053</t>
  </si>
  <si>
    <t>AWS300CBUP-FS-IONIZER BRACKET (LONGER), N/A, 803-1129-01</t>
  </si>
  <si>
    <t>803-1129-01</t>
  </si>
  <si>
    <t>ST-HINGE BLOCK, N/A, 800-9646-00</t>
  </si>
  <si>
    <t>800-9646-00</t>
  </si>
  <si>
    <t>PO2410000057</t>
  </si>
  <si>
    <t>AWS300CBUP-FS-FRL PLUNGER BLOCK, N/A, 804-2026-00</t>
  </si>
  <si>
    <t>804-2026-00</t>
  </si>
  <si>
    <t>AWS3004-FS-GUIDE PLATE, N/A, 802-4111-02</t>
  </si>
  <si>
    <t>802-4111-02</t>
  </si>
  <si>
    <t>PO2410000052</t>
  </si>
  <si>
    <t>AWS3004-FS-REINFORCED PLATE, N/A, 802-4112-00</t>
  </si>
  <si>
    <t>802-4112-00</t>
  </si>
  <si>
    <t>AWS300CBUP-FS-TRUNKING SUPPORT 6, N/A, 803-4511-00</t>
  </si>
  <si>
    <t>803-4511-00</t>
  </si>
  <si>
    <t>AWS3004-FS-CCTV BRACKET, N/A, 802-4559-02</t>
  </si>
  <si>
    <t>802-4559-02</t>
  </si>
  <si>
    <t>AST-CAMERA BRACKET, N/A, 801-4049-03</t>
  </si>
  <si>
    <t>801-4049-03</t>
  </si>
  <si>
    <t>ST-IONIZER DRIVE UNIT PLATE, N/A, 802-1263-00</t>
  </si>
  <si>
    <t>802-1263-00</t>
  </si>
  <si>
    <t>AWS300CBUP-FS-IONIZER BRACKET (M), N/A, 802-6050-00</t>
  </si>
  <si>
    <t>802-6050-00</t>
  </si>
  <si>
    <t>AWS300CBUP-FS-IONIZER PLATE, N/A, 802-6065-00</t>
  </si>
  <si>
    <t>802-6065-00</t>
  </si>
  <si>
    <t>CPUB-ST-FOUP PORT REST, N/A, 800-9916-03</t>
  </si>
  <si>
    <t>800-9916-03</t>
  </si>
  <si>
    <t>CPUB-ST-FOUP PORT REST SPACER, N/A, 803-0588-00</t>
  </si>
  <si>
    <t>803-0588-00</t>
  </si>
  <si>
    <t>AWS300CBUP-FS-FOUP CON PLT, N/A, 804-9304-00</t>
  </si>
  <si>
    <t>804-9304-00</t>
  </si>
  <si>
    <t xml:space="preserve">RC </t>
  </si>
  <si>
    <t>CBUP-FS-FOUP MOUNTING BAR, N/A, 805-0043-01</t>
  </si>
  <si>
    <t>805-0043-01</t>
  </si>
  <si>
    <t>CBUP-FS-FOUP MOUNTING BAR (M), N/A, 805-0044-01</t>
  </si>
  <si>
    <t>805-0044-01</t>
  </si>
  <si>
    <t>AWS300CBUP-FS-LEVELING PLT ASSEM, N/A, 804-9072-00</t>
  </si>
  <si>
    <t>804-9072-00</t>
  </si>
  <si>
    <t>AWS3004-FS-PROFILE 34, N/A, 804-9071-00</t>
  </si>
  <si>
    <t>804-9071-00</t>
  </si>
  <si>
    <t>TP-UPS CLAMP, N/A, 802-2189-00</t>
  </si>
  <si>
    <t>802-2189-00</t>
  </si>
  <si>
    <t>SME-200R-PC ADAPTER CLAMP, N/A, 802-9878-01</t>
  </si>
  <si>
    <t>802-9878-01</t>
  </si>
  <si>
    <t>ALM300-FS-RS232 HUB CLAMP, N/A, 804-5572-00</t>
  </si>
  <si>
    <t>804-5572-00</t>
  </si>
  <si>
    <t>AWS-TRUNKING SUPPORT 2, N/A, 803-0670-00</t>
  </si>
  <si>
    <t>803-0670-00</t>
  </si>
  <si>
    <t>AWS300CBUP-FS-PROFILE REINFORCE PLT 1, N/A, 804-9939-00</t>
  </si>
  <si>
    <t>804-9939-00</t>
  </si>
  <si>
    <t>AWS300CBUP-FS-PROFILE REINFORCE PLT 2, N/A, 804-9940-00</t>
  </si>
  <si>
    <t>804-9940-00</t>
  </si>
  <si>
    <t>AWM300A-FS-EMO BRACKET #1, N/A, 803-2112-00</t>
  </si>
  <si>
    <t>803-2112-00</t>
  </si>
  <si>
    <t>AWS300CBUP-FS-IONIZER VALVE PLATE, N/A, 802-6056-00</t>
  </si>
  <si>
    <t>802-6056-00</t>
  </si>
  <si>
    <t>FD 22/Oct</t>
  </si>
  <si>
    <t>AWS-TRUNKING SUPPORT 4, N/A, 803-0669-00</t>
  </si>
  <si>
    <t>803-0669-00</t>
  </si>
  <si>
    <t>AWS-TRUNKING SUPPORT, N/A, 803-0668-02</t>
  </si>
  <si>
    <t>803-0668-02</t>
  </si>
  <si>
    <t>AWS300CBUP-FS-RECORDER BRACKET 1, N/A, 802-6047-00</t>
  </si>
  <si>
    <t>802-6047-00</t>
  </si>
  <si>
    <t>AWS-RECORDER BRACKET (TI), N/A, 803-0672-01</t>
  </si>
  <si>
    <t>803-0672-01</t>
  </si>
  <si>
    <t>AWS300CBUP-BOTTOM BASE PLATE(TI), N/A, 803-0675-01</t>
  </si>
  <si>
    <t>803-0675-01</t>
  </si>
  <si>
    <t>AWS300CBUP-FS-TRUNKING PLATE, N/A, 802-5921-00</t>
  </si>
  <si>
    <t>802-5921-00</t>
  </si>
  <si>
    <t>AWS300CBUP-FS-FAN BRACKET, N/A, 802-6060-00</t>
  </si>
  <si>
    <t>802-6060-00</t>
  </si>
  <si>
    <t>AWS300CBUP-FS-TRUNKING SUPPORT PLT, N/A, 804-2616-00</t>
  </si>
  <si>
    <t>804-2616-00</t>
  </si>
  <si>
    <t>AWM3680I-ST-40A PB AC SPACER, N/A, 804-4056-00</t>
  </si>
  <si>
    <t>804-4056-00</t>
  </si>
  <si>
    <t>AWM3680I-ST-40A PB LINE FILTER BRK, N/A, 804-4057-00</t>
  </si>
  <si>
    <t>804-4057-00</t>
  </si>
  <si>
    <t>AWM3680I-ST-40A PB CONNECTOR PLT, N/A, 804-4058-00</t>
  </si>
  <si>
    <t>804-4058-00</t>
  </si>
  <si>
    <t>AWM3680I-ST-40A PB MAIN BASE, N/A, 804-4055-00</t>
  </si>
  <si>
    <t>804-4055-00</t>
  </si>
  <si>
    <t>AWM3680I-ST-40A PB MAIN COVER, N/A, 804-4060-00</t>
  </si>
  <si>
    <t>804-4060-00</t>
  </si>
  <si>
    <t>AWM3680I-ST-40A PB PSU COVER, N/A, 804-6139-00</t>
  </si>
  <si>
    <t>804-6139-00</t>
  </si>
  <si>
    <t>AWM3680I-ST-40A PB ACCESS COVER, N/A, 804-4059-00</t>
  </si>
  <si>
    <t>804-4059-00</t>
  </si>
  <si>
    <t>AWS300CBUP-FS-EE PANEL SHIELD 2 (TI), N/A, 803-1214-00</t>
  </si>
  <si>
    <t>803-1214-00</t>
  </si>
  <si>
    <t>AWE200C-ST-USB HUB BRKT, N/A, 804-6636-00</t>
  </si>
  <si>
    <t>804-6636-00</t>
  </si>
  <si>
    <t>PO2410000056</t>
  </si>
  <si>
    <t>AFP300-FS-SERVICE LIGHT SWITCH BRK, N/A, 803-0522-01</t>
  </si>
  <si>
    <t>803-0522-01</t>
  </si>
  <si>
    <t>AWS-MAIN PNEU PLATE, N/A, 803-0681-03</t>
  </si>
  <si>
    <t>803-0681-03</t>
  </si>
  <si>
    <t>AWS300CBUP-FS-SP EE BOX, N/A, 750-8724-00</t>
  </si>
  <si>
    <t>750-8724-00</t>
  </si>
  <si>
    <t>PR2409000016</t>
  </si>
  <si>
    <t>PO2409000392</t>
  </si>
  <si>
    <t>AWS300CBUP-FS-FOUP ALIGNMENT JIG, N/A, 802-5923-01</t>
  </si>
  <si>
    <t>802-5923-01</t>
  </si>
  <si>
    <t>PR2409000072</t>
  </si>
  <si>
    <t>PO2410000352</t>
  </si>
  <si>
    <t>AWS300CBUP-FS-FOUP SIDE ALIGNMENT JIG, N/A, 802-5922-01</t>
  </si>
  <si>
    <t>802-5922-01</t>
  </si>
  <si>
    <t>AWS300CBUP-FS-CASTER WHEEL PLT 3, N/A, 805-0330-00</t>
  </si>
  <si>
    <t>805-0330-00</t>
  </si>
  <si>
    <t>AWS300CBUP-FS-CASTER WHEEL PLT 4, N/A, 805-0486-00</t>
  </si>
  <si>
    <t>805-0486-00</t>
  </si>
  <si>
    <t>AWS300CBUP-FS-TRUNKING MOUNT PLT, N/A, 805-0332-00</t>
  </si>
  <si>
    <t>805-0332-00</t>
  </si>
  <si>
    <t>PO2410000348</t>
  </si>
  <si>
    <t>AWS300CBUP-FS-SWG DOOR INTERLCK BRK, N/A, 805-0340-00</t>
  </si>
  <si>
    <t>805-0340-00</t>
  </si>
  <si>
    <t>AWS300CBUP-FS-UPS MOUNT PLT, N/A, 805-0342-00</t>
  </si>
  <si>
    <t>805-0342-00</t>
  </si>
  <si>
    <t>AWS300CBUP-FS-PC ADAPTER PLT, N/A, 805-0343-00</t>
  </si>
  <si>
    <t>805-0343-00</t>
  </si>
  <si>
    <t>AWS300CBUP-FS-MASTER PLUG PLT, N/A, 805-0344-00</t>
  </si>
  <si>
    <t>805-0344-00</t>
  </si>
  <si>
    <t>AWS300CBUP-FS-HUB PANEL, N/A, 805-0345-00</t>
  </si>
  <si>
    <t>805-0345-00</t>
  </si>
  <si>
    <t>AWS300CBUP-FS-RS232 HUB CLAMP (4 PORT), N/A, 805-0346-00</t>
  </si>
  <si>
    <t>805-0346-00</t>
  </si>
  <si>
    <t>AWS300CBUP-FS-CB BASE MOUNT BAR, N/A, 805-0348-00</t>
  </si>
  <si>
    <t>805-0348-00</t>
  </si>
  <si>
    <t>PO2410000350</t>
  </si>
  <si>
    <t>AWS300CBUP-FS-TRUNKING MOUNT PLT 2, N/A, 805-0351-00</t>
  </si>
  <si>
    <t>805-0351-00</t>
  </si>
  <si>
    <t>AWS300CBUP-FS-REINFORCE PLT, N/A, 805-0352-00</t>
  </si>
  <si>
    <t>805-0352-00</t>
  </si>
  <si>
    <t>AWS300CBUP-FS-SP PLUNGER HOLDER, N/A, 805-0353-00</t>
  </si>
  <si>
    <t>805-0353-00</t>
  </si>
  <si>
    <t>AWS300CBUP-FS-SP TOP B. HOUSING CLAMP BLK, N/A, 805-0372-00</t>
  </si>
  <si>
    <t>805-0372-00</t>
  </si>
  <si>
    <t>AWS300CBUP-FS-SP BTM BEARING HOUSING, N/A, 805-0373-00</t>
  </si>
  <si>
    <t>805-0373-00</t>
  </si>
  <si>
    <t>AWS300CBUP-FS-SP TOP BEARING HOUSING, N/A, 805-0374-00</t>
  </si>
  <si>
    <t>805-0374-00</t>
  </si>
  <si>
    <t>AWS300CBUP-FS-SP SPT ROLLER HOUSING, N/A, 805-0377-00</t>
  </si>
  <si>
    <t>805-0377-00</t>
  </si>
  <si>
    <t>AWS300CBUP-FS-SP MAGNET CATCH BRK (BTM), N/A, 805-0378-00</t>
  </si>
  <si>
    <t>805-0378-00</t>
  </si>
  <si>
    <t>AWS300CBUP-FS-SP INTERLOCK KEY PLT, N/A, 805-0379-00</t>
  </si>
  <si>
    <t>805-0379-00</t>
  </si>
  <si>
    <t>AWM300CBUP-FS-TOP SUPPORT PLT, N/A, 805-0381-00</t>
  </si>
  <si>
    <t>805-0381-00</t>
  </si>
  <si>
    <t>AWS300CBUP-FS-SP SPANNER LOCK BRK, N/A, 805-0485-00</t>
  </si>
  <si>
    <t>805-0485-00</t>
  </si>
  <si>
    <t>AWS300CBUP-FS-SP LEAD IN BLK, N/A, 805-0443-00</t>
  </si>
  <si>
    <t>805-0443-00</t>
  </si>
  <si>
    <t>AWS300CBUP-FS-HOOK UP PANEL, N/A, 805-0488-00</t>
  </si>
  <si>
    <t>805-0488-00</t>
  </si>
  <si>
    <t>AWS300CBUP-FS-REAR END PROTECTIVE COVER #1, N/A, 805-0497-00</t>
  </si>
  <si>
    <t>805-0497-00</t>
  </si>
  <si>
    <t>AWS300CBUP-FS-REAR END PROTECTIVE COVER #2, N/A, 805-0498-00</t>
  </si>
  <si>
    <t>805-0498-00</t>
  </si>
  <si>
    <t>AWS300CBUP-FS-SP MAGNET CATCH PLT, N/A, 805-0495-00</t>
  </si>
  <si>
    <t>805-0495-00</t>
  </si>
  <si>
    <t>AWS300CBUP-FS-SP MAGNET CATCH BRK (TOP), N/A, 805-0496-00</t>
  </si>
  <si>
    <t>805-0496-00</t>
  </si>
  <si>
    <t>AWS300CBUP-FS-CB BASE MOUNT BAR 2, N/A, 805-0499-00</t>
  </si>
  <si>
    <t>805-0499-00</t>
  </si>
  <si>
    <t>AWM300D-LMS-SP BTM BEARING SPT SHAFT, N/A, 804-9003-00</t>
  </si>
  <si>
    <t>804-9003-00</t>
  </si>
  <si>
    <t>AWM300D-LMS- SP TOP BEARING SHAFT, N/A, 804-9006-00</t>
  </si>
  <si>
    <t>804-9006-00</t>
  </si>
  <si>
    <t>AWM300D-LMS-SWING PANEL TOP BRK, N/A, 804-9015-00</t>
  </si>
  <si>
    <t>804-9015-00</t>
  </si>
  <si>
    <t>AWM300D-LMS-SP SPT ROLLER SHAFT, N/A, 804-9110-00</t>
  </si>
  <si>
    <t>804-9110-00</t>
  </si>
  <si>
    <t>AWM300D-LMS-SP ROLLER ADJ PLT, N/A, 804-9014-00</t>
  </si>
  <si>
    <t>804-9014-00</t>
  </si>
  <si>
    <t>PO2410000353</t>
  </si>
  <si>
    <t>AWM300D-LMS-SP PLUNGER LOCK IN PLT, N/A, 804-9018-00</t>
  </si>
  <si>
    <t>804-9018-00</t>
  </si>
  <si>
    <t>AWM300D-LMS-SP SUPPORT PLT, N/A, 804-9451-00</t>
  </si>
  <si>
    <t>804-9451-00</t>
  </si>
  <si>
    <t>AWM300D-LMS-SP SUPPORT L BLK, N/A, 804-9450-00</t>
  </si>
  <si>
    <t>804-9450-00</t>
  </si>
  <si>
    <t>AWM300D-LMS-RELEASE PLUNGER STICKER, N/A, 804-9358-00</t>
  </si>
  <si>
    <t>804-9358-00</t>
  </si>
  <si>
    <t>PO2410000349</t>
  </si>
  <si>
    <t>AWM300D-LMS-PLUNGER POS STICKER, N/A, 804-9359-00</t>
  </si>
  <si>
    <t>804-9359-00</t>
  </si>
  <si>
    <t>WL300F-FS-COVER HINGE BLK, N/A, 804-0971-00</t>
  </si>
  <si>
    <t>804-0971-00</t>
  </si>
  <si>
    <t>PO2410000347</t>
  </si>
  <si>
    <t>AWM300D-LMS-SP MAGNETIC CATCH BKT, N/A, 804-9021-00</t>
  </si>
  <si>
    <t>804-9021-00</t>
  </si>
  <si>
    <t>AWM300D-LMS-SP MICROSWITCH BRK, N/A, 804-9118-00</t>
  </si>
  <si>
    <t>804-9118-00</t>
  </si>
  <si>
    <t>AWM300D-LMS-SP DOOR HANDLE PLATE, N/A, 804-9019-00</t>
  </si>
  <si>
    <t>804-9019-00</t>
  </si>
  <si>
    <t>DISCONNECT SWITCH SAFETY COVER (TI), N/A, 803-1542-01</t>
  </si>
  <si>
    <t>803-1542-01</t>
  </si>
  <si>
    <t>PO2410000351</t>
  </si>
  <si>
    <t>RT - Y CAST TABLE BASE, N/A, 803-0628-00</t>
  </si>
  <si>
    <t>803-0628-00</t>
  </si>
  <si>
    <t>PR2410000220</t>
  </si>
  <si>
    <t>PO2410000603</t>
  </si>
  <si>
    <t>2024-11-07</t>
  </si>
  <si>
    <t xml:space="preserve">Wei Thong </t>
  </si>
  <si>
    <t>pick from store to go modify - To Vendor YK CNC</t>
  </si>
  <si>
    <t>AWS300CBUP-MOLD CASTING STAND, N/A, 803-0629-00</t>
  </si>
  <si>
    <t>803-0629-00</t>
  </si>
  <si>
    <t>CBUP-MII300-CHUCK LEVELING BASE, N/A, 803-0802-01</t>
  </si>
  <si>
    <t>803-0802-01</t>
  </si>
  <si>
    <t>PR2411000025</t>
  </si>
  <si>
    <t>CBUP-MII300-CHUCK SIDE WALL, N/A, 803-0803-00</t>
  </si>
  <si>
    <t>803-0803-00</t>
  </si>
  <si>
    <t>AWS300-MI-CHUCK BASE, N/A, 803-0804-00</t>
  </si>
  <si>
    <t>803-0804-00</t>
  </si>
  <si>
    <t>AWS300-MI-X-AXIS CC BRK 1, N/A, 803-0810-00</t>
  </si>
  <si>
    <t>803-0810-00</t>
  </si>
  <si>
    <t>AWS300CBUP-MII300-PNEUMATIC BOX, N/A, 803-4515-00</t>
  </si>
  <si>
    <t>803-4515-00</t>
  </si>
  <si>
    <t>AWS300CBUP-MII300-VACUUM EJECTOR PLT, N/A, 803-4516-00</t>
  </si>
  <si>
    <t>803-4516-00</t>
  </si>
  <si>
    <t>CBUP-MII300-X-AXIS MOT TENSION PLATE, N/A, 803-0826-00</t>
  </si>
  <si>
    <t>803-0826-00</t>
  </si>
  <si>
    <t>CBUP-MII300-X-AXIS MOT TENSIONING PLATE, N/A, 803-0827-00</t>
  </si>
  <si>
    <t>803-0827-00</t>
  </si>
  <si>
    <t>CBUP-MII300-X-AXIS MOT BRK, N/A, 803-0828-01</t>
  </si>
  <si>
    <t>803-0828-01</t>
  </si>
  <si>
    <t>CBUP-MII300-X-AXIS BELT COVER, N/A, 803-0829-00</t>
  </si>
  <si>
    <t>803-0829-00</t>
  </si>
  <si>
    <t>CBUP-MII300-ACT FIX BEARING MOUNT, N/A, 803-0830-00</t>
  </si>
  <si>
    <t>803-0830-00</t>
  </si>
  <si>
    <t>CBUP-MII300-MI-X-TABLE NUT HOUSING, N/A, 803-0831-00</t>
  </si>
  <si>
    <t>803-0831-00</t>
  </si>
  <si>
    <t>CBUP-MII300-X-AXIS BEARING SUPPORT BRK, N/A, 803-0832-00</t>
  </si>
  <si>
    <t>803-0832-00</t>
  </si>
  <si>
    <t>CBUP-MII300-RT-HARD STOPPER, N/A, 803-0833-00</t>
  </si>
  <si>
    <t>803-0833-00</t>
  </si>
  <si>
    <t>CBUP-MII300-X TABLE MACRO SIDE HARD STOPPER, N/A, 803-0834-01</t>
  </si>
  <si>
    <t>803-0834-01</t>
  </si>
  <si>
    <t>CBUP-MII300-X-AXIS SENSOR FLAG, N/A, 803-0835-00</t>
  </si>
  <si>
    <t>803-0835-00</t>
  </si>
  <si>
    <t>CBUP-MII300-MOTOR HOUSING COVER, N/A, 803-0836-00</t>
  </si>
  <si>
    <t>803-0836-00</t>
  </si>
  <si>
    <t>CBUP-MII300-MOTOR BRACKET HOUSING, N/A, 803-0837-01</t>
  </si>
  <si>
    <t>803-0837-01</t>
  </si>
  <si>
    <t>CBUP-MII300-Y-TABLE NUT HOUSING, N/A, 803-0838-00</t>
  </si>
  <si>
    <t>803-0838-00</t>
  </si>
  <si>
    <t>CBUP-MII300-Y-TABLE BEARING FIX BRACKET, N/A, 803-0839-00</t>
  </si>
  <si>
    <t>803-0839-00</t>
  </si>
  <si>
    <t>CBUP-MII300-RT-Y-CAST TABLE BASE, N/A, 803-0840-01</t>
  </si>
  <si>
    <t>803-0840-01</t>
  </si>
  <si>
    <t>CBUP-MII300-X-TABLE SET SCREW BLOCK, N/A, 803-0912-00</t>
  </si>
  <si>
    <t>803-0912-00</t>
  </si>
  <si>
    <t>CBUP-MII300-X-AXIS CC BRK 2, N/A, 803-0811-00</t>
  </si>
  <si>
    <t>803-0811-00</t>
  </si>
  <si>
    <t>CBUP-MII300-Y-AXIS CC BRK, N/A, 803-0812-00</t>
  </si>
  <si>
    <t>803-0812-00</t>
  </si>
  <si>
    <t>CBUP-MII300-Y-AXIS HOME SENSOR FLAG, N/A, 803-0851-00</t>
  </si>
  <si>
    <t>803-0851-00</t>
  </si>
  <si>
    <t>CBUP-MII300-X-AXIS BASE, N/A, 803-0880-03</t>
  </si>
  <si>
    <t>803-0880-03</t>
  </si>
  <si>
    <t>CBUP-MII300-MOLD CASTING STAND, N/A, 803-0842-02</t>
  </si>
  <si>
    <t>803-0842-02</t>
  </si>
  <si>
    <t>CBUP-AF-AL TRUNKING 1, N/A, 804-9060-00</t>
  </si>
  <si>
    <t>804-9060-00</t>
  </si>
  <si>
    <t>CBUP-AF-AL TRUNKING 2, N/A, 804-9061-00</t>
  </si>
  <si>
    <t>804-9061-00</t>
  </si>
  <si>
    <t>48N-PCB CARD HOUSING PLATE, N/A, 802-9165-01</t>
  </si>
  <si>
    <t>802-9165-01</t>
  </si>
  <si>
    <t>48N-PCB CARD HOUSING, N/A, 802-9166-01</t>
  </si>
  <si>
    <t>802-9166-01</t>
  </si>
  <si>
    <t>AWS200CBUP-AF-MOUNT BLK (S), N/A, 804-9048-00</t>
  </si>
  <si>
    <t>804-9048-00</t>
  </si>
  <si>
    <t>AWS200CBUP-AF-MOUNT BLK RIB, N/A, 804-9444-00</t>
  </si>
  <si>
    <t>804-9444-00</t>
  </si>
  <si>
    <t>AWS200CBUP-AF-MOUNT BLK (L), N/A, 804-9064-01</t>
  </si>
  <si>
    <t>804-9064-01</t>
  </si>
  <si>
    <t>CBUP-MII300-PNEUMATIC VALVE PLATE, N/A, 803-0903-01</t>
  </si>
  <si>
    <t>803-0903-01</t>
  </si>
  <si>
    <t>CBUP-MII300-X-AXIS SHIPPING JIG, N/A, 803-0905-01</t>
  </si>
  <si>
    <t>803-0905-01</t>
  </si>
  <si>
    <t>CBUP-MII300-Y-AXIS SHIPPING JIG, N/A, 803-0906-01</t>
  </si>
  <si>
    <t>803-0906-01</t>
  </si>
  <si>
    <t>CBUP-MII300-CHUCK, N/A, 803-0801-01</t>
  </si>
  <si>
    <t>803-0801-01</t>
  </si>
  <si>
    <t>CBUP-AF-IMAGE CALIBRATION JIG, N/A, 804-9377-00</t>
  </si>
  <si>
    <t>804-9377-00</t>
  </si>
  <si>
    <t>AWS300CBUP-AF-LIFTING PIN ACT BASE (N), N/A, 805-1224-00</t>
  </si>
  <si>
    <t>805-1224-00</t>
  </si>
  <si>
    <t>PR2411000122</t>
  </si>
  <si>
    <t>AWS300CBUP-AF-LIFT PIN HOME SENSOR FLAG (N), N/A, 805-1225-00</t>
  </si>
  <si>
    <t>805-1225-00</t>
  </si>
  <si>
    <t>AWS300CBUP-AF-TUBING SUPPORT PLATE (N), N/A, 805-1226-00</t>
  </si>
  <si>
    <t>805-1226-00</t>
  </si>
  <si>
    <t>AWS300-MI-VACUUM LIFTING PLATE, N/A, 803-0766-00</t>
  </si>
  <si>
    <t>803-0766-00</t>
  </si>
  <si>
    <t>AWS300-MI-LIF PIN MANIFOLD, N/A, 803-0767-00</t>
  </si>
  <si>
    <t>803-0767-00</t>
  </si>
  <si>
    <t>AWS300CBUP-AF-VACUUM TUBE (L), N/A, 805-1227-00</t>
  </si>
  <si>
    <t>805-1227-00</t>
  </si>
  <si>
    <t>CBUP-MII300-ANGLE JOIN, N/A, 803-0763-00</t>
  </si>
  <si>
    <t>803-0763-00</t>
  </si>
  <si>
    <t>CBUP-MISUMI-MII300-PSTS15-170 (MODIFY), N/A, 803-0930-00</t>
  </si>
  <si>
    <t>803-0930-00</t>
  </si>
  <si>
    <t>AWS300CBUP-AF-MODIFY MISUMI-PSTS15-160 (N), N/A, 805-1229-00</t>
  </si>
  <si>
    <t>805-1229-00</t>
  </si>
  <si>
    <t>AWS300CBUP-AF-LIFTING ARM (N), N/A, 805-1230-00</t>
  </si>
  <si>
    <t>805-1230-00</t>
  </si>
  <si>
    <t>AWS300CBUP-AF-FITTING BRK, N/A, 805-1231-00</t>
  </si>
  <si>
    <t>805-1231-00</t>
  </si>
  <si>
    <t>RB-TC-GEARHEAD BLOCK LONGER, N/A, 801-3112-01</t>
  </si>
  <si>
    <t>801-3112-01</t>
  </si>
  <si>
    <t>CBUP-MII300-CHUCK (DLCC) (TY), N/A, 804-9917-00</t>
  </si>
  <si>
    <t>804-9917-00</t>
  </si>
  <si>
    <t>CBUP-MII300-CHUCK, N/A, 803-0801-02</t>
  </si>
  <si>
    <t>803-0801-02</t>
  </si>
  <si>
    <t>CBUP-SS-BF WELDED SKELETON ASSEM, N/A, 750-8173-06</t>
  </si>
  <si>
    <t>750-8173-06</t>
  </si>
  <si>
    <t>PR2410000228</t>
  </si>
  <si>
    <t>CBUP-SS-EE PANEL PERSPEX, N/A, 803-0922-00</t>
  </si>
  <si>
    <t>803-0922-00</t>
  </si>
  <si>
    <t>PR2410000226</t>
  </si>
  <si>
    <t xml:space="preserve">Kent Art </t>
  </si>
  <si>
    <t>CBUP-SS-PANEL SUPPORT BRACKET, N/A, 803-0904-00</t>
  </si>
  <si>
    <t>803-0904-00</t>
  </si>
  <si>
    <t>MII300-XY TABLE MODULE BASE, N/A, 803-0815-01</t>
  </si>
  <si>
    <t>803-0815-01</t>
  </si>
  <si>
    <t>CBUP-SS-CONDUIT MOUNT, N/A, 803-0920-00</t>
  </si>
  <si>
    <t>803-0920-00</t>
  </si>
  <si>
    <t>CBUP-SS-TRUNKING SUPPORT BRACKET 1, N/A, 803-0915-01</t>
  </si>
  <si>
    <t>803-0915-01</t>
  </si>
  <si>
    <t>CBUP-SS-TRUNKING SUPPORT BRACKET 2, N/A, 803-0916-01</t>
  </si>
  <si>
    <t>803-0916-01</t>
  </si>
  <si>
    <t>CBUP-SS-TRUNKING SUPPORT BRACKET 3, N/A, 803-0917-01</t>
  </si>
  <si>
    <t>803-0917-01</t>
  </si>
  <si>
    <t>BF-PERFORATED SHEET #2, N/A, 803-0923-00</t>
  </si>
  <si>
    <t>803-0923-00</t>
  </si>
  <si>
    <t>BF-DOCKING PLATE, N/A, 803-0926-00</t>
  </si>
  <si>
    <t>803-0926-00</t>
  </si>
  <si>
    <t>BF-FORK LIFT SUPPORT PLATE, N/A, 803-0925-00</t>
  </si>
  <si>
    <t>803-0925-00</t>
  </si>
  <si>
    <t>BF-AL 40X40 TRUNKING 1, N/A, 803-0931-00</t>
  </si>
  <si>
    <t>803-0931-00</t>
  </si>
  <si>
    <t>SS-TOP STRUCTURE ASSEM, N/A, 750-8174-00</t>
  </si>
  <si>
    <t>750-8174-00</t>
  </si>
  <si>
    <t>Worldwide  APS</t>
  </si>
  <si>
    <t>AWS300-TF-MC SLD SENSOR BRK, N/A, 803-1031-00</t>
  </si>
  <si>
    <t>803-1031-00</t>
  </si>
  <si>
    <t>AWS300-TF-MC SLD SLIDER MOUNT, N/A, 803-0970-00</t>
  </si>
  <si>
    <t>803-0970-00</t>
  </si>
  <si>
    <t>AWS300-TF-MC SLD SHAFT TOP PLATE, N/A, 803-0972-00</t>
  </si>
  <si>
    <t>803-0972-00</t>
  </si>
  <si>
    <t>AWS300-TF-MC SLD SLIDER MOUNT (M), N/A, 803-0973-00</t>
  </si>
  <si>
    <t>803-0973-00</t>
  </si>
  <si>
    <t>AWS300-TF-MC SLD SHAFT BTM PLATE, N/A, 803-0974-00</t>
  </si>
  <si>
    <t>803-0974-00</t>
  </si>
  <si>
    <t>AWS300-TF-MC SLD PULLEY BLOCK, N/A, 803-1034-00</t>
  </si>
  <si>
    <t>803-1034-00</t>
  </si>
  <si>
    <t>AWS300-TF-MC SLD LINEAR SHAFT BLOCK, N/A, 803-1037-00</t>
  </si>
  <si>
    <t>803-1037-00</t>
  </si>
  <si>
    <t>AWS300-TF-MC SLD COUNTER WEIGHT BASE, N/A, 803-1048-00</t>
  </si>
  <si>
    <t>803-1048-00</t>
  </si>
  <si>
    <t>AWS300-TF-MC SLD COUNTER WEIGHT, N/A, 803-1050-00</t>
  </si>
  <si>
    <t>803-1050-00</t>
  </si>
  <si>
    <t>AWS300-TF-MC SLD LIGHT COUNTER WEIGHT, N/A, 803-1052-00</t>
  </si>
  <si>
    <t>803-1052-00</t>
  </si>
  <si>
    <t>AWS300-TF-MICRO LENS CHANGER COVER, N/A, 803-1007-01</t>
  </si>
  <si>
    <t>803-1007-01</t>
  </si>
  <si>
    <t>AWS300-TF-MACRO PANEL BACK COVER, N/A, 803-0987-00</t>
  </si>
  <si>
    <t>803-0987-00</t>
  </si>
  <si>
    <t>AWS300-TF-MI SLIDING DOOR FRONT COVER, N/A, 803-0988-02</t>
  </si>
  <si>
    <t>803-0988-02</t>
  </si>
  <si>
    <t>AWS300-TF-MI LEFT SIDE CORNER COVER, N/A, 803-0989-01</t>
  </si>
  <si>
    <t>803-0989-01</t>
  </si>
  <si>
    <t>AWS-TF-RIGHT SIDE COVER, N/A, 803-0990-01</t>
  </si>
  <si>
    <t>803-0990-01</t>
  </si>
  <si>
    <t>AWS300-TF-TOP COVER (L), N/A, 803-0991-00</t>
  </si>
  <si>
    <t>803-0991-00</t>
  </si>
  <si>
    <t>AWS300-TF-TOP COVER (R), N/A, 803-0992-00</t>
  </si>
  <si>
    <t>803-0992-00</t>
  </si>
  <si>
    <t>AWS300-TF-COVER LOCK JIG, N/A, 803-0993-00</t>
  </si>
  <si>
    <t>803-0993-00</t>
  </si>
  <si>
    <t>AWS300-TF-MACRO ROLLER GUIDE (R), N/A, 803-0994-00</t>
  </si>
  <si>
    <t>803-0994-00</t>
  </si>
  <si>
    <t>AWS300-TF-MACRO ROLLER GUIDE (L), N/A, 803-0995-00</t>
  </si>
  <si>
    <t>803-0995-00</t>
  </si>
  <si>
    <t>AWS300-TF-MC SLD SLIDE DOOR, N/A, 803-1040-02</t>
  </si>
  <si>
    <t>803-1040-02</t>
  </si>
  <si>
    <t>AWS300-TF-MC SLD ROLLER BLOCK, N/A, 803-1041-00</t>
  </si>
  <si>
    <t>803-1041-00</t>
  </si>
  <si>
    <t>AWS300-TF-MC SLD DOOR POLYCARB, N/A, 803-1042-00</t>
  </si>
  <si>
    <t>803-1042-00</t>
  </si>
  <si>
    <t>AWS300-TF-MC SLD BALL CATCH PIN BRK, 803-1043-01</t>
  </si>
  <si>
    <t>803-1043-01</t>
  </si>
  <si>
    <t>AWS300-TF-GUIDE ROLLER MOUNT, N/A, 803-1045-00</t>
  </si>
  <si>
    <t>803-1045-00</t>
  </si>
  <si>
    <t>CBUP-SS-MONITOR ARM SWING BASE, N/A, 803-1077-00</t>
  </si>
  <si>
    <t>803-1077-00</t>
  </si>
  <si>
    <t>ST-DUAL MONITOR MOUNTING, N/A, 802-8620-02</t>
  </si>
  <si>
    <t>802-8620-02</t>
  </si>
  <si>
    <t>ST-TEFLON BUSH, N/A, 802-1253-00</t>
  </si>
  <si>
    <t>802-1253-00</t>
  </si>
  <si>
    <t>CBUP-SS-BOTTOM RIGHT COVER, N/A, 803-0977-02</t>
  </si>
  <si>
    <t>803-0977-02</t>
  </si>
  <si>
    <t>CBUP-SS-TOP LEFT COVER, N/A, 803-0978-03</t>
  </si>
  <si>
    <t>803-0978-03</t>
  </si>
  <si>
    <t>CBUP-SS-BOTTOM LEFT COVER, N/A, 803-0979-02</t>
  </si>
  <si>
    <t>803-0979-02</t>
  </si>
  <si>
    <t>CBUP-SS-LEFT FIX COVER, N/A, 803-0980-01</t>
  </si>
  <si>
    <t>803-0980-01</t>
  </si>
  <si>
    <t>CBUP-SS-BOTTOM RIGHT INNER COVER, N/A, 803-0982-01</t>
  </si>
  <si>
    <t>803-0982-01</t>
  </si>
  <si>
    <t>CBUP-SS-BOTTOM LEFT INNER COVER, N/A, 803-0983-02</t>
  </si>
  <si>
    <t>803-0983-02</t>
  </si>
  <si>
    <t>CBUP-SS-REAR INNER COVER, N/A, 803-0984-01</t>
  </si>
  <si>
    <t>803-0984-01</t>
  </si>
  <si>
    <t>CBUP-SS-MAGNET CATCH BRACKET 1, N/A, 803-0999-00</t>
  </si>
  <si>
    <t>803-0999-00</t>
  </si>
  <si>
    <t>CBUP-SS-SPANNER LOCK BRACKET 1, N/A, 803-1000-00</t>
  </si>
  <si>
    <t>803-1000-00</t>
  </si>
  <si>
    <t>CBUP-SS-SPANNER LOCK BRACKET 2, N/A, 803-1001-00</t>
  </si>
  <si>
    <t>803-1001-00</t>
  </si>
  <si>
    <t>CBUP-SS-MAGNET CATCH BRACKET 2, N/A, 803-1002-00</t>
  </si>
  <si>
    <t>803-1002-00</t>
  </si>
  <si>
    <t>CBUP-SS-ENCLOSURE BTM HOLDER, N/A, 803-1003-00</t>
  </si>
  <si>
    <t>803-1003-00</t>
  </si>
  <si>
    <t>CBUP-SS-FRONT UPPER LEFT CORNER, N/A, 803-1008-01</t>
  </si>
  <si>
    <t>803-1008-01</t>
  </si>
  <si>
    <t>CBUP-SS-FRONT LOWER LEFT CORNER, N/A, 803-1009-01</t>
  </si>
  <si>
    <t>803-1009-01</t>
  </si>
  <si>
    <t>CBUP-SS-COVER SUPPORTING BLOCK, N/A, 803-1010-00</t>
  </si>
  <si>
    <t>803-1010-00</t>
  </si>
  <si>
    <t>CBUP-SS-INNER REAR COVER BRACKET, N/A, 803-1011-00</t>
  </si>
  <si>
    <t>803-1011-00</t>
  </si>
  <si>
    <t>CBUP-SS-RIGHT BOTTOM INNER COVER BRACKET, N/A, 803-1012-00</t>
  </si>
  <si>
    <t>803-1012-00</t>
  </si>
  <si>
    <t>CBUP-SS-WINDOW PERSPEX, N/A, 803-1125-00</t>
  </si>
  <si>
    <t>803-1125-00</t>
  </si>
  <si>
    <t>CBUP-SS-SPANNER LOCK BRACKET 3, N/A, 803-1155-00</t>
  </si>
  <si>
    <t>803-1155-00</t>
  </si>
  <si>
    <t>Taken 1pc</t>
  </si>
  <si>
    <t>RECEIVED 1 PC</t>
  </si>
  <si>
    <t>AWT300BG-SS-EMO MOUNTING PLATE, N/A, 802-2768-00</t>
  </si>
  <si>
    <t>802-2768-00</t>
  </si>
  <si>
    <t>AWS300CBUP-FS-MICROSWITCH MOUNT PLATE 3, N/A, 803-4646-00</t>
  </si>
  <si>
    <t>803-4646-00</t>
  </si>
  <si>
    <t>AWS300CBUP-FS-MICROSWITCH MOUNT PLATE 2, N/A, 803-4645-00</t>
  </si>
  <si>
    <t>803-4645-00</t>
  </si>
  <si>
    <t>AWS300-TF-MICRO COVER SPACER, N/A, 803-0997-00</t>
  </si>
  <si>
    <t>803-0997-00</t>
  </si>
  <si>
    <t>MII300-MICROSCOPE STAND BASE PLATE, N/A, 803-0814-02</t>
  </si>
  <si>
    <t>803-0814-02</t>
  </si>
  <si>
    <t>BF-PERFORATED SHEET #1, N/A, 803-0924-01</t>
  </si>
  <si>
    <t>803-0924-01</t>
  </si>
  <si>
    <t>AWE200C-ST-AL TRUNKING #1, N/A, 804-6651-00</t>
  </si>
  <si>
    <t>804-6651-00</t>
  </si>
  <si>
    <t>AMWS300M-FS-BAR CODE READER HOLDER, N/A, 802-8425-01</t>
  </si>
  <si>
    <t>802-8425-01</t>
  </si>
  <si>
    <t>AWS300CBUP-TF-AF MID COVER, N/A, 804-9047-00</t>
  </si>
  <si>
    <t>804-9047-00</t>
  </si>
  <si>
    <t>CBUP-SS-AF MID PERSPEX, N/A, 804-9059-00</t>
  </si>
  <si>
    <t>804-9059-00</t>
  </si>
  <si>
    <t>AFP300-FS-USB SPACER, N/A, 803-0706-01</t>
  </si>
  <si>
    <t>803-0706-01</t>
  </si>
  <si>
    <t>AWS300-TF-MACRO LIGHTING ADJUST BRK, N/A, 803-0985-00</t>
  </si>
  <si>
    <t>803-0985-00</t>
  </si>
  <si>
    <t>AWS300-TF-LIGHTING BRK 1, N/A, 803-0986-00</t>
  </si>
  <si>
    <t>803-0986-00</t>
  </si>
  <si>
    <t>AWS-TF-LIGHTING CONTROLLER BRK, N/A, 803-0971-01</t>
  </si>
  <si>
    <t>803-0971-01</t>
  </si>
  <si>
    <t>AWM300D-LMS-MONITOR SWING ARM, N/A, 804-9297-00</t>
  </si>
  <si>
    <t>804-9297-00</t>
  </si>
  <si>
    <t>AWM300D-LMS-MONITOR SWING ROTARY SHAFT, N/A, 804-9351-00</t>
  </si>
  <si>
    <t>804-9351-00</t>
  </si>
  <si>
    <t>ALM300-FS-MOT ARM CLAMPER BLK, N/A, 804-5303-00</t>
  </si>
  <si>
    <t>804-5303-00</t>
  </si>
  <si>
    <t>ALM300-FS-MOT ARM CLAMPER BLK 2, N/A, 804-5503-01</t>
  </si>
  <si>
    <t>804-5503-01</t>
  </si>
  <si>
    <t>ALM300-FS-MONITOR POWER SUPPLY COVER, N/A, 804-5305-00</t>
  </si>
  <si>
    <t>804-5305-00</t>
  </si>
  <si>
    <t>ALM300-FS-KEYBOARD TRAY SIDE BLK, N/A, 804-5308-00</t>
  </si>
  <si>
    <t>804-5308-00</t>
  </si>
  <si>
    <t>ALM300-FS-KEYBOARD TRAY SIDE BLK (M), N/A, 804-5311-00</t>
  </si>
  <si>
    <t>804-5311-00</t>
  </si>
  <si>
    <t>ALM300-FS-MOT MOUSE CLAMP, N/A, 804-5313-00</t>
  </si>
  <si>
    <t>804-5313-00</t>
  </si>
  <si>
    <t>ALM300-FS-MOT MOUSE CLAMP 2, N/A, 804-5315-00</t>
  </si>
  <si>
    <t>804-5315-00</t>
  </si>
  <si>
    <t>AWM300D-LMS-CONSOLE TOP COVER, N/A, 804-9405-00</t>
  </si>
  <si>
    <t>804-9405-00</t>
  </si>
  <si>
    <t>ALM300-FS-CONSOLE BOTTOM COVER, N/A, 804-5319-02</t>
  </si>
  <si>
    <t>804-5319-02</t>
  </si>
  <si>
    <t>ALM300-FS-KEYBOARD MOUNTING BLOCK, N/A, 804-5325-00</t>
  </si>
  <si>
    <t>804-5325-00</t>
  </si>
  <si>
    <t>ALM300-FS-KEYBOARD MOUNTING BLOCK 2, N/A, 804-5327-00</t>
  </si>
  <si>
    <t>804-5327-00</t>
  </si>
  <si>
    <t>ALM300-FS-MOT CONDUIT BRK, N/A, 804-5329-00</t>
  </si>
  <si>
    <t>804-5329-00</t>
  </si>
  <si>
    <t>ALM300-FS-MOT CONDUIT COVER, N/A, 804-5330-00</t>
  </si>
  <si>
    <t>804-5330-00</t>
  </si>
  <si>
    <t>ALM300-FS-MONITOR SHAFT, N/A, 804-5331-02</t>
  </si>
  <si>
    <t>804-5331-02</t>
  </si>
  <si>
    <t>BF-SHIPING HOLLOW BAR #1, N/A, 803-0927-00</t>
  </si>
  <si>
    <t>803-0927-00</t>
  </si>
  <si>
    <t>BF-SHIPPING JIG LHS HOLDER, N/A, 803-0928-00</t>
  </si>
  <si>
    <t>803-0928-00</t>
  </si>
  <si>
    <t>AWS300CBUP-SS-MOT BARCODE BASE, N/A, 805-0433-00</t>
  </si>
  <si>
    <t>805-0433-00</t>
  </si>
  <si>
    <t>AWS300CBUP-SS-KVM BUTTON HOLDER, N/A, 805-0434-00</t>
  </si>
  <si>
    <t>805-0434-00</t>
  </si>
  <si>
    <t>AWS300CBUP-SS-MACRO EE PANEL, N/A, 805-0661-00</t>
  </si>
  <si>
    <t>805-0661-00</t>
  </si>
  <si>
    <t>AWS300CBUP-SS-MICRO EE PANEL, N/A, 805-0662-00</t>
  </si>
  <si>
    <t>805-0662-00</t>
  </si>
  <si>
    <t>AWS300CBUP-SS-MC BUTTON PANEL, N/A, 805-0432-00</t>
  </si>
  <si>
    <t>805-0432-00</t>
  </si>
  <si>
    <t>LCS-FS-MONITOR SWING BLOCK, N/A, 802-2090-04</t>
  </si>
  <si>
    <t>802-2090-04</t>
  </si>
  <si>
    <t>AWS300CBUP-SS-KEYBOARD FRAME, N/A, 805-0435-00</t>
  </si>
  <si>
    <t>805-0435-00</t>
  </si>
  <si>
    <t>AWS300CBUP-SS-KEYBOARD TRAY SIDE BLK, N/A, 805-0436-00</t>
  </si>
  <si>
    <t>805-0436-00</t>
  </si>
  <si>
    <t>AWS300CBUP-SS-KEYBOARD TRAY SIDE BLK 2, N/A, 805-0437-00</t>
  </si>
  <si>
    <t>805-0437-00</t>
  </si>
  <si>
    <t>AWS300CBUP-FSS-MOT BTM COVER, N/A, 805-0438-00</t>
  </si>
  <si>
    <t>805-0438-00</t>
  </si>
  <si>
    <t>AWS300CBUP-SS-KVM HUB CLAMP, N/A, 805-0439-00</t>
  </si>
  <si>
    <t>805-0439-00</t>
  </si>
  <si>
    <t>AWS300CBUP-SS-JOYSTICK COVER, N/A, 805-0440-00</t>
  </si>
  <si>
    <t>805-0440-00</t>
  </si>
  <si>
    <t>AWS300CBUP-SS-TOP RIGHT COVER, N/A, 805-0441-00</t>
  </si>
  <si>
    <t>805-0441-00</t>
  </si>
  <si>
    <t>AWS300CBUP-SS-MICRO BTM COVER, N/A, 805-0442-00</t>
  </si>
  <si>
    <t>805-0442-00</t>
  </si>
  <si>
    <t>AWS300CBUP-SS-MONITOR STOPPER BLK, N/A, 805-0667-00</t>
  </si>
  <si>
    <t>805-0667-00</t>
  </si>
  <si>
    <t>AWS300CBUP-SS-MC BUTTON PANEL, N/A, 805-0432-01</t>
  </si>
  <si>
    <t>805-0432-01</t>
  </si>
  <si>
    <t>MII300-MACRO MODULE BASE, N/A, 803-0816-01</t>
  </si>
  <si>
    <t>803-0816-01</t>
  </si>
  <si>
    <t>CBUP-SS-REAR INNER COVER, N/A, 803-0984-02</t>
  </si>
  <si>
    <t>803-0984-02</t>
  </si>
  <si>
    <t>FS-LVL PAD20 BOLT DOWN BRK, N/A, 805-1255-00</t>
  </si>
  <si>
    <t>805-1255-00</t>
  </si>
  <si>
    <t>PR2411000118</t>
  </si>
  <si>
    <t>AWS300CBUP-SS--MC BUTTON PANEL (N), N/A, 805-1301-00</t>
  </si>
  <si>
    <t>805-1301-00</t>
  </si>
  <si>
    <t>AWS300-TF-MACRO PANEL BACK COVER, N/A, 803-0987-01</t>
  </si>
  <si>
    <t>803-0987-01</t>
  </si>
  <si>
    <t>AWS300-TF-MACRO ROLLER GUIDE (R), N/A, 803-0994-01</t>
  </si>
  <si>
    <t>803-0994-01</t>
  </si>
  <si>
    <t>AWS300-TF-MACRO ROLLER GUIDE (L), N/A, 803-0995-01</t>
  </si>
  <si>
    <t>803-0995-01</t>
  </si>
  <si>
    <t>AWS300CBUP-BCV-VISION STAND BASE, N/A, 805-0325-00</t>
  </si>
  <si>
    <t>805-0325-00</t>
  </si>
  <si>
    <t>PR2409000080</t>
  </si>
  <si>
    <t>PO2409000326</t>
  </si>
  <si>
    <t>AWS300CBUP-BCV-VISION MOUNTING SHAFT, N/A, 805-0326-00</t>
  </si>
  <si>
    <t>805-0326-00</t>
  </si>
  <si>
    <t>PO2409000327</t>
  </si>
  <si>
    <t>AWS300CBUP-BCV-VISION MOUNT BLK, N/A, 805-0327-00</t>
  </si>
  <si>
    <t>805-0327-00</t>
  </si>
  <si>
    <t>AWS300CBUP-BCV-VISION COVER, N/A, 805-0328-00</t>
  </si>
  <si>
    <t>805-0328-00</t>
  </si>
  <si>
    <t>PO2409000325</t>
  </si>
  <si>
    <t>PR2411000140</t>
  </si>
  <si>
    <t>PR2411000139</t>
  </si>
  <si>
    <t>PC</t>
  </si>
  <si>
    <t>RECEIVED 1PC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</si>
</sst>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(* #,##0.00_);_(* \(#,##0.00\);_(* &quot;-&quot;??_);_(@_)"/>
    <numFmt numFmtId="164" formatCode="&quot;MYR&quot;#,##0.00"/>
    <numFmt numFmtId="165" formatCode="[$-409]d/mmm;@"/>
    <numFmt numFmtId="166" formatCode="_(&quot;MYR&quot;* #,##0.00_);_(&quot;MYR&quot;* \(#,##0.00\);_(&quot;MYR&quot;* &quot;-&quot;??_);_(@_)"/>
    <numFmt numFmtId="167" formatCode="&quot;RM&quot;#,##0.00"/>
    <numFmt numFmtId="168" formatCode="[$-409]d/mmm/yy;@"/>
    <numFmt numFmtId="169" formatCode="[$RM-43E]#,##0.00"/>
    <numFmt numFmtId="170" formatCode="mm/dd/yy;@"/>
    <numFmt numFmtId="171" formatCode="dd\-mm\-yyyy"/>
    <numFmt numFmtId="172" formatCode="[$-409]d\-mmm\-yy;@"/>
    <numFmt numFmtId="173" formatCode="d\-mmm\-yy;@"/>
    <numFmt numFmtId="174" formatCode="[$-409]mmmm\-yy;@"/>
    <numFmt numFmtId="175" formatCode="[$-409]d\-mmm;@"/>
    <numFmt numFmtId="176" formatCode="[$-14409]dd/mm/yyyy;@"/>
  </numFmts>
  <fonts count="82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u/>
      <sz val="7.7"/>
      <color theme="10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indexed="8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4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8"/>
      <name val="Calibri"/>
      <family val="2"/>
      <charset val="134"/>
    </font>
    <font>
      <sz val="10"/>
      <name val="SimSun"/>
    </font>
    <font>
      <sz val="14"/>
      <color theme="1"/>
      <name val="Calibri"/>
      <family val="2"/>
      <scheme val="minor"/>
    </font>
    <font>
      <u/>
      <sz val="8.25"/>
      <color theme="10"/>
      <name val="Calibri"/>
      <family val="2"/>
    </font>
    <font>
      <sz val="14"/>
      <name val="Calibri"/>
      <family val="2"/>
      <scheme val="minor"/>
    </font>
    <font>
      <b/>
      <sz val="14"/>
      <color indexed="8"/>
      <name val="Calibri"/>
      <family val="2"/>
      <scheme val="minor"/>
    </font>
    <font>
      <sz val="14"/>
      <color indexed="8"/>
      <name val="Calibri"/>
      <family val="2"/>
      <scheme val="minor"/>
    </font>
    <font>
      <b/>
      <u/>
      <sz val="14"/>
      <color indexed="8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color theme="1"/>
      <name val="Arial Rounded MT Bold"/>
      <family val="2"/>
    </font>
    <font>
      <b/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Ari"/>
    </font>
    <font>
      <u/>
      <sz val="7.5"/>
      <color rgb="FF0000FF"/>
      <name val="Calibri"/>
      <family val="2"/>
      <scheme val="minor"/>
    </font>
    <font>
      <sz val="9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b/>
      <sz val="9"/>
      <name val="Arial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trike/>
      <sz val="11"/>
      <color theme="1"/>
      <name val="Calibri"/>
      <family val="2"/>
      <scheme val="minor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sz val="14"/>
      <color theme="1"/>
      <name val="Arial"/>
      <family val="2"/>
    </font>
    <font>
      <b/>
      <sz val="14"/>
      <name val="Arial"/>
      <family val="2"/>
    </font>
    <font>
      <b/>
      <u/>
      <sz val="14"/>
      <color theme="1"/>
      <name val="Arial"/>
      <family val="2"/>
    </font>
    <font>
      <b/>
      <sz val="14"/>
      <color rgb="FFFF0000"/>
      <name val="Arial"/>
      <family val="2"/>
    </font>
    <font>
      <sz val="14"/>
      <color rgb="FFFF0000"/>
      <name val="Calibri"/>
      <family val="2"/>
      <scheme val="minor"/>
    </font>
    <font>
      <b/>
      <strike/>
      <sz val="14"/>
      <color rgb="FFFF0000"/>
      <name val="Arial"/>
      <family val="2"/>
    </font>
    <font>
      <sz val="14"/>
      <color rgb="FFFF000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</font>
    <font>
      <strike/>
      <sz val="14"/>
      <color rgb="FFFF0000"/>
      <name val="Calibri"/>
      <family val="2"/>
      <scheme val="minor"/>
    </font>
    <font>
      <strike/>
      <sz val="14"/>
      <color rgb="FFFF0000"/>
      <name val="Ari"/>
    </font>
    <font>
      <sz val="12"/>
      <color rgb="FF000000"/>
      <name val="Arial"/>
      <family val="2"/>
    </font>
    <font>
      <sz val="14"/>
      <color rgb="FF000000"/>
      <name val="Calibri"/>
      <family val="2"/>
    </font>
    <font>
      <strike/>
      <sz val="14"/>
      <color rgb="FFFF0000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28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theme="4"/>
      </patternFill>
    </fill>
    <fill>
      <patternFill patternType="solid">
        <fgColor rgb="FF47E5E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00B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3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249977111117893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60">
    <xf numFmtId="0" fontId="0" fillId="0" borderId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17" borderId="0" applyNumberFormat="0" applyBorder="0" applyAlignment="0" applyProtection="0"/>
    <xf numFmtId="0" fontId="9" fillId="20" borderId="0" applyNumberFormat="0" applyBorder="0" applyAlignment="0" applyProtection="0"/>
    <xf numFmtId="0" fontId="9" fillId="23" borderId="0" applyNumberFormat="0" applyBorder="0" applyAlignment="0" applyProtection="0"/>
    <xf numFmtId="0" fontId="14" fillId="24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31" borderId="0" applyNumberFormat="0" applyBorder="0" applyAlignment="0" applyProtection="0"/>
    <xf numFmtId="0" fontId="15" fillId="15" borderId="0" applyNumberFormat="0" applyBorder="0" applyAlignment="0" applyProtection="0"/>
    <xf numFmtId="0" fontId="16" fillId="32" borderId="7" applyNumberFormat="0" applyAlignment="0" applyProtection="0"/>
    <xf numFmtId="0" fontId="17" fillId="33" borderId="8" applyNumberFormat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16" borderId="0" applyNumberFormat="0" applyBorder="0" applyAlignment="0" applyProtection="0"/>
    <xf numFmtId="0" fontId="20" fillId="0" borderId="9" applyNumberFormat="0" applyFill="0" applyAlignment="0" applyProtection="0"/>
    <xf numFmtId="0" fontId="21" fillId="0" borderId="10" applyNumberFormat="0" applyFill="0" applyAlignment="0" applyProtection="0"/>
    <xf numFmtId="0" fontId="22" fillId="0" borderId="11" applyNumberFormat="0" applyFill="0" applyAlignment="0" applyProtection="0"/>
    <xf numFmtId="0" fontId="22" fillId="0" borderId="0" applyNumberForma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top"/>
      <protection locked="0"/>
    </xf>
    <xf numFmtId="0" fontId="23" fillId="19" borderId="7" applyNumberFormat="0" applyAlignment="0" applyProtection="0"/>
    <xf numFmtId="0" fontId="24" fillId="0" borderId="12" applyNumberFormat="0" applyFill="0" applyAlignment="0" applyProtection="0"/>
    <xf numFmtId="0" fontId="25" fillId="34" borderId="0" applyNumberFormat="0" applyBorder="0" applyAlignment="0" applyProtection="0"/>
    <xf numFmtId="0" fontId="3" fillId="0" borderId="0"/>
    <xf numFmtId="0" fontId="12" fillId="0" borderId="0"/>
    <xf numFmtId="0" fontId="3" fillId="0" borderId="0"/>
    <xf numFmtId="0" fontId="3" fillId="0" borderId="0"/>
    <xf numFmtId="0" fontId="31" fillId="0" borderId="0"/>
    <xf numFmtId="0" fontId="3" fillId="0" borderId="0"/>
    <xf numFmtId="0" fontId="12" fillId="0" borderId="0"/>
    <xf numFmtId="0" fontId="12" fillId="0" borderId="0"/>
    <xf numFmtId="0" fontId="46" fillId="0" borderId="0"/>
    <xf numFmtId="0" fontId="9" fillId="0" borderId="0"/>
    <xf numFmtId="0" fontId="30" fillId="35" borderId="13" applyNumberFormat="0" applyFont="0" applyAlignment="0" applyProtection="0"/>
    <xf numFmtId="0" fontId="26" fillId="32" borderId="14" applyNumberFormat="0" applyAlignment="0" applyProtection="0"/>
    <xf numFmtId="9" fontId="9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15" applyNumberFormat="0" applyFill="0" applyAlignment="0" applyProtection="0"/>
    <xf numFmtId="0" fontId="29" fillId="0" borderId="0" applyNumberFormat="0" applyFill="0" applyBorder="0" applyAlignment="0" applyProtection="0"/>
  </cellStyleXfs>
  <cellXfs count="559">
    <xf numFmtId="0" fontId="0" fillId="0" borderId="0" xfId="0"/>
    <xf numFmtId="0" fontId="5" fillId="0" borderId="0" xfId="0" applyFont="1" applyAlignment="1">
      <alignment vertical="center"/>
    </xf>
    <xf numFmtId="0" fontId="4" fillId="3" borderId="1" xfId="0" applyFont="1" applyFill="1" applyBorder="1"/>
    <xf numFmtId="0" fontId="0" fillId="0" borderId="1" xfId="0" applyBorder="1"/>
    <xf numFmtId="0" fontId="0" fillId="5" borderId="1" xfId="0" applyFill="1" applyBorder="1"/>
    <xf numFmtId="9" fontId="0" fillId="0" borderId="0" xfId="0" applyNumberFormat="1"/>
    <xf numFmtId="9" fontId="4" fillId="3" borderId="1" xfId="0" applyNumberFormat="1" applyFont="1" applyFill="1" applyBorder="1"/>
    <xf numFmtId="0" fontId="0" fillId="0" borderId="1" xfId="0" applyBorder="1" applyAlignment="1">
      <alignment horizontal="center" vertical="center"/>
    </xf>
    <xf numFmtId="9" fontId="11" fillId="0" borderId="0" xfId="0" applyNumberFormat="1" applyFont="1"/>
    <xf numFmtId="9" fontId="11" fillId="5" borderId="1" xfId="0" applyNumberFormat="1" applyFont="1" applyFill="1" applyBorder="1"/>
    <xf numFmtId="0" fontId="0" fillId="0" borderId="0" xfId="0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32" fillId="0" borderId="0" xfId="0" applyFont="1" applyAlignment="1">
      <alignment horizontal="center" vertical="center"/>
    </xf>
    <xf numFmtId="0" fontId="40" fillId="0" borderId="0" xfId="0" applyFont="1"/>
    <xf numFmtId="0" fontId="11" fillId="0" borderId="1" xfId="0" applyFont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44" fillId="37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right"/>
    </xf>
    <xf numFmtId="0" fontId="0" fillId="7" borderId="1" xfId="0" applyFill="1" applyBorder="1" applyAlignment="1">
      <alignment horizontal="left"/>
    </xf>
    <xf numFmtId="0" fontId="0" fillId="7" borderId="1" xfId="0" applyFill="1" applyBorder="1"/>
    <xf numFmtId="0" fontId="4" fillId="3" borderId="1" xfId="0" applyFont="1" applyFill="1" applyBorder="1" applyAlignment="1">
      <alignment horizontal="left"/>
    </xf>
    <xf numFmtId="0" fontId="0" fillId="0" borderId="0" xfId="0" applyAlignment="1" applyProtection="1">
      <protection locked="0"/>
    </xf>
    <xf numFmtId="0" fontId="10" fillId="0" borderId="1" xfId="0" applyFont="1" applyBorder="1"/>
    <xf numFmtId="0" fontId="45" fillId="0" borderId="1" xfId="0" applyFont="1" applyBorder="1" applyAlignment="1">
      <alignment horizontal="left" vertical="center"/>
    </xf>
    <xf numFmtId="0" fontId="6" fillId="0" borderId="1" xfId="39" applyFont="1" applyBorder="1" applyAlignment="1" applyProtection="1">
      <alignment horizontal="center" vertical="center"/>
    </xf>
    <xf numFmtId="171" fontId="0" fillId="0" borderId="0" xfId="0" applyNumberFormat="1"/>
    <xf numFmtId="0" fontId="8" fillId="0" borderId="1" xfId="0" applyFont="1" applyBorder="1"/>
    <xf numFmtId="0" fontId="6" fillId="0" borderId="1" xfId="39" applyFont="1" applyFill="1" applyBorder="1" applyAlignment="1" applyProtection="1"/>
    <xf numFmtId="9" fontId="8" fillId="4" borderId="1" xfId="0" applyNumberFormat="1" applyFont="1" applyFill="1" applyBorder="1"/>
    <xf numFmtId="0" fontId="49" fillId="0" borderId="1" xfId="0" applyFont="1" applyBorder="1" applyAlignment="1">
      <alignment horizontal="right"/>
    </xf>
    <xf numFmtId="0" fontId="6" fillId="0" borderId="1" xfId="39" applyFont="1" applyFill="1" applyBorder="1" applyAlignment="1" applyProtection="1">
      <alignment horizontal="left"/>
    </xf>
    <xf numFmtId="164" fontId="34" fillId="8" borderId="0" xfId="0" applyNumberFormat="1" applyFont="1" applyFill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169" fontId="36" fillId="0" borderId="0" xfId="0" applyNumberFormat="1" applyFont="1" applyAlignment="1">
      <alignment horizontal="center" vertical="center" wrapText="1"/>
    </xf>
    <xf numFmtId="167" fontId="36" fillId="0" borderId="0" xfId="0" applyNumberFormat="1" applyFont="1" applyAlignment="1">
      <alignment horizontal="center" vertical="center" wrapText="1"/>
    </xf>
    <xf numFmtId="168" fontId="36" fillId="0" borderId="0" xfId="0" applyNumberFormat="1" applyFont="1" applyAlignment="1">
      <alignment horizontal="center" vertical="center" wrapText="1"/>
    </xf>
    <xf numFmtId="168" fontId="32" fillId="0" borderId="0" xfId="0" applyNumberFormat="1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2" fontId="36" fillId="0" borderId="0" xfId="0" applyNumberFormat="1" applyFont="1" applyAlignment="1">
      <alignment horizontal="center" vertical="center" wrapText="1"/>
    </xf>
    <xf numFmtId="164" fontId="36" fillId="11" borderId="0" xfId="0" applyNumberFormat="1" applyFont="1" applyFill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164" fontId="36" fillId="9" borderId="0" xfId="0" applyNumberFormat="1" applyFont="1" applyFill="1" applyAlignment="1">
      <alignment horizontal="center" vertical="center"/>
    </xf>
    <xf numFmtId="167" fontId="32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6" fillId="4" borderId="0" xfId="0" applyFont="1" applyFill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6" fillId="5" borderId="0" xfId="0" applyFont="1" applyFill="1" applyAlignment="1">
      <alignment horizontal="center" vertical="center" wrapText="1"/>
    </xf>
    <xf numFmtId="0" fontId="36" fillId="3" borderId="0" xfId="0" applyFont="1" applyFill="1" applyAlignment="1">
      <alignment horizontal="center" vertical="center"/>
    </xf>
    <xf numFmtId="0" fontId="36" fillId="36" borderId="0" xfId="0" applyFont="1" applyFill="1" applyAlignment="1">
      <alignment horizontal="center" vertical="center"/>
    </xf>
    <xf numFmtId="0" fontId="38" fillId="12" borderId="6" xfId="0" applyFont="1" applyFill="1" applyBorder="1" applyAlignment="1">
      <alignment horizontal="center" vertical="center" wrapText="1"/>
    </xf>
    <xf numFmtId="0" fontId="38" fillId="12" borderId="3" xfId="0" applyFont="1" applyFill="1" applyBorder="1" applyAlignment="1">
      <alignment horizontal="center" vertical="center" wrapText="1"/>
    </xf>
    <xf numFmtId="169" fontId="38" fillId="12" borderId="3" xfId="0" applyNumberFormat="1" applyFont="1" applyFill="1" applyBorder="1" applyAlignment="1">
      <alignment horizontal="center" vertical="center" wrapText="1"/>
    </xf>
    <xf numFmtId="167" fontId="38" fillId="12" borderId="3" xfId="0" applyNumberFormat="1" applyFont="1" applyFill="1" applyBorder="1" applyAlignment="1">
      <alignment horizontal="center" vertical="center" wrapText="1"/>
    </xf>
    <xf numFmtId="168" fontId="38" fillId="10" borderId="3" xfId="0" applyNumberFormat="1" applyFont="1" applyFill="1" applyBorder="1" applyAlignment="1">
      <alignment horizontal="center" vertical="center" wrapText="1"/>
    </xf>
    <xf numFmtId="0" fontId="38" fillId="10" borderId="3" xfId="0" applyFont="1" applyFill="1" applyBorder="1" applyAlignment="1">
      <alignment horizontal="center" vertical="center" wrapText="1"/>
    </xf>
    <xf numFmtId="164" fontId="38" fillId="10" borderId="3" xfId="0" applyNumberFormat="1" applyFont="1" applyFill="1" applyBorder="1" applyAlignment="1">
      <alignment horizontal="center" vertical="center" wrapText="1"/>
    </xf>
    <xf numFmtId="49" fontId="42" fillId="13" borderId="1" xfId="0" applyNumberFormat="1" applyFont="1" applyFill="1" applyBorder="1" applyAlignment="1">
      <alignment horizontal="center" vertical="center"/>
    </xf>
    <xf numFmtId="168" fontId="47" fillId="13" borderId="1" xfId="0" applyNumberFormat="1" applyFont="1" applyFill="1" applyBorder="1" applyAlignment="1">
      <alignment horizontal="center" vertical="center" wrapText="1"/>
    </xf>
    <xf numFmtId="168" fontId="42" fillId="13" borderId="1" xfId="0" applyNumberFormat="1" applyFont="1" applyFill="1" applyBorder="1" applyAlignment="1">
      <alignment horizontal="center" vertical="center" wrapText="1"/>
    </xf>
    <xf numFmtId="169" fontId="32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49" fontId="35" fillId="0" borderId="0" xfId="0" applyNumberFormat="1" applyFont="1" applyAlignment="1">
      <alignment horizontal="left" vertical="center"/>
    </xf>
    <xf numFmtId="49" fontId="35" fillId="0" borderId="0" xfId="0" applyNumberFormat="1" applyFont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49" fontId="36" fillId="0" borderId="0" xfId="0" applyNumberFormat="1" applyFont="1" applyAlignment="1">
      <alignment horizontal="center" vertical="center"/>
    </xf>
    <xf numFmtId="49" fontId="38" fillId="12" borderId="6" xfId="0" applyNumberFormat="1" applyFont="1" applyFill="1" applyBorder="1" applyAlignment="1">
      <alignment horizontal="center" vertical="center" wrapText="1"/>
    </xf>
    <xf numFmtId="49" fontId="42" fillId="13" borderId="1" xfId="0" applyNumberFormat="1" applyFont="1" applyFill="1" applyBorder="1" applyAlignment="1">
      <alignment horizontal="center" vertical="center" wrapText="1"/>
    </xf>
    <xf numFmtId="0" fontId="47" fillId="13" borderId="1" xfId="0" applyFont="1" applyFill="1" applyBorder="1" applyAlignment="1">
      <alignment horizontal="center" vertical="center" wrapText="1"/>
    </xf>
    <xf numFmtId="0" fontId="42" fillId="13" borderId="1" xfId="0" applyFont="1" applyFill="1" applyBorder="1" applyAlignment="1">
      <alignment horizontal="center" vertical="center" wrapText="1"/>
    </xf>
    <xf numFmtId="0" fontId="42" fillId="13" borderId="1" xfId="0" applyFont="1" applyFill="1" applyBorder="1" applyAlignment="1">
      <alignment horizontal="center" vertical="center"/>
    </xf>
    <xf numFmtId="169" fontId="42" fillId="13" borderId="1" xfId="0" applyNumberFormat="1" applyFont="1" applyFill="1" applyBorder="1" applyAlignment="1">
      <alignment horizontal="center" vertical="center" wrapText="1"/>
    </xf>
    <xf numFmtId="167" fontId="42" fillId="13" borderId="1" xfId="0" applyNumberFormat="1" applyFont="1" applyFill="1" applyBorder="1" applyAlignment="1">
      <alignment horizontal="center" vertical="center" wrapText="1"/>
    </xf>
    <xf numFmtId="164" fontId="42" fillId="13" borderId="1" xfId="0" applyNumberFormat="1" applyFont="1" applyFill="1" applyBorder="1" applyAlignment="1">
      <alignment horizontal="center" vertical="center" wrapText="1"/>
    </xf>
    <xf numFmtId="49" fontId="32" fillId="0" borderId="0" xfId="0" applyNumberFormat="1" applyFont="1" applyAlignment="1">
      <alignment horizontal="center" vertical="center"/>
    </xf>
    <xf numFmtId="49" fontId="34" fillId="8" borderId="0" xfId="0" applyNumberFormat="1" applyFont="1" applyFill="1" applyAlignment="1">
      <alignment horizontal="center" vertical="center"/>
    </xf>
    <xf numFmtId="49" fontId="36" fillId="11" borderId="0" xfId="0" applyNumberFormat="1" applyFont="1" applyFill="1" applyAlignment="1">
      <alignment horizontal="center" vertical="center"/>
    </xf>
    <xf numFmtId="0" fontId="36" fillId="0" borderId="0" xfId="0" applyFont="1" applyAlignment="1">
      <alignment horizontal="left" vertical="center" wrapText="1"/>
    </xf>
    <xf numFmtId="49" fontId="36" fillId="9" borderId="0" xfId="0" applyNumberFormat="1" applyFont="1" applyFill="1" applyAlignment="1">
      <alignment horizontal="center" vertical="center"/>
    </xf>
    <xf numFmtId="49" fontId="36" fillId="4" borderId="0" xfId="0" applyNumberFormat="1" applyFont="1" applyFill="1" applyAlignment="1">
      <alignment horizontal="center" vertical="center" wrapText="1"/>
    </xf>
    <xf numFmtId="49" fontId="36" fillId="5" borderId="0" xfId="0" applyNumberFormat="1" applyFont="1" applyFill="1" applyAlignment="1">
      <alignment horizontal="center" vertical="center" wrapText="1"/>
    </xf>
    <xf numFmtId="49" fontId="36" fillId="3" borderId="0" xfId="0" applyNumberFormat="1" applyFont="1" applyFill="1" applyAlignment="1">
      <alignment horizontal="center" vertical="center"/>
    </xf>
    <xf numFmtId="49" fontId="36" fillId="36" borderId="0" xfId="0" applyNumberFormat="1" applyFont="1" applyFill="1" applyAlignment="1">
      <alignment horizontal="center" vertical="center"/>
    </xf>
    <xf numFmtId="49" fontId="38" fillId="12" borderId="3" xfId="0" applyNumberFormat="1" applyFont="1" applyFill="1" applyBorder="1" applyAlignment="1">
      <alignment horizontal="center" vertical="center" wrapText="1"/>
    </xf>
    <xf numFmtId="165" fontId="36" fillId="0" borderId="0" xfId="0" applyNumberFormat="1" applyFont="1" applyAlignment="1" applyProtection="1">
      <alignment horizontal="center" vertical="center" wrapText="1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170" fontId="32" fillId="0" borderId="0" xfId="0" applyNumberFormat="1" applyFont="1" applyAlignment="1" applyProtection="1">
      <alignment horizontal="center" vertical="center"/>
      <protection locked="0"/>
    </xf>
    <xf numFmtId="168" fontId="32" fillId="0" borderId="0" xfId="0" applyNumberFormat="1" applyFont="1" applyAlignment="1" applyProtection="1">
      <alignment horizontal="center" vertical="center"/>
      <protection locked="0"/>
    </xf>
    <xf numFmtId="2" fontId="36" fillId="0" borderId="0" xfId="0" applyNumberFormat="1" applyFont="1" applyAlignment="1" applyProtection="1">
      <alignment horizontal="center" vertical="center" wrapText="1"/>
      <protection locked="0"/>
    </xf>
    <xf numFmtId="168" fontId="36" fillId="0" borderId="0" xfId="0" applyNumberFormat="1" applyFont="1" applyAlignment="1" applyProtection="1">
      <alignment horizontal="center" vertical="center" wrapText="1"/>
      <protection locked="0"/>
    </xf>
    <xf numFmtId="165" fontId="38" fillId="10" borderId="3" xfId="0" applyNumberFormat="1" applyFont="1" applyFill="1" applyBorder="1" applyAlignment="1" applyProtection="1">
      <alignment horizontal="center" vertical="center" wrapText="1"/>
      <protection locked="0"/>
    </xf>
    <xf numFmtId="165" fontId="42" fillId="13" borderId="1" xfId="0" applyNumberFormat="1" applyFont="1" applyFill="1" applyBorder="1" applyAlignment="1" applyProtection="1">
      <alignment horizontal="center" vertical="center" wrapText="1"/>
      <protection locked="0"/>
    </xf>
    <xf numFmtId="170" fontId="42" fillId="13" borderId="1" xfId="0" applyNumberFormat="1" applyFont="1" applyFill="1" applyBorder="1" applyAlignment="1" applyProtection="1">
      <alignment horizontal="center" vertical="center"/>
      <protection locked="0"/>
    </xf>
    <xf numFmtId="170" fontId="48" fillId="13" borderId="1" xfId="0" applyNumberFormat="1" applyFont="1" applyFill="1" applyBorder="1" applyAlignment="1" applyProtection="1">
      <alignment horizontal="center" vertical="center"/>
      <protection locked="0"/>
    </xf>
    <xf numFmtId="165" fontId="32" fillId="0" borderId="0" xfId="0" applyNumberFormat="1" applyFont="1" applyAlignment="1" applyProtection="1">
      <alignment horizontal="center" vertical="center"/>
      <protection locked="0"/>
    </xf>
    <xf numFmtId="172" fontId="32" fillId="0" borderId="0" xfId="0" applyNumberFormat="1" applyFont="1" applyAlignment="1" applyProtection="1">
      <alignment horizontal="center" vertical="center"/>
      <protection locked="0"/>
    </xf>
    <xf numFmtId="0" fontId="42" fillId="13" borderId="1" xfId="0" applyFont="1" applyFill="1" applyBorder="1" applyAlignment="1" applyProtection="1">
      <alignment horizontal="center" vertical="center"/>
      <protection locked="0"/>
    </xf>
    <xf numFmtId="172" fontId="48" fillId="13" borderId="1" xfId="0" applyNumberFormat="1" applyFont="1" applyFill="1" applyBorder="1" applyAlignment="1" applyProtection="1">
      <alignment horizontal="center" vertical="center" wrapText="1"/>
      <protection locked="0"/>
    </xf>
    <xf numFmtId="0" fontId="42" fillId="13" borderId="1" xfId="0" applyFont="1" applyFill="1" applyBorder="1" applyAlignment="1" applyProtection="1">
      <alignment horizontal="center" vertical="center" wrapText="1"/>
      <protection locked="0"/>
    </xf>
    <xf numFmtId="165" fontId="38" fillId="39" borderId="3" xfId="0" applyNumberFormat="1" applyFont="1" applyFill="1" applyBorder="1" applyAlignment="1" applyProtection="1">
      <alignment horizontal="center" vertical="center" wrapText="1"/>
      <protection locked="0"/>
    </xf>
    <xf numFmtId="0" fontId="38" fillId="40" borderId="3" xfId="0" applyFont="1" applyFill="1" applyBorder="1" applyAlignment="1" applyProtection="1">
      <alignment horizontal="center" vertical="center" wrapText="1"/>
      <protection locked="0"/>
    </xf>
    <xf numFmtId="170" fontId="38" fillId="40" borderId="3" xfId="0" applyNumberFormat="1" applyFont="1" applyFill="1" applyBorder="1" applyAlignment="1" applyProtection="1">
      <alignment horizontal="center" vertical="center" wrapText="1"/>
      <protection locked="0"/>
    </xf>
    <xf numFmtId="168" fontId="38" fillId="40" borderId="3" xfId="0" applyNumberFormat="1" applyFont="1" applyFill="1" applyBorder="1" applyAlignment="1" applyProtection="1">
      <alignment horizontal="center" vertical="center" wrapText="1"/>
      <protection locked="0"/>
    </xf>
    <xf numFmtId="0" fontId="43" fillId="39" borderId="17" xfId="0" applyFont="1" applyFill="1" applyBorder="1" applyAlignment="1" applyProtection="1">
      <alignment horizontal="center" vertical="center"/>
      <protection locked="0"/>
    </xf>
    <xf numFmtId="164" fontId="38" fillId="40" borderId="3" xfId="0" applyNumberFormat="1" applyFont="1" applyFill="1" applyBorder="1" applyAlignment="1" applyProtection="1">
      <alignment horizontal="center" vertical="center" wrapText="1"/>
      <protection locked="0"/>
    </xf>
    <xf numFmtId="172" fontId="38" fillId="40" borderId="3" xfId="0" applyNumberFormat="1" applyFont="1" applyFill="1" applyBorder="1" applyAlignment="1" applyProtection="1">
      <alignment horizontal="center" vertical="center" wrapText="1"/>
      <protection locked="0"/>
    </xf>
    <xf numFmtId="168" fontId="42" fillId="13" borderId="2" xfId="0" applyNumberFormat="1" applyFont="1" applyFill="1" applyBorder="1" applyAlignment="1">
      <alignment horizontal="center" vertical="center"/>
    </xf>
    <xf numFmtId="49" fontId="42" fillId="13" borderId="2" xfId="0" applyNumberFormat="1" applyFont="1" applyFill="1" applyBorder="1" applyAlignment="1">
      <alignment horizontal="center" vertical="center" wrapText="1"/>
    </xf>
    <xf numFmtId="0" fontId="47" fillId="13" borderId="2" xfId="0" applyFont="1" applyFill="1" applyBorder="1" applyAlignment="1">
      <alignment horizontal="center" vertical="center" wrapText="1"/>
    </xf>
    <xf numFmtId="49" fontId="42" fillId="13" borderId="2" xfId="0" applyNumberFormat="1" applyFont="1" applyFill="1" applyBorder="1" applyAlignment="1">
      <alignment horizontal="center" vertical="center"/>
    </xf>
    <xf numFmtId="0" fontId="42" fillId="13" borderId="2" xfId="0" applyFont="1" applyFill="1" applyBorder="1" applyAlignment="1">
      <alignment horizontal="center" vertical="center" wrapText="1"/>
    </xf>
    <xf numFmtId="0" fontId="42" fillId="13" borderId="2" xfId="0" applyFont="1" applyFill="1" applyBorder="1" applyAlignment="1">
      <alignment horizontal="center" vertical="center"/>
    </xf>
    <xf numFmtId="169" fontId="42" fillId="13" borderId="2" xfId="0" applyNumberFormat="1" applyFont="1" applyFill="1" applyBorder="1" applyAlignment="1">
      <alignment horizontal="center" vertical="center" wrapText="1"/>
    </xf>
    <xf numFmtId="167" fontId="42" fillId="13" borderId="2" xfId="0" applyNumberFormat="1" applyFont="1" applyFill="1" applyBorder="1" applyAlignment="1">
      <alignment horizontal="center" vertical="center" wrapText="1"/>
    </xf>
    <xf numFmtId="168" fontId="42" fillId="13" borderId="2" xfId="0" applyNumberFormat="1" applyFont="1" applyFill="1" applyBorder="1" applyAlignment="1">
      <alignment horizontal="center" vertical="center" wrapText="1"/>
    </xf>
    <xf numFmtId="164" fontId="42" fillId="13" borderId="2" xfId="0" applyNumberFormat="1" applyFont="1" applyFill="1" applyBorder="1" applyAlignment="1">
      <alignment horizontal="center" vertical="center" wrapText="1"/>
    </xf>
    <xf numFmtId="165" fontId="42" fillId="13" borderId="2" xfId="0" applyNumberFormat="1" applyFont="1" applyFill="1" applyBorder="1" applyAlignment="1" applyProtection="1">
      <alignment horizontal="center" vertical="center" wrapText="1"/>
      <protection locked="0"/>
    </xf>
    <xf numFmtId="0" fontId="42" fillId="13" borderId="2" xfId="0" applyFont="1" applyFill="1" applyBorder="1" applyAlignment="1" applyProtection="1">
      <alignment horizontal="center" vertical="center"/>
      <protection locked="0"/>
    </xf>
    <xf numFmtId="170" fontId="42" fillId="13" borderId="2" xfId="0" applyNumberFormat="1" applyFont="1" applyFill="1" applyBorder="1" applyAlignment="1" applyProtection="1">
      <alignment horizontal="center" vertical="center"/>
      <protection locked="0"/>
    </xf>
    <xf numFmtId="172" fontId="48" fillId="13" borderId="2" xfId="0" applyNumberFormat="1" applyFont="1" applyFill="1" applyBorder="1" applyAlignment="1" applyProtection="1">
      <alignment horizontal="center" vertical="center" wrapText="1"/>
      <protection locked="0"/>
    </xf>
    <xf numFmtId="170" fontId="48" fillId="13" borderId="2" xfId="0" applyNumberFormat="1" applyFont="1" applyFill="1" applyBorder="1" applyAlignment="1" applyProtection="1">
      <alignment horizontal="center" vertical="center"/>
      <protection locked="0"/>
    </xf>
    <xf numFmtId="0" fontId="42" fillId="13" borderId="2" xfId="0" applyFont="1" applyFill="1" applyBorder="1" applyAlignment="1" applyProtection="1">
      <alignment horizontal="center" vertical="center" wrapText="1"/>
      <protection locked="0"/>
    </xf>
    <xf numFmtId="171" fontId="0" fillId="0" borderId="0" xfId="0" applyNumberFormat="1" applyAlignment="1">
      <alignment wrapText="1"/>
    </xf>
    <xf numFmtId="0" fontId="42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top"/>
    </xf>
    <xf numFmtId="0" fontId="52" fillId="0" borderId="0" xfId="0" applyFont="1" applyAlignment="1">
      <alignment vertical="center"/>
    </xf>
    <xf numFmtId="0" fontId="51" fillId="0" borderId="0" xfId="45" applyFont="1"/>
    <xf numFmtId="0" fontId="52" fillId="0" borderId="0" xfId="45" applyFont="1"/>
    <xf numFmtId="0" fontId="51" fillId="0" borderId="0" xfId="0" applyFont="1" applyAlignment="1">
      <alignment vertical="center"/>
    </xf>
    <xf numFmtId="0" fontId="50" fillId="0" borderId="0" xfId="52" applyFont="1"/>
    <xf numFmtId="15" fontId="50" fillId="0" borderId="0" xfId="52" applyNumberFormat="1" applyFont="1" applyAlignment="1">
      <alignment horizontal="left" vertical="center" wrapText="1"/>
    </xf>
    <xf numFmtId="15" fontId="50" fillId="0" borderId="0" xfId="52" applyNumberFormat="1" applyFont="1" applyAlignment="1">
      <alignment horizontal="center" vertical="center" wrapText="1"/>
    </xf>
    <xf numFmtId="0" fontId="50" fillId="0" borderId="0" xfId="52" applyFont="1" applyAlignment="1">
      <alignment horizontal="center" vertical="center"/>
    </xf>
    <xf numFmtId="0" fontId="53" fillId="0" borderId="0" xfId="52" applyFont="1" applyAlignment="1">
      <alignment horizontal="right" vertical="center"/>
    </xf>
    <xf numFmtId="0" fontId="50" fillId="0" borderId="1" xfId="52" applyFont="1" applyBorder="1" applyAlignment="1">
      <alignment horizontal="center" vertical="center" wrapText="1"/>
    </xf>
    <xf numFmtId="0" fontId="53" fillId="0" borderId="1" xfId="52" applyFont="1" applyBorder="1" applyAlignment="1">
      <alignment horizontal="left" vertical="center"/>
    </xf>
    <xf numFmtId="0" fontId="50" fillId="0" borderId="1" xfId="0" applyFont="1" applyBorder="1"/>
    <xf numFmtId="0" fontId="50" fillId="0" borderId="0" xfId="0" applyFont="1"/>
    <xf numFmtId="0" fontId="50" fillId="0" borderId="0" xfId="52" applyFont="1" applyAlignment="1">
      <alignment horizontal="left" vertical="center"/>
    </xf>
    <xf numFmtId="0" fontId="53" fillId="0" borderId="0" xfId="52" applyFont="1" applyAlignment="1">
      <alignment horizontal="right" vertical="center" wrapText="1"/>
    </xf>
    <xf numFmtId="0" fontId="53" fillId="0" borderId="0" xfId="52" applyFont="1" applyAlignment="1">
      <alignment horizontal="left" vertical="center"/>
    </xf>
    <xf numFmtId="0" fontId="53" fillId="0" borderId="0" xfId="52" applyFont="1" applyAlignment="1">
      <alignment horizontal="center" vertical="center"/>
    </xf>
    <xf numFmtId="0" fontId="54" fillId="3" borderId="1" xfId="52" applyFont="1" applyFill="1" applyBorder="1" applyAlignment="1" applyProtection="1">
      <alignment horizontal="center" vertical="top" wrapText="1" shrinkToFit="1"/>
      <protection locked="0"/>
    </xf>
    <xf numFmtId="0" fontId="54" fillId="3" borderId="1" xfId="52" applyFont="1" applyFill="1" applyBorder="1" applyAlignment="1">
      <alignment horizontal="center" vertical="top" wrapText="1"/>
    </xf>
    <xf numFmtId="0" fontId="54" fillId="38" borderId="18" xfId="52" applyFont="1" applyFill="1" applyBorder="1" applyAlignment="1">
      <alignment horizontal="center" vertical="top" wrapText="1"/>
    </xf>
    <xf numFmtId="0" fontId="54" fillId="38" borderId="3" xfId="52" applyFont="1" applyFill="1" applyBorder="1" applyAlignment="1">
      <alignment horizontal="center" vertical="top" wrapText="1"/>
    </xf>
    <xf numFmtId="173" fontId="54" fillId="3" borderId="1" xfId="52" applyNumberFormat="1" applyFont="1" applyFill="1" applyBorder="1" applyAlignment="1" applyProtection="1">
      <alignment horizontal="center" vertical="top" wrapText="1"/>
      <protection locked="0"/>
    </xf>
    <xf numFmtId="0" fontId="54" fillId="3" borderId="3" xfId="52" applyFont="1" applyFill="1" applyBorder="1" applyAlignment="1">
      <alignment horizontal="center" vertical="top" wrapText="1"/>
    </xf>
    <xf numFmtId="0" fontId="54" fillId="3" borderId="3" xfId="52" applyFont="1" applyFill="1" applyBorder="1" applyAlignment="1">
      <alignment horizontal="left" vertical="top" wrapText="1"/>
    </xf>
    <xf numFmtId="0" fontId="50" fillId="0" borderId="0" xfId="0" applyFont="1" applyAlignment="1">
      <alignment vertical="top" wrapText="1"/>
    </xf>
    <xf numFmtId="0" fontId="55" fillId="0" borderId="1" xfId="0" applyFont="1" applyBorder="1" applyAlignment="1">
      <alignment vertical="center" wrapText="1"/>
    </xf>
    <xf numFmtId="0" fontId="55" fillId="0" borderId="1" xfId="0" applyFont="1" applyBorder="1" applyAlignment="1">
      <alignment horizontal="left" vertical="center" wrapText="1"/>
    </xf>
    <xf numFmtId="16" fontId="55" fillId="0" borderId="1" xfId="0" applyNumberFormat="1" applyFont="1" applyBorder="1" applyAlignment="1">
      <alignment horizontal="left" vertical="center"/>
    </xf>
    <xf numFmtId="0" fontId="55" fillId="0" borderId="1" xfId="0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0" fontId="3" fillId="0" borderId="1" xfId="0" applyFont="1" applyBorder="1"/>
    <xf numFmtId="0" fontId="56" fillId="0" borderId="1" xfId="45" applyFont="1" applyBorder="1" applyAlignment="1">
      <alignment vertical="center" wrapText="1"/>
    </xf>
    <xf numFmtId="0" fontId="0" fillId="0" borderId="1" xfId="0" applyBorder="1" applyAlignment="1">
      <alignment vertical="center"/>
    </xf>
    <xf numFmtId="0" fontId="56" fillId="0" borderId="0" xfId="0" applyFont="1" applyAlignment="1">
      <alignment vertical="center" wrapText="1"/>
    </xf>
    <xf numFmtId="0" fontId="3" fillId="0" borderId="1" xfId="0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175" fontId="57" fillId="0" borderId="1" xfId="0" applyNumberFormat="1" applyFont="1" applyBorder="1" applyAlignment="1">
      <alignment horizontal="left" vertical="center" wrapText="1"/>
    </xf>
    <xf numFmtId="0" fontId="46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vertical="center"/>
    </xf>
    <xf numFmtId="0" fontId="46" fillId="0" borderId="1" xfId="0" applyFont="1" applyBorder="1" applyAlignment="1">
      <alignment vertical="center" wrapText="1"/>
    </xf>
    <xf numFmtId="0" fontId="58" fillId="0" borderId="1" xfId="0" applyFont="1" applyBorder="1" applyAlignment="1">
      <alignment vertical="center"/>
    </xf>
    <xf numFmtId="175" fontId="59" fillId="0" borderId="1" xfId="0" applyNumberFormat="1" applyFont="1" applyBorder="1" applyAlignment="1">
      <alignment vertical="center" wrapText="1"/>
    </xf>
    <xf numFmtId="0" fontId="0" fillId="0" borderId="1" xfId="0" applyBorder="1" applyAlignment="1">
      <alignment horizontal="center"/>
    </xf>
    <xf numFmtId="0" fontId="58" fillId="0" borderId="1" xfId="0" applyFont="1" applyBorder="1" applyAlignment="1">
      <alignment vertical="center" wrapText="1"/>
    </xf>
    <xf numFmtId="16" fontId="59" fillId="0" borderId="1" xfId="0" applyNumberFormat="1" applyFont="1" applyBorder="1" applyAlignment="1">
      <alignment horizontal="left" vertical="center" wrapText="1"/>
    </xf>
    <xf numFmtId="0" fontId="58" fillId="0" borderId="1" xfId="0" applyFont="1" applyBorder="1" applyAlignment="1">
      <alignment horizontal="center" vertical="center"/>
    </xf>
    <xf numFmtId="175" fontId="46" fillId="0" borderId="1" xfId="0" applyNumberFormat="1" applyFont="1" applyBorder="1" applyAlignment="1">
      <alignment horizontal="left" vertical="center"/>
    </xf>
    <xf numFmtId="16" fontId="46" fillId="0" borderId="1" xfId="0" applyNumberFormat="1" applyFont="1" applyBorder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wrapText="1"/>
    </xf>
    <xf numFmtId="16" fontId="3" fillId="0" borderId="1" xfId="0" applyNumberFormat="1" applyFont="1" applyBorder="1" applyAlignment="1">
      <alignment horizontal="left" vertical="center"/>
    </xf>
    <xf numFmtId="16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50" fillId="0" borderId="1" xfId="45" applyFont="1" applyBorder="1" applyAlignment="1">
      <alignment vertical="center" wrapText="1"/>
    </xf>
    <xf numFmtId="175" fontId="0" fillId="0" borderId="1" xfId="0" applyNumberFormat="1" applyBorder="1" applyAlignment="1">
      <alignment horizontal="left" vertical="center"/>
    </xf>
    <xf numFmtId="0" fontId="3" fillId="0" borderId="1" xfId="0" applyFont="1" applyBorder="1" applyAlignment="1">
      <alignment vertical="top" wrapText="1"/>
    </xf>
    <xf numFmtId="175" fontId="3" fillId="0" borderId="1" xfId="0" applyNumberFormat="1" applyFont="1" applyBorder="1" applyAlignment="1">
      <alignment vertical="center" wrapText="1"/>
    </xf>
    <xf numFmtId="175" fontId="3" fillId="0" borderId="1" xfId="0" applyNumberFormat="1" applyFont="1" applyBorder="1" applyAlignment="1">
      <alignment vertical="center"/>
    </xf>
    <xf numFmtId="175" fontId="3" fillId="0" borderId="1" xfId="0" applyNumberFormat="1" applyFont="1" applyBorder="1" applyAlignment="1">
      <alignment horizontal="left" vertical="center" wrapText="1"/>
    </xf>
    <xf numFmtId="0" fontId="10" fillId="0" borderId="1" xfId="45" applyFont="1" applyBorder="1" applyAlignment="1">
      <alignment vertical="center" wrapText="1"/>
    </xf>
    <xf numFmtId="0" fontId="3" fillId="0" borderId="1" xfId="0" applyFont="1" applyBorder="1" applyAlignment="1">
      <alignment horizontal="left" vertical="center" wrapText="1"/>
    </xf>
    <xf numFmtId="16" fontId="3" fillId="0" borderId="1" xfId="0" applyNumberFormat="1" applyFont="1" applyBorder="1" applyAlignment="1">
      <alignment horizontal="left" vertical="center" wrapText="1"/>
    </xf>
    <xf numFmtId="0" fontId="58" fillId="0" borderId="1" xfId="0" applyFont="1" applyBorder="1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16" fontId="3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 wrapText="1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left" wrapText="1"/>
    </xf>
    <xf numFmtId="0" fontId="0" fillId="0" borderId="1" xfId="0" applyBorder="1" applyAlignment="1">
      <alignment horizontal="left" vertical="center"/>
    </xf>
    <xf numFmtId="0" fontId="13" fillId="0" borderId="0" xfId="45" applyFont="1" applyAlignment="1">
      <alignment vertical="top" wrapText="1"/>
    </xf>
    <xf numFmtId="0" fontId="13" fillId="0" borderId="0" xfId="45" applyFont="1" applyAlignment="1">
      <alignment horizontal="left" vertical="top" wrapText="1"/>
    </xf>
    <xf numFmtId="0" fontId="60" fillId="0" borderId="0" xfId="45" applyFont="1"/>
    <xf numFmtId="0" fontId="60" fillId="0" borderId="0" xfId="45" applyFont="1" applyAlignment="1">
      <alignment horizontal="center"/>
    </xf>
    <xf numFmtId="0" fontId="32" fillId="0" borderId="0" xfId="0" applyFont="1"/>
    <xf numFmtId="0" fontId="32" fillId="0" borderId="0" xfId="49" applyFont="1"/>
    <xf numFmtId="0" fontId="13" fillId="4" borderId="0" xfId="45" applyFont="1" applyFill="1"/>
    <xf numFmtId="0" fontId="13" fillId="0" borderId="0" xfId="45" applyFont="1"/>
    <xf numFmtId="0" fontId="13" fillId="41" borderId="0" xfId="45" applyFont="1" applyFill="1"/>
    <xf numFmtId="0" fontId="13" fillId="0" borderId="0" xfId="45" applyFont="1" applyAlignment="1">
      <alignment horizontal="left"/>
    </xf>
    <xf numFmtId="0" fontId="13" fillId="10" borderId="0" xfId="45" applyFont="1" applyFill="1"/>
    <xf numFmtId="0" fontId="61" fillId="0" borderId="0" xfId="49" applyFont="1"/>
    <xf numFmtId="0" fontId="13" fillId="36" borderId="0" xfId="45" applyFont="1" applyFill="1"/>
    <xf numFmtId="0" fontId="13" fillId="8" borderId="0" xfId="45" applyFont="1" applyFill="1"/>
    <xf numFmtId="0" fontId="13" fillId="5" borderId="0" xfId="45" applyFont="1" applyFill="1"/>
    <xf numFmtId="174" fontId="52" fillId="0" borderId="0" xfId="45" applyNumberFormat="1" applyFont="1" applyAlignment="1">
      <alignment horizontal="center"/>
    </xf>
    <xf numFmtId="174" fontId="52" fillId="0" borderId="0" xfId="45" applyNumberFormat="1" applyFont="1"/>
    <xf numFmtId="174" fontId="52" fillId="0" borderId="19" xfId="45" applyNumberFormat="1" applyFont="1" applyBorder="1" applyAlignment="1">
      <alignment horizontal="center"/>
    </xf>
    <xf numFmtId="175" fontId="52" fillId="0" borderId="0" xfId="45" applyNumberFormat="1" applyFont="1" applyAlignment="1">
      <alignment horizontal="center"/>
    </xf>
    <xf numFmtId="175" fontId="52" fillId="0" borderId="0" xfId="45" applyNumberFormat="1" applyFont="1"/>
    <xf numFmtId="175" fontId="52" fillId="42" borderId="19" xfId="45" applyNumberFormat="1" applyFont="1" applyFill="1" applyBorder="1" applyAlignment="1">
      <alignment horizontal="center"/>
    </xf>
    <xf numFmtId="0" fontId="52" fillId="42" borderId="19" xfId="45" applyFont="1" applyFill="1" applyBorder="1" applyAlignment="1">
      <alignment horizontal="center" vertical="top" wrapText="1"/>
    </xf>
    <xf numFmtId="0" fontId="52" fillId="0" borderId="19" xfId="45" applyFont="1" applyBorder="1" applyAlignment="1">
      <alignment horizontal="center" vertical="top" wrapText="1"/>
    </xf>
    <xf numFmtId="0" fontId="60" fillId="0" borderId="19" xfId="45" applyFont="1" applyBorder="1" applyAlignment="1">
      <alignment horizontal="left" vertical="top" wrapText="1"/>
    </xf>
    <xf numFmtId="0" fontId="52" fillId="6" borderId="19" xfId="45" applyFont="1" applyFill="1" applyBorder="1" applyAlignment="1">
      <alignment horizontal="center" vertical="top" wrapText="1"/>
    </xf>
    <xf numFmtId="0" fontId="63" fillId="0" borderId="19" xfId="45" applyFont="1" applyBorder="1" applyAlignment="1">
      <alignment horizontal="center" vertical="top" wrapText="1"/>
    </xf>
    <xf numFmtId="0" fontId="63" fillId="4" borderId="19" xfId="45" applyFont="1" applyFill="1" applyBorder="1" applyAlignment="1">
      <alignment horizontal="center" vertical="top" wrapText="1"/>
    </xf>
    <xf numFmtId="0" fontId="63" fillId="0" borderId="19" xfId="45" applyFont="1" applyBorder="1" applyAlignment="1">
      <alignment vertical="top" wrapText="1"/>
    </xf>
    <xf numFmtId="0" fontId="52" fillId="0" borderId="19" xfId="45" applyFont="1" applyBorder="1" applyAlignment="1">
      <alignment vertical="top" wrapText="1"/>
    </xf>
    <xf numFmtId="0" fontId="52" fillId="6" borderId="19" xfId="45" applyFont="1" applyFill="1" applyBorder="1" applyAlignment="1">
      <alignment vertical="top" wrapText="1"/>
    </xf>
    <xf numFmtId="0" fontId="63" fillId="41" borderId="19" xfId="45" applyFont="1" applyFill="1" applyBorder="1" applyAlignment="1">
      <alignment horizontal="center" vertical="top" wrapText="1"/>
    </xf>
    <xf numFmtId="0" fontId="60" fillId="0" borderId="19" xfId="45" applyFont="1" applyBorder="1" applyAlignment="1">
      <alignment horizontal="center" vertical="top" wrapText="1"/>
    </xf>
    <xf numFmtId="0" fontId="63" fillId="5" borderId="19" xfId="45" applyFont="1" applyFill="1" applyBorder="1" applyAlignment="1">
      <alignment horizontal="center" vertical="top" wrapText="1"/>
    </xf>
    <xf numFmtId="0" fontId="63" fillId="4" borderId="19" xfId="45" applyFont="1" applyFill="1" applyBorder="1" applyAlignment="1">
      <alignment vertical="top" wrapText="1"/>
    </xf>
    <xf numFmtId="0" fontId="63" fillId="5" borderId="19" xfId="45" applyFont="1" applyFill="1" applyBorder="1" applyAlignment="1">
      <alignment vertical="top" wrapText="1"/>
    </xf>
    <xf numFmtId="0" fontId="64" fillId="4" borderId="0" xfId="0" applyFont="1" applyFill="1"/>
    <xf numFmtId="16" fontId="63" fillId="0" borderId="19" xfId="45" applyNumberFormat="1" applyFont="1" applyBorder="1" applyAlignment="1">
      <alignment horizontal="center" vertical="top" wrapText="1"/>
    </xf>
    <xf numFmtId="16" fontId="41" fillId="4" borderId="19" xfId="0" applyNumberFormat="1" applyFont="1" applyFill="1" applyBorder="1" applyAlignment="1">
      <alignment horizontal="center"/>
    </xf>
    <xf numFmtId="0" fontId="65" fillId="0" borderId="19" xfId="45" applyFont="1" applyBorder="1" applyAlignment="1">
      <alignment horizontal="center" vertical="top" wrapText="1"/>
    </xf>
    <xf numFmtId="1" fontId="60" fillId="0" borderId="24" xfId="45" applyNumberFormat="1" applyFont="1" applyBorder="1" applyAlignment="1">
      <alignment horizontal="center" vertical="top" wrapText="1"/>
    </xf>
    <xf numFmtId="0" fontId="60" fillId="0" borderId="24" xfId="45" applyFont="1" applyBorder="1" applyAlignment="1">
      <alignment horizontal="left" vertical="top" wrapText="1"/>
    </xf>
    <xf numFmtId="0" fontId="60" fillId="0" borderId="19" xfId="45" applyFont="1" applyBorder="1" applyAlignment="1">
      <alignment vertical="top" wrapText="1"/>
    </xf>
    <xf numFmtId="1" fontId="52" fillId="0" borderId="19" xfId="45" applyNumberFormat="1" applyFont="1" applyBorder="1" applyAlignment="1">
      <alignment horizontal="center" vertical="top" wrapText="1"/>
    </xf>
    <xf numFmtId="1" fontId="60" fillId="0" borderId="0" xfId="45" applyNumberFormat="1" applyFont="1" applyAlignment="1">
      <alignment horizontal="center" vertical="top" wrapText="1"/>
    </xf>
    <xf numFmtId="0" fontId="13" fillId="0" borderId="0" xfId="45" applyFont="1" applyAlignment="1">
      <alignment horizontal="center" vertical="top" wrapText="1"/>
    </xf>
    <xf numFmtId="1" fontId="13" fillId="0" borderId="0" xfId="45" applyNumberFormat="1" applyFont="1" applyAlignment="1">
      <alignment vertical="top" wrapText="1"/>
    </xf>
    <xf numFmtId="0" fontId="13" fillId="0" borderId="26" xfId="45" applyFont="1" applyBorder="1" applyAlignment="1">
      <alignment horizontal="left" vertical="top"/>
    </xf>
    <xf numFmtId="0" fontId="13" fillId="0" borderId="0" xfId="45" applyFont="1" applyAlignment="1">
      <alignment horizontal="left" vertical="top"/>
    </xf>
    <xf numFmtId="0" fontId="13" fillId="0" borderId="31" xfId="45" applyFont="1" applyBorder="1" applyAlignment="1">
      <alignment horizontal="left" vertical="top"/>
    </xf>
    <xf numFmtId="0" fontId="13" fillId="0" borderId="0" xfId="45" applyFont="1" applyAlignment="1">
      <alignment horizontal="center" vertical="center" wrapText="1"/>
    </xf>
    <xf numFmtId="0" fontId="13" fillId="0" borderId="31" xfId="52" applyFont="1" applyBorder="1" applyAlignment="1">
      <alignment horizontal="left" vertical="center"/>
    </xf>
    <xf numFmtId="0" fontId="61" fillId="42" borderId="2" xfId="45" applyFont="1" applyFill="1" applyBorder="1" applyAlignment="1">
      <alignment horizontal="center" vertical="top" wrapText="1"/>
    </xf>
    <xf numFmtId="0" fontId="61" fillId="42" borderId="17" xfId="45" applyFont="1" applyFill="1" applyBorder="1" applyAlignment="1">
      <alignment horizontal="center" vertical="top" wrapText="1"/>
    </xf>
    <xf numFmtId="0" fontId="61" fillId="42" borderId="1" xfId="45" applyFont="1" applyFill="1" applyBorder="1" applyAlignment="1">
      <alignment horizontal="center" vertical="top" wrapText="1"/>
    </xf>
    <xf numFmtId="0" fontId="61" fillId="42" borderId="3" xfId="45" applyFont="1" applyFill="1" applyBorder="1" applyAlignment="1">
      <alignment horizontal="center" vertical="top" wrapText="1"/>
    </xf>
    <xf numFmtId="0" fontId="13" fillId="42" borderId="3" xfId="45" applyFont="1" applyFill="1" applyBorder="1" applyAlignment="1">
      <alignment horizontal="center" vertical="top" wrapText="1"/>
    </xf>
    <xf numFmtId="0" fontId="13" fillId="42" borderId="1" xfId="45" applyFont="1" applyFill="1" applyBorder="1" applyAlignment="1">
      <alignment horizontal="center" vertical="top" wrapText="1"/>
    </xf>
    <xf numFmtId="0" fontId="66" fillId="0" borderId="0" xfId="45" applyFont="1"/>
    <xf numFmtId="0" fontId="66" fillId="0" borderId="1" xfId="45" applyFont="1" applyBorder="1" applyAlignment="1">
      <alignment horizontal="center" vertical="top" wrapText="1"/>
    </xf>
    <xf numFmtId="176" fontId="66" fillId="0" borderId="1" xfId="45" applyNumberFormat="1" applyFont="1" applyBorder="1" applyAlignment="1">
      <alignment horizontal="center" vertical="top" wrapText="1"/>
    </xf>
    <xf numFmtId="9" fontId="63" fillId="0" borderId="1" xfId="45" applyNumberFormat="1" applyFont="1" applyBorder="1" applyAlignment="1">
      <alignment horizontal="center" vertical="top" wrapText="1"/>
    </xf>
    <xf numFmtId="0" fontId="66" fillId="0" borderId="1" xfId="45" applyFont="1" applyBorder="1" applyAlignment="1">
      <alignment vertical="top" wrapText="1"/>
    </xf>
    <xf numFmtId="0" fontId="13" fillId="0" borderId="1" xfId="45" applyFont="1" applyBorder="1" applyAlignment="1">
      <alignment horizontal="center" vertical="top" wrapText="1"/>
    </xf>
    <xf numFmtId="176" fontId="13" fillId="0" borderId="1" xfId="45" applyNumberFormat="1" applyFont="1" applyBorder="1" applyAlignment="1">
      <alignment horizontal="center" vertical="top" wrapText="1"/>
    </xf>
    <xf numFmtId="9" fontId="61" fillId="0" borderId="1" xfId="45" applyNumberFormat="1" applyFont="1" applyBorder="1" applyAlignment="1">
      <alignment horizontal="center" vertical="top" wrapText="1"/>
    </xf>
    <xf numFmtId="9" fontId="52" fillId="0" borderId="1" xfId="45" applyNumberFormat="1" applyFont="1" applyBorder="1" applyAlignment="1">
      <alignment horizontal="center" vertical="top" wrapText="1"/>
    </xf>
    <xf numFmtId="0" fontId="13" fillId="0" borderId="1" xfId="45" applyFont="1" applyBorder="1" applyAlignment="1">
      <alignment vertical="top" wrapText="1"/>
    </xf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0" fontId="67" fillId="4" borderId="0" xfId="0" applyFont="1" applyFill="1" applyAlignment="1">
      <alignment horizontal="center"/>
    </xf>
    <xf numFmtId="0" fontId="67" fillId="43" borderId="0" xfId="0" applyFont="1" applyFill="1" applyAlignment="1">
      <alignment horizontal="center"/>
    </xf>
    <xf numFmtId="0" fontId="67" fillId="0" borderId="0" xfId="0" applyFont="1" applyAlignment="1">
      <alignment horizontal="left"/>
    </xf>
    <xf numFmtId="0" fontId="67" fillId="5" borderId="0" xfId="0" applyFont="1" applyFill="1" applyAlignment="1">
      <alignment horizontal="center"/>
    </xf>
    <xf numFmtId="0" fontId="67" fillId="8" borderId="0" xfId="0" applyFont="1" applyFill="1" applyAlignment="1">
      <alignment horizontal="center"/>
    </xf>
    <xf numFmtId="0" fontId="67" fillId="36" borderId="0" xfId="0" applyFont="1" applyFill="1" applyAlignment="1">
      <alignment horizontal="center"/>
    </xf>
    <xf numFmtId="0" fontId="68" fillId="44" borderId="33" xfId="0" applyFont="1" applyFill="1" applyBorder="1" applyAlignment="1">
      <alignment horizontal="center" vertical="center"/>
    </xf>
    <xf numFmtId="0" fontId="67" fillId="44" borderId="36" xfId="0" applyFont="1" applyFill="1" applyBorder="1" applyAlignment="1">
      <alignment horizontal="center" vertical="center"/>
    </xf>
    <xf numFmtId="0" fontId="67" fillId="44" borderId="37" xfId="0" applyFont="1" applyFill="1" applyBorder="1" applyAlignment="1">
      <alignment horizontal="center" vertical="center"/>
    </xf>
    <xf numFmtId="0" fontId="67" fillId="44" borderId="38" xfId="0" applyFont="1" applyFill="1" applyBorder="1" applyAlignment="1">
      <alignment horizontal="center" vertical="center"/>
    </xf>
    <xf numFmtId="0" fontId="67" fillId="44" borderId="39" xfId="0" applyFont="1" applyFill="1" applyBorder="1" applyAlignment="1">
      <alignment horizontal="center" vertical="center"/>
    </xf>
    <xf numFmtId="0" fontId="67" fillId="44" borderId="40" xfId="0" applyFont="1" applyFill="1" applyBorder="1" applyAlignment="1">
      <alignment horizontal="center" vertical="center"/>
    </xf>
    <xf numFmtId="0" fontId="39" fillId="0" borderId="0" xfId="0" applyFont="1"/>
    <xf numFmtId="0" fontId="67" fillId="0" borderId="45" xfId="0" applyFont="1" applyBorder="1" applyAlignment="1">
      <alignment horizontal="center"/>
    </xf>
    <xf numFmtId="0" fontId="67" fillId="0" borderId="51" xfId="0" applyFont="1" applyBorder="1" applyAlignment="1">
      <alignment horizontal="center"/>
    </xf>
    <xf numFmtId="0" fontId="70" fillId="0" borderId="61" xfId="0" applyFont="1" applyBorder="1" applyAlignment="1">
      <alignment horizontal="left" vertical="center" readingOrder="1"/>
    </xf>
    <xf numFmtId="0" fontId="70" fillId="0" borderId="61" xfId="0" applyFont="1" applyBorder="1" applyAlignment="1">
      <alignment horizontal="center" vertical="center" readingOrder="1"/>
    </xf>
    <xf numFmtId="0" fontId="68" fillId="0" borderId="61" xfId="0" applyFont="1" applyBorder="1" applyAlignment="1">
      <alignment horizontal="center"/>
    </xf>
    <xf numFmtId="0" fontId="67" fillId="0" borderId="62" xfId="0" applyFont="1" applyBorder="1" applyAlignment="1">
      <alignment horizontal="center"/>
    </xf>
    <xf numFmtId="0" fontId="67" fillId="0" borderId="63" xfId="0" applyFont="1" applyBorder="1" applyAlignment="1">
      <alignment horizontal="center"/>
    </xf>
    <xf numFmtId="0" fontId="67" fillId="0" borderId="64" xfId="0" applyFont="1" applyBorder="1" applyAlignment="1">
      <alignment horizontal="center"/>
    </xf>
    <xf numFmtId="0" fontId="67" fillId="0" borderId="65" xfId="0" applyFont="1" applyBorder="1" applyAlignment="1">
      <alignment horizontal="center"/>
    </xf>
    <xf numFmtId="0" fontId="67" fillId="0" borderId="66" xfId="0" applyFont="1" applyBorder="1" applyAlignment="1">
      <alignment horizontal="center"/>
    </xf>
    <xf numFmtId="9" fontId="67" fillId="0" borderId="63" xfId="0" applyNumberFormat="1" applyFont="1" applyBorder="1" applyAlignment="1">
      <alignment horizontal="center"/>
    </xf>
    <xf numFmtId="0" fontId="67" fillId="0" borderId="46" xfId="0" applyFont="1" applyBorder="1" applyAlignment="1">
      <alignment horizontal="center"/>
    </xf>
    <xf numFmtId="0" fontId="67" fillId="0" borderId="1" xfId="0" applyFont="1" applyBorder="1" applyAlignment="1">
      <alignment horizontal="center"/>
    </xf>
    <xf numFmtId="0" fontId="67" fillId="0" borderId="4" xfId="0" applyFont="1" applyBorder="1" applyAlignment="1">
      <alignment horizontal="center"/>
    </xf>
    <xf numFmtId="0" fontId="67" fillId="0" borderId="55" xfId="0" applyFont="1" applyBorder="1" applyAlignment="1">
      <alignment horizontal="center"/>
    </xf>
    <xf numFmtId="0" fontId="70" fillId="0" borderId="59" xfId="0" applyFont="1" applyBorder="1" applyAlignment="1">
      <alignment horizontal="left" vertical="center" readingOrder="1"/>
    </xf>
    <xf numFmtId="0" fontId="70" fillId="0" borderId="59" xfId="0" applyFont="1" applyBorder="1" applyAlignment="1">
      <alignment horizontal="center" vertical="center" readingOrder="1"/>
    </xf>
    <xf numFmtId="0" fontId="68" fillId="0" borderId="68" xfId="0" applyFont="1" applyBorder="1" applyAlignment="1">
      <alignment horizontal="center"/>
    </xf>
    <xf numFmtId="0" fontId="67" fillId="0" borderId="2" xfId="0" applyFont="1" applyBorder="1" applyAlignment="1">
      <alignment horizontal="center"/>
    </xf>
    <xf numFmtId="0" fontId="67" fillId="0" borderId="57" xfId="0" applyFont="1" applyBorder="1" applyAlignment="1">
      <alignment horizontal="center"/>
    </xf>
    <xf numFmtId="9" fontId="67" fillId="0" borderId="2" xfId="0" applyNumberFormat="1" applyFont="1" applyBorder="1" applyAlignment="1">
      <alignment horizontal="center"/>
    </xf>
    <xf numFmtId="0" fontId="68" fillId="0" borderId="70" xfId="0" applyFont="1" applyBorder="1" applyAlignment="1">
      <alignment horizontal="center"/>
    </xf>
    <xf numFmtId="0" fontId="67" fillId="0" borderId="3" xfId="0" applyFont="1" applyBorder="1" applyAlignment="1">
      <alignment horizontal="center"/>
    </xf>
    <xf numFmtId="0" fontId="67" fillId="0" borderId="68" xfId="0" applyFont="1" applyBorder="1" applyAlignment="1">
      <alignment horizontal="center"/>
    </xf>
    <xf numFmtId="0" fontId="67" fillId="0" borderId="58" xfId="0" applyFont="1" applyBorder="1" applyAlignment="1">
      <alignment horizontal="center"/>
    </xf>
    <xf numFmtId="0" fontId="67" fillId="0" borderId="60" xfId="0" applyFont="1" applyBorder="1" applyAlignment="1">
      <alignment horizontal="center"/>
    </xf>
    <xf numFmtId="0" fontId="67" fillId="0" borderId="16" xfId="0" applyFont="1" applyBorder="1" applyAlignment="1">
      <alignment horizontal="center"/>
    </xf>
    <xf numFmtId="0" fontId="70" fillId="0" borderId="72" xfId="0" applyFont="1" applyBorder="1" applyAlignment="1">
      <alignment horizontal="left" vertical="center" readingOrder="1"/>
    </xf>
    <xf numFmtId="0" fontId="70" fillId="0" borderId="72" xfId="0" applyFont="1" applyBorder="1" applyAlignment="1">
      <alignment horizontal="center" vertical="center" readingOrder="1"/>
    </xf>
    <xf numFmtId="9" fontId="67" fillId="0" borderId="1" xfId="0" applyNumberFormat="1" applyFont="1" applyBorder="1" applyAlignment="1">
      <alignment horizontal="center"/>
    </xf>
    <xf numFmtId="0" fontId="67" fillId="0" borderId="69" xfId="0" applyFont="1" applyBorder="1" applyAlignment="1">
      <alignment horizontal="center"/>
    </xf>
    <xf numFmtId="9" fontId="67" fillId="0" borderId="1" xfId="0" quotePrefix="1" applyNumberFormat="1" applyFont="1" applyBorder="1" applyAlignment="1">
      <alignment horizontal="center"/>
    </xf>
    <xf numFmtId="0" fontId="70" fillId="0" borderId="0" xfId="0" applyFont="1" applyAlignment="1">
      <alignment horizontal="left" vertical="center" readingOrder="1"/>
    </xf>
    <xf numFmtId="0" fontId="70" fillId="0" borderId="0" xfId="0" applyFont="1" applyAlignment="1">
      <alignment horizontal="center" vertical="center" readingOrder="1"/>
    </xf>
    <xf numFmtId="0" fontId="0" fillId="0" borderId="0" xfId="0" applyAlignment="1">
      <alignment wrapText="1"/>
    </xf>
    <xf numFmtId="22" fontId="0" fillId="0" borderId="0" xfId="0" applyNumberFormat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22" fontId="0" fillId="0" borderId="19" xfId="0" applyNumberFormat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0" fillId="0" borderId="1" xfId="0" applyBorder="1" applyAlignment="1">
      <alignment horizontal="right"/>
    </xf>
    <xf numFmtId="0" fontId="71" fillId="0" borderId="0" xfId="0" applyFont="1" applyAlignment="1">
      <alignment vertical="center"/>
    </xf>
    <xf numFmtId="0" fontId="67" fillId="0" borderId="42" xfId="0" applyFont="1" applyBorder="1" applyAlignment="1">
      <alignment horizontal="center"/>
    </xf>
    <xf numFmtId="0" fontId="67" fillId="0" borderId="17" xfId="0" applyFont="1" applyBorder="1" applyAlignment="1">
      <alignment horizontal="center"/>
    </xf>
    <xf numFmtId="0" fontId="67" fillId="0" borderId="43" xfId="0" applyFont="1" applyBorder="1" applyAlignment="1">
      <alignment horizontal="center"/>
    </xf>
    <xf numFmtId="0" fontId="67" fillId="0" borderId="29" xfId="0" applyFont="1" applyBorder="1" applyAlignment="1">
      <alignment horizontal="center"/>
    </xf>
    <xf numFmtId="0" fontId="67" fillId="0" borderId="28" xfId="0" applyFont="1" applyBorder="1" applyAlignment="1">
      <alignment horizontal="center"/>
    </xf>
    <xf numFmtId="0" fontId="67" fillId="0" borderId="47" xfId="0" applyFont="1" applyBorder="1" applyAlignment="1">
      <alignment horizontal="center"/>
    </xf>
    <xf numFmtId="0" fontId="67" fillId="0" borderId="48" xfId="0" applyFont="1" applyBorder="1" applyAlignment="1">
      <alignment horizontal="center"/>
    </xf>
    <xf numFmtId="0" fontId="67" fillId="0" borderId="49" xfId="0" applyFont="1" applyBorder="1" applyAlignment="1">
      <alignment horizontal="center"/>
    </xf>
    <xf numFmtId="0" fontId="67" fillId="0" borderId="52" xfId="0" applyFont="1" applyBorder="1" applyAlignment="1">
      <alignment horizontal="center"/>
    </xf>
    <xf numFmtId="0" fontId="67" fillId="0" borderId="6" xfId="0" applyFont="1" applyBorder="1" applyAlignment="1">
      <alignment horizontal="center"/>
    </xf>
    <xf numFmtId="0" fontId="67" fillId="0" borderId="53" xfId="0" applyFont="1" applyBorder="1" applyAlignment="1">
      <alignment horizontal="center"/>
    </xf>
    <xf numFmtId="0" fontId="67" fillId="0" borderId="56" xfId="0" applyFont="1" applyBorder="1" applyAlignment="1">
      <alignment horizontal="center"/>
    </xf>
    <xf numFmtId="0" fontId="67" fillId="0" borderId="5" xfId="0" applyFont="1" applyBorder="1" applyAlignment="1">
      <alignment horizontal="center"/>
    </xf>
    <xf numFmtId="0" fontId="67" fillId="0" borderId="2" xfId="0" quotePrefix="1" applyFont="1" applyBorder="1" applyAlignment="1">
      <alignment horizontal="center"/>
    </xf>
    <xf numFmtId="9" fontId="67" fillId="0" borderId="2" xfId="0" quotePrefix="1" applyNumberFormat="1" applyFont="1" applyBorder="1" applyAlignment="1">
      <alignment horizontal="center"/>
    </xf>
    <xf numFmtId="0" fontId="67" fillId="0" borderId="1" xfId="0" quotePrefix="1" applyFont="1" applyBorder="1" applyAlignment="1">
      <alignment horizontal="center"/>
    </xf>
    <xf numFmtId="9" fontId="67" fillId="0" borderId="0" xfId="0" applyNumberFormat="1" applyFont="1" applyAlignment="1">
      <alignment horizontal="center"/>
    </xf>
    <xf numFmtId="9" fontId="67" fillId="0" borderId="3" xfId="0" applyNumberFormat="1" applyFont="1" applyBorder="1" applyAlignment="1">
      <alignment horizontal="center"/>
    </xf>
    <xf numFmtId="0" fontId="69" fillId="0" borderId="41" xfId="0" applyFont="1" applyBorder="1" applyAlignment="1">
      <alignment horizontal="left" vertical="center" readingOrder="1"/>
    </xf>
    <xf numFmtId="0" fontId="69" fillId="0" borderId="41" xfId="0" applyFont="1" applyBorder="1" applyAlignment="1">
      <alignment horizontal="center" vertical="center" readingOrder="1"/>
    </xf>
    <xf numFmtId="0" fontId="68" fillId="0" borderId="41" xfId="0" applyFont="1" applyBorder="1" applyAlignment="1">
      <alignment horizontal="center" vertical="center"/>
    </xf>
    <xf numFmtId="0" fontId="69" fillId="0" borderId="44" xfId="0" applyFont="1" applyBorder="1" applyAlignment="1">
      <alignment horizontal="left" vertical="center" readingOrder="1"/>
    </xf>
    <xf numFmtId="0" fontId="69" fillId="0" borderId="44" xfId="0" applyFont="1" applyBorder="1" applyAlignment="1">
      <alignment horizontal="center" vertical="center" readingOrder="1"/>
    </xf>
    <xf numFmtId="0" fontId="68" fillId="0" borderId="44" xfId="0" applyFont="1" applyBorder="1" applyAlignment="1">
      <alignment horizontal="center"/>
    </xf>
    <xf numFmtId="0" fontId="70" fillId="0" borderId="50" xfId="0" applyFont="1" applyBorder="1" applyAlignment="1">
      <alignment horizontal="left" vertical="center" readingOrder="1"/>
    </xf>
    <xf numFmtId="0" fontId="70" fillId="0" borderId="50" xfId="0" applyFont="1" applyBorder="1" applyAlignment="1">
      <alignment horizontal="center" vertical="center" readingOrder="1"/>
    </xf>
    <xf numFmtId="0" fontId="67" fillId="0" borderId="50" xfId="0" applyFont="1" applyBorder="1" applyAlignment="1">
      <alignment horizontal="center"/>
    </xf>
    <xf numFmtId="0" fontId="70" fillId="0" borderId="54" xfId="0" applyFont="1" applyBorder="1" applyAlignment="1">
      <alignment horizontal="left" vertical="center" readingOrder="1"/>
    </xf>
    <xf numFmtId="0" fontId="70" fillId="0" borderId="54" xfId="0" applyFont="1" applyBorder="1" applyAlignment="1">
      <alignment horizontal="center" vertical="center" readingOrder="1"/>
    </xf>
    <xf numFmtId="0" fontId="67" fillId="0" borderId="54" xfId="0" applyFont="1" applyBorder="1" applyAlignment="1">
      <alignment horizontal="center"/>
    </xf>
    <xf numFmtId="0" fontId="67" fillId="0" borderId="59" xfId="0" applyFont="1" applyBorder="1" applyAlignment="1">
      <alignment horizontal="center"/>
    </xf>
    <xf numFmtId="0" fontId="68" fillId="0" borderId="67" xfId="0" applyFont="1" applyBorder="1" applyAlignment="1">
      <alignment horizontal="center"/>
    </xf>
    <xf numFmtId="0" fontId="69" fillId="0" borderId="50" xfId="0" applyFont="1" applyBorder="1" applyAlignment="1">
      <alignment horizontal="left" vertical="center" readingOrder="1"/>
    </xf>
    <xf numFmtId="0" fontId="69" fillId="0" borderId="50" xfId="0" applyFont="1" applyBorder="1" applyAlignment="1">
      <alignment horizontal="center" vertical="center" readingOrder="1"/>
    </xf>
    <xf numFmtId="0" fontId="68" fillId="0" borderId="71" xfId="0" applyFont="1" applyBorder="1" applyAlignment="1">
      <alignment horizontal="center"/>
    </xf>
    <xf numFmtId="0" fontId="67" fillId="0" borderId="71" xfId="0" applyFont="1" applyBorder="1" applyAlignment="1">
      <alignment horizontal="center"/>
    </xf>
    <xf numFmtId="0" fontId="70" fillId="0" borderId="69" xfId="0" applyFont="1" applyBorder="1" applyAlignment="1">
      <alignment horizontal="left" vertical="center" readingOrder="1"/>
    </xf>
    <xf numFmtId="0" fontId="70" fillId="0" borderId="69" xfId="0" applyFont="1" applyBorder="1" applyAlignment="1">
      <alignment horizontal="center" vertical="center" readingOrder="1"/>
    </xf>
    <xf numFmtId="0" fontId="67" fillId="0" borderId="70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45" fillId="0" borderId="19" xfId="0" applyFont="1" applyBorder="1" applyAlignment="1">
      <alignment horizontal="left" vertical="center"/>
    </xf>
    <xf numFmtId="0" fontId="6" fillId="0" borderId="19" xfId="39" applyFont="1" applyBorder="1" applyAlignment="1" applyProtection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49" fontId="7" fillId="0" borderId="19" xfId="0" applyNumberFormat="1" applyFont="1" applyBorder="1" applyAlignment="1">
      <alignment horizontal="center" vertical="center"/>
    </xf>
    <xf numFmtId="0" fontId="4" fillId="3" borderId="19" xfId="0" applyFont="1" applyFill="1" applyBorder="1"/>
    <xf numFmtId="0" fontId="0" fillId="0" borderId="24" xfId="0" applyBorder="1" applyAlignment="1">
      <alignment horizontal="center"/>
    </xf>
    <xf numFmtId="49" fontId="0" fillId="0" borderId="23" xfId="0" applyNumberFormat="1" applyBorder="1" applyAlignment="1">
      <alignment horizontal="center" vertical="center"/>
    </xf>
    <xf numFmtId="0" fontId="6" fillId="0" borderId="0" xfId="39" applyFont="1" applyAlignment="1" applyProtection="1">
      <alignment vertical="center" wrapText="1"/>
    </xf>
    <xf numFmtId="0" fontId="0" fillId="0" borderId="19" xfId="0" applyBorder="1"/>
    <xf numFmtId="0" fontId="0" fillId="0" borderId="19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1" fillId="2" borderId="23" xfId="0" applyFont="1" applyFill="1" applyBorder="1" applyAlignment="1">
      <alignment vertical="center"/>
    </xf>
    <xf numFmtId="0" fontId="0" fillId="0" borderId="19" xfId="0" applyBorder="1" applyAlignment="1">
      <alignment vertical="center"/>
    </xf>
    <xf numFmtId="0" fontId="72" fillId="0" borderId="0" xfId="39" applyFont="1" applyFill="1" applyAlignment="1" applyProtection="1"/>
    <xf numFmtId="0" fontId="72" fillId="0" borderId="19" xfId="39" applyFont="1" applyFill="1" applyBorder="1" applyAlignment="1" applyProtection="1">
      <alignment vertical="center" wrapText="1"/>
    </xf>
    <xf numFmtId="0" fontId="72" fillId="0" borderId="24" xfId="39" applyFont="1" applyFill="1" applyBorder="1" applyAlignment="1" applyProtection="1">
      <alignment vertical="center" wrapText="1"/>
    </xf>
    <xf numFmtId="0" fontId="8" fillId="0" borderId="24" xfId="0" applyFont="1" applyBorder="1"/>
    <xf numFmtId="49" fontId="42" fillId="13" borderId="23" xfId="0" applyNumberFormat="1" applyFont="1" applyFill="1" applyBorder="1" applyAlignment="1">
      <alignment horizontal="center" vertical="center" wrapText="1"/>
    </xf>
    <xf numFmtId="0" fontId="47" fillId="13" borderId="23" xfId="0" applyFont="1" applyFill="1" applyBorder="1" applyAlignment="1">
      <alignment horizontal="center" vertical="center" wrapText="1"/>
    </xf>
    <xf numFmtId="49" fontId="42" fillId="13" borderId="23" xfId="0" applyNumberFormat="1" applyFont="1" applyFill="1" applyBorder="1" applyAlignment="1">
      <alignment horizontal="center" vertical="center"/>
    </xf>
    <xf numFmtId="0" fontId="42" fillId="13" borderId="23" xfId="0" applyFont="1" applyFill="1" applyBorder="1" applyAlignment="1">
      <alignment horizontal="center" vertical="center" wrapText="1"/>
    </xf>
    <xf numFmtId="0" fontId="42" fillId="13" borderId="23" xfId="0" applyFont="1" applyFill="1" applyBorder="1" applyAlignment="1">
      <alignment horizontal="center" vertical="center"/>
    </xf>
    <xf numFmtId="169" fontId="42" fillId="13" borderId="23" xfId="0" applyNumberFormat="1" applyFont="1" applyFill="1" applyBorder="1" applyAlignment="1">
      <alignment horizontal="center" vertical="center" wrapText="1"/>
    </xf>
    <xf numFmtId="167" fontId="42" fillId="13" borderId="23" xfId="0" applyNumberFormat="1" applyFont="1" applyFill="1" applyBorder="1" applyAlignment="1">
      <alignment horizontal="center" vertical="center" wrapText="1"/>
    </xf>
    <xf numFmtId="168" fontId="42" fillId="13" borderId="23" xfId="0" applyNumberFormat="1" applyFont="1" applyFill="1" applyBorder="1" applyAlignment="1">
      <alignment horizontal="center" vertical="center"/>
    </xf>
    <xf numFmtId="168" fontId="42" fillId="13" borderId="23" xfId="0" applyNumberFormat="1" applyFont="1" applyFill="1" applyBorder="1" applyAlignment="1">
      <alignment horizontal="center" vertical="center" wrapText="1"/>
    </xf>
    <xf numFmtId="164" fontId="42" fillId="13" borderId="23" xfId="0" applyNumberFormat="1" applyFont="1" applyFill="1" applyBorder="1" applyAlignment="1">
      <alignment horizontal="center" vertical="center" wrapText="1"/>
    </xf>
    <xf numFmtId="165" fontId="42" fillId="13" borderId="23" xfId="0" applyNumberFormat="1" applyFont="1" applyFill="1" applyBorder="1" applyAlignment="1" applyProtection="1">
      <alignment horizontal="center" vertical="center" wrapText="1"/>
      <protection locked="0"/>
    </xf>
    <xf numFmtId="0" fontId="42" fillId="13" borderId="23" xfId="0" applyFont="1" applyFill="1" applyBorder="1" applyAlignment="1" applyProtection="1">
      <alignment horizontal="center" vertical="center"/>
      <protection locked="0"/>
    </xf>
    <xf numFmtId="170" fontId="42" fillId="13" borderId="23" xfId="0" applyNumberFormat="1" applyFont="1" applyFill="1" applyBorder="1" applyAlignment="1" applyProtection="1">
      <alignment horizontal="center" vertical="center"/>
      <protection locked="0"/>
    </xf>
    <xf numFmtId="172" fontId="48" fillId="13" borderId="23" xfId="0" applyNumberFormat="1" applyFont="1" applyFill="1" applyBorder="1" applyAlignment="1" applyProtection="1">
      <alignment horizontal="center" vertical="center" wrapText="1"/>
      <protection locked="0"/>
    </xf>
    <xf numFmtId="170" fontId="48" fillId="13" borderId="23" xfId="0" applyNumberFormat="1" applyFont="1" applyFill="1" applyBorder="1" applyAlignment="1" applyProtection="1">
      <alignment horizontal="center" vertical="center"/>
      <protection locked="0"/>
    </xf>
    <xf numFmtId="0" fontId="42" fillId="13" borderId="23" xfId="0" applyFont="1" applyFill="1" applyBorder="1" applyAlignment="1" applyProtection="1">
      <alignment horizontal="center" vertical="center" wrapText="1"/>
      <protection locked="0"/>
    </xf>
    <xf numFmtId="49" fontId="42" fillId="0" borderId="19" xfId="0" applyNumberFormat="1" applyFont="1" applyBorder="1" applyAlignment="1">
      <alignment horizontal="center" vertical="center" wrapText="1"/>
    </xf>
    <xf numFmtId="49" fontId="42" fillId="0" borderId="19" xfId="0" applyNumberFormat="1" applyFont="1" applyBorder="1" applyAlignment="1">
      <alignment horizontal="center" vertical="center"/>
    </xf>
    <xf numFmtId="0" fontId="42" fillId="0" borderId="19" xfId="0" applyFont="1" applyBorder="1" applyAlignment="1">
      <alignment horizontal="center" vertical="center" wrapText="1"/>
    </xf>
    <xf numFmtId="0" fontId="42" fillId="0" borderId="19" xfId="0" applyFont="1" applyBorder="1" applyAlignment="1">
      <alignment horizontal="center" vertical="center"/>
    </xf>
    <xf numFmtId="169" fontId="42" fillId="0" borderId="19" xfId="0" applyNumberFormat="1" applyFont="1" applyBorder="1" applyAlignment="1">
      <alignment horizontal="center" vertical="center" wrapText="1"/>
    </xf>
    <xf numFmtId="167" fontId="42" fillId="0" borderId="19" xfId="0" applyNumberFormat="1" applyFont="1" applyBorder="1" applyAlignment="1">
      <alignment horizontal="center" vertical="center" wrapText="1"/>
    </xf>
    <xf numFmtId="168" fontId="42" fillId="0" borderId="19" xfId="0" applyNumberFormat="1" applyFont="1" applyBorder="1" applyAlignment="1">
      <alignment horizontal="center" vertical="center"/>
    </xf>
    <xf numFmtId="168" fontId="42" fillId="0" borderId="19" xfId="0" applyNumberFormat="1" applyFont="1" applyBorder="1" applyAlignment="1">
      <alignment horizontal="center" vertical="center" wrapText="1"/>
    </xf>
    <xf numFmtId="164" fontId="42" fillId="0" borderId="19" xfId="0" applyNumberFormat="1" applyFont="1" applyBorder="1" applyAlignment="1">
      <alignment horizontal="center" vertical="center" wrapText="1"/>
    </xf>
    <xf numFmtId="165" fontId="42" fillId="0" borderId="19" xfId="0" applyNumberFormat="1" applyFont="1" applyBorder="1" applyAlignment="1" applyProtection="1">
      <alignment horizontal="center" vertical="center" wrapText="1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170" fontId="42" fillId="0" borderId="19" xfId="0" applyNumberFormat="1" applyFont="1" applyBorder="1" applyAlignment="1" applyProtection="1">
      <alignment horizontal="center" vertical="center"/>
      <protection locked="0"/>
    </xf>
    <xf numFmtId="172" fontId="48" fillId="0" borderId="19" xfId="0" applyNumberFormat="1" applyFont="1" applyBorder="1" applyAlignment="1" applyProtection="1">
      <alignment horizontal="center" vertical="center" wrapText="1"/>
      <protection locked="0"/>
    </xf>
    <xf numFmtId="170" fontId="48" fillId="0" borderId="19" xfId="0" applyNumberFormat="1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 wrapText="1"/>
      <protection locked="0"/>
    </xf>
    <xf numFmtId="168" fontId="47" fillId="13" borderId="23" xfId="0" applyNumberFormat="1" applyFont="1" applyFill="1" applyBorder="1" applyAlignment="1">
      <alignment horizontal="center" vertical="center" wrapText="1"/>
    </xf>
    <xf numFmtId="0" fontId="6" fillId="0" borderId="19" xfId="39" applyFont="1" applyFill="1" applyBorder="1" applyAlignment="1" applyProtection="1"/>
    <xf numFmtId="0" fontId="8" fillId="0" borderId="19" xfId="0" applyFont="1" applyBorder="1"/>
    <xf numFmtId="9" fontId="8" fillId="4" borderId="19" xfId="0" applyNumberFormat="1" applyFont="1" applyFill="1" applyBorder="1"/>
    <xf numFmtId="0" fontId="49" fillId="0" borderId="19" xfId="0" applyFont="1" applyBorder="1" applyAlignment="1">
      <alignment horizontal="right"/>
    </xf>
    <xf numFmtId="0" fontId="6" fillId="0" borderId="19" xfId="39" applyFont="1" applyFill="1" applyBorder="1" applyAlignment="1" applyProtection="1">
      <alignment horizontal="left"/>
    </xf>
    <xf numFmtId="0" fontId="0" fillId="0" borderId="19" xfId="0" applyBorder="1" applyAlignment="1">
      <alignment horizontal="left"/>
    </xf>
    <xf numFmtId="49" fontId="73" fillId="0" borderId="19" xfId="0" applyNumberFormat="1" applyFont="1" applyBorder="1" applyAlignment="1">
      <alignment horizontal="center" vertical="center" wrapText="1"/>
    </xf>
    <xf numFmtId="0" fontId="73" fillId="0" borderId="19" xfId="0" applyFont="1" applyBorder="1" applyAlignment="1">
      <alignment horizontal="center" vertical="center" wrapText="1"/>
    </xf>
    <xf numFmtId="49" fontId="73" fillId="0" borderId="19" xfId="0" applyNumberFormat="1" applyFont="1" applyBorder="1" applyAlignment="1">
      <alignment horizontal="center" vertical="center"/>
    </xf>
    <xf numFmtId="0" fontId="73" fillId="0" borderId="19" xfId="0" applyFont="1" applyBorder="1" applyAlignment="1">
      <alignment horizontal="center" vertical="center"/>
    </xf>
    <xf numFmtId="169" fontId="73" fillId="0" borderId="19" xfId="0" applyNumberFormat="1" applyFont="1" applyBorder="1" applyAlignment="1">
      <alignment horizontal="center" vertical="center" wrapText="1"/>
    </xf>
    <xf numFmtId="167" fontId="73" fillId="0" borderId="19" xfId="0" applyNumberFormat="1" applyFont="1" applyBorder="1" applyAlignment="1">
      <alignment horizontal="center" vertical="center" wrapText="1"/>
    </xf>
    <xf numFmtId="168" fontId="73" fillId="0" borderId="19" xfId="0" applyNumberFormat="1" applyFont="1" applyBorder="1" applyAlignment="1">
      <alignment horizontal="center" vertical="center" wrapText="1"/>
    </xf>
    <xf numFmtId="164" fontId="73" fillId="0" borderId="19" xfId="0" applyNumberFormat="1" applyFont="1" applyBorder="1" applyAlignment="1">
      <alignment horizontal="center" vertical="center" wrapText="1"/>
    </xf>
    <xf numFmtId="165" fontId="73" fillId="0" borderId="19" xfId="0" applyNumberFormat="1" applyFont="1" applyBorder="1" applyAlignment="1" applyProtection="1">
      <alignment horizontal="center" vertical="center" wrapText="1"/>
      <protection locked="0"/>
    </xf>
    <xf numFmtId="0" fontId="73" fillId="0" borderId="19" xfId="0" applyFont="1" applyBorder="1" applyAlignment="1" applyProtection="1">
      <alignment horizontal="center" vertical="center"/>
      <protection locked="0"/>
    </xf>
    <xf numFmtId="170" fontId="73" fillId="0" borderId="19" xfId="0" applyNumberFormat="1" applyFont="1" applyBorder="1" applyAlignment="1" applyProtection="1">
      <alignment horizontal="center" vertical="center"/>
      <protection locked="0"/>
    </xf>
    <xf numFmtId="172" fontId="74" fillId="0" borderId="19" xfId="0" applyNumberFormat="1" applyFont="1" applyBorder="1" applyAlignment="1" applyProtection="1">
      <alignment horizontal="center" vertical="center" wrapText="1"/>
      <protection locked="0"/>
    </xf>
    <xf numFmtId="170" fontId="74" fillId="0" borderId="19" xfId="0" applyNumberFormat="1" applyFont="1" applyBorder="1" applyAlignment="1" applyProtection="1">
      <alignment horizontal="center" vertical="center"/>
      <protection locked="0"/>
    </xf>
    <xf numFmtId="0" fontId="73" fillId="0" borderId="19" xfId="0" applyFont="1" applyBorder="1" applyAlignment="1" applyProtection="1">
      <alignment horizontal="center" vertical="center" wrapText="1"/>
      <protection locked="0"/>
    </xf>
    <xf numFmtId="0" fontId="73" fillId="0" borderId="0" xfId="0" applyFont="1" applyAlignment="1">
      <alignment horizontal="center" vertical="center"/>
    </xf>
    <xf numFmtId="168" fontId="73" fillId="0" borderId="19" xfId="0" applyNumberFormat="1" applyFont="1" applyBorder="1" applyAlignment="1">
      <alignment horizontal="center" vertical="center"/>
    </xf>
    <xf numFmtId="49" fontId="42" fillId="9" borderId="19" xfId="0" applyNumberFormat="1" applyFont="1" applyFill="1" applyBorder="1" applyAlignment="1">
      <alignment horizontal="center" vertical="center" wrapText="1"/>
    </xf>
    <xf numFmtId="0" fontId="42" fillId="9" borderId="19" xfId="0" applyFont="1" applyFill="1" applyBorder="1" applyAlignment="1">
      <alignment horizontal="center" vertical="center" wrapText="1"/>
    </xf>
    <xf numFmtId="49" fontId="42" fillId="9" borderId="19" xfId="0" applyNumberFormat="1" applyFont="1" applyFill="1" applyBorder="1" applyAlignment="1">
      <alignment horizontal="center" vertical="center"/>
    </xf>
    <xf numFmtId="0" fontId="42" fillId="9" borderId="19" xfId="0" applyFont="1" applyFill="1" applyBorder="1" applyAlignment="1">
      <alignment horizontal="center" vertical="center"/>
    </xf>
    <xf numFmtId="169" fontId="42" fillId="9" borderId="19" xfId="0" applyNumberFormat="1" applyFont="1" applyFill="1" applyBorder="1" applyAlignment="1">
      <alignment horizontal="center" vertical="center" wrapText="1"/>
    </xf>
    <xf numFmtId="167" fontId="42" fillId="9" borderId="19" xfId="0" applyNumberFormat="1" applyFont="1" applyFill="1" applyBorder="1" applyAlignment="1">
      <alignment horizontal="center" vertical="center" wrapText="1"/>
    </xf>
    <xf numFmtId="168" fontId="42" fillId="9" borderId="19" xfId="0" applyNumberFormat="1" applyFont="1" applyFill="1" applyBorder="1" applyAlignment="1">
      <alignment horizontal="center" vertical="center"/>
    </xf>
    <xf numFmtId="168" fontId="42" fillId="9" borderId="19" xfId="0" applyNumberFormat="1" applyFont="1" applyFill="1" applyBorder="1" applyAlignment="1">
      <alignment horizontal="center" vertical="center" wrapText="1"/>
    </xf>
    <xf numFmtId="164" fontId="42" fillId="9" borderId="19" xfId="0" applyNumberFormat="1" applyFont="1" applyFill="1" applyBorder="1" applyAlignment="1">
      <alignment horizontal="center" vertical="center" wrapText="1"/>
    </xf>
    <xf numFmtId="165" fontId="42" fillId="9" borderId="19" xfId="0" applyNumberFormat="1" applyFont="1" applyFill="1" applyBorder="1" applyAlignment="1" applyProtection="1">
      <alignment horizontal="center" vertical="center" wrapText="1"/>
      <protection locked="0"/>
    </xf>
    <xf numFmtId="0" fontId="42" fillId="9" borderId="19" xfId="0" applyFont="1" applyFill="1" applyBorder="1" applyAlignment="1" applyProtection="1">
      <alignment horizontal="center" vertical="center"/>
      <protection locked="0"/>
    </xf>
    <xf numFmtId="170" fontId="42" fillId="9" borderId="19" xfId="0" applyNumberFormat="1" applyFont="1" applyFill="1" applyBorder="1" applyAlignment="1" applyProtection="1">
      <alignment horizontal="center" vertical="center"/>
      <protection locked="0"/>
    </xf>
    <xf numFmtId="172" fontId="48" fillId="9" borderId="19" xfId="0" applyNumberFormat="1" applyFont="1" applyFill="1" applyBorder="1" applyAlignment="1" applyProtection="1">
      <alignment horizontal="center" vertical="center" wrapText="1"/>
      <protection locked="0"/>
    </xf>
    <xf numFmtId="170" fontId="48" fillId="9" borderId="19" xfId="0" applyNumberFormat="1" applyFont="1" applyFill="1" applyBorder="1" applyAlignment="1" applyProtection="1">
      <alignment horizontal="center" vertical="center"/>
      <protection locked="0"/>
    </xf>
    <xf numFmtId="0" fontId="42" fillId="9" borderId="19" xfId="0" applyFont="1" applyFill="1" applyBorder="1" applyAlignment="1" applyProtection="1">
      <alignment horizontal="center" vertical="center" wrapText="1"/>
      <protection locked="0"/>
    </xf>
    <xf numFmtId="49" fontId="42" fillId="9" borderId="23" xfId="0" applyNumberFormat="1" applyFont="1" applyFill="1" applyBorder="1" applyAlignment="1">
      <alignment horizontal="center" vertical="center" wrapText="1"/>
    </xf>
    <xf numFmtId="0" fontId="42" fillId="9" borderId="23" xfId="0" applyFont="1" applyFill="1" applyBorder="1" applyAlignment="1">
      <alignment horizontal="center" vertical="center" wrapText="1"/>
    </xf>
    <xf numFmtId="49" fontId="42" fillId="9" borderId="23" xfId="0" applyNumberFormat="1" applyFont="1" applyFill="1" applyBorder="1" applyAlignment="1">
      <alignment horizontal="center" vertical="center"/>
    </xf>
    <xf numFmtId="0" fontId="42" fillId="9" borderId="23" xfId="0" applyFont="1" applyFill="1" applyBorder="1" applyAlignment="1">
      <alignment horizontal="center" vertical="center"/>
    </xf>
    <xf numFmtId="169" fontId="42" fillId="9" borderId="23" xfId="0" applyNumberFormat="1" applyFont="1" applyFill="1" applyBorder="1" applyAlignment="1">
      <alignment horizontal="center" vertical="center" wrapText="1"/>
    </xf>
    <xf numFmtId="167" fontId="42" fillId="9" borderId="23" xfId="0" applyNumberFormat="1" applyFont="1" applyFill="1" applyBorder="1" applyAlignment="1">
      <alignment horizontal="center" vertical="center" wrapText="1"/>
    </xf>
    <xf numFmtId="168" fontId="42" fillId="9" borderId="23" xfId="0" applyNumberFormat="1" applyFont="1" applyFill="1" applyBorder="1" applyAlignment="1">
      <alignment horizontal="center" vertical="center"/>
    </xf>
    <xf numFmtId="168" fontId="42" fillId="9" borderId="23" xfId="0" applyNumberFormat="1" applyFont="1" applyFill="1" applyBorder="1" applyAlignment="1">
      <alignment horizontal="center" vertical="center" wrapText="1"/>
    </xf>
    <xf numFmtId="164" fontId="42" fillId="9" borderId="23" xfId="0" applyNumberFormat="1" applyFont="1" applyFill="1" applyBorder="1" applyAlignment="1">
      <alignment horizontal="center" vertical="center" wrapText="1"/>
    </xf>
    <xf numFmtId="165" fontId="42" fillId="9" borderId="23" xfId="0" applyNumberFormat="1" applyFont="1" applyFill="1" applyBorder="1" applyAlignment="1" applyProtection="1">
      <alignment horizontal="center" vertical="center" wrapText="1"/>
      <protection locked="0"/>
    </xf>
    <xf numFmtId="0" fontId="42" fillId="9" borderId="23" xfId="0" applyFont="1" applyFill="1" applyBorder="1" applyAlignment="1" applyProtection="1">
      <alignment horizontal="center" vertical="center"/>
      <protection locked="0"/>
    </xf>
    <xf numFmtId="170" fontId="42" fillId="9" borderId="23" xfId="0" applyNumberFormat="1" applyFont="1" applyFill="1" applyBorder="1" applyAlignment="1" applyProtection="1">
      <alignment horizontal="center" vertical="center"/>
      <protection locked="0"/>
    </xf>
    <xf numFmtId="172" fontId="48" fillId="9" borderId="23" xfId="0" applyNumberFormat="1" applyFont="1" applyFill="1" applyBorder="1" applyAlignment="1" applyProtection="1">
      <alignment horizontal="center" vertical="center" wrapText="1"/>
      <protection locked="0"/>
    </xf>
    <xf numFmtId="170" fontId="48" fillId="9" borderId="23" xfId="0" applyNumberFormat="1" applyFont="1" applyFill="1" applyBorder="1" applyAlignment="1" applyProtection="1">
      <alignment horizontal="center" vertical="center"/>
      <protection locked="0"/>
    </xf>
    <xf numFmtId="0" fontId="42" fillId="9" borderId="23" xfId="0" applyFont="1" applyFill="1" applyBorder="1" applyAlignment="1" applyProtection="1">
      <alignment horizontal="center" vertical="center" wrapText="1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165" fontId="48" fillId="0" borderId="0" xfId="0" applyNumberFormat="1" applyFont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172" fontId="48" fillId="0" borderId="0" xfId="0" applyNumberFormat="1" applyFont="1" applyAlignment="1" applyProtection="1">
      <alignment horizontal="center" vertical="center"/>
      <protection locked="0"/>
    </xf>
    <xf numFmtId="49" fontId="73" fillId="9" borderId="19" xfId="0" applyNumberFormat="1" applyFont="1" applyFill="1" applyBorder="1" applyAlignment="1">
      <alignment horizontal="center" vertical="center" wrapText="1"/>
    </xf>
    <xf numFmtId="0" fontId="73" fillId="9" borderId="19" xfId="0" applyFont="1" applyFill="1" applyBorder="1" applyAlignment="1">
      <alignment horizontal="center" vertical="center" wrapText="1"/>
    </xf>
    <xf numFmtId="49" fontId="73" fillId="9" borderId="19" xfId="0" applyNumberFormat="1" applyFont="1" applyFill="1" applyBorder="1" applyAlignment="1">
      <alignment horizontal="center" vertical="center"/>
    </xf>
    <xf numFmtId="0" fontId="73" fillId="9" borderId="19" xfId="0" applyFont="1" applyFill="1" applyBorder="1" applyAlignment="1">
      <alignment horizontal="center" vertical="center"/>
    </xf>
    <xf numFmtId="169" fontId="73" fillId="9" borderId="19" xfId="0" applyNumberFormat="1" applyFont="1" applyFill="1" applyBorder="1" applyAlignment="1">
      <alignment horizontal="center" vertical="center" wrapText="1"/>
    </xf>
    <xf numFmtId="167" fontId="73" fillId="9" borderId="19" xfId="0" applyNumberFormat="1" applyFont="1" applyFill="1" applyBorder="1" applyAlignment="1">
      <alignment horizontal="center" vertical="center" wrapText="1"/>
    </xf>
    <xf numFmtId="168" fontId="73" fillId="9" borderId="19" xfId="0" applyNumberFormat="1" applyFont="1" applyFill="1" applyBorder="1" applyAlignment="1">
      <alignment horizontal="center" vertical="center" wrapText="1"/>
    </xf>
    <xf numFmtId="164" fontId="73" fillId="9" borderId="19" xfId="0" applyNumberFormat="1" applyFont="1" applyFill="1" applyBorder="1" applyAlignment="1">
      <alignment horizontal="center" vertical="center" wrapText="1"/>
    </xf>
    <xf numFmtId="165" fontId="73" fillId="9" borderId="19" xfId="0" applyNumberFormat="1" applyFont="1" applyFill="1" applyBorder="1" applyAlignment="1" applyProtection="1">
      <alignment horizontal="center" vertical="center" wrapText="1"/>
      <protection locked="0"/>
    </xf>
    <xf numFmtId="0" fontId="73" fillId="9" borderId="19" xfId="0" applyFont="1" applyFill="1" applyBorder="1" applyAlignment="1" applyProtection="1">
      <alignment horizontal="center" vertical="center"/>
      <protection locked="0"/>
    </xf>
    <xf numFmtId="170" fontId="73" fillId="9" borderId="19" xfId="0" applyNumberFormat="1" applyFont="1" applyFill="1" applyBorder="1" applyAlignment="1" applyProtection="1">
      <alignment horizontal="center" vertical="center"/>
      <protection locked="0"/>
    </xf>
    <xf numFmtId="172" fontId="74" fillId="9" borderId="19" xfId="0" applyNumberFormat="1" applyFont="1" applyFill="1" applyBorder="1" applyAlignment="1" applyProtection="1">
      <alignment horizontal="center" vertical="center" wrapText="1"/>
      <protection locked="0"/>
    </xf>
    <xf numFmtId="170" fontId="74" fillId="9" borderId="19" xfId="0" applyNumberFormat="1" applyFont="1" applyFill="1" applyBorder="1" applyAlignment="1" applyProtection="1">
      <alignment horizontal="center" vertical="center"/>
      <protection locked="0"/>
    </xf>
    <xf numFmtId="0" fontId="73" fillId="9" borderId="19" xfId="0" applyFont="1" applyFill="1" applyBorder="1" applyAlignment="1" applyProtection="1">
      <alignment horizontal="center" vertical="center" wrapText="1"/>
      <protection locked="0"/>
    </xf>
    <xf numFmtId="164" fontId="38" fillId="40" borderId="19" xfId="0" applyNumberFormat="1" applyFont="1" applyFill="1" applyBorder="1" applyAlignment="1" applyProtection="1">
      <alignment horizontal="center" vertical="center" wrapText="1"/>
      <protection locked="0"/>
    </xf>
    <xf numFmtId="0" fontId="76" fillId="0" borderId="19" xfId="0" applyFont="1" applyBorder="1" applyAlignment="1" applyProtection="1">
      <alignment horizontal="center" vertical="center"/>
      <protection locked="0"/>
    </xf>
    <xf numFmtId="0" fontId="32" fillId="0" borderId="19" xfId="0" applyFont="1" applyBorder="1" applyAlignment="1" applyProtection="1">
      <alignment horizontal="center" vertical="center"/>
      <protection locked="0"/>
    </xf>
    <xf numFmtId="0" fontId="76" fillId="9" borderId="19" xfId="0" applyFont="1" applyFill="1" applyBorder="1" applyAlignment="1" applyProtection="1">
      <alignment horizontal="center" vertical="center"/>
      <protection locked="0"/>
    </xf>
    <xf numFmtId="0" fontId="77" fillId="0" borderId="19" xfId="0" applyFont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 wrapText="1"/>
      <protection locked="0"/>
    </xf>
    <xf numFmtId="0" fontId="75" fillId="9" borderId="19" xfId="0" applyFont="1" applyFill="1" applyBorder="1" applyAlignment="1">
      <alignment horizontal="center" vertical="center" wrapText="1"/>
    </xf>
    <xf numFmtId="0" fontId="42" fillId="9" borderId="20" xfId="0" applyFont="1" applyFill="1" applyBorder="1" applyAlignment="1" applyProtection="1">
      <alignment horizontal="center" vertical="center" wrapText="1"/>
      <protection locked="0"/>
    </xf>
    <xf numFmtId="0" fontId="73" fillId="0" borderId="20" xfId="0" applyFont="1" applyBorder="1" applyAlignment="1" applyProtection="1">
      <alignment horizontal="center" vertical="center" wrapText="1"/>
      <protection locked="0"/>
    </xf>
    <xf numFmtId="49" fontId="42" fillId="13" borderId="19" xfId="0" applyNumberFormat="1" applyFont="1" applyFill="1" applyBorder="1" applyAlignment="1">
      <alignment horizontal="center" vertical="center" wrapText="1"/>
    </xf>
    <xf numFmtId="0" fontId="47" fillId="13" borderId="19" xfId="0" applyFont="1" applyFill="1" applyBorder="1" applyAlignment="1">
      <alignment horizontal="center" vertical="center" wrapText="1"/>
    </xf>
    <xf numFmtId="49" fontId="42" fillId="13" borderId="19" xfId="0" applyNumberFormat="1" applyFont="1" applyFill="1" applyBorder="1" applyAlignment="1">
      <alignment horizontal="center" vertical="center"/>
    </xf>
    <xf numFmtId="0" fontId="42" fillId="13" borderId="19" xfId="0" applyFont="1" applyFill="1" applyBorder="1" applyAlignment="1">
      <alignment horizontal="center" vertical="center" wrapText="1"/>
    </xf>
    <xf numFmtId="0" fontId="42" fillId="13" borderId="19" xfId="0" applyFont="1" applyFill="1" applyBorder="1" applyAlignment="1">
      <alignment horizontal="center" vertical="center"/>
    </xf>
    <xf numFmtId="169" fontId="42" fillId="13" borderId="19" xfId="0" applyNumberFormat="1" applyFont="1" applyFill="1" applyBorder="1" applyAlignment="1">
      <alignment horizontal="center" vertical="center" wrapText="1"/>
    </xf>
    <xf numFmtId="167" fontId="42" fillId="13" borderId="19" xfId="0" applyNumberFormat="1" applyFont="1" applyFill="1" applyBorder="1" applyAlignment="1">
      <alignment horizontal="center" vertical="center" wrapText="1"/>
    </xf>
    <xf numFmtId="168" fontId="42" fillId="13" borderId="19" xfId="0" applyNumberFormat="1" applyFont="1" applyFill="1" applyBorder="1" applyAlignment="1">
      <alignment horizontal="center" vertical="center"/>
    </xf>
    <xf numFmtId="168" fontId="42" fillId="13" borderId="19" xfId="0" applyNumberFormat="1" applyFont="1" applyFill="1" applyBorder="1" applyAlignment="1">
      <alignment horizontal="center" vertical="center" wrapText="1"/>
    </xf>
    <xf numFmtId="164" fontId="42" fillId="13" borderId="19" xfId="0" applyNumberFormat="1" applyFont="1" applyFill="1" applyBorder="1" applyAlignment="1">
      <alignment horizontal="center" vertical="center" wrapText="1"/>
    </xf>
    <xf numFmtId="165" fontId="42" fillId="13" borderId="19" xfId="0" applyNumberFormat="1" applyFont="1" applyFill="1" applyBorder="1" applyAlignment="1" applyProtection="1">
      <alignment horizontal="center" vertical="center" wrapText="1"/>
      <protection locked="0"/>
    </xf>
    <xf numFmtId="0" fontId="42" fillId="13" borderId="19" xfId="0" applyFont="1" applyFill="1" applyBorder="1" applyAlignment="1" applyProtection="1">
      <alignment horizontal="center" vertical="center"/>
      <protection locked="0"/>
    </xf>
    <xf numFmtId="170" fontId="42" fillId="13" borderId="19" xfId="0" applyNumberFormat="1" applyFont="1" applyFill="1" applyBorder="1" applyAlignment="1" applyProtection="1">
      <alignment horizontal="center" vertical="center"/>
      <protection locked="0"/>
    </xf>
    <xf numFmtId="172" fontId="48" fillId="13" borderId="19" xfId="0" applyNumberFormat="1" applyFont="1" applyFill="1" applyBorder="1" applyAlignment="1" applyProtection="1">
      <alignment horizontal="center" vertical="center" wrapText="1"/>
      <protection locked="0"/>
    </xf>
    <xf numFmtId="170" fontId="48" fillId="13" borderId="19" xfId="0" applyNumberFormat="1" applyFont="1" applyFill="1" applyBorder="1" applyAlignment="1" applyProtection="1">
      <alignment horizontal="center" vertical="center"/>
      <protection locked="0"/>
    </xf>
    <xf numFmtId="0" fontId="42" fillId="13" borderId="2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/>
    </xf>
    <xf numFmtId="1" fontId="60" fillId="0" borderId="23" xfId="45" applyNumberFormat="1" applyFont="1" applyBorder="1" applyAlignment="1">
      <alignment horizontal="center" vertical="top" wrapText="1"/>
    </xf>
    <xf numFmtId="1" fontId="60" fillId="0" borderId="17" xfId="45" applyNumberFormat="1" applyFont="1" applyBorder="1" applyAlignment="1">
      <alignment horizontal="center" vertical="top" wrapText="1"/>
    </xf>
    <xf numFmtId="1" fontId="60" fillId="0" borderId="24" xfId="45" applyNumberFormat="1" applyFont="1" applyBorder="1" applyAlignment="1">
      <alignment horizontal="center" vertical="top" wrapText="1"/>
    </xf>
    <xf numFmtId="0" fontId="60" fillId="0" borderId="23" xfId="45" applyFont="1" applyBorder="1" applyAlignment="1">
      <alignment horizontal="left" vertical="top" wrapText="1"/>
    </xf>
    <xf numFmtId="0" fontId="60" fillId="0" borderId="17" xfId="45" applyFont="1" applyBorder="1" applyAlignment="1">
      <alignment horizontal="left" vertical="top" wrapText="1"/>
    </xf>
    <xf numFmtId="0" fontId="60" fillId="0" borderId="24" xfId="45" applyFont="1" applyBorder="1" applyAlignment="1">
      <alignment horizontal="left" vertical="top" wrapText="1"/>
    </xf>
    <xf numFmtId="0" fontId="62" fillId="0" borderId="0" xfId="45" applyFont="1" applyAlignment="1">
      <alignment horizontal="left"/>
    </xf>
    <xf numFmtId="174" fontId="52" fillId="0" borderId="20" xfId="45" applyNumberFormat="1" applyFont="1" applyBorder="1" applyAlignment="1">
      <alignment horizontal="center"/>
    </xf>
    <xf numFmtId="174" fontId="52" fillId="0" borderId="21" xfId="45" applyNumberFormat="1" applyFont="1" applyBorder="1" applyAlignment="1">
      <alignment horizontal="center"/>
    </xf>
    <xf numFmtId="174" fontId="52" fillId="0" borderId="22" xfId="45" applyNumberFormat="1" applyFont="1" applyBorder="1" applyAlignment="1">
      <alignment horizontal="center"/>
    </xf>
    <xf numFmtId="174" fontId="52" fillId="0" borderId="19" xfId="45" applyNumberFormat="1" applyFont="1" applyBorder="1" applyAlignment="1">
      <alignment horizontal="center"/>
    </xf>
    <xf numFmtId="174" fontId="52" fillId="0" borderId="20" xfId="45" applyNumberFormat="1" applyFont="1" applyBorder="1" applyAlignment="1">
      <alignment horizontal="center" wrapText="1"/>
    </xf>
    <xf numFmtId="174" fontId="52" fillId="0" borderId="21" xfId="45" applyNumberFormat="1" applyFont="1" applyBorder="1" applyAlignment="1">
      <alignment horizontal="center" wrapText="1"/>
    </xf>
    <xf numFmtId="174" fontId="52" fillId="0" borderId="19" xfId="45" applyNumberFormat="1" applyFont="1" applyBorder="1" applyAlignment="1">
      <alignment horizontal="center" wrapText="1"/>
    </xf>
    <xf numFmtId="1" fontId="52" fillId="42" borderId="23" xfId="45" applyNumberFormat="1" applyFont="1" applyFill="1" applyBorder="1" applyAlignment="1">
      <alignment horizontal="center" vertical="top" wrapText="1"/>
    </xf>
    <xf numFmtId="1" fontId="52" fillId="42" borderId="24" xfId="45" applyNumberFormat="1" applyFont="1" applyFill="1" applyBorder="1" applyAlignment="1">
      <alignment horizontal="center" vertical="top" wrapText="1"/>
    </xf>
    <xf numFmtId="0" fontId="52" fillId="42" borderId="23" xfId="45" applyFont="1" applyFill="1" applyBorder="1" applyAlignment="1">
      <alignment horizontal="center" vertical="top" wrapText="1"/>
    </xf>
    <xf numFmtId="0" fontId="52" fillId="42" borderId="24" xfId="45" applyFont="1" applyFill="1" applyBorder="1" applyAlignment="1">
      <alignment horizontal="center" vertical="top" wrapText="1"/>
    </xf>
    <xf numFmtId="0" fontId="13" fillId="0" borderId="25" xfId="45" applyFont="1" applyBorder="1" applyAlignment="1">
      <alignment horizontal="left" vertical="top"/>
    </xf>
    <xf numFmtId="0" fontId="13" fillId="0" borderId="26" xfId="45" applyFont="1" applyBorder="1" applyAlignment="1">
      <alignment horizontal="left" vertical="top"/>
    </xf>
    <xf numFmtId="0" fontId="13" fillId="0" borderId="27" xfId="45" applyFont="1" applyBorder="1" applyAlignment="1">
      <alignment horizontal="left" vertical="top"/>
    </xf>
    <xf numFmtId="0" fontId="13" fillId="0" borderId="28" xfId="45" applyFont="1" applyBorder="1" applyAlignment="1">
      <alignment horizontal="left" vertical="top"/>
    </xf>
    <xf numFmtId="0" fontId="13" fillId="0" borderId="0" xfId="45" applyFont="1" applyAlignment="1">
      <alignment horizontal="left" vertical="top"/>
    </xf>
    <xf numFmtId="0" fontId="13" fillId="0" borderId="29" xfId="45" applyFont="1" applyBorder="1" applyAlignment="1">
      <alignment horizontal="left" vertical="top"/>
    </xf>
    <xf numFmtId="0" fontId="13" fillId="0" borderId="30" xfId="45" applyFont="1" applyBorder="1" applyAlignment="1">
      <alignment horizontal="left" vertical="top"/>
    </xf>
    <xf numFmtId="0" fontId="13" fillId="0" borderId="31" xfId="45" applyFont="1" applyBorder="1" applyAlignment="1">
      <alignment horizontal="left" vertical="top"/>
    </xf>
    <xf numFmtId="0" fontId="13" fillId="0" borderId="32" xfId="45" applyFont="1" applyBorder="1" applyAlignment="1">
      <alignment horizontal="left" vertical="top"/>
    </xf>
    <xf numFmtId="0" fontId="13" fillId="0" borderId="2" xfId="45" applyFont="1" applyBorder="1" applyAlignment="1">
      <alignment horizontal="center" vertical="center" wrapText="1"/>
    </xf>
    <xf numFmtId="0" fontId="13" fillId="0" borderId="3" xfId="45" applyFont="1" applyBorder="1" applyAlignment="1">
      <alignment horizontal="center" vertical="center" wrapText="1"/>
    </xf>
    <xf numFmtId="0" fontId="13" fillId="0" borderId="2" xfId="45" applyFont="1" applyBorder="1" applyAlignment="1">
      <alignment horizontal="left" vertical="center" wrapText="1"/>
    </xf>
    <xf numFmtId="0" fontId="13" fillId="0" borderId="3" xfId="45" applyFont="1" applyBorder="1" applyAlignment="1">
      <alignment horizontal="left" vertical="center" wrapText="1"/>
    </xf>
    <xf numFmtId="0" fontId="61" fillId="42" borderId="1" xfId="45" applyFont="1" applyFill="1" applyBorder="1" applyAlignment="1">
      <alignment horizontal="center" vertical="top" wrapText="1"/>
    </xf>
    <xf numFmtId="0" fontId="61" fillId="42" borderId="2" xfId="45" applyFont="1" applyFill="1" applyBorder="1" applyAlignment="1">
      <alignment horizontal="center" vertical="top" wrapText="1"/>
    </xf>
    <xf numFmtId="0" fontId="61" fillId="42" borderId="17" xfId="45" applyFont="1" applyFill="1" applyBorder="1" applyAlignment="1">
      <alignment horizontal="center" vertical="top" wrapText="1"/>
    </xf>
    <xf numFmtId="0" fontId="61" fillId="42" borderId="3" xfId="45" applyFont="1" applyFill="1" applyBorder="1" applyAlignment="1">
      <alignment horizontal="center" vertical="top" wrapText="1"/>
    </xf>
    <xf numFmtId="0" fontId="35" fillId="0" borderId="0" xfId="0" applyFont="1" applyAlignment="1">
      <alignment horizontal="left" vertical="center"/>
    </xf>
    <xf numFmtId="49" fontId="37" fillId="0" borderId="0" xfId="0" applyNumberFormat="1" applyFont="1" applyAlignment="1">
      <alignment horizontal="left" vertical="center"/>
    </xf>
    <xf numFmtId="17" fontId="68" fillId="44" borderId="33" xfId="0" applyNumberFormat="1" applyFont="1" applyFill="1" applyBorder="1" applyAlignment="1">
      <alignment horizontal="center" vertical="center"/>
    </xf>
    <xf numFmtId="0" fontId="68" fillId="44" borderId="34" xfId="0" applyFont="1" applyFill="1" applyBorder="1" applyAlignment="1">
      <alignment horizontal="center" vertical="center"/>
    </xf>
    <xf numFmtId="0" fontId="68" fillId="44" borderId="35" xfId="0" applyFont="1" applyFill="1" applyBorder="1" applyAlignment="1">
      <alignment horizontal="center" vertical="center"/>
    </xf>
    <xf numFmtId="17" fontId="68" fillId="44" borderId="34" xfId="0" applyNumberFormat="1" applyFont="1" applyFill="1" applyBorder="1" applyAlignment="1">
      <alignment horizontal="center" vertical="center"/>
    </xf>
    <xf numFmtId="17" fontId="68" fillId="44" borderId="35" xfId="0" applyNumberFormat="1" applyFont="1" applyFill="1" applyBorder="1" applyAlignment="1">
      <alignment horizontal="center" vertical="center"/>
    </xf>
  </cellXfs>
  <cellStyles count="60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Comma 2" xfId="28"/>
    <cellStyle name="Comma 3" xfId="29"/>
    <cellStyle name="Comma 3 2" xfId="30"/>
    <cellStyle name="Currency 2" xfId="31"/>
    <cellStyle name="Currency 3" xfId="32"/>
    <cellStyle name="Explanatory Text 2" xfId="33"/>
    <cellStyle name="Good 2" xfId="34"/>
    <cellStyle name="Heading 1 2" xfId="35"/>
    <cellStyle name="Heading 2 2" xfId="36"/>
    <cellStyle name="Heading 3 2" xfId="37"/>
    <cellStyle name="Heading 4 2" xfId="38"/>
    <cellStyle name="Hyperlink" xfId="39" builtinId="8"/>
    <cellStyle name="Hyperlink 2" xfId="40"/>
    <cellStyle name="Input 2" xfId="41"/>
    <cellStyle name="Linked Cell 2" xfId="42"/>
    <cellStyle name="Neutral 2" xfId="43"/>
    <cellStyle name="Normal" xfId="0" builtinId="0"/>
    <cellStyle name="Normal 2" xfId="44"/>
    <cellStyle name="Normal 2 2" xfId="45"/>
    <cellStyle name="Normal 2 2 2" xfId="46"/>
    <cellStyle name="Normal 2 3" xfId="47"/>
    <cellStyle name="Normal 24" xfId="48"/>
    <cellStyle name="Normal 3" xfId="49"/>
    <cellStyle name="Normal 4" xfId="50"/>
    <cellStyle name="Normal 4 2" xfId="51"/>
    <cellStyle name="Normal 5" xfId="52"/>
    <cellStyle name="Normal 6" xfId="53"/>
    <cellStyle name="Note 2" xfId="54"/>
    <cellStyle name="Output 2" xfId="55"/>
    <cellStyle name="Percent 2" xfId="56"/>
    <cellStyle name="Title 2" xfId="57"/>
    <cellStyle name="Total 2" xfId="58"/>
    <cellStyle name="Warning Text 2" xfId="59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"/>
        <scheme val="none"/>
      </font>
      <numFmt numFmtId="170" formatCode="mm/dd/yy;@"/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"/>
        <scheme val="none"/>
      </font>
      <numFmt numFmtId="172" formatCode="[$-409]d\-mmm\-yy;@"/>
      <fill>
        <patternFill patternType="solid">
          <fgColor indexed="64"/>
          <bgColor rgb="FF47E5E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"/>
        <scheme val="none"/>
      </font>
      <numFmt numFmtId="172" formatCode="[$-409]d\-mmm\-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70" formatCode="mm/dd/yy;@"/>
      <fill>
        <patternFill patternType="solid">
          <fgColor indexed="64"/>
          <bgColor rgb="FF47E5E5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5" formatCode="[$-409]d/mmm;@"/>
      <fill>
        <patternFill patternType="solid">
          <fgColor indexed="64"/>
          <bgColor rgb="FF47E5E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5" formatCode="[$-409]d/mmm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"/>
        <scheme val="none"/>
      </font>
      <numFmt numFmtId="170" formatCode="mm/dd/yy;@"/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"/>
        <scheme val="none"/>
      </font>
      <numFmt numFmtId="172" formatCode="[$-409]d\-mmm\-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"/>
        <scheme val="none"/>
      </font>
      <numFmt numFmtId="172" formatCode="[$-409]d\-mmm\-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70" formatCode="mm/dd/yy;@"/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5" formatCode="[$-409]d/mmm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5" formatCode="[$-409]d/mmm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4" formatCode="&quot;MYR&quot;#,##0.00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4" formatCode="&quot;MYR&quot;#,##0.00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8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8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8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8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rgb="FF000000"/>
        <name val="Calibri"/>
        <scheme val="minor"/>
      </font>
      <numFmt numFmtId="168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rgb="FF000000"/>
        <name val="Calibri"/>
        <scheme val="minor"/>
      </font>
      <numFmt numFmtId="168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7" formatCode="&quot;RM&quot;#,##0.00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9" formatCode="[$RM-43E]#,##0.00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30" formatCode="@"/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30" formatCode="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indexed="64"/>
          <bgColor rgb="FF47E5E5"/>
        </patternFill>
      </fill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>
          <bgColor rgb="FF0070C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4" formatCode="&quot;MYR&quot;#,##0.00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4" formatCode="&quot;MYR&quot;#,##0.00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8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8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8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8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4"/>
        <color rgb="FF000000"/>
        <name val="Calibri"/>
        <scheme val="minor"/>
      </font>
      <numFmt numFmtId="168" formatCode="[$-409]d/mmm/yy;@"/>
      <fill>
        <patternFill patternType="solid">
          <fgColor indexed="64"/>
          <bgColor rgb="FF47E5E5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4"/>
        <color rgb="FF000000"/>
        <name val="Calibri"/>
        <scheme val="minor"/>
      </font>
      <numFmt numFmtId="168" formatCode="[$-409]d/mmm/yy;@"/>
      <fill>
        <patternFill patternType="solid">
          <fgColor indexed="64"/>
          <bgColor rgb="FF47E5E5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7" formatCode="&quot;RM&quot;#,##0.00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9" formatCode="[$RM-43E]#,##0.00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30" formatCode="@"/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30" formatCode="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000000"/>
        <name val="Calibri"/>
        <scheme val="none"/>
      </font>
      <fill>
        <patternFill patternType="solid">
          <fgColor indexed="64"/>
          <bgColor rgb="FF47E5E5"/>
        </patternFill>
      </fill>
      <alignment horizontal="center" vertical="center" textRotation="0" indent="0" justifyLastLine="0" shrinkToFit="0" readingOrder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>
          <bgColor rgb="FF0070C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"/>
        <scheme val="none"/>
      </font>
      <numFmt numFmtId="170" formatCode="mm/dd/yy;@"/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"/>
        <scheme val="none"/>
      </font>
      <numFmt numFmtId="172" formatCode="[$-409]d\-mmm\-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ri"/>
        <scheme val="none"/>
      </font>
      <numFmt numFmtId="172" formatCode="[$-409]d\-mmm\-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70" formatCode="mm/dd/yy;@"/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5" formatCode="[$-409]d/mmm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5" formatCode="[$-409]d/mmm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4" formatCode="&quot;MYR&quot;#,##0.00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4" formatCode="&quot;MYR&quot;#,##0.00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8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8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8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8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rgb="FF000000"/>
        <name val="Calibri"/>
        <scheme val="minor"/>
      </font>
      <numFmt numFmtId="168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0" formatCode="General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rgb="FF000000"/>
        <name val="Calibri"/>
        <scheme val="minor"/>
      </font>
      <numFmt numFmtId="168" formatCode="[$-409]d/mmm/yy;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7" formatCode="&quot;RM&quot;#,##0.00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169" formatCode="[$RM-43E]#,##0.00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30" formatCode="@"/>
      <fill>
        <patternFill patternType="solid">
          <fgColor indexed="64"/>
          <bgColor rgb="FF47E5E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scheme val="minor"/>
      </font>
      <numFmt numFmtId="30" formatCode="@"/>
      <fill>
        <patternFill patternType="solid">
          <fgColor indexed="64"/>
          <bgColor rgb="FF47E5E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indexed="64"/>
          <bgColor rgb="FF47E5E5"/>
        </patternFill>
      </fill>
    </dxf>
    <dxf>
      <border outline="0">
        <bottom style="thin">
          <color indexed="64"/>
        </bottom>
      </border>
    </dxf>
  </dxfs>
  <tableStyles count="0" defaultTableStyle="TableStyleMedium9" defaultPivotStyle="PivotStyleLight16"/>
  <colors>
    <mruColors>
      <color rgb="FF000066"/>
      <color rgb="FFD9D9D9"/>
      <color rgb="FF47E5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1" u="sng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i="1" u="sng"/>
              <a:t>STANDARD PARTS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'Part Tracking'!$E$49</c:f>
              <c:strCache>
                <c:ptCount val="1"/>
                <c:pt idx="0">
                  <c:v>% Parts Received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eaVert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'Part Tracking'!$B$71:$B$71</c:f>
              <c:numCache>
                <c:formatCode>General</c:formatCode>
                <c:ptCount val="1"/>
              </c:numCache>
            </c:numRef>
          </c:cat>
          <c:val>
            <c:numRef>
              <c:f>'Part Tracking'!$E$71:$E$71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450-4E07-AC7E-2ECEBAE4C12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79205392"/>
        <c:axId val="308364496"/>
      </c:barChart>
      <c:catAx>
        <c:axId val="379205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sng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u="sng"/>
                  <a:t>MODULES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364496"/>
        <c:crosses val="autoZero"/>
        <c:auto val="1"/>
        <c:lblAlgn val="ctr"/>
        <c:lblOffset val="100"/>
        <c:noMultiLvlLbl val="0"/>
      </c:catAx>
      <c:valAx>
        <c:axId val="30836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PARTS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205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 rot="0" vert="eaVert"/>
    <a:lstStyle/>
    <a:p>
      <a:pPr>
        <a:defRPr/>
      </a:pPr>
      <a:endParaRPr lang="en-US"/>
    </a:p>
  </c:tx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MY"/>
              <a:t>FABRICATION PARTS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'Part Tracking'!$E$23</c:f>
              <c:strCache>
                <c:ptCount val="1"/>
                <c:pt idx="0">
                  <c:v>% Parts Received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spcFirstLastPara="1" vertOverflow="ellipsis" vert="eaVert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'Part Tracking'!$B$45:$B$45</c:f>
              <c:numCache>
                <c:formatCode>General</c:formatCode>
                <c:ptCount val="1"/>
              </c:numCache>
            </c:numRef>
          </c:cat>
          <c:val>
            <c:numRef>
              <c:f>'Part Tracking'!$E$45:$E$45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633-46A8-A5C4-2899FF22AA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74377408"/>
        <c:axId val="374377968"/>
      </c:barChart>
      <c:catAx>
        <c:axId val="374377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MODULES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77968"/>
        <c:crosses val="autoZero"/>
        <c:auto val="1"/>
        <c:lblAlgn val="ctr"/>
        <c:lblOffset val="100"/>
        <c:noMultiLvlLbl val="0"/>
      </c:catAx>
      <c:valAx>
        <c:axId val="37437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PARTS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7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 rot="0" vert="eaVert"/>
    <a:lstStyle/>
    <a:p>
      <a:pPr>
        <a:defRPr/>
      </a:pPr>
      <a:endParaRPr lang="en-US"/>
    </a:p>
  </c:tx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MY"/>
              <a:t>MECHANICAL PARTS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'Part Tracking'!$B$22</c:f>
              <c:strCache>
                <c:ptCount val="1"/>
                <c:pt idx="0">
                  <c:v>FABRICATION PARTS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spcFirstLastPara="1" vertOverflow="ellipsis" vert="eaVert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'Part Tracking'!$B$45:$B$45</c:f>
              <c:numCache>
                <c:formatCode>General</c:formatCode>
                <c:ptCount val="1"/>
              </c:numCache>
            </c:numRef>
          </c:cat>
          <c:val>
            <c:numRef>
              <c:f>'Part Tracking'!$E$45:$E$45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EBD-4619-B958-9EB5F90D5EA4}"/>
            </c:ext>
          </c:extLst>
        </c:ser>
        <c:ser>
          <c:idx val="1"/>
          <c:order val="1"/>
          <c:tx>
            <c:strRef>
              <c:f>'Part Tracking'!$B$48</c:f>
              <c:strCache>
                <c:ptCount val="1"/>
                <c:pt idx="0">
                  <c:v>Standard Parts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eaVert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'Part Tracking'!$E$71:$E$71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EBD-4619-B958-9EB5F90D5EA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74380768"/>
        <c:axId val="374381328"/>
      </c:barChart>
      <c:catAx>
        <c:axId val="374380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MODULES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81328"/>
        <c:crosses val="autoZero"/>
        <c:auto val="1"/>
        <c:lblAlgn val="ctr"/>
        <c:lblOffset val="100"/>
        <c:noMultiLvlLbl val="0"/>
      </c:catAx>
      <c:valAx>
        <c:axId val="37438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PARTS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8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 rot="0" vert="horz"/>
    <a:lstStyle/>
    <a:p>
      <a:pPr>
        <a:defRPr/>
      </a:pPr>
      <a:endParaRPr lang="en-US"/>
    </a:p>
  </c:tx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1" u="sng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i="1" u="sng"/>
              <a:t>E&amp;E PARTS</a:t>
            </a:r>
          </a:p>
        </c:rich>
      </c:tx>
      <c:layout>
        <c:manualLayout>
          <c:xMode val="edge"/>
          <c:yMode val="edge"/>
          <c:x val="0.3802985564304463"/>
          <c:y val="4.166666666666666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'Part Tracking'!$E$75</c:f>
              <c:strCache>
                <c:ptCount val="1"/>
                <c:pt idx="0">
                  <c:v>% Parts Received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eaVert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'Part Tracking'!$B$98:$B$98</c:f>
              <c:numCache>
                <c:formatCode>General</c:formatCode>
                <c:ptCount val="1"/>
              </c:numCache>
            </c:numRef>
          </c:cat>
          <c:val>
            <c:numRef>
              <c:f>'Part Tracking'!$E$98:$E$98</c:f>
              <c:numCache>
                <c:formatCode>0%</c:formatCode>
                <c:ptCount val="1"/>
                <c:pt idx="0">
                  <c:v>0.95041322314049592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A06-4048-BC47-FA5DC86F4FA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74384128"/>
        <c:axId val="378484080"/>
      </c:barChart>
      <c:catAx>
        <c:axId val="37438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u="sng"/>
                  <a:t>MODULES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84080"/>
        <c:crosses val="autoZero"/>
        <c:auto val="1"/>
        <c:lblAlgn val="ctr"/>
        <c:lblOffset val="100"/>
        <c:noMultiLvlLbl val="0"/>
      </c:catAx>
      <c:valAx>
        <c:axId val="37848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PARTS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38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400050</xdr:colOff>
          <xdr:row>7</xdr:row>
          <xdr:rowOff>95250</xdr:rowOff>
        </xdr:from>
        <xdr:to>
          <xdr:col>9</xdr:col>
          <xdr:colOff>666750</xdr:colOff>
          <xdr:row>10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Update Project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914400</xdr:colOff>
          <xdr:row>7</xdr:row>
          <xdr:rowOff>95250</xdr:rowOff>
        </xdr:from>
        <xdr:to>
          <xdr:col>9</xdr:col>
          <xdr:colOff>3657600</xdr:colOff>
          <xdr:row>10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Move ERP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495300</xdr:colOff>
          <xdr:row>7</xdr:row>
          <xdr:rowOff>95250</xdr:rowOff>
        </xdr:from>
        <xdr:to>
          <xdr:col>14</xdr:col>
          <xdr:colOff>495300</xdr:colOff>
          <xdr:row>10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Create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400050</xdr:colOff>
          <xdr:row>11</xdr:row>
          <xdr:rowOff>76200</xdr:rowOff>
        </xdr:from>
        <xdr:to>
          <xdr:col>9</xdr:col>
          <xdr:colOff>666750</xdr:colOff>
          <xdr:row>14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Show All 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16</xdr:row>
      <xdr:rowOff>57150</xdr:rowOff>
    </xdr:from>
    <xdr:to>
      <xdr:col>14</xdr:col>
      <xdr:colOff>476250</xdr:colOff>
      <xdr:row>30</xdr:row>
      <xdr:rowOff>150807</xdr:rowOff>
    </xdr:to>
    <xdr:graphicFrame macro="[0]!STD_PART_ZOOM_Click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0</xdr:colOff>
      <xdr:row>2</xdr:row>
      <xdr:rowOff>85725</xdr:rowOff>
    </xdr:from>
    <xdr:to>
      <xdr:col>14</xdr:col>
      <xdr:colOff>476250</xdr:colOff>
      <xdr:row>15</xdr:row>
      <xdr:rowOff>160010</xdr:rowOff>
    </xdr:to>
    <xdr:graphicFrame macro="[0]!FAB_PART_ZOOM_Click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3</xdr:row>
      <xdr:rowOff>0</xdr:rowOff>
    </xdr:from>
    <xdr:to>
      <xdr:col>6</xdr:col>
      <xdr:colOff>2736850</xdr:colOff>
      <xdr:row>21</xdr:row>
      <xdr:rowOff>1468</xdr:rowOff>
    </xdr:to>
    <xdr:graphicFrame macro="[0]!Machine_Part_Zoom_Click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0</xdr:colOff>
      <xdr:row>6</xdr:row>
      <xdr:rowOff>57150</xdr:rowOff>
    </xdr:from>
    <xdr:to>
      <xdr:col>1</xdr:col>
      <xdr:colOff>2962275</xdr:colOff>
      <xdr:row>20</xdr:row>
      <xdr:rowOff>55555</xdr:rowOff>
    </xdr:to>
    <xdr:graphicFrame macro="[0]!EE_PART_ZOOM_Click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</xdr:row>
          <xdr:rowOff>19050</xdr:rowOff>
        </xdr:from>
        <xdr:to>
          <xdr:col>4</xdr:col>
          <xdr:colOff>476250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MY" sz="14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472702</xdr:colOff>
      <xdr:row>12</xdr:row>
      <xdr:rowOff>298388</xdr:rowOff>
    </xdr:from>
    <xdr:to>
      <xdr:col>16</xdr:col>
      <xdr:colOff>494927</xdr:colOff>
      <xdr:row>47</xdr:row>
      <xdr:rowOff>107510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CxnSpPr/>
      </xdr:nvCxnSpPr>
      <xdr:spPr>
        <a:xfrm>
          <a:off x="7302127" y="2698688"/>
          <a:ext cx="22225" cy="6600447"/>
        </a:xfrm>
        <a:prstGeom prst="line">
          <a:avLst/>
        </a:prstGeom>
        <a:ln w="25400">
          <a:solidFill>
            <a:srgbClr val="FF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131379</xdr:rowOff>
    </xdr:to>
    <xdr:sp macro="" textlink="">
      <xdr:nvSpPr>
        <xdr:cNvPr id="2" name="AutoShape 1" descr="blob:https://web.whatsapp.com/c2c7dff8-a857-444d-8b5a-82a437dec06a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>
          <a:spLocks noChangeAspect="1" noChangeArrowheads="1"/>
        </xdr:cNvSpPr>
      </xdr:nvSpPr>
      <xdr:spPr>
        <a:xfrm>
          <a:off x="1047750" y="800100"/>
          <a:ext cx="312420" cy="321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131379</xdr:rowOff>
    </xdr:to>
    <xdr:sp macro="" textlink="">
      <xdr:nvSpPr>
        <xdr:cNvPr id="3" name="AutoShape 2" descr="blob:https://web.whatsapp.com/c2c7dff8-a857-444d-8b5a-82a437dec06a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>
          <a:spLocks noChangeAspect="1" noChangeArrowheads="1"/>
        </xdr:cNvSpPr>
      </xdr:nvSpPr>
      <xdr:spPr>
        <a:xfrm>
          <a:off x="1047750" y="800100"/>
          <a:ext cx="312420" cy="321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131379</xdr:rowOff>
    </xdr:to>
    <xdr:sp macro="" textlink="">
      <xdr:nvSpPr>
        <xdr:cNvPr id="4" name="AutoShape 4" descr="blob:https://web.whatsapp.com/c2c7dff8-a857-444d-8b5a-82a437dec06a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>
          <a:spLocks noChangeAspect="1" noChangeArrowheads="1"/>
        </xdr:cNvSpPr>
      </xdr:nvSpPr>
      <xdr:spPr>
        <a:xfrm>
          <a:off x="1047750" y="800100"/>
          <a:ext cx="312420" cy="321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131379</xdr:rowOff>
    </xdr:to>
    <xdr:sp macro="" textlink="">
      <xdr:nvSpPr>
        <xdr:cNvPr id="5" name="AutoShape 5" descr="blob:https://web.whatsapp.com/c2c7dff8-a857-444d-8b5a-82a437dec06a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>
          <a:spLocks noChangeAspect="1" noChangeArrowheads="1"/>
        </xdr:cNvSpPr>
      </xdr:nvSpPr>
      <xdr:spPr>
        <a:xfrm>
          <a:off x="1047750" y="800100"/>
          <a:ext cx="312420" cy="321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131379</xdr:rowOff>
    </xdr:to>
    <xdr:sp macro="" textlink="">
      <xdr:nvSpPr>
        <xdr:cNvPr id="6" name="AutoShape 6" descr="blob:https://web.whatsapp.com/c2c7dff8-a857-444d-8b5a-82a437dec06a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>
          <a:spLocks noChangeAspect="1" noChangeArrowheads="1"/>
        </xdr:cNvSpPr>
      </xdr:nvSpPr>
      <xdr:spPr>
        <a:xfrm>
          <a:off x="1047750" y="800100"/>
          <a:ext cx="312420" cy="321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838200</xdr:colOff>
          <xdr:row>1</xdr:row>
          <xdr:rowOff>19050</xdr:rowOff>
        </xdr:from>
        <xdr:to>
          <xdr:col>1</xdr:col>
          <xdr:colOff>2266950</xdr:colOff>
          <xdr:row>4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xmlns="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MY" sz="2800" b="1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884767</xdr:colOff>
          <xdr:row>1</xdr:row>
          <xdr:rowOff>0</xdr:rowOff>
        </xdr:from>
        <xdr:to>
          <xdr:col>1</xdr:col>
          <xdr:colOff>2313517</xdr:colOff>
          <xdr:row>3</xdr:row>
          <xdr:rowOff>114300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xmlns="" id="{00000000-0008-0000-06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MY" sz="2800" b="1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781050</xdr:colOff>
          <xdr:row>1</xdr:row>
          <xdr:rowOff>19050</xdr:rowOff>
        </xdr:from>
        <xdr:to>
          <xdr:col>1</xdr:col>
          <xdr:colOff>2209800</xdr:colOff>
          <xdr:row>4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MY" sz="2800" b="1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323" displayName="Table323" ref="A9:AA903" totalsRowShown="0" dataDxfId="97" headerRowBorderDxfId="98" tableBorderDxfId="96" totalsRowBorderDxfId="95">
  <autoFilter ref="A9:AA903"/>
  <tableColumns count="27">
    <tableColumn id="1" name="ITEM" dataDxfId="94"/>
    <tableColumn id="2" name="WAFTECH PART DESCRIPTION" dataDxfId="93"/>
    <tableColumn id="32" name="MODULE" dataDxfId="92"/>
    <tableColumn id="4" name="WAFTECH _x000a_PART NUMBER" dataDxfId="91"/>
    <tableColumn id="10" name="QTY" dataDxfId="90"/>
    <tableColumn id="13" name="COST / _x000a_UNIT" dataDxfId="89"/>
    <tableColumn id="16" name="TOTAL COST" dataDxfId="88">
      <calculatedColumnFormula>E10*F10</calculatedColumnFormula>
    </tableColumn>
    <tableColumn id="30" name="MR Request Date" dataDxfId="87"/>
    <tableColumn id="17" name="MR" dataDxfId="86"/>
    <tableColumn id="27" name="MR APPROVAL DATE" dataDxfId="85"/>
    <tableColumn id="18" name="PR" dataDxfId="84"/>
    <tableColumn id="28" name="PR APPROVAL DATE" dataDxfId="83"/>
    <tableColumn id="19" name="PO" dataDxfId="82"/>
    <tableColumn id="5" name="DOCUMENT DATE" dataDxfId="81"/>
    <tableColumn id="3" name="BOM SUBMISSION DATE" dataDxfId="80"/>
    <tableColumn id="29" name="PO Approval Date" dataDxfId="79"/>
    <tableColumn id="20" name="PO STATUS" dataDxfId="78"/>
    <tableColumn id="21" name="VENDOR" dataDxfId="77"/>
    <tableColumn id="22" name="ETA" dataDxfId="76"/>
    <tableColumn id="6" name="REVISE DATE" dataDxfId="75"/>
    <tableColumn id="23" name="RECEIVED BY" dataDxfId="74"/>
    <tableColumn id="7" name="RECEIVED DATE" dataDxfId="73"/>
    <tableColumn id="8" name="TAKEN BY" dataDxfId="72"/>
    <tableColumn id="9" name="TAKEN DATE" dataDxfId="71"/>
    <tableColumn id="12" name="OBSOLETE" dataDxfId="70"/>
    <tableColumn id="24" name="REMARKS" dataDxfId="69"/>
    <tableColumn id="11" name="Priority" dataDxfId="6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" name="Table32326" displayName="Table32326" ref="A9:AA1175" totalsRowShown="0" headerRowDxfId="67" dataDxfId="65" headerRowBorderDxfId="66" tableBorderDxfId="64" totalsRowBorderDxfId="63">
  <autoFilter ref="A9:AA1175"/>
  <tableColumns count="27">
    <tableColumn id="1" name="ITEM" dataDxfId="62"/>
    <tableColumn id="2" name="WAFTECH PART DESCRIPTION" dataDxfId="61"/>
    <tableColumn id="32" name="MODULE" dataDxfId="60"/>
    <tableColumn id="4" name="WAFTECH _x000a_PART NUMBER" dataDxfId="59"/>
    <tableColumn id="10" name="QTY" dataDxfId="58"/>
    <tableColumn id="13" name="COST / _x000a_UNIT" dataDxfId="57"/>
    <tableColumn id="16" name="TOTAL COST" dataDxfId="56">
      <calculatedColumnFormula>E10*F10</calculatedColumnFormula>
    </tableColumn>
    <tableColumn id="30" name="MR Request Date" dataDxfId="55"/>
    <tableColumn id="17" name="MR" dataDxfId="54"/>
    <tableColumn id="27" name="MR APPROVAL DATE" dataDxfId="53"/>
    <tableColumn id="18" name="PR" dataDxfId="52"/>
    <tableColumn id="28" name="PR APPROVAL DATE" dataDxfId="51"/>
    <tableColumn id="19" name="PO" dataDxfId="50"/>
    <tableColumn id="5" name="DOCUMENT DATE" dataDxfId="49"/>
    <tableColumn id="3" name="BOM SUBMISSION DATE" dataDxfId="48"/>
    <tableColumn id="29" name="PO Approval Date" dataDxfId="47"/>
    <tableColumn id="20" name="PO STATUS" dataDxfId="46"/>
    <tableColumn id="21" name="VENDOR" dataDxfId="45"/>
    <tableColumn id="22" name="ETA" dataDxfId="7"/>
    <tableColumn id="6" name="REVISE DATE" dataDxfId="6"/>
    <tableColumn id="23" name="RECEIVED BY" dataDxfId="5"/>
    <tableColumn id="7" name="RECEIVED DATE" dataDxfId="4"/>
    <tableColumn id="8" name="TAKEN BY" dataDxfId="3"/>
    <tableColumn id="9" name="TAKEN DATE" dataDxfId="2"/>
    <tableColumn id="12" name="OBSOLETE" dataDxfId="1"/>
    <tableColumn id="24" name="REMARKS" dataDxfId="0"/>
    <tableColumn id="11" name="Priority" dataDxfId="4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3234" displayName="Table3234" ref="A9:AA749" totalsRowShown="0" headerRowDxfId="43" dataDxfId="41" headerRowBorderDxfId="42" tableBorderDxfId="40" totalsRowBorderDxfId="39">
  <autoFilter ref="A9:AA749"/>
  <tableColumns count="27">
    <tableColumn id="1" name="ITEM" dataDxfId="38"/>
    <tableColumn id="2" name="WAFTECH PART DESCRIPTION" dataDxfId="37"/>
    <tableColumn id="32" name="MODULE" dataDxfId="36"/>
    <tableColumn id="4" name="WAFTECH _x000a_PART NUMBER" dataDxfId="35"/>
    <tableColumn id="10" name="QTY" dataDxfId="34"/>
    <tableColumn id="13" name="COST / _x000a_UNIT" dataDxfId="33"/>
    <tableColumn id="16" name="TOTAL COST" dataDxfId="32">
      <calculatedColumnFormula>E10*F10</calculatedColumnFormula>
    </tableColumn>
    <tableColumn id="30" name="MR Request Date" dataDxfId="31"/>
    <tableColumn id="17" name="MR" dataDxfId="30"/>
    <tableColumn id="27" name="MR APPROVAL DATE" dataDxfId="29"/>
    <tableColumn id="18" name="PR" dataDxfId="28"/>
    <tableColumn id="28" name="PR APPROVAL DATE" dataDxfId="27"/>
    <tableColumn id="19" name="PO" dataDxfId="26"/>
    <tableColumn id="5" name="DOCUMENT DATE" dataDxfId="25"/>
    <tableColumn id="3" name="BOM SUBMISSION DATE" dataDxfId="24"/>
    <tableColumn id="29" name="PO Approval Date" dataDxfId="23"/>
    <tableColumn id="20" name="PO STATUS" dataDxfId="22"/>
    <tableColumn id="21" name="VENDOR" dataDxfId="21"/>
    <tableColumn id="22" name="ETA" dataDxfId="20"/>
    <tableColumn id="6" name="REVISE DATE" dataDxfId="19"/>
    <tableColumn id="23" name="RECEIVED BY" dataDxfId="18"/>
    <tableColumn id="7" name="RECEIVED DATE" dataDxfId="17"/>
    <tableColumn id="8" name="TAKEN BY" dataDxfId="16"/>
    <tableColumn id="9" name="TAKEN DATE" dataDxfId="15"/>
    <tableColumn id="11" name="OBSOLETE" dataDxfId="14"/>
    <tableColumn id="24" name="REMARKS" dataDxfId="13"/>
    <tableColumn id="12" name="Priority" dataDxfId="1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2:D82" totalsRowShown="0" headerRowDxfId="11">
  <autoFilter ref="A2:D82"/>
  <tableColumns count="4">
    <tableColumn id="1" name="ITEM" dataDxfId="10"/>
    <tableColumn id="2" name="SUPPLIER"/>
    <tableColumn id="4" name="SHORT FORM" dataDxfId="9"/>
    <tableColumn id="3" name="CONTACT" dataDxfId="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4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6"/>
  <sheetViews>
    <sheetView showGridLines="0" zoomScaleNormal="100" workbookViewId="0">
      <selection activeCell="I21" sqref="I21"/>
    </sheetView>
  </sheetViews>
  <sheetFormatPr defaultColWidth="9" defaultRowHeight="15"/>
  <cols>
    <col min="1" max="1" width="6.7109375" style="12" customWidth="1"/>
    <col min="2" max="2" width="7.85546875" style="12" bestFit="1" customWidth="1"/>
    <col min="3" max="3" width="42" style="12" customWidth="1"/>
    <col min="4" max="4" width="20.28515625" style="12" bestFit="1" customWidth="1"/>
    <col min="5" max="5" width="22" style="12" bestFit="1" customWidth="1"/>
    <col min="6" max="6" width="20.5703125" style="12" hidden="1" customWidth="1"/>
    <col min="7" max="7" width="16" style="12" hidden="1" customWidth="1"/>
    <col min="8" max="8" width="9" style="12" customWidth="1"/>
    <col min="9" max="9" width="19" style="12" customWidth="1"/>
    <col min="10" max="10" width="55.28515625" style="12" customWidth="1"/>
    <col min="11" max="11" width="9" style="12" customWidth="1"/>
    <col min="12" max="12" width="22.85546875" style="12" hidden="1" customWidth="1"/>
    <col min="13" max="32" width="9" style="12" customWidth="1"/>
    <col min="33" max="16384" width="9" style="12"/>
  </cols>
  <sheetData>
    <row r="1" spans="1:12" ht="15.75">
      <c r="A1" s="516" t="s">
        <v>38</v>
      </c>
      <c r="B1" s="516"/>
      <c r="C1" s="516"/>
      <c r="D1" s="377" t="s">
        <v>39</v>
      </c>
      <c r="E1" s="323" t="s">
        <v>40</v>
      </c>
    </row>
    <row r="2" spans="1:12" ht="15.75">
      <c r="A2" s="516" t="s">
        <v>41</v>
      </c>
      <c r="B2" s="516"/>
      <c r="C2" s="516"/>
      <c r="D2" s="375" t="s">
        <v>42</v>
      </c>
      <c r="E2" s="324">
        <v>45614.565138888887</v>
      </c>
    </row>
    <row r="3" spans="1:12" ht="15.75">
      <c r="A3" s="516" t="s">
        <v>43</v>
      </c>
      <c r="B3" s="516"/>
      <c r="C3" s="516"/>
      <c r="D3" s="327"/>
      <c r="E3" s="322"/>
    </row>
    <row r="4" spans="1:12">
      <c r="A4" s="328" t="s">
        <v>44</v>
      </c>
      <c r="B4" s="374" t="s">
        <v>8</v>
      </c>
      <c r="C4" s="374" t="s">
        <v>45</v>
      </c>
      <c r="D4" s="328" t="s">
        <v>46</v>
      </c>
      <c r="E4" s="328" t="s">
        <v>47</v>
      </c>
      <c r="F4" s="11" t="s">
        <v>48</v>
      </c>
      <c r="G4" s="11" t="s">
        <v>49</v>
      </c>
      <c r="I4" s="16" t="s">
        <v>50</v>
      </c>
      <c r="J4" s="372" t="s">
        <v>51</v>
      </c>
    </row>
    <row r="5" spans="1:12">
      <c r="A5" s="325">
        <v>1</v>
      </c>
      <c r="B5" s="326" t="s">
        <v>52</v>
      </c>
      <c r="C5" s="388" t="s">
        <v>53</v>
      </c>
      <c r="D5" s="373"/>
      <c r="E5" s="371"/>
      <c r="F5" s="27"/>
      <c r="G5" s="27"/>
      <c r="I5" s="16" t="s">
        <v>54</v>
      </c>
      <c r="J5" s="372" t="s">
        <v>51</v>
      </c>
    </row>
    <row r="6" spans="1:12">
      <c r="A6" s="325">
        <v>2</v>
      </c>
      <c r="B6" s="326" t="s">
        <v>55</v>
      </c>
      <c r="C6" s="380" t="s">
        <v>56</v>
      </c>
      <c r="D6" s="373"/>
      <c r="E6" s="370"/>
      <c r="F6" s="7"/>
      <c r="G6" s="7"/>
      <c r="I6" s="16" t="s">
        <v>57</v>
      </c>
      <c r="J6" s="28"/>
    </row>
    <row r="7" spans="1:12">
      <c r="A7" s="325">
        <v>3</v>
      </c>
      <c r="B7" s="326" t="s">
        <v>58</v>
      </c>
      <c r="C7" s="386" t="s">
        <v>59</v>
      </c>
      <c r="D7" s="379"/>
      <c r="E7" s="370"/>
      <c r="F7" s="7"/>
      <c r="G7" s="7"/>
      <c r="L7" s="20"/>
    </row>
    <row r="8" spans="1:12">
      <c r="A8" s="325">
        <v>4</v>
      </c>
      <c r="B8" s="326" t="s">
        <v>60</v>
      </c>
      <c r="C8" s="387" t="s">
        <v>61</v>
      </c>
      <c r="D8" s="373"/>
      <c r="E8" s="370"/>
      <c r="F8" s="7"/>
      <c r="G8" s="7"/>
    </row>
    <row r="9" spans="1:12">
      <c r="A9" s="325">
        <v>5</v>
      </c>
      <c r="B9" s="326" t="s">
        <v>62</v>
      </c>
      <c r="C9" s="380" t="s">
        <v>63</v>
      </c>
      <c r="D9" s="373"/>
      <c r="E9" s="370"/>
      <c r="F9" s="7"/>
      <c r="G9" s="7"/>
    </row>
    <row r="10" spans="1:12">
      <c r="A10" s="325">
        <v>6</v>
      </c>
      <c r="B10" s="326" t="s">
        <v>64</v>
      </c>
      <c r="C10" s="380" t="s">
        <v>65</v>
      </c>
      <c r="D10" s="373"/>
      <c r="E10" s="370"/>
      <c r="F10" s="7"/>
      <c r="G10" s="7"/>
    </row>
    <row r="11" spans="1:12">
      <c r="A11" s="325">
        <v>7</v>
      </c>
      <c r="B11" s="326" t="s">
        <v>66</v>
      </c>
      <c r="C11" s="380" t="s">
        <v>67</v>
      </c>
      <c r="D11" s="373"/>
      <c r="E11" s="370"/>
      <c r="F11" s="7"/>
      <c r="G11" s="7"/>
      <c r="I11" s="18"/>
    </row>
    <row r="12" spans="1:12">
      <c r="A12" s="325">
        <v>8</v>
      </c>
      <c r="B12" s="326" t="s">
        <v>68</v>
      </c>
      <c r="C12" s="380" t="s">
        <v>69</v>
      </c>
      <c r="D12" s="370"/>
      <c r="E12" s="370"/>
      <c r="F12" s="370"/>
      <c r="G12" s="370"/>
      <c r="I12" s="18"/>
    </row>
    <row r="13" spans="1:12">
      <c r="A13" s="325">
        <v>9</v>
      </c>
      <c r="B13" s="326" t="s">
        <v>70</v>
      </c>
      <c r="C13" s="380" t="s">
        <v>71</v>
      </c>
      <c r="D13" s="370"/>
      <c r="E13" s="370"/>
      <c r="F13" s="370"/>
      <c r="G13" s="370"/>
      <c r="I13" s="18"/>
    </row>
    <row r="14" spans="1:12">
      <c r="A14" s="325">
        <v>10</v>
      </c>
      <c r="B14" s="326" t="s">
        <v>72</v>
      </c>
      <c r="C14" s="380" t="s">
        <v>73</v>
      </c>
      <c r="D14" s="370"/>
      <c r="E14" s="370"/>
      <c r="F14" s="370"/>
      <c r="G14" s="370"/>
      <c r="I14" s="18"/>
    </row>
    <row r="15" spans="1:12">
      <c r="A15" s="325">
        <v>11</v>
      </c>
      <c r="B15" s="326" t="s">
        <v>74</v>
      </c>
      <c r="C15" s="381" t="s">
        <v>75</v>
      </c>
      <c r="D15" s="370"/>
      <c r="E15" s="370"/>
      <c r="F15" s="370"/>
      <c r="G15" s="370"/>
      <c r="I15" s="18"/>
    </row>
    <row r="16" spans="1:12">
      <c r="A16" s="325">
        <v>12</v>
      </c>
      <c r="B16" s="326" t="s">
        <v>76</v>
      </c>
      <c r="C16" s="381" t="s">
        <v>77</v>
      </c>
      <c r="D16" s="370"/>
      <c r="E16" s="370"/>
      <c r="F16" s="370"/>
      <c r="G16" s="370"/>
      <c r="I16" s="18"/>
    </row>
    <row r="17" spans="1:9">
      <c r="A17" s="325">
        <v>13</v>
      </c>
      <c r="B17" s="326" t="s">
        <v>78</v>
      </c>
      <c r="C17" s="385" t="s">
        <v>79</v>
      </c>
      <c r="D17" s="370"/>
      <c r="E17" s="370"/>
      <c r="F17" s="370"/>
      <c r="G17" s="370"/>
      <c r="I17" s="18"/>
    </row>
    <row r="18" spans="1:9">
      <c r="A18" s="325">
        <v>14</v>
      </c>
      <c r="B18" s="326" t="s">
        <v>80</v>
      </c>
      <c r="C18" s="380" t="s">
        <v>81</v>
      </c>
      <c r="D18" s="370"/>
      <c r="E18" s="370"/>
      <c r="F18" s="370"/>
      <c r="G18" s="370"/>
      <c r="I18" s="18"/>
    </row>
    <row r="19" spans="1:9">
      <c r="A19" s="325">
        <v>15</v>
      </c>
      <c r="B19" s="326" t="s">
        <v>82</v>
      </c>
      <c r="C19" s="381" t="s">
        <v>83</v>
      </c>
      <c r="D19" s="370"/>
      <c r="E19" s="370"/>
      <c r="F19" s="370"/>
      <c r="G19" s="370"/>
      <c r="I19" s="18"/>
    </row>
    <row r="20" spans="1:9">
      <c r="A20" s="325">
        <v>16</v>
      </c>
      <c r="B20" s="326" t="s">
        <v>84</v>
      </c>
      <c r="C20" s="381" t="s">
        <v>85</v>
      </c>
      <c r="D20" s="370"/>
      <c r="E20" s="370"/>
      <c r="F20" s="370"/>
      <c r="G20" s="370"/>
      <c r="I20" s="18"/>
    </row>
    <row r="21" spans="1:9" ht="15" customHeight="1">
      <c r="A21" s="325">
        <v>17</v>
      </c>
      <c r="B21" s="378" t="s">
        <v>86</v>
      </c>
      <c r="C21" s="382" t="s">
        <v>87</v>
      </c>
      <c r="D21" s="370"/>
      <c r="E21" s="370"/>
      <c r="I21" s="18"/>
    </row>
    <row r="22" spans="1:9" ht="15" customHeight="1">
      <c r="A22" s="325">
        <v>18</v>
      </c>
      <c r="B22" s="378" t="s">
        <v>88</v>
      </c>
      <c r="C22" s="382" t="s">
        <v>89</v>
      </c>
      <c r="D22" s="370"/>
      <c r="E22" s="370"/>
      <c r="I22" s="18"/>
    </row>
    <row r="23" spans="1:9" ht="15" customHeight="1">
      <c r="A23" s="325">
        <v>19</v>
      </c>
      <c r="B23" s="378" t="s">
        <v>90</v>
      </c>
      <c r="C23" s="382" t="s">
        <v>91</v>
      </c>
      <c r="D23" s="370"/>
      <c r="E23" s="370"/>
      <c r="I23" s="18"/>
    </row>
    <row r="24" spans="1:9" ht="15" customHeight="1">
      <c r="A24" s="325">
        <v>20</v>
      </c>
      <c r="B24" s="378" t="s">
        <v>92</v>
      </c>
      <c r="C24" s="382" t="s">
        <v>93</v>
      </c>
      <c r="D24" s="370"/>
      <c r="E24" s="370"/>
      <c r="I24" s="18"/>
    </row>
    <row r="25" spans="1:9" ht="15" customHeight="1">
      <c r="A25" s="325"/>
      <c r="B25" s="378"/>
      <c r="C25" s="382"/>
      <c r="D25" s="370"/>
      <c r="E25" s="370"/>
      <c r="I25" s="18"/>
    </row>
    <row r="26" spans="1:9">
      <c r="A26" s="328" t="s">
        <v>44</v>
      </c>
      <c r="B26" s="374" t="s">
        <v>8</v>
      </c>
      <c r="C26" s="383" t="s">
        <v>45</v>
      </c>
      <c r="D26" s="328" t="s">
        <v>46</v>
      </c>
      <c r="E26" s="328" t="s">
        <v>94</v>
      </c>
    </row>
    <row r="27" spans="1:9">
      <c r="A27" s="370">
        <v>1</v>
      </c>
      <c r="B27" s="326" t="s">
        <v>95</v>
      </c>
      <c r="C27" s="380" t="s">
        <v>96</v>
      </c>
      <c r="D27" s="373"/>
      <c r="E27" s="370"/>
    </row>
    <row r="28" spans="1:9">
      <c r="A28" s="370">
        <v>2</v>
      </c>
      <c r="B28" s="326" t="s">
        <v>97</v>
      </c>
      <c r="C28" s="380" t="s">
        <v>98</v>
      </c>
      <c r="D28" s="373"/>
      <c r="E28" s="370"/>
    </row>
    <row r="29" spans="1:9">
      <c r="A29" s="370">
        <v>3</v>
      </c>
      <c r="B29" s="326" t="s">
        <v>99</v>
      </c>
      <c r="C29" s="380" t="s">
        <v>100</v>
      </c>
      <c r="D29" s="373"/>
      <c r="E29" s="370"/>
    </row>
    <row r="30" spans="1:9">
      <c r="A30" s="370">
        <v>4</v>
      </c>
      <c r="B30" s="326" t="s">
        <v>101</v>
      </c>
      <c r="C30" s="380" t="s">
        <v>102</v>
      </c>
      <c r="D30" s="373"/>
      <c r="E30" s="370"/>
    </row>
    <row r="31" spans="1:9">
      <c r="A31" s="370">
        <v>5</v>
      </c>
      <c r="B31" s="326" t="s">
        <v>103</v>
      </c>
      <c r="C31" s="380" t="s">
        <v>104</v>
      </c>
      <c r="D31" s="373"/>
      <c r="E31" s="370"/>
    </row>
    <row r="32" spans="1:9">
      <c r="A32" s="370">
        <v>6</v>
      </c>
      <c r="B32" s="326" t="s">
        <v>105</v>
      </c>
      <c r="C32" s="380" t="s">
        <v>106</v>
      </c>
      <c r="D32" s="370"/>
      <c r="E32" s="370"/>
    </row>
    <row r="33" spans="1:5">
      <c r="A33" s="370">
        <v>7</v>
      </c>
      <c r="B33" s="326" t="s">
        <v>107</v>
      </c>
      <c r="C33" s="380" t="s">
        <v>108</v>
      </c>
      <c r="D33" s="370"/>
      <c r="E33" s="370"/>
    </row>
    <row r="34" spans="1:5">
      <c r="A34" s="370">
        <v>8</v>
      </c>
      <c r="B34" s="326" t="s">
        <v>109</v>
      </c>
      <c r="C34" s="381" t="s">
        <v>110</v>
      </c>
      <c r="D34" s="370"/>
      <c r="E34" s="370"/>
    </row>
    <row r="35" spans="1:5">
      <c r="A35" s="370">
        <v>9</v>
      </c>
      <c r="B35" s="326" t="s">
        <v>111</v>
      </c>
      <c r="C35" s="381" t="s">
        <v>112</v>
      </c>
      <c r="D35" s="370"/>
      <c r="E35" s="370"/>
    </row>
    <row r="36" spans="1:5">
      <c r="A36" s="370">
        <v>10</v>
      </c>
      <c r="B36" s="326" t="s">
        <v>113</v>
      </c>
      <c r="C36" s="381" t="s">
        <v>114</v>
      </c>
      <c r="D36" s="370"/>
      <c r="E36" s="370"/>
    </row>
    <row r="37" spans="1:5">
      <c r="A37" s="370">
        <v>11</v>
      </c>
      <c r="B37" s="326" t="s">
        <v>115</v>
      </c>
      <c r="C37" s="381" t="s">
        <v>116</v>
      </c>
      <c r="D37" s="370"/>
      <c r="E37" s="370"/>
    </row>
    <row r="38" spans="1:5">
      <c r="A38" s="370">
        <v>12</v>
      </c>
      <c r="B38" s="326" t="s">
        <v>117</v>
      </c>
      <c r="C38" s="380" t="s">
        <v>118</v>
      </c>
      <c r="D38" s="370"/>
      <c r="E38" s="370"/>
    </row>
    <row r="39" spans="1:5">
      <c r="A39" s="370">
        <v>13</v>
      </c>
      <c r="B39" s="326" t="s">
        <v>119</v>
      </c>
      <c r="C39" s="380" t="s">
        <v>120</v>
      </c>
      <c r="D39" s="370"/>
      <c r="E39" s="370"/>
    </row>
    <row r="40" spans="1:5">
      <c r="A40" s="370">
        <v>14</v>
      </c>
      <c r="B40" s="326" t="s">
        <v>121</v>
      </c>
      <c r="C40" s="380" t="s">
        <v>122</v>
      </c>
      <c r="D40" s="370"/>
      <c r="E40" s="370"/>
    </row>
    <row r="41" spans="1:5">
      <c r="A41" s="370">
        <v>15</v>
      </c>
      <c r="B41" s="326" t="s">
        <v>123</v>
      </c>
      <c r="C41" s="381" t="s">
        <v>124</v>
      </c>
      <c r="D41" s="370"/>
      <c r="E41" s="370"/>
    </row>
    <row r="42" spans="1:5">
      <c r="A42" s="370">
        <v>16</v>
      </c>
      <c r="B42" s="326" t="s">
        <v>125</v>
      </c>
      <c r="C42" s="381" t="s">
        <v>126</v>
      </c>
      <c r="D42" s="370"/>
      <c r="E42" s="370"/>
    </row>
    <row r="43" spans="1:5">
      <c r="A43" s="370">
        <v>17</v>
      </c>
      <c r="B43" s="326" t="s">
        <v>127</v>
      </c>
      <c r="C43" s="381" t="s">
        <v>128</v>
      </c>
      <c r="D43" s="370"/>
      <c r="E43" s="370"/>
    </row>
    <row r="44" spans="1:5">
      <c r="A44" s="370">
        <v>18</v>
      </c>
      <c r="B44" s="326" t="s">
        <v>129</v>
      </c>
      <c r="C44" s="381" t="s">
        <v>130</v>
      </c>
      <c r="D44" s="370"/>
      <c r="E44" s="370"/>
    </row>
    <row r="45" spans="1:5" ht="15" customHeight="1">
      <c r="A45" s="370">
        <v>19</v>
      </c>
      <c r="B45" s="326" t="s">
        <v>131</v>
      </c>
      <c r="C45" s="381" t="s">
        <v>132</v>
      </c>
      <c r="D45" s="370"/>
      <c r="E45" s="370"/>
    </row>
    <row r="46" spans="1:5">
      <c r="A46" s="370">
        <v>20</v>
      </c>
      <c r="B46" s="326" t="s">
        <v>133</v>
      </c>
      <c r="C46" s="384" t="s">
        <v>134</v>
      </c>
      <c r="D46" s="370"/>
      <c r="E46" s="370"/>
    </row>
  </sheetData>
  <sheetProtection formatCells="0" formatRows="0" insertColumns="0" insertRows="0" insertHyperlinks="0" deleteColumns="0" deleteRows="0" sort="0" autoFilter="0" pivotTables="0"/>
  <protectedRanges>
    <protectedRange sqref="F5:G5" name="Info_1_1"/>
    <protectedRange sqref="E5" name="Info_1_1_1_1"/>
  </protectedRanges>
  <mergeCells count="3">
    <mergeCell ref="A1:C1"/>
    <mergeCell ref="A2:C2"/>
    <mergeCell ref="A3:C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TE_LIST_Click">
                <anchor>
                  <from>
                    <xdr:col>8</xdr:col>
                    <xdr:colOff>400050</xdr:colOff>
                    <xdr:row>7</xdr:row>
                    <xdr:rowOff>95250</xdr:rowOff>
                  </from>
                  <to>
                    <xdr:col>9</xdr:col>
                    <xdr:colOff>666750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ove_ERP_File_Click">
                <anchor>
                  <from>
                    <xdr:col>9</xdr:col>
                    <xdr:colOff>914400</xdr:colOff>
                    <xdr:row>7</xdr:row>
                    <xdr:rowOff>95250</xdr:rowOff>
                  </from>
                  <to>
                    <xdr:col>9</xdr:col>
                    <xdr:colOff>3657600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reate_Folder_Click">
                <anchor>
                  <from>
                    <xdr:col>10</xdr:col>
                    <xdr:colOff>495300</xdr:colOff>
                    <xdr:row>7</xdr:row>
                    <xdr:rowOff>95250</xdr:rowOff>
                  </from>
                  <to>
                    <xdr:col>14</xdr:col>
                    <xdr:colOff>495300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Show_Filter_Click">
                <anchor>
                  <from>
                    <xdr:col>8</xdr:col>
                    <xdr:colOff>400050</xdr:colOff>
                    <xdr:row>11</xdr:row>
                    <xdr:rowOff>76200</xdr:rowOff>
                  </from>
                  <to>
                    <xdr:col>9</xdr:col>
                    <xdr:colOff>666750</xdr:colOff>
                    <xdr:row>14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H99"/>
  <sheetViews>
    <sheetView zoomScaleNormal="100" workbookViewId="0">
      <selection activeCell="D1" sqref="D1"/>
    </sheetView>
  </sheetViews>
  <sheetFormatPr defaultRowHeight="15"/>
  <cols>
    <col min="1" max="1" width="24" bestFit="1" customWidth="1"/>
    <col min="2" max="2" width="44.85546875" bestFit="1" customWidth="1"/>
    <col min="3" max="4" width="15.7109375" customWidth="1"/>
    <col min="5" max="5" width="17.7109375" style="5" customWidth="1"/>
    <col min="6" max="6" width="23" customWidth="1"/>
    <col min="7" max="7" width="41.28515625" customWidth="1"/>
    <col min="8" max="8" width="15.7109375" hidden="1" customWidth="1"/>
    <col min="9" max="9" width="15.7109375" customWidth="1"/>
  </cols>
  <sheetData>
    <row r="1" spans="1:2" ht="18">
      <c r="A1" s="130" t="s">
        <v>0</v>
      </c>
      <c r="B1" s="129"/>
    </row>
    <row r="2" spans="1:2" ht="18">
      <c r="A2" s="130" t="s">
        <v>1</v>
      </c>
      <c r="B2" s="129"/>
    </row>
    <row r="3" spans="1:2" ht="18">
      <c r="A3" s="130" t="s">
        <v>162</v>
      </c>
      <c r="B3" s="15"/>
    </row>
    <row r="4" spans="1:2" ht="18">
      <c r="A4" s="130" t="s">
        <v>163</v>
      </c>
      <c r="B4" s="17"/>
    </row>
    <row r="5" spans="1:2" ht="18">
      <c r="A5" s="130" t="s">
        <v>164</v>
      </c>
    </row>
    <row r="6" spans="1:2" ht="18">
      <c r="A6" s="130" t="s">
        <v>138</v>
      </c>
    </row>
    <row r="7" spans="1:2" ht="15.75">
      <c r="A7" s="1"/>
    </row>
    <row r="8" spans="1:2" ht="15.75">
      <c r="A8" s="1"/>
    </row>
    <row r="9" spans="1:2" ht="15.75">
      <c r="A9" s="1"/>
    </row>
    <row r="10" spans="1:2" ht="15.75">
      <c r="A10" s="1"/>
    </row>
    <row r="11" spans="1:2" ht="15.75">
      <c r="A11" s="1"/>
    </row>
    <row r="12" spans="1:2" ht="15.75">
      <c r="A12" s="1"/>
    </row>
    <row r="13" spans="1:2" ht="15.75">
      <c r="A13" s="1"/>
    </row>
    <row r="14" spans="1:2" ht="15.75">
      <c r="A14" s="1"/>
    </row>
    <row r="15" spans="1:2" ht="15.75">
      <c r="A15" s="1"/>
    </row>
    <row r="16" spans="1:2" ht="15.75">
      <c r="A16" s="1"/>
    </row>
    <row r="17" spans="1:8" ht="15.75">
      <c r="A17" s="1"/>
    </row>
    <row r="18" spans="1:8" ht="15.75">
      <c r="A18" s="1"/>
    </row>
    <row r="19" spans="1:8" ht="15.75">
      <c r="A19" s="1"/>
    </row>
    <row r="20" spans="1:8" ht="15.75">
      <c r="A20" s="1"/>
    </row>
    <row r="21" spans="1:8">
      <c r="A21" s="25"/>
    </row>
    <row r="22" spans="1:8">
      <c r="B22" t="s">
        <v>165</v>
      </c>
    </row>
    <row r="23" spans="1:8">
      <c r="B23" s="2" t="s">
        <v>8</v>
      </c>
      <c r="C23" s="2" t="s">
        <v>166</v>
      </c>
      <c r="D23" s="2" t="s">
        <v>167</v>
      </c>
      <c r="E23" s="6" t="s">
        <v>168</v>
      </c>
      <c r="F23" s="21" t="s">
        <v>169</v>
      </c>
      <c r="G23" s="2" t="s">
        <v>170</v>
      </c>
      <c r="H23" s="2" t="s">
        <v>171</v>
      </c>
    </row>
    <row r="24" spans="1:8">
      <c r="B24" s="31" t="s">
        <v>172</v>
      </c>
      <c r="C24" s="30">
        <v>2</v>
      </c>
      <c r="D24" s="30">
        <v>0</v>
      </c>
      <c r="E24" s="32">
        <f t="shared" ref="E24:E43" si="0">IFERROR((D24/C24),0)*100%</f>
        <v>0</v>
      </c>
      <c r="F24" s="33">
        <f t="shared" ref="F24:F43" si="1">C24-D24</f>
        <v>2</v>
      </c>
      <c r="G24" s="30"/>
      <c r="H24" s="376"/>
    </row>
    <row r="25" spans="1:8">
      <c r="B25" s="421" t="s">
        <v>173</v>
      </c>
      <c r="C25" s="422">
        <v>177</v>
      </c>
      <c r="D25" s="422">
        <v>173</v>
      </c>
      <c r="E25" s="423">
        <f t="shared" si="0"/>
        <v>0.97740112994350281</v>
      </c>
      <c r="F25" s="424">
        <f t="shared" si="1"/>
        <v>4</v>
      </c>
      <c r="G25" s="422"/>
      <c r="H25" s="376"/>
    </row>
    <row r="26" spans="1:8">
      <c r="B26" s="421" t="s">
        <v>174</v>
      </c>
      <c r="C26" s="422">
        <v>131</v>
      </c>
      <c r="D26" s="422">
        <v>130</v>
      </c>
      <c r="E26" s="423">
        <f t="shared" si="0"/>
        <v>0.99236641221374045</v>
      </c>
      <c r="F26" s="424">
        <f t="shared" si="1"/>
        <v>1</v>
      </c>
      <c r="G26" s="422"/>
      <c r="H26" s="376"/>
    </row>
    <row r="27" spans="1:8">
      <c r="B27" s="421" t="s">
        <v>175</v>
      </c>
      <c r="C27" s="422">
        <v>63</v>
      </c>
      <c r="D27" s="422">
        <v>63</v>
      </c>
      <c r="E27" s="423">
        <f t="shared" si="0"/>
        <v>1</v>
      </c>
      <c r="F27" s="424">
        <f t="shared" si="1"/>
        <v>0</v>
      </c>
      <c r="G27" s="422"/>
      <c r="H27" s="376"/>
    </row>
    <row r="28" spans="1:8">
      <c r="B28" s="421" t="s">
        <v>176</v>
      </c>
      <c r="C28" s="422">
        <v>24</v>
      </c>
      <c r="D28" s="422">
        <v>24</v>
      </c>
      <c r="E28" s="423">
        <f t="shared" si="0"/>
        <v>1</v>
      </c>
      <c r="F28" s="424">
        <f t="shared" si="1"/>
        <v>0</v>
      </c>
      <c r="G28" s="422"/>
      <c r="H28" s="376"/>
    </row>
    <row r="29" spans="1:8">
      <c r="B29" s="421" t="s">
        <v>177</v>
      </c>
      <c r="C29" s="422">
        <v>44</v>
      </c>
      <c r="D29" s="422">
        <v>44</v>
      </c>
      <c r="E29" s="423">
        <f t="shared" si="0"/>
        <v>1</v>
      </c>
      <c r="F29" s="424">
        <f t="shared" si="1"/>
        <v>0</v>
      </c>
      <c r="G29" s="422"/>
      <c r="H29" s="376"/>
    </row>
    <row r="30" spans="1:8">
      <c r="B30" s="421" t="s">
        <v>178</v>
      </c>
      <c r="C30" s="422">
        <v>1</v>
      </c>
      <c r="D30" s="422">
        <v>0</v>
      </c>
      <c r="E30" s="423">
        <f t="shared" si="0"/>
        <v>0</v>
      </c>
      <c r="F30" s="424">
        <f t="shared" si="1"/>
        <v>1</v>
      </c>
      <c r="G30" s="422"/>
      <c r="H30" s="376"/>
    </row>
    <row r="31" spans="1:8">
      <c r="B31" s="421" t="s">
        <v>179</v>
      </c>
      <c r="C31" s="422">
        <v>0</v>
      </c>
      <c r="D31" s="422">
        <v>0</v>
      </c>
      <c r="E31" s="423">
        <f t="shared" si="0"/>
        <v>0</v>
      </c>
      <c r="F31" s="424">
        <f t="shared" si="1"/>
        <v>0</v>
      </c>
      <c r="G31" s="422"/>
      <c r="H31" s="376"/>
    </row>
    <row r="32" spans="1:8">
      <c r="B32" s="421" t="s">
        <v>180</v>
      </c>
      <c r="C32" s="422">
        <v>18</v>
      </c>
      <c r="D32" s="422">
        <v>18</v>
      </c>
      <c r="E32" s="423">
        <f t="shared" si="0"/>
        <v>1</v>
      </c>
      <c r="F32" s="424">
        <f t="shared" si="1"/>
        <v>0</v>
      </c>
      <c r="G32" s="422"/>
      <c r="H32" s="376"/>
    </row>
    <row r="33" spans="2:8">
      <c r="B33" s="421" t="s">
        <v>181</v>
      </c>
      <c r="C33" s="422">
        <v>31</v>
      </c>
      <c r="D33" s="422">
        <v>31</v>
      </c>
      <c r="E33" s="423">
        <f t="shared" si="0"/>
        <v>1</v>
      </c>
      <c r="F33" s="424">
        <f t="shared" si="1"/>
        <v>0</v>
      </c>
      <c r="G33" s="422"/>
      <c r="H33" s="376"/>
    </row>
    <row r="34" spans="2:8">
      <c r="B34" s="421" t="s">
        <v>182</v>
      </c>
      <c r="C34" s="422">
        <v>105</v>
      </c>
      <c r="D34" s="422">
        <v>105</v>
      </c>
      <c r="E34" s="423">
        <f t="shared" si="0"/>
        <v>1</v>
      </c>
      <c r="F34" s="424">
        <f t="shared" si="1"/>
        <v>0</v>
      </c>
      <c r="G34" s="422"/>
      <c r="H34" s="376"/>
    </row>
    <row r="35" spans="2:8">
      <c r="B35" s="421" t="s">
        <v>183</v>
      </c>
      <c r="C35" s="422">
        <v>54</v>
      </c>
      <c r="D35" s="422">
        <v>0</v>
      </c>
      <c r="E35" s="423">
        <f t="shared" si="0"/>
        <v>0</v>
      </c>
      <c r="F35" s="424">
        <f t="shared" si="1"/>
        <v>54</v>
      </c>
      <c r="G35" s="422"/>
      <c r="H35" s="376"/>
    </row>
    <row r="36" spans="2:8">
      <c r="B36" s="421" t="s">
        <v>184</v>
      </c>
      <c r="C36" s="422">
        <v>114</v>
      </c>
      <c r="D36" s="422">
        <v>4</v>
      </c>
      <c r="E36" s="423">
        <f t="shared" si="0"/>
        <v>3.5087719298245612E-2</v>
      </c>
      <c r="F36" s="424">
        <f t="shared" si="1"/>
        <v>110</v>
      </c>
      <c r="G36" s="422"/>
      <c r="H36" s="376"/>
    </row>
    <row r="37" spans="2:8">
      <c r="B37" s="421" t="s">
        <v>185</v>
      </c>
      <c r="C37" s="422">
        <v>0</v>
      </c>
      <c r="D37" s="422">
        <v>0</v>
      </c>
      <c r="E37" s="423">
        <f t="shared" si="0"/>
        <v>0</v>
      </c>
      <c r="F37" s="424">
        <f t="shared" si="1"/>
        <v>0</v>
      </c>
      <c r="G37" s="422"/>
      <c r="H37" s="376"/>
    </row>
    <row r="38" spans="2:8">
      <c r="B38" s="421" t="s">
        <v>186</v>
      </c>
      <c r="C38" s="422">
        <v>4</v>
      </c>
      <c r="D38" s="422">
        <v>4</v>
      </c>
      <c r="E38" s="423">
        <f t="shared" si="0"/>
        <v>1</v>
      </c>
      <c r="F38" s="424">
        <f t="shared" si="1"/>
        <v>0</v>
      </c>
      <c r="G38" s="422"/>
      <c r="H38" s="376"/>
    </row>
    <row r="39" spans="2:8">
      <c r="B39" s="421" t="s">
        <v>187</v>
      </c>
      <c r="C39" s="422">
        <v>0</v>
      </c>
      <c r="D39" s="422">
        <v>0</v>
      </c>
      <c r="E39" s="423">
        <f t="shared" si="0"/>
        <v>0</v>
      </c>
      <c r="F39" s="424">
        <f t="shared" si="1"/>
        <v>0</v>
      </c>
      <c r="G39" s="422"/>
      <c r="H39" s="376"/>
    </row>
    <row r="40" spans="2:8">
      <c r="B40" s="421" t="s">
        <v>188</v>
      </c>
      <c r="C40" s="422">
        <v>0</v>
      </c>
      <c r="D40" s="422">
        <v>0</v>
      </c>
      <c r="E40" s="423">
        <f t="shared" si="0"/>
        <v>0</v>
      </c>
      <c r="F40" s="424">
        <f t="shared" si="1"/>
        <v>0</v>
      </c>
      <c r="G40" s="422"/>
      <c r="H40" s="376"/>
    </row>
    <row r="41" spans="2:8">
      <c r="B41" s="421" t="s">
        <v>189</v>
      </c>
      <c r="C41" s="422">
        <v>0</v>
      </c>
      <c r="D41" s="422">
        <v>0</v>
      </c>
      <c r="E41" s="423">
        <f t="shared" si="0"/>
        <v>0</v>
      </c>
      <c r="F41" s="424">
        <f t="shared" si="1"/>
        <v>0</v>
      </c>
      <c r="G41" s="422"/>
      <c r="H41" s="376"/>
    </row>
    <row r="42" spans="2:8">
      <c r="B42" s="421" t="s">
        <v>190</v>
      </c>
      <c r="C42" s="422">
        <v>0</v>
      </c>
      <c r="D42" s="422">
        <v>0</v>
      </c>
      <c r="E42" s="423">
        <f t="shared" si="0"/>
        <v>0</v>
      </c>
      <c r="F42" s="424">
        <f t="shared" si="1"/>
        <v>0</v>
      </c>
      <c r="G42" s="422"/>
      <c r="H42" s="376"/>
    </row>
    <row r="43" spans="2:8">
      <c r="B43" s="421" t="s">
        <v>191</v>
      </c>
      <c r="C43" s="422">
        <v>0</v>
      </c>
      <c r="D43" s="422">
        <v>0</v>
      </c>
      <c r="E43" s="423">
        <f t="shared" si="0"/>
        <v>0</v>
      </c>
      <c r="F43" s="424">
        <f t="shared" si="1"/>
        <v>0</v>
      </c>
      <c r="G43" s="422"/>
      <c r="H43" s="376"/>
    </row>
    <row r="44" spans="2:8">
      <c r="B44" s="421"/>
      <c r="C44" s="422"/>
      <c r="D44" s="422"/>
      <c r="E44" s="423"/>
      <c r="F44" s="424"/>
      <c r="G44" s="422"/>
      <c r="H44" s="376"/>
    </row>
    <row r="45" spans="2:8">
      <c r="B45" s="31"/>
      <c r="C45" s="30"/>
      <c r="D45" s="30"/>
      <c r="E45" s="32" t="e">
        <f>(D45/C45)</f>
        <v>#DIV/0!</v>
      </c>
      <c r="F45" s="33">
        <f>C45-D45</f>
        <v>0</v>
      </c>
      <c r="G45" s="30"/>
      <c r="H45" s="2"/>
    </row>
    <row r="46" spans="2:8">
      <c r="B46" s="22" t="s">
        <v>192</v>
      </c>
      <c r="C46" s="23">
        <f>SUM(C24:C43)</f>
        <v>768</v>
      </c>
      <c r="D46" s="23">
        <f>SUM(D24:D43)</f>
        <v>596</v>
      </c>
      <c r="E46" s="9">
        <f>(D46/C46)</f>
        <v>0.77604166666666663</v>
      </c>
      <c r="F46" s="329">
        <f>SUM(F24:F43)</f>
        <v>172</v>
      </c>
      <c r="G46" s="3"/>
      <c r="H46" s="3"/>
    </row>
    <row r="47" spans="2:8">
      <c r="B47" s="10"/>
    </row>
    <row r="48" spans="2:8">
      <c r="B48" s="10" t="s">
        <v>193</v>
      </c>
    </row>
    <row r="49" spans="2:8">
      <c r="B49" s="24" t="s">
        <v>8</v>
      </c>
      <c r="C49" s="2" t="s">
        <v>166</v>
      </c>
      <c r="D49" s="2" t="s">
        <v>167</v>
      </c>
      <c r="E49" s="6" t="s">
        <v>168</v>
      </c>
      <c r="F49" s="2" t="s">
        <v>169</v>
      </c>
      <c r="G49" s="2" t="s">
        <v>170</v>
      </c>
      <c r="H49" s="2" t="s">
        <v>171</v>
      </c>
    </row>
    <row r="50" spans="2:8">
      <c r="B50" s="34" t="s">
        <v>172</v>
      </c>
      <c r="C50" s="30">
        <v>0</v>
      </c>
      <c r="D50" s="30">
        <v>0</v>
      </c>
      <c r="E50" s="32">
        <f t="shared" ref="E50:E69" si="2">IFERROR((D50/C50),0)*100%</f>
        <v>0</v>
      </c>
      <c r="F50" s="33">
        <f t="shared" ref="F50:F69" si="3">C50-D50</f>
        <v>0</v>
      </c>
      <c r="G50" s="30"/>
      <c r="H50" s="376"/>
    </row>
    <row r="51" spans="2:8">
      <c r="B51" s="425" t="s">
        <v>173</v>
      </c>
      <c r="C51" s="422">
        <v>154</v>
      </c>
      <c r="D51" s="422">
        <v>151</v>
      </c>
      <c r="E51" s="423">
        <f t="shared" si="2"/>
        <v>0.98051948051948057</v>
      </c>
      <c r="F51" s="424">
        <f t="shared" si="3"/>
        <v>3</v>
      </c>
      <c r="G51" s="422"/>
      <c r="H51" s="376"/>
    </row>
    <row r="52" spans="2:8">
      <c r="B52" s="425" t="s">
        <v>174</v>
      </c>
      <c r="C52" s="422">
        <v>125</v>
      </c>
      <c r="D52" s="422">
        <v>108</v>
      </c>
      <c r="E52" s="423">
        <f t="shared" si="2"/>
        <v>0.86399999999999999</v>
      </c>
      <c r="F52" s="424">
        <f t="shared" si="3"/>
        <v>17</v>
      </c>
      <c r="G52" s="422"/>
      <c r="H52" s="376"/>
    </row>
    <row r="53" spans="2:8">
      <c r="B53" s="425" t="s">
        <v>175</v>
      </c>
      <c r="C53" s="422">
        <v>84</v>
      </c>
      <c r="D53" s="422">
        <v>84</v>
      </c>
      <c r="E53" s="423">
        <f t="shared" si="2"/>
        <v>1</v>
      </c>
      <c r="F53" s="424">
        <f t="shared" si="3"/>
        <v>0</v>
      </c>
      <c r="G53" s="422"/>
      <c r="H53" s="376"/>
    </row>
    <row r="54" spans="2:8">
      <c r="B54" s="425" t="s">
        <v>176</v>
      </c>
      <c r="C54" s="422">
        <v>31</v>
      </c>
      <c r="D54" s="422">
        <v>31</v>
      </c>
      <c r="E54" s="423">
        <f t="shared" si="2"/>
        <v>1</v>
      </c>
      <c r="F54" s="424">
        <f t="shared" si="3"/>
        <v>0</v>
      </c>
      <c r="G54" s="422"/>
      <c r="H54" s="376"/>
    </row>
    <row r="55" spans="2:8">
      <c r="B55" s="425" t="s">
        <v>177</v>
      </c>
      <c r="C55" s="422">
        <v>78</v>
      </c>
      <c r="D55" s="422">
        <v>75</v>
      </c>
      <c r="E55" s="423">
        <f t="shared" si="2"/>
        <v>0.96153846153846156</v>
      </c>
      <c r="F55" s="424">
        <f t="shared" si="3"/>
        <v>3</v>
      </c>
      <c r="G55" s="422"/>
      <c r="H55" s="376"/>
    </row>
    <row r="56" spans="2:8">
      <c r="B56" s="425" t="s">
        <v>178</v>
      </c>
      <c r="C56" s="422">
        <v>113</v>
      </c>
      <c r="D56" s="422">
        <v>27</v>
      </c>
      <c r="E56" s="423">
        <f t="shared" si="2"/>
        <v>0.23893805309734514</v>
      </c>
      <c r="F56" s="424">
        <f t="shared" si="3"/>
        <v>86</v>
      </c>
      <c r="G56" s="422"/>
      <c r="H56" s="376"/>
    </row>
    <row r="57" spans="2:8">
      <c r="B57" s="425" t="s">
        <v>179</v>
      </c>
      <c r="C57" s="422">
        <v>0</v>
      </c>
      <c r="D57" s="422">
        <v>0</v>
      </c>
      <c r="E57" s="423">
        <f t="shared" si="2"/>
        <v>0</v>
      </c>
      <c r="F57" s="424">
        <f t="shared" si="3"/>
        <v>0</v>
      </c>
      <c r="G57" s="422"/>
      <c r="H57" s="376"/>
    </row>
    <row r="58" spans="2:8">
      <c r="B58" s="425" t="s">
        <v>180</v>
      </c>
      <c r="C58" s="422">
        <v>16</v>
      </c>
      <c r="D58" s="422">
        <v>16</v>
      </c>
      <c r="E58" s="423">
        <f t="shared" si="2"/>
        <v>1</v>
      </c>
      <c r="F58" s="424">
        <f t="shared" si="3"/>
        <v>0</v>
      </c>
      <c r="G58" s="422"/>
      <c r="H58" s="376"/>
    </row>
    <row r="59" spans="2:8">
      <c r="B59" s="425" t="s">
        <v>181</v>
      </c>
      <c r="C59" s="422">
        <v>48</v>
      </c>
      <c r="D59" s="422">
        <v>47</v>
      </c>
      <c r="E59" s="423">
        <f t="shared" si="2"/>
        <v>0.97916666666666663</v>
      </c>
      <c r="F59" s="424">
        <f t="shared" si="3"/>
        <v>1</v>
      </c>
      <c r="G59" s="422"/>
      <c r="H59" s="376"/>
    </row>
    <row r="60" spans="2:8">
      <c r="B60" s="425" t="s">
        <v>182</v>
      </c>
      <c r="C60" s="422">
        <v>89</v>
      </c>
      <c r="D60" s="422">
        <v>89</v>
      </c>
      <c r="E60" s="423">
        <f t="shared" si="2"/>
        <v>1</v>
      </c>
      <c r="F60" s="424">
        <f t="shared" si="3"/>
        <v>0</v>
      </c>
      <c r="G60" s="422"/>
      <c r="H60" s="376"/>
    </row>
    <row r="61" spans="2:8">
      <c r="B61" s="425" t="s">
        <v>183</v>
      </c>
      <c r="C61" s="422">
        <v>75</v>
      </c>
      <c r="D61" s="422">
        <v>22</v>
      </c>
      <c r="E61" s="423">
        <f t="shared" si="2"/>
        <v>0.29333333333333333</v>
      </c>
      <c r="F61" s="424">
        <f t="shared" si="3"/>
        <v>53</v>
      </c>
      <c r="G61" s="422"/>
      <c r="H61" s="376"/>
    </row>
    <row r="62" spans="2:8">
      <c r="B62" s="425" t="s">
        <v>184</v>
      </c>
      <c r="C62" s="422">
        <v>49</v>
      </c>
      <c r="D62" s="422">
        <v>28</v>
      </c>
      <c r="E62" s="423">
        <f t="shared" si="2"/>
        <v>0.5714285714285714</v>
      </c>
      <c r="F62" s="424">
        <f t="shared" si="3"/>
        <v>21</v>
      </c>
      <c r="G62" s="422"/>
      <c r="H62" s="376"/>
    </row>
    <row r="63" spans="2:8">
      <c r="B63" s="425" t="s">
        <v>185</v>
      </c>
      <c r="C63" s="422">
        <v>83</v>
      </c>
      <c r="D63" s="422">
        <v>11</v>
      </c>
      <c r="E63" s="423">
        <f t="shared" si="2"/>
        <v>0.13253012048192772</v>
      </c>
      <c r="F63" s="424">
        <f t="shared" si="3"/>
        <v>72</v>
      </c>
      <c r="G63" s="422"/>
      <c r="H63" s="376"/>
    </row>
    <row r="64" spans="2:8">
      <c r="B64" s="425" t="s">
        <v>186</v>
      </c>
      <c r="C64" s="422">
        <v>3</v>
      </c>
      <c r="D64" s="422">
        <v>3</v>
      </c>
      <c r="E64" s="423">
        <f t="shared" si="2"/>
        <v>1</v>
      </c>
      <c r="F64" s="424">
        <f t="shared" si="3"/>
        <v>0</v>
      </c>
      <c r="G64" s="422"/>
      <c r="H64" s="376"/>
    </row>
    <row r="65" spans="2:8">
      <c r="B65" s="425" t="s">
        <v>187</v>
      </c>
      <c r="C65" s="422">
        <v>67</v>
      </c>
      <c r="D65" s="422">
        <v>59</v>
      </c>
      <c r="E65" s="423">
        <f t="shared" si="2"/>
        <v>0.88059701492537312</v>
      </c>
      <c r="F65" s="424">
        <f t="shared" si="3"/>
        <v>8</v>
      </c>
      <c r="G65" s="422"/>
      <c r="H65" s="376"/>
    </row>
    <row r="66" spans="2:8">
      <c r="B66" s="425" t="s">
        <v>188</v>
      </c>
      <c r="C66" s="422">
        <v>59</v>
      </c>
      <c r="D66" s="422">
        <v>3</v>
      </c>
      <c r="E66" s="423">
        <f t="shared" si="2"/>
        <v>5.0847457627118647E-2</v>
      </c>
      <c r="F66" s="424">
        <f t="shared" si="3"/>
        <v>56</v>
      </c>
      <c r="G66" s="422"/>
      <c r="H66" s="376"/>
    </row>
    <row r="67" spans="2:8">
      <c r="B67" s="425" t="s">
        <v>189</v>
      </c>
      <c r="C67" s="422">
        <v>12</v>
      </c>
      <c r="D67" s="422">
        <v>1</v>
      </c>
      <c r="E67" s="423">
        <f t="shared" si="2"/>
        <v>8.3333333333333329E-2</v>
      </c>
      <c r="F67" s="424">
        <f t="shared" si="3"/>
        <v>11</v>
      </c>
      <c r="G67" s="422"/>
      <c r="H67" s="376"/>
    </row>
    <row r="68" spans="2:8">
      <c r="B68" s="425" t="s">
        <v>190</v>
      </c>
      <c r="C68" s="422">
        <v>11</v>
      </c>
      <c r="D68" s="422">
        <v>8</v>
      </c>
      <c r="E68" s="423">
        <f t="shared" si="2"/>
        <v>0.72727272727272729</v>
      </c>
      <c r="F68" s="424">
        <f t="shared" si="3"/>
        <v>3</v>
      </c>
      <c r="G68" s="422"/>
      <c r="H68" s="376"/>
    </row>
    <row r="69" spans="2:8">
      <c r="B69" s="425" t="s">
        <v>191</v>
      </c>
      <c r="C69" s="422">
        <v>0</v>
      </c>
      <c r="D69" s="422">
        <v>0</v>
      </c>
      <c r="E69" s="423">
        <f t="shared" si="2"/>
        <v>0</v>
      </c>
      <c r="F69" s="424">
        <f t="shared" si="3"/>
        <v>0</v>
      </c>
      <c r="G69" s="422"/>
      <c r="H69" s="376"/>
    </row>
    <row r="70" spans="2:8">
      <c r="B70" s="425"/>
      <c r="C70" s="422"/>
      <c r="D70" s="422"/>
      <c r="E70" s="423"/>
      <c r="F70" s="424"/>
      <c r="G70" s="422"/>
      <c r="H70" s="376"/>
    </row>
    <row r="71" spans="2:8">
      <c r="B71" s="34"/>
      <c r="C71" s="30"/>
      <c r="D71" s="30"/>
      <c r="E71" s="32" t="e">
        <f>(D71/C71)</f>
        <v>#DIV/0!</v>
      </c>
      <c r="F71" s="33">
        <f>C71-D71</f>
        <v>0</v>
      </c>
      <c r="G71" s="30"/>
      <c r="H71" s="2"/>
    </row>
    <row r="72" spans="2:8">
      <c r="B72" s="4" t="s">
        <v>192</v>
      </c>
      <c r="C72" s="4">
        <f>SUM(C50:C69)</f>
        <v>1097</v>
      </c>
      <c r="D72" s="4">
        <f>SUM(D50:D69)</f>
        <v>763</v>
      </c>
      <c r="E72" s="9">
        <f>(D72/C72)</f>
        <v>0.69553327256153141</v>
      </c>
      <c r="F72" s="329">
        <f>SUM(F50:F69)</f>
        <v>334</v>
      </c>
      <c r="G72" s="3"/>
      <c r="H72" s="26"/>
    </row>
    <row r="73" spans="2:8">
      <c r="E73" s="8"/>
    </row>
    <row r="74" spans="2:8">
      <c r="B74" s="10" t="s">
        <v>194</v>
      </c>
    </row>
    <row r="75" spans="2:8">
      <c r="B75" s="2" t="s">
        <v>8</v>
      </c>
      <c r="C75" s="2" t="s">
        <v>166</v>
      </c>
      <c r="D75" s="2" t="s">
        <v>167</v>
      </c>
      <c r="E75" s="6" t="s">
        <v>168</v>
      </c>
      <c r="F75" s="21" t="s">
        <v>169</v>
      </c>
      <c r="G75" s="2" t="s">
        <v>170</v>
      </c>
      <c r="H75" s="2" t="s">
        <v>171</v>
      </c>
    </row>
    <row r="76" spans="2:8">
      <c r="B76" s="34" t="s">
        <v>195</v>
      </c>
      <c r="C76" s="30">
        <v>46</v>
      </c>
      <c r="D76" s="30">
        <v>35</v>
      </c>
      <c r="E76" s="32">
        <f t="shared" ref="E76:E96" si="4">IFERROR((D76/C76),0)*100%</f>
        <v>0.76086956521739135</v>
      </c>
      <c r="F76" s="33">
        <f t="shared" ref="F76:F96" si="5">C76-D76</f>
        <v>11</v>
      </c>
      <c r="G76" s="30"/>
      <c r="H76" s="376"/>
    </row>
    <row r="77" spans="2:8">
      <c r="B77" s="425" t="s">
        <v>196</v>
      </c>
      <c r="C77" s="422">
        <v>80</v>
      </c>
      <c r="D77" s="422">
        <v>78</v>
      </c>
      <c r="E77" s="423">
        <f t="shared" si="4"/>
        <v>0.97499999999999998</v>
      </c>
      <c r="F77" s="424">
        <f t="shared" si="5"/>
        <v>2</v>
      </c>
      <c r="G77" s="422"/>
      <c r="H77" s="376"/>
    </row>
    <row r="78" spans="2:8">
      <c r="B78" s="425" t="s">
        <v>197</v>
      </c>
      <c r="C78" s="422">
        <v>51</v>
      </c>
      <c r="D78" s="422">
        <v>50</v>
      </c>
      <c r="E78" s="423">
        <f t="shared" si="4"/>
        <v>0.98039215686274506</v>
      </c>
      <c r="F78" s="424">
        <f t="shared" si="5"/>
        <v>1</v>
      </c>
      <c r="G78" s="422"/>
      <c r="H78" s="376"/>
    </row>
    <row r="79" spans="2:8">
      <c r="B79" s="425" t="s">
        <v>198</v>
      </c>
      <c r="C79" s="422">
        <v>38</v>
      </c>
      <c r="D79" s="422">
        <v>37</v>
      </c>
      <c r="E79" s="423">
        <f t="shared" si="4"/>
        <v>0.97368421052631582</v>
      </c>
      <c r="F79" s="424">
        <f t="shared" si="5"/>
        <v>1</v>
      </c>
      <c r="G79" s="422"/>
      <c r="H79" s="376"/>
    </row>
    <row r="80" spans="2:8">
      <c r="B80" s="425" t="s">
        <v>199</v>
      </c>
      <c r="C80" s="422">
        <v>33</v>
      </c>
      <c r="D80" s="422">
        <v>32</v>
      </c>
      <c r="E80" s="423">
        <f t="shared" si="4"/>
        <v>0.96969696969696972</v>
      </c>
      <c r="F80" s="424">
        <f t="shared" si="5"/>
        <v>1</v>
      </c>
      <c r="G80" s="422"/>
      <c r="H80" s="376"/>
    </row>
    <row r="81" spans="2:8">
      <c r="B81" s="425" t="s">
        <v>200</v>
      </c>
      <c r="C81" s="422">
        <v>20</v>
      </c>
      <c r="D81" s="422">
        <v>19</v>
      </c>
      <c r="E81" s="423">
        <f t="shared" si="4"/>
        <v>0.95</v>
      </c>
      <c r="F81" s="424">
        <f t="shared" si="5"/>
        <v>1</v>
      </c>
      <c r="G81" s="422"/>
      <c r="H81" s="376"/>
    </row>
    <row r="82" spans="2:8">
      <c r="B82" s="425" t="s">
        <v>201</v>
      </c>
      <c r="C82" s="422">
        <v>44</v>
      </c>
      <c r="D82" s="422">
        <v>44</v>
      </c>
      <c r="E82" s="423">
        <f t="shared" si="4"/>
        <v>1</v>
      </c>
      <c r="F82" s="424">
        <f t="shared" si="5"/>
        <v>0</v>
      </c>
      <c r="G82" s="422"/>
      <c r="H82" s="376"/>
    </row>
    <row r="83" spans="2:8">
      <c r="B83" s="425" t="s">
        <v>202</v>
      </c>
      <c r="C83" s="422">
        <v>0</v>
      </c>
      <c r="D83" s="422">
        <v>0</v>
      </c>
      <c r="E83" s="423">
        <f t="shared" si="4"/>
        <v>0</v>
      </c>
      <c r="F83" s="424">
        <f t="shared" si="5"/>
        <v>0</v>
      </c>
      <c r="G83" s="422"/>
      <c r="H83" s="376"/>
    </row>
    <row r="84" spans="2:8">
      <c r="B84" s="425" t="s">
        <v>203</v>
      </c>
      <c r="C84" s="422">
        <v>14</v>
      </c>
      <c r="D84" s="422">
        <v>12</v>
      </c>
      <c r="E84" s="423">
        <f t="shared" si="4"/>
        <v>0.8571428571428571</v>
      </c>
      <c r="F84" s="424">
        <f t="shared" si="5"/>
        <v>2</v>
      </c>
      <c r="G84" s="422"/>
      <c r="H84" s="376"/>
    </row>
    <row r="85" spans="2:8">
      <c r="B85" s="425" t="s">
        <v>204</v>
      </c>
      <c r="C85" s="422">
        <v>17</v>
      </c>
      <c r="D85" s="422">
        <v>14</v>
      </c>
      <c r="E85" s="423">
        <f t="shared" si="4"/>
        <v>0.82352941176470584</v>
      </c>
      <c r="F85" s="424">
        <f t="shared" si="5"/>
        <v>3</v>
      </c>
      <c r="G85" s="422"/>
      <c r="H85" s="376"/>
    </row>
    <row r="86" spans="2:8">
      <c r="B86" s="425" t="s">
        <v>205</v>
      </c>
      <c r="C86" s="422">
        <v>156</v>
      </c>
      <c r="D86" s="422">
        <v>153</v>
      </c>
      <c r="E86" s="423">
        <f t="shared" si="4"/>
        <v>0.98076923076923073</v>
      </c>
      <c r="F86" s="424">
        <f t="shared" si="5"/>
        <v>3</v>
      </c>
      <c r="G86" s="422"/>
      <c r="H86" s="376"/>
    </row>
    <row r="87" spans="2:8">
      <c r="B87" s="425" t="s">
        <v>206</v>
      </c>
      <c r="C87" s="422">
        <v>21</v>
      </c>
      <c r="D87" s="422">
        <v>18</v>
      </c>
      <c r="E87" s="423">
        <f t="shared" si="4"/>
        <v>0.8571428571428571</v>
      </c>
      <c r="F87" s="424">
        <f t="shared" si="5"/>
        <v>3</v>
      </c>
      <c r="G87" s="422"/>
      <c r="H87" s="376"/>
    </row>
    <row r="88" spans="2:8">
      <c r="B88" s="425" t="s">
        <v>207</v>
      </c>
      <c r="C88" s="422">
        <v>66</v>
      </c>
      <c r="D88" s="422">
        <v>65</v>
      </c>
      <c r="E88" s="423">
        <f t="shared" si="4"/>
        <v>0.98484848484848486</v>
      </c>
      <c r="F88" s="424">
        <f t="shared" si="5"/>
        <v>1</v>
      </c>
      <c r="G88" s="422"/>
      <c r="H88" s="376"/>
    </row>
    <row r="89" spans="2:8">
      <c r="B89" s="425" t="s">
        <v>208</v>
      </c>
      <c r="C89" s="422">
        <v>16</v>
      </c>
      <c r="D89" s="422">
        <v>14</v>
      </c>
      <c r="E89" s="423">
        <f t="shared" si="4"/>
        <v>0.875</v>
      </c>
      <c r="F89" s="424">
        <f t="shared" si="5"/>
        <v>2</v>
      </c>
      <c r="G89" s="422"/>
      <c r="H89" s="376"/>
    </row>
    <row r="90" spans="2:8">
      <c r="B90" s="425" t="s">
        <v>209</v>
      </c>
      <c r="C90" s="422">
        <v>16</v>
      </c>
      <c r="D90" s="422">
        <v>15</v>
      </c>
      <c r="E90" s="423">
        <f t="shared" si="4"/>
        <v>0.9375</v>
      </c>
      <c r="F90" s="424">
        <f t="shared" si="5"/>
        <v>1</v>
      </c>
      <c r="G90" s="422"/>
      <c r="H90" s="376"/>
    </row>
    <row r="91" spans="2:8">
      <c r="B91" s="425" t="s">
        <v>210</v>
      </c>
      <c r="C91" s="422">
        <v>16</v>
      </c>
      <c r="D91" s="422">
        <v>15</v>
      </c>
      <c r="E91" s="423">
        <f t="shared" si="4"/>
        <v>0.9375</v>
      </c>
      <c r="F91" s="424">
        <f t="shared" si="5"/>
        <v>1</v>
      </c>
      <c r="G91" s="422"/>
      <c r="H91" s="376"/>
    </row>
    <row r="92" spans="2:8">
      <c r="B92" s="425" t="s">
        <v>211</v>
      </c>
      <c r="C92" s="422">
        <v>15</v>
      </c>
      <c r="D92" s="422">
        <v>14</v>
      </c>
      <c r="E92" s="423">
        <f t="shared" si="4"/>
        <v>0.93333333333333335</v>
      </c>
      <c r="F92" s="424">
        <f t="shared" si="5"/>
        <v>1</v>
      </c>
      <c r="G92" s="422"/>
      <c r="H92" s="376"/>
    </row>
    <row r="93" spans="2:8">
      <c r="B93" s="425" t="s">
        <v>212</v>
      </c>
      <c r="C93" s="422">
        <v>13</v>
      </c>
      <c r="D93" s="422">
        <v>11</v>
      </c>
      <c r="E93" s="423">
        <f t="shared" si="4"/>
        <v>0.84615384615384615</v>
      </c>
      <c r="F93" s="424">
        <f t="shared" si="5"/>
        <v>2</v>
      </c>
      <c r="G93" s="422"/>
      <c r="H93" s="376"/>
    </row>
    <row r="94" spans="2:8">
      <c r="B94" s="425" t="s">
        <v>213</v>
      </c>
      <c r="C94" s="422">
        <v>64</v>
      </c>
      <c r="D94" s="422">
        <v>64</v>
      </c>
      <c r="E94" s="423">
        <f t="shared" si="4"/>
        <v>1</v>
      </c>
      <c r="F94" s="424">
        <f t="shared" si="5"/>
        <v>0</v>
      </c>
      <c r="G94" s="422"/>
      <c r="H94" s="376"/>
    </row>
    <row r="95" spans="2:8">
      <c r="B95" s="425" t="s">
        <v>214</v>
      </c>
      <c r="C95" s="422">
        <v>0</v>
      </c>
      <c r="D95" s="422">
        <v>0</v>
      </c>
      <c r="E95" s="423">
        <f t="shared" si="4"/>
        <v>0</v>
      </c>
      <c r="F95" s="424">
        <f t="shared" si="5"/>
        <v>0</v>
      </c>
      <c r="G95" s="422"/>
      <c r="H95" s="376"/>
    </row>
    <row r="96" spans="2:8">
      <c r="B96" s="425" t="s">
        <v>215</v>
      </c>
      <c r="C96" s="422">
        <v>0</v>
      </c>
      <c r="D96" s="422">
        <v>0</v>
      </c>
      <c r="E96" s="423">
        <f t="shared" si="4"/>
        <v>0</v>
      </c>
      <c r="F96" s="424">
        <f t="shared" si="5"/>
        <v>0</v>
      </c>
      <c r="G96" s="422"/>
      <c r="H96" s="376"/>
    </row>
    <row r="97" spans="2:8">
      <c r="B97" s="426"/>
      <c r="C97" s="422"/>
      <c r="D97" s="422"/>
      <c r="E97" s="423"/>
      <c r="F97" s="424"/>
      <c r="G97" s="380"/>
      <c r="H97" s="376"/>
    </row>
    <row r="98" spans="2:8">
      <c r="B98" s="13"/>
      <c r="C98" s="30">
        <f>SUM(C76:C95)</f>
        <v>726</v>
      </c>
      <c r="D98" s="30">
        <f>SUM(D76:D95)</f>
        <v>690</v>
      </c>
      <c r="E98" s="32">
        <f>(D98/C98)</f>
        <v>0.95041322314049592</v>
      </c>
      <c r="F98" s="33">
        <f>SUM(F76:F95)</f>
        <v>36</v>
      </c>
      <c r="G98" s="3"/>
      <c r="H98" s="26"/>
    </row>
    <row r="99" spans="2:8">
      <c r="B99" s="22" t="s">
        <v>192</v>
      </c>
      <c r="C99" s="4">
        <f>SUM(C76:C95)</f>
        <v>726</v>
      </c>
      <c r="D99" s="4">
        <f>SUM(D76:D95)</f>
        <v>690</v>
      </c>
      <c r="E99" s="9">
        <f>(D99/C99)</f>
        <v>0.95041322314049592</v>
      </c>
      <c r="F99" s="329">
        <f>SUM(F76:F95)</f>
        <v>36</v>
      </c>
      <c r="G99" s="3"/>
      <c r="H99" s="3"/>
    </row>
  </sheetData>
  <sheetProtection formatCells="0" formatRows="0" insertColumns="0" insertRows="0" insertHyperlinks="0" deleteColumns="0" deleteRows="0" sort="0" autoFilter="0" pivotTables="0"/>
  <protectedRanges>
    <protectedRange sqref="A1:A20" name="Range1_5"/>
  </protectedRanges>
  <hyperlinks>
    <hyperlink ref="B24" location="Fab_Parts!B10" display="1316.1 DEFECT COST"/>
    <hyperlink ref="B25" location="Fab_Parts!B11" display="1316.3 FOUP PORT (3LP) (MECH)"/>
    <hyperlink ref="B26" location="Fab_Parts!B171" display="1316.5 ON ROBOT ALIGNER (MECH)"/>
    <hyperlink ref="B27" location="Fab_Parts!B279" display="1316.7 INTERLEAF TRANSFER ARM (MECH)"/>
    <hyperlink ref="B28" location="Fab_Parts!B343" display="1316.9 INSPECTION MODULE (MECH)"/>
    <hyperlink ref="B29" location="Fab_Parts!B368" display="1316.11 WAFER FLIPPER (MECH)"/>
    <hyperlink ref="B30" location="Fab_Parts!B409" display="1316.13 COINSTACKED BOX STATION (MECH)"/>
    <hyperlink ref="B31" location="Fab_Parts!B410" display="1316.15 BOX ADAPTOR (MECH)"/>
    <hyperlink ref="B32" location="Fab_Parts!B411" display="1316.17 INTERLEAF BIN (MECH)"/>
    <hyperlink ref="B33" location="Fab_Parts!B430" display="1316.19 SPONGE BIN (MECH)"/>
    <hyperlink ref="B34" location="Fab_Parts!B462" display="1316.21 FRAME STRUCTURE (MECH)"/>
    <hyperlink ref="B35" location="Fab_Parts!B463" display="1316.23 AUTO FOCUS MODULE (MECH)"/>
    <hyperlink ref="B36" location="Fab_Parts!B464" display="1316.25 SLAVE STRUCTURE MODULE (MECH)"/>
    <hyperlink ref="B37" location="Fab_Parts!B465" display="1316.27 MACRO INSPECTION MODULE (MECH)"/>
    <hyperlink ref="B38" location="Fab_Parts!B466" display="1316.29 BOX CLASSIFICATION MODULE (MECH)"/>
    <hyperlink ref="B39" location="Fab_Parts!B467" display="1316.31 BOX GRIPPER ARM (MECH)"/>
    <hyperlink ref="B40" location="Fab_Parts!B468" display="1316.33 BOX LOADING STATION (MECH)"/>
    <hyperlink ref="B41" location="Fab_Parts!B469" display="1316.35 CANISTER LID OPENER (MECH)"/>
    <hyperlink ref="B42" location="Fab_Parts!B470" display="1316.37 BOX LOADING STRUCTURE (MECH)"/>
    <hyperlink ref="B43" location="Fab_Parts!B471" display="1316.39 FASTENER"/>
    <hyperlink ref="B50" location="Std_Parts!B10" display="1316.1 DEFECT COST"/>
    <hyperlink ref="B51" location="Std_Parts!B11" display="1316.3 FOUP PORT (3LP) (MECH)"/>
    <hyperlink ref="B52" location="Std_Parts!B157" display="1316.5 ON ROBOT ALIGNER (MECH)"/>
    <hyperlink ref="B53" location="Std_Parts!B283" display="1316.7 INTERLEAF TRANSFER ARM (MECH)"/>
    <hyperlink ref="B54" location="Std_Parts!B370" display="1316.9 INSPECTION MODULE (MECH)"/>
    <hyperlink ref="B55" location="Std_Parts!B402" display="1316.11 WAFER FLIPPER (MECH)"/>
    <hyperlink ref="B56" location="Std_Parts!B475" display="1316.13 COINSTACKED BOX STATION (MECH)"/>
    <hyperlink ref="B57" location="Std_Parts!B476" display="1316.15 BOX ADAPTOR (MECH)"/>
    <hyperlink ref="B58" location="Std_Parts!B477" display="1316.17 INTERLEAF BIN (MECH)"/>
    <hyperlink ref="B59" location="Std_Parts!B494" display="1316.19 SPONGE BIN (MECH)"/>
    <hyperlink ref="B60" location="Std_Parts!B543" display="1316.21 FRAME STRUCTURE (MECH)"/>
    <hyperlink ref="B61" location="Std_Parts!B544" display="1316.23 AUTO FOCUS MODULE (MECH)"/>
    <hyperlink ref="B62" location="Std_Parts!B545" display="1316.25 SLAVE STRUCTURE MODULE (MECH)"/>
    <hyperlink ref="B63" location="Std_Parts!B546" display="1316.27 MACRO INSPECTION MODULE (MECH)"/>
    <hyperlink ref="B64" location="Std_Parts!B547" display="1316.29 BOX CLASSIFICATION MODULE (MECH)"/>
    <hyperlink ref="B65" location="Std_Parts!B548" display="1316.31 BOX GRIPPER ARM (MECH)"/>
    <hyperlink ref="B66" location="Std_Parts!B549" display="1316.33 BOX LOADING STATION (MECH)"/>
    <hyperlink ref="B67" location="Std_Parts!B550" display="1316.35 CANISTER LID OPENER (MECH)"/>
    <hyperlink ref="B68" location="Std_Parts!B551" display="1316.37 BOX LOADING STRUCTURE (MECH)"/>
    <hyperlink ref="B69" location="Std_Parts!B552" display="1316.39 FASTENER"/>
    <hyperlink ref="B76" location="EE_Parts!B10" display="1316.2 ELECTRONICS &amp; ELECTRICALS )PC, CCTV, UPS, ETC)"/>
    <hyperlink ref="B77" location="EE_Parts!B43" display="1316.4 FOUP PORT (3LP) (E&amp;E)"/>
    <hyperlink ref="B78" location="EE_Parts!B44" display="1316.6 ON ROBOT ALIGNER (E&amp;E)"/>
    <hyperlink ref="B79" location="EE_Parts!B45" display="1316.8 INTERLEAF TRANSFER ARM (E&amp;E)"/>
    <hyperlink ref="B80" location="EE_Parts!B46" display="1316.10 INSPECTION MODULE (E&amp;E)"/>
    <hyperlink ref="B81" location="EE_Parts!B47" display="1316.12 WAFER FLIPPER (E&amp;E)"/>
    <hyperlink ref="B82" location="EE_Parts!B48" display="1316.14 COINSTACKED BOX STATION (E&amp;E)"/>
    <hyperlink ref="B83" location="EE_Parts!B49" display="1316.16 BOX ADAPTOR (E&amp;E)"/>
    <hyperlink ref="B84" location="EE_Parts!B50" display="1316.18 INTERLEAF BIN (E&amp;E)"/>
    <hyperlink ref="B85" location="EE_Parts!B51" display="1316.20 SPONGE BIN (E&amp;E)"/>
    <hyperlink ref="B86" location="EE_Parts!B52" display="1316.22 FRAME STRUCTURE (E&amp;E)"/>
    <hyperlink ref="B87" location="EE_Parts!B53" display="1316.24 AUTO FOCUS MODULE (E&amp;E)"/>
    <hyperlink ref="B88" location="EE_Parts!B54" display="1316.26 SLAVE STRUCTURE MODULE (E&amp;E)"/>
    <hyperlink ref="B89" location="EE_Parts!B55" display="1316.28 MACRO INSPECTION MODULE (E&amp;E)"/>
    <hyperlink ref="B90" location="EE_Parts!" display="1316.30 BOX GRIPPER ARM (E&amp;E)"/>
    <hyperlink ref="B91" location="EE_Parts!" display="1316.32 BOX GRIPPER ARM (E&amp;E)"/>
    <hyperlink ref="B92" location="EE_Parts!" display="1316.34 BOX LOADING STATION (E&amp;E)"/>
    <hyperlink ref="B93" location="EE_Parts!" display="1316.36 CANISTER LID OPENER (E&amp;E)"/>
    <hyperlink ref="B94" location="EE_Parts!" display="1316.38 BOX LOADING STRUCTURE (E&amp;E)"/>
    <hyperlink ref="B95" location="EE_Parts!" display="1316.4 MISC"/>
    <hyperlink ref="B96" location="EE_Parts!" display="1316.40 MISC"/>
  </hyperlinks>
  <pageMargins left="0.25" right="0.25" top="0.75" bottom="0.75" header="0.3" footer="0.3"/>
  <pageSetup paperSize="9" scale="62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PartTracking_Button1_Click">
                <anchor moveWithCells="1" sizeWithCells="1">
                  <from>
                    <xdr:col>3</xdr:col>
                    <xdr:colOff>19050</xdr:colOff>
                    <xdr:row>1</xdr:row>
                    <xdr:rowOff>19050</xdr:rowOff>
                  </from>
                  <to>
                    <xdr:col>4</xdr:col>
                    <xdr:colOff>476250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76"/>
  <sheetViews>
    <sheetView zoomScale="80" zoomScaleNormal="80" workbookViewId="0">
      <selection activeCell="AA5" sqref="AA5"/>
    </sheetView>
  </sheetViews>
  <sheetFormatPr defaultColWidth="9" defaultRowHeight="18.75"/>
  <cols>
    <col min="1" max="1" width="9" style="208" bestFit="1" customWidth="1"/>
    <col min="2" max="2" width="18.28515625" style="208" customWidth="1"/>
    <col min="3" max="3" width="10.85546875" style="208" customWidth="1"/>
    <col min="4" max="4" width="10" style="208" customWidth="1"/>
    <col min="5" max="10" width="0" style="208" hidden="1" customWidth="1"/>
    <col min="11" max="12" width="9" style="208" bestFit="1" customWidth="1"/>
    <col min="13" max="15" width="10.28515625" style="208" bestFit="1" customWidth="1"/>
    <col min="16" max="16" width="9" style="208" bestFit="1" customWidth="1"/>
    <col min="17" max="19" width="10" style="208" bestFit="1" customWidth="1"/>
    <col min="20" max="20" width="9.28515625" style="208" bestFit="1" customWidth="1"/>
    <col min="21" max="24" width="10.85546875" style="208" bestFit="1" customWidth="1"/>
    <col min="25" max="25" width="9" style="208" bestFit="1" customWidth="1"/>
    <col min="26" max="26" width="10.28515625" style="208" bestFit="1" customWidth="1"/>
    <col min="27" max="27" width="11" style="208" customWidth="1"/>
    <col min="28" max="28" width="10.28515625" style="208" bestFit="1" customWidth="1"/>
    <col min="29" max="48" width="9" style="208" customWidth="1"/>
    <col min="49" max="16384" width="9" style="208"/>
  </cols>
  <sheetData>
    <row r="1" spans="1:28">
      <c r="A1" s="130" t="s">
        <v>0</v>
      </c>
      <c r="B1" s="204"/>
      <c r="C1" s="204"/>
      <c r="D1" s="204"/>
      <c r="E1" s="205"/>
      <c r="F1" s="205"/>
      <c r="G1" s="205"/>
      <c r="H1" s="205"/>
      <c r="I1" s="205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7"/>
      <c r="Y1" s="206"/>
      <c r="Z1" s="206"/>
      <c r="AA1" s="206"/>
      <c r="AB1" s="206"/>
    </row>
    <row r="2" spans="1:28">
      <c r="A2" s="130" t="s">
        <v>1</v>
      </c>
      <c r="B2" s="204"/>
      <c r="C2" s="204"/>
      <c r="D2" s="204"/>
      <c r="E2" s="205"/>
      <c r="F2" s="205"/>
      <c r="G2" s="205"/>
      <c r="H2" s="205"/>
      <c r="I2" s="205"/>
      <c r="J2" s="206"/>
      <c r="K2" s="206"/>
      <c r="L2" s="206"/>
      <c r="M2" s="206"/>
      <c r="N2" s="206"/>
      <c r="O2" s="206"/>
      <c r="P2" s="206"/>
      <c r="Q2" s="206"/>
      <c r="R2" s="206"/>
      <c r="S2" s="206"/>
      <c r="T2" s="206"/>
      <c r="U2" s="206"/>
      <c r="V2" s="206"/>
      <c r="W2" s="206"/>
      <c r="X2" s="207"/>
      <c r="Y2" s="206"/>
      <c r="Z2" s="206"/>
      <c r="AA2" s="206"/>
      <c r="AB2" s="206"/>
    </row>
    <row r="3" spans="1:28">
      <c r="A3" s="130" t="s">
        <v>135</v>
      </c>
      <c r="B3" s="204"/>
      <c r="C3" s="204"/>
      <c r="D3" s="204"/>
      <c r="E3" s="205"/>
      <c r="F3" s="205"/>
      <c r="G3" s="205"/>
      <c r="H3" s="205"/>
      <c r="I3" s="205"/>
      <c r="J3" s="206"/>
      <c r="K3" s="206"/>
      <c r="L3" s="206"/>
      <c r="M3" s="206"/>
      <c r="N3" s="205"/>
      <c r="O3" s="206"/>
      <c r="P3" s="206"/>
      <c r="Q3" s="206"/>
      <c r="R3" s="206"/>
      <c r="S3" s="206"/>
      <c r="T3" s="206"/>
      <c r="U3" s="206"/>
      <c r="V3" s="206"/>
      <c r="W3" s="206"/>
      <c r="X3" s="207"/>
      <c r="Y3" s="206"/>
      <c r="Z3" s="206"/>
      <c r="AA3" s="206"/>
      <c r="AB3" s="206"/>
    </row>
    <row r="4" spans="1:28">
      <c r="A4" s="130" t="s">
        <v>3</v>
      </c>
      <c r="B4" s="209"/>
      <c r="C4" s="209"/>
      <c r="D4" s="209"/>
      <c r="E4" s="209"/>
      <c r="F4" s="209"/>
      <c r="G4" s="209"/>
      <c r="H4" s="209"/>
      <c r="I4" s="209"/>
      <c r="J4" s="210"/>
      <c r="K4" s="211"/>
      <c r="L4" s="211"/>
      <c r="M4" s="211"/>
      <c r="N4" s="209"/>
      <c r="O4" s="210"/>
      <c r="P4" s="211" t="s">
        <v>136</v>
      </c>
      <c r="Q4" s="209"/>
      <c r="R4" s="209"/>
      <c r="S4" s="209"/>
      <c r="T4" s="209"/>
      <c r="U4" s="209"/>
      <c r="V4" s="209"/>
      <c r="W4" s="209"/>
      <c r="X4" s="209"/>
      <c r="Y4" s="209"/>
      <c r="Z4" s="209"/>
      <c r="AA4" s="209"/>
      <c r="AB4" s="209"/>
    </row>
    <row r="5" spans="1:28">
      <c r="A5" s="130" t="s">
        <v>4</v>
      </c>
      <c r="B5" s="209"/>
      <c r="C5" s="209"/>
      <c r="D5" s="209"/>
      <c r="E5" s="209"/>
      <c r="F5" s="209"/>
      <c r="G5" s="209"/>
      <c r="H5" s="209"/>
      <c r="I5" s="209"/>
      <c r="J5" s="212"/>
      <c r="K5" s="213"/>
      <c r="L5" s="213"/>
      <c r="M5" s="213"/>
      <c r="N5" s="209"/>
      <c r="O5" s="212"/>
      <c r="P5" s="213" t="s">
        <v>137</v>
      </c>
      <c r="Q5" s="209"/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</row>
    <row r="6" spans="1:28">
      <c r="A6" s="130" t="s">
        <v>138</v>
      </c>
      <c r="B6" s="209"/>
      <c r="C6" s="209"/>
      <c r="D6" s="209"/>
      <c r="E6" s="209"/>
      <c r="F6" s="209"/>
      <c r="G6" s="209"/>
      <c r="H6" s="209"/>
      <c r="I6" s="209"/>
      <c r="J6" s="214"/>
      <c r="K6" s="211"/>
      <c r="L6" s="211"/>
      <c r="M6" s="211"/>
      <c r="N6" s="209"/>
      <c r="O6" s="214"/>
      <c r="P6" s="211" t="s">
        <v>139</v>
      </c>
      <c r="Q6" s="209"/>
      <c r="R6" s="215"/>
      <c r="S6" s="209"/>
      <c r="T6" s="209"/>
      <c r="U6" s="209"/>
      <c r="V6" s="209"/>
      <c r="W6" s="209"/>
      <c r="X6" s="209"/>
      <c r="Y6" s="209"/>
      <c r="Z6" s="209"/>
      <c r="AA6" s="209"/>
      <c r="AB6" s="209"/>
    </row>
    <row r="7" spans="1:28">
      <c r="A7" s="209"/>
      <c r="B7" s="209"/>
      <c r="C7" s="209"/>
      <c r="D7" s="209"/>
      <c r="E7" s="209"/>
      <c r="F7" s="209"/>
      <c r="G7" s="209"/>
      <c r="H7" s="209"/>
      <c r="I7" s="209"/>
      <c r="J7" s="216"/>
      <c r="K7" s="211"/>
      <c r="L7" s="211"/>
      <c r="M7" s="211"/>
      <c r="N7" s="209"/>
      <c r="O7" s="217"/>
      <c r="P7" s="211" t="s">
        <v>140</v>
      </c>
      <c r="Q7" s="209"/>
      <c r="R7" s="209"/>
      <c r="S7" s="209"/>
      <c r="T7" s="209"/>
      <c r="U7" s="209"/>
      <c r="V7" s="209"/>
      <c r="W7" s="209"/>
      <c r="X7" s="209"/>
      <c r="Y7" s="209"/>
      <c r="Z7" s="209"/>
      <c r="AA7" s="209"/>
      <c r="AB7" s="209"/>
    </row>
    <row r="8" spans="1:28">
      <c r="A8" s="209"/>
      <c r="B8" s="209"/>
      <c r="C8" s="209"/>
      <c r="D8" s="209"/>
      <c r="E8" s="209"/>
      <c r="F8" s="209"/>
      <c r="G8" s="209"/>
      <c r="H8" s="209"/>
      <c r="I8" s="209"/>
      <c r="J8" s="218"/>
      <c r="K8" s="211"/>
      <c r="L8" s="211"/>
      <c r="M8" s="211"/>
      <c r="N8" s="209"/>
      <c r="O8" s="218"/>
      <c r="P8" s="211" t="s">
        <v>141</v>
      </c>
      <c r="Q8" s="209"/>
      <c r="R8" s="209"/>
      <c r="S8" s="209"/>
      <c r="T8" s="209"/>
      <c r="U8" s="209"/>
      <c r="V8" s="209"/>
      <c r="W8" s="209"/>
      <c r="X8" s="209"/>
      <c r="Y8" s="209"/>
      <c r="Z8" s="209"/>
      <c r="AA8" s="209"/>
      <c r="AB8" s="209"/>
    </row>
    <row r="9" spans="1:28">
      <c r="A9" s="523"/>
      <c r="B9" s="523"/>
      <c r="C9" s="523"/>
      <c r="D9" s="207"/>
      <c r="E9" s="207"/>
      <c r="F9" s="207"/>
      <c r="G9" s="207"/>
      <c r="H9" s="207"/>
      <c r="I9" s="207"/>
      <c r="J9" s="206"/>
      <c r="K9" s="206"/>
      <c r="L9" s="206"/>
      <c r="M9" s="206"/>
      <c r="N9" s="206"/>
      <c r="O9" s="206"/>
      <c r="P9" s="206"/>
      <c r="Q9" s="206"/>
      <c r="R9" s="206"/>
      <c r="S9" s="206"/>
      <c r="T9" s="206"/>
      <c r="U9" s="206"/>
      <c r="V9" s="206"/>
      <c r="W9" s="206"/>
      <c r="X9" s="207"/>
      <c r="Y9" s="206"/>
      <c r="Z9" s="206"/>
      <c r="AA9" s="206"/>
      <c r="AB9" s="206"/>
    </row>
    <row r="10" spans="1:28">
      <c r="A10" s="219"/>
      <c r="B10" s="220"/>
      <c r="C10" s="221" t="s">
        <v>142</v>
      </c>
      <c r="D10" s="221"/>
      <c r="E10" s="524">
        <v>44044</v>
      </c>
      <c r="F10" s="525"/>
      <c r="G10" s="525"/>
      <c r="H10" s="525"/>
      <c r="I10" s="526"/>
      <c r="J10" s="527">
        <v>44276</v>
      </c>
      <c r="K10" s="527"/>
      <c r="L10" s="527"/>
      <c r="M10" s="527"/>
      <c r="N10" s="527"/>
      <c r="O10" s="527"/>
      <c r="P10" s="528">
        <v>44307</v>
      </c>
      <c r="Q10" s="529"/>
      <c r="R10" s="529"/>
      <c r="S10" s="529"/>
      <c r="T10" s="527">
        <v>44337</v>
      </c>
      <c r="U10" s="527"/>
      <c r="V10" s="527"/>
      <c r="W10" s="527"/>
      <c r="X10" s="527"/>
      <c r="Y10" s="530">
        <v>44368</v>
      </c>
      <c r="Z10" s="530"/>
      <c r="AA10" s="530"/>
      <c r="AB10" s="530"/>
    </row>
    <row r="11" spans="1:28">
      <c r="A11" s="222"/>
      <c r="B11" s="223"/>
      <c r="C11" s="224" t="s">
        <v>10</v>
      </c>
      <c r="D11" s="224"/>
      <c r="E11" s="224">
        <v>44046</v>
      </c>
      <c r="F11" s="224">
        <v>44053</v>
      </c>
      <c r="G11" s="224">
        <v>44060</v>
      </c>
      <c r="H11" s="224">
        <v>44067</v>
      </c>
      <c r="I11" s="224">
        <v>44074</v>
      </c>
      <c r="J11" s="224"/>
      <c r="K11" s="224">
        <v>44256</v>
      </c>
      <c r="L11" s="224">
        <v>44263</v>
      </c>
      <c r="M11" s="224">
        <v>44270</v>
      </c>
      <c r="N11" s="224">
        <v>44277</v>
      </c>
      <c r="O11" s="224">
        <v>44284</v>
      </c>
      <c r="P11" s="224">
        <v>44291</v>
      </c>
      <c r="Q11" s="224">
        <v>44298</v>
      </c>
      <c r="R11" s="224">
        <v>44305</v>
      </c>
      <c r="S11" s="224">
        <v>44312</v>
      </c>
      <c r="T11" s="224">
        <v>44319</v>
      </c>
      <c r="U11" s="224">
        <v>44326</v>
      </c>
      <c r="V11" s="224">
        <v>44333</v>
      </c>
      <c r="W11" s="224">
        <v>44340</v>
      </c>
      <c r="X11" s="224">
        <v>44347</v>
      </c>
      <c r="Y11" s="224">
        <v>44354</v>
      </c>
      <c r="Z11" s="224">
        <v>44361</v>
      </c>
      <c r="AA11" s="224">
        <v>44368</v>
      </c>
      <c r="AB11" s="224">
        <v>44375</v>
      </c>
    </row>
    <row r="12" spans="1:28" ht="54">
      <c r="A12" s="531" t="s">
        <v>7</v>
      </c>
      <c r="B12" s="533" t="s">
        <v>143</v>
      </c>
      <c r="C12" s="225" t="s">
        <v>144</v>
      </c>
      <c r="D12" s="225" t="s">
        <v>144</v>
      </c>
      <c r="E12" s="225">
        <v>32</v>
      </c>
      <c r="F12" s="225">
        <v>33</v>
      </c>
      <c r="G12" s="225">
        <v>34</v>
      </c>
      <c r="H12" s="225">
        <v>35</v>
      </c>
      <c r="I12" s="225">
        <v>36</v>
      </c>
      <c r="J12" s="225"/>
      <c r="K12" s="225">
        <v>9</v>
      </c>
      <c r="L12" s="225">
        <v>10</v>
      </c>
      <c r="M12" s="225">
        <v>11</v>
      </c>
      <c r="N12" s="225">
        <v>12</v>
      </c>
      <c r="O12" s="225">
        <v>13</v>
      </c>
      <c r="P12" s="225">
        <v>14</v>
      </c>
      <c r="Q12" s="225">
        <v>15</v>
      </c>
      <c r="R12" s="225">
        <v>16</v>
      </c>
      <c r="S12" s="225">
        <v>17</v>
      </c>
      <c r="T12" s="225">
        <v>18</v>
      </c>
      <c r="U12" s="225">
        <v>19</v>
      </c>
      <c r="V12" s="225">
        <v>20</v>
      </c>
      <c r="W12" s="225">
        <v>21</v>
      </c>
      <c r="X12" s="225">
        <v>22</v>
      </c>
      <c r="Y12" s="225"/>
      <c r="Z12" s="225"/>
      <c r="AA12" s="225"/>
      <c r="AB12" s="225"/>
    </row>
    <row r="13" spans="1:28" ht="36">
      <c r="A13" s="532"/>
      <c r="B13" s="534"/>
      <c r="C13" s="225" t="s">
        <v>145</v>
      </c>
      <c r="D13" s="225" t="s">
        <v>145</v>
      </c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225"/>
      <c r="AA13" s="225"/>
      <c r="AB13" s="225"/>
    </row>
    <row r="14" spans="1:28">
      <c r="A14" s="517">
        <v>1</v>
      </c>
      <c r="B14" s="520" t="s">
        <v>146</v>
      </c>
      <c r="C14" s="226"/>
      <c r="D14" s="227" t="s">
        <v>136</v>
      </c>
      <c r="E14" s="227"/>
      <c r="F14" s="227"/>
      <c r="G14" s="227"/>
      <c r="H14" s="227"/>
      <c r="I14" s="227"/>
      <c r="J14" s="228"/>
      <c r="K14" s="229"/>
      <c r="L14" s="229"/>
      <c r="M14" s="230"/>
      <c r="N14" s="229"/>
      <c r="O14" s="229"/>
      <c r="P14" s="229"/>
      <c r="Q14" s="229"/>
      <c r="R14" s="229"/>
      <c r="S14" s="229"/>
      <c r="T14" s="231"/>
      <c r="U14" s="231"/>
      <c r="V14" s="231"/>
      <c r="W14" s="231"/>
      <c r="X14" s="231"/>
      <c r="Y14" s="231"/>
      <c r="Z14" s="231"/>
      <c r="AA14" s="231"/>
      <c r="AB14" s="232"/>
    </row>
    <row r="15" spans="1:28">
      <c r="A15" s="518"/>
      <c r="B15" s="521"/>
      <c r="C15" s="226"/>
      <c r="D15" s="227" t="s">
        <v>141</v>
      </c>
      <c r="E15" s="227"/>
      <c r="F15" s="227"/>
      <c r="G15" s="227"/>
      <c r="H15" s="227"/>
      <c r="I15" s="227"/>
      <c r="J15" s="226"/>
      <c r="K15" s="229"/>
      <c r="L15" s="229"/>
      <c r="M15" s="229"/>
      <c r="N15" s="229"/>
      <c r="O15" s="229"/>
      <c r="P15" s="229"/>
      <c r="Q15" s="229"/>
      <c r="R15" s="229"/>
      <c r="S15" s="229"/>
      <c r="T15" s="231"/>
      <c r="U15" s="231"/>
      <c r="V15" s="231"/>
      <c r="W15" s="231"/>
      <c r="X15" s="231"/>
      <c r="Y15" s="231"/>
      <c r="Z15" s="231"/>
      <c r="AA15" s="231"/>
      <c r="AB15" s="233"/>
    </row>
    <row r="16" spans="1:28">
      <c r="A16" s="519"/>
      <c r="B16" s="522"/>
      <c r="C16" s="226"/>
      <c r="D16" s="227" t="s">
        <v>137</v>
      </c>
      <c r="E16" s="227"/>
      <c r="F16" s="227"/>
      <c r="G16" s="227"/>
      <c r="H16" s="227"/>
      <c r="I16" s="227"/>
      <c r="J16" s="228"/>
      <c r="K16" s="229"/>
      <c r="L16" s="229"/>
      <c r="M16" s="234"/>
      <c r="N16" s="229"/>
      <c r="O16" s="229"/>
      <c r="P16" s="229"/>
      <c r="Q16" s="229"/>
      <c r="R16" s="229"/>
      <c r="S16" s="229"/>
      <c r="T16" s="231"/>
      <c r="U16" s="231"/>
      <c r="V16" s="231"/>
      <c r="W16" s="231"/>
      <c r="X16" s="231"/>
      <c r="Y16" s="231"/>
      <c r="Z16" s="231"/>
      <c r="AA16" s="231"/>
      <c r="AB16" s="233"/>
    </row>
    <row r="17" spans="1:28">
      <c r="A17" s="517">
        <v>2</v>
      </c>
      <c r="B17" s="520" t="s">
        <v>147</v>
      </c>
      <c r="C17" s="235"/>
      <c r="D17" s="227" t="s">
        <v>136</v>
      </c>
      <c r="E17" s="227"/>
      <c r="F17" s="227"/>
      <c r="G17" s="227"/>
      <c r="H17" s="227"/>
      <c r="I17" s="227"/>
      <c r="J17" s="228"/>
      <c r="K17" s="229"/>
      <c r="L17" s="229"/>
      <c r="M17" s="230"/>
      <c r="N17" s="230"/>
      <c r="O17" s="230"/>
      <c r="P17" s="230"/>
      <c r="Q17" s="230"/>
      <c r="R17" s="229"/>
      <c r="S17" s="229"/>
      <c r="T17" s="231"/>
      <c r="U17" s="231"/>
      <c r="V17" s="231"/>
      <c r="W17" s="231"/>
      <c r="X17" s="231"/>
      <c r="Y17" s="231"/>
      <c r="Z17" s="231"/>
      <c r="AA17" s="231"/>
      <c r="AB17" s="233"/>
    </row>
    <row r="18" spans="1:28">
      <c r="A18" s="518"/>
      <c r="B18" s="521"/>
      <c r="C18" s="235"/>
      <c r="D18" s="227" t="s">
        <v>141</v>
      </c>
      <c r="E18" s="227"/>
      <c r="F18" s="227"/>
      <c r="G18" s="227"/>
      <c r="H18" s="227"/>
      <c r="I18" s="227"/>
      <c r="J18" s="228"/>
      <c r="K18" s="229"/>
      <c r="L18" s="229"/>
      <c r="M18" s="229"/>
      <c r="N18" s="229"/>
      <c r="O18" s="229"/>
      <c r="P18" s="229"/>
      <c r="Q18" s="229"/>
      <c r="R18" s="236"/>
      <c r="S18" s="236"/>
      <c r="T18" s="231"/>
      <c r="U18" s="231"/>
      <c r="V18" s="231"/>
      <c r="W18" s="231"/>
      <c r="X18" s="231"/>
      <c r="Y18" s="231"/>
      <c r="Z18" s="231"/>
      <c r="AA18" s="231"/>
      <c r="AB18" s="233"/>
    </row>
    <row r="19" spans="1:28">
      <c r="A19" s="519"/>
      <c r="B19" s="522"/>
      <c r="C19" s="235"/>
      <c r="D19" s="227" t="s">
        <v>137</v>
      </c>
      <c r="E19" s="227"/>
      <c r="F19" s="227"/>
      <c r="G19" s="227"/>
      <c r="H19" s="227"/>
      <c r="I19" s="227"/>
      <c r="J19" s="228"/>
      <c r="K19" s="229"/>
      <c r="L19" s="229"/>
      <c r="M19" s="234"/>
      <c r="N19" s="234"/>
      <c r="O19" s="234"/>
      <c r="P19" s="234"/>
      <c r="Q19" s="234"/>
      <c r="R19" s="229"/>
      <c r="S19" s="229"/>
      <c r="T19" s="231"/>
      <c r="U19" s="231"/>
      <c r="V19" s="231"/>
      <c r="W19" s="231"/>
      <c r="X19" s="231"/>
      <c r="Y19" s="231"/>
      <c r="Z19" s="231"/>
      <c r="AA19" s="231"/>
      <c r="AB19" s="233"/>
    </row>
    <row r="20" spans="1:28">
      <c r="A20" s="517">
        <v>3</v>
      </c>
      <c r="B20" s="520" t="s">
        <v>148</v>
      </c>
      <c r="C20" s="235"/>
      <c r="D20" s="227" t="s">
        <v>136</v>
      </c>
      <c r="E20" s="227"/>
      <c r="F20" s="227"/>
      <c r="G20" s="227"/>
      <c r="H20" s="227"/>
      <c r="I20" s="227"/>
      <c r="J20" s="228"/>
      <c r="K20" s="229"/>
      <c r="L20" s="229"/>
      <c r="M20" s="229"/>
      <c r="N20" s="229"/>
      <c r="O20" s="229"/>
      <c r="P20" s="229"/>
      <c r="Q20" s="230"/>
      <c r="R20" s="230"/>
      <c r="S20" s="230"/>
      <c r="T20" s="237"/>
      <c r="U20" s="237"/>
      <c r="V20" s="231"/>
      <c r="W20" s="231"/>
      <c r="X20" s="231"/>
      <c r="Y20" s="231"/>
      <c r="Z20" s="231"/>
      <c r="AA20" s="231"/>
      <c r="AB20" s="233"/>
    </row>
    <row r="21" spans="1:28">
      <c r="A21" s="518"/>
      <c r="B21" s="521"/>
      <c r="C21" s="235"/>
      <c r="D21" s="227" t="s">
        <v>141</v>
      </c>
      <c r="E21" s="227"/>
      <c r="F21" s="227"/>
      <c r="G21" s="227"/>
      <c r="H21" s="227"/>
      <c r="I21" s="227"/>
      <c r="J21" s="228"/>
      <c r="K21" s="229"/>
      <c r="L21" s="229"/>
      <c r="M21" s="229"/>
      <c r="N21" s="229"/>
      <c r="O21" s="229"/>
      <c r="P21" s="229"/>
      <c r="Q21" s="229"/>
      <c r="R21" s="229"/>
      <c r="S21" s="229"/>
      <c r="T21" s="231"/>
      <c r="U21" s="231"/>
      <c r="V21" s="231"/>
      <c r="W21" s="231"/>
      <c r="X21" s="231"/>
      <c r="Y21" s="231"/>
      <c r="Z21" s="231"/>
      <c r="AA21" s="231"/>
      <c r="AB21" s="233"/>
    </row>
    <row r="22" spans="1:28">
      <c r="A22" s="519"/>
      <c r="B22" s="522"/>
      <c r="C22" s="235"/>
      <c r="D22" s="227" t="s">
        <v>137</v>
      </c>
      <c r="E22" s="227"/>
      <c r="F22" s="227"/>
      <c r="G22" s="227"/>
      <c r="H22" s="227"/>
      <c r="I22" s="227"/>
      <c r="J22" s="228"/>
      <c r="K22" s="229"/>
      <c r="L22" s="229"/>
      <c r="M22" s="229"/>
      <c r="N22" s="229"/>
      <c r="O22" s="229"/>
      <c r="P22" s="229"/>
      <c r="Q22" s="234"/>
      <c r="R22" s="229"/>
      <c r="S22" s="229"/>
      <c r="T22" s="231"/>
      <c r="U22" s="231"/>
      <c r="V22" s="231"/>
      <c r="W22" s="231"/>
      <c r="X22" s="231"/>
      <c r="Y22" s="231"/>
      <c r="Z22" s="231"/>
      <c r="AA22" s="231"/>
      <c r="AB22" s="233"/>
    </row>
    <row r="23" spans="1:28">
      <c r="A23" s="517">
        <v>4</v>
      </c>
      <c r="B23" s="520" t="s">
        <v>149</v>
      </c>
      <c r="C23" s="226"/>
      <c r="D23" s="227" t="s">
        <v>136</v>
      </c>
      <c r="E23" s="227"/>
      <c r="F23" s="227"/>
      <c r="G23" s="227"/>
      <c r="H23" s="227"/>
      <c r="I23" s="227"/>
      <c r="J23" s="228"/>
      <c r="K23" s="229"/>
      <c r="L23" s="229"/>
      <c r="M23" s="229"/>
      <c r="N23" s="229"/>
      <c r="O23" s="229"/>
      <c r="P23" s="230"/>
      <c r="Q23" s="230"/>
      <c r="R23" s="230"/>
      <c r="S23" s="230"/>
      <c r="T23" s="237"/>
      <c r="U23" s="237"/>
      <c r="V23" s="231"/>
      <c r="W23" s="231"/>
      <c r="X23" s="231"/>
      <c r="Y23" s="231"/>
      <c r="Z23" s="231"/>
      <c r="AA23" s="231"/>
      <c r="AB23" s="233"/>
    </row>
    <row r="24" spans="1:28">
      <c r="A24" s="518"/>
      <c r="B24" s="521"/>
      <c r="C24" s="226"/>
      <c r="D24" s="227" t="s">
        <v>141</v>
      </c>
      <c r="E24" s="227"/>
      <c r="F24" s="227"/>
      <c r="G24" s="227"/>
      <c r="H24" s="227"/>
      <c r="I24" s="227"/>
      <c r="J24" s="228"/>
      <c r="K24" s="229"/>
      <c r="L24" s="229"/>
      <c r="M24" s="229"/>
      <c r="N24" s="229"/>
      <c r="O24" s="229"/>
      <c r="P24" s="229"/>
      <c r="Q24" s="229"/>
      <c r="R24" s="229"/>
      <c r="S24" s="229"/>
      <c r="T24" s="231"/>
      <c r="U24" s="231"/>
      <c r="V24" s="231"/>
      <c r="W24" s="231"/>
      <c r="X24" s="231"/>
      <c r="Y24" s="231"/>
      <c r="Z24" s="231"/>
      <c r="AA24" s="231"/>
      <c r="AB24" s="232"/>
    </row>
    <row r="25" spans="1:28">
      <c r="A25" s="519"/>
      <c r="B25" s="522"/>
      <c r="C25" s="226"/>
      <c r="D25" s="227" t="s">
        <v>137</v>
      </c>
      <c r="E25" s="227"/>
      <c r="F25" s="227"/>
      <c r="G25" s="227"/>
      <c r="H25" s="227"/>
      <c r="I25" s="227"/>
      <c r="J25" s="226"/>
      <c r="K25" s="229"/>
      <c r="L25" s="229"/>
      <c r="M25" s="229"/>
      <c r="N25" s="229"/>
      <c r="O25" s="229"/>
      <c r="P25" s="234"/>
      <c r="Q25" s="234"/>
      <c r="R25" s="229"/>
      <c r="S25" s="229"/>
      <c r="T25" s="231"/>
      <c r="U25" s="231"/>
      <c r="V25" s="231"/>
      <c r="W25" s="231"/>
      <c r="X25" s="231"/>
      <c r="Y25" s="231"/>
      <c r="Z25" s="231"/>
      <c r="AA25" s="231"/>
      <c r="AB25" s="232"/>
    </row>
    <row r="26" spans="1:28">
      <c r="A26" s="517">
        <v>5</v>
      </c>
      <c r="B26" s="520" t="s">
        <v>150</v>
      </c>
      <c r="C26" s="235"/>
      <c r="D26" s="227" t="s">
        <v>136</v>
      </c>
      <c r="E26" s="227"/>
      <c r="F26" s="227"/>
      <c r="G26" s="227"/>
      <c r="H26" s="227"/>
      <c r="I26" s="227"/>
      <c r="J26" s="226"/>
      <c r="K26" s="229"/>
      <c r="L26" s="229"/>
      <c r="M26" s="229"/>
      <c r="N26" s="230"/>
      <c r="O26" s="230"/>
      <c r="P26" s="230"/>
      <c r="Q26" s="230"/>
      <c r="R26" s="230"/>
      <c r="S26" s="230"/>
      <c r="T26" s="237"/>
      <c r="U26" s="237"/>
      <c r="V26" s="231"/>
      <c r="W26" s="231"/>
      <c r="X26" s="231"/>
      <c r="Y26" s="231"/>
      <c r="Z26" s="231"/>
      <c r="AA26" s="231"/>
      <c r="AB26" s="233"/>
    </row>
    <row r="27" spans="1:28">
      <c r="A27" s="518"/>
      <c r="B27" s="521"/>
      <c r="C27" s="235"/>
      <c r="D27" s="227" t="s">
        <v>141</v>
      </c>
      <c r="E27" s="227"/>
      <c r="F27" s="227"/>
      <c r="G27" s="227"/>
      <c r="H27" s="227"/>
      <c r="I27" s="227"/>
      <c r="J27" s="226"/>
      <c r="K27" s="229"/>
      <c r="L27" s="229"/>
      <c r="M27" s="229"/>
      <c r="N27" s="229"/>
      <c r="O27" s="229"/>
      <c r="P27" s="229"/>
      <c r="Q27" s="229"/>
      <c r="R27" s="229"/>
      <c r="S27" s="229"/>
      <c r="T27" s="231"/>
      <c r="U27" s="231"/>
      <c r="V27" s="238"/>
      <c r="W27" s="238"/>
      <c r="X27" s="231"/>
      <c r="Y27" s="231"/>
      <c r="Z27" s="231"/>
      <c r="AA27" s="231"/>
      <c r="AB27" s="233"/>
    </row>
    <row r="28" spans="1:28">
      <c r="A28" s="519"/>
      <c r="B28" s="522"/>
      <c r="C28" s="235"/>
      <c r="D28" s="227" t="s">
        <v>137</v>
      </c>
      <c r="E28" s="227"/>
      <c r="F28" s="227"/>
      <c r="G28" s="227"/>
      <c r="H28" s="227"/>
      <c r="I28" s="227"/>
      <c r="J28" s="226"/>
      <c r="K28" s="229"/>
      <c r="L28" s="229"/>
      <c r="M28" s="229"/>
      <c r="N28" s="234"/>
      <c r="O28" s="234"/>
      <c r="P28" s="234"/>
      <c r="Q28" s="234"/>
      <c r="R28" s="229"/>
      <c r="S28" s="229"/>
      <c r="T28" s="231"/>
      <c r="U28" s="231"/>
      <c r="V28" s="231"/>
      <c r="W28" s="231"/>
      <c r="X28" s="231"/>
      <c r="Y28" s="231"/>
      <c r="Z28" s="231"/>
      <c r="AA28" s="231"/>
      <c r="AB28" s="233"/>
    </row>
    <row r="29" spans="1:28">
      <c r="A29" s="517">
        <v>6</v>
      </c>
      <c r="B29" s="520" t="s">
        <v>151</v>
      </c>
      <c r="C29" s="235"/>
      <c r="D29" s="227" t="s">
        <v>136</v>
      </c>
      <c r="E29" s="227"/>
      <c r="F29" s="227"/>
      <c r="G29" s="227"/>
      <c r="H29" s="227"/>
      <c r="I29" s="227"/>
      <c r="J29" s="226"/>
      <c r="K29" s="229"/>
      <c r="L29" s="229"/>
      <c r="M29" s="229"/>
      <c r="N29" s="229"/>
      <c r="O29" s="229"/>
      <c r="P29" s="229"/>
      <c r="Q29" s="229"/>
      <c r="R29" s="230"/>
      <c r="S29" s="230"/>
      <c r="T29" s="237"/>
      <c r="U29" s="237"/>
      <c r="V29" s="237"/>
      <c r="W29" s="231"/>
      <c r="X29" s="231"/>
      <c r="Y29" s="231"/>
      <c r="Z29" s="231"/>
      <c r="AA29" s="231"/>
      <c r="AB29" s="233"/>
    </row>
    <row r="30" spans="1:28">
      <c r="A30" s="518"/>
      <c r="B30" s="521"/>
      <c r="C30" s="235"/>
      <c r="D30" s="227" t="s">
        <v>141</v>
      </c>
      <c r="E30" s="227"/>
      <c r="F30" s="227"/>
      <c r="G30" s="227"/>
      <c r="H30" s="227"/>
      <c r="I30" s="227"/>
      <c r="J30" s="226"/>
      <c r="K30" s="229"/>
      <c r="L30" s="229"/>
      <c r="M30" s="229"/>
      <c r="N30" s="229"/>
      <c r="O30" s="229"/>
      <c r="P30" s="229"/>
      <c r="Q30" s="229"/>
      <c r="R30" s="229"/>
      <c r="S30" s="229"/>
      <c r="T30" s="231"/>
      <c r="U30" s="231"/>
      <c r="V30" s="231"/>
      <c r="W30" s="231"/>
      <c r="X30" s="231"/>
      <c r="Y30" s="231"/>
      <c r="Z30" s="231"/>
      <c r="AA30" s="231"/>
      <c r="AB30" s="233"/>
    </row>
    <row r="31" spans="1:28">
      <c r="A31" s="519"/>
      <c r="B31" s="522"/>
      <c r="C31" s="235"/>
      <c r="D31" s="227" t="s">
        <v>137</v>
      </c>
      <c r="E31" s="227"/>
      <c r="F31" s="227"/>
      <c r="G31" s="227"/>
      <c r="H31" s="227"/>
      <c r="I31" s="227"/>
      <c r="J31" s="226"/>
      <c r="K31" s="229"/>
      <c r="L31" s="229"/>
      <c r="M31" s="229"/>
      <c r="N31" s="229"/>
      <c r="O31" s="229"/>
      <c r="P31" s="229"/>
      <c r="Q31" s="229"/>
      <c r="R31" s="229"/>
      <c r="S31" s="229"/>
      <c r="T31" s="231"/>
      <c r="U31" s="231"/>
      <c r="V31" s="231"/>
      <c r="W31" s="231"/>
      <c r="X31" s="231"/>
      <c r="Y31" s="231"/>
      <c r="Z31" s="231"/>
      <c r="AA31" s="231"/>
      <c r="AB31" s="233"/>
    </row>
    <row r="32" spans="1:28">
      <c r="A32" s="517">
        <v>7</v>
      </c>
      <c r="B32" s="520" t="s">
        <v>152</v>
      </c>
      <c r="C32" s="235"/>
      <c r="D32" s="227" t="s">
        <v>136</v>
      </c>
      <c r="E32" s="227"/>
      <c r="F32" s="227"/>
      <c r="G32" s="227"/>
      <c r="H32" s="227"/>
      <c r="I32" s="227"/>
      <c r="J32" s="226"/>
      <c r="K32" s="229"/>
      <c r="L32" s="229"/>
      <c r="M32" s="229"/>
      <c r="N32" s="229"/>
      <c r="O32" s="229"/>
      <c r="P32" s="229"/>
      <c r="Q32" s="229"/>
      <c r="R32" s="229"/>
      <c r="S32" s="229"/>
      <c r="T32" s="231"/>
      <c r="U32" s="231"/>
      <c r="V32" s="231"/>
      <c r="W32" s="237"/>
      <c r="X32" s="237"/>
      <c r="Y32" s="231"/>
      <c r="Z32" s="231"/>
      <c r="AA32" s="231"/>
      <c r="AB32" s="233"/>
    </row>
    <row r="33" spans="1:28">
      <c r="A33" s="518"/>
      <c r="B33" s="521"/>
      <c r="C33" s="235"/>
      <c r="D33" s="227" t="s">
        <v>141</v>
      </c>
      <c r="E33" s="227"/>
      <c r="F33" s="227"/>
      <c r="G33" s="227"/>
      <c r="H33" s="227"/>
      <c r="I33" s="227"/>
      <c r="J33" s="226"/>
      <c r="K33" s="229"/>
      <c r="L33" s="229"/>
      <c r="M33" s="229"/>
      <c r="N33" s="229"/>
      <c r="O33" s="229"/>
      <c r="P33" s="229"/>
      <c r="Q33" s="229"/>
      <c r="R33" s="229"/>
      <c r="S33" s="229"/>
      <c r="T33" s="231"/>
      <c r="U33" s="231"/>
      <c r="V33" s="231"/>
      <c r="W33" s="231"/>
      <c r="X33" s="231"/>
      <c r="Y33" s="231"/>
      <c r="Z33" s="231"/>
      <c r="AA33" s="231"/>
      <c r="AB33" s="233"/>
    </row>
    <row r="34" spans="1:28">
      <c r="A34" s="519"/>
      <c r="B34" s="522"/>
      <c r="C34" s="235"/>
      <c r="D34" s="227" t="s">
        <v>137</v>
      </c>
      <c r="E34" s="227"/>
      <c r="F34" s="227"/>
      <c r="G34" s="227"/>
      <c r="H34" s="227"/>
      <c r="I34" s="227"/>
      <c r="J34" s="226"/>
      <c r="K34" s="229"/>
      <c r="L34" s="229"/>
      <c r="M34" s="229"/>
      <c r="N34" s="229"/>
      <c r="O34" s="229"/>
      <c r="P34" s="229"/>
      <c r="Q34" s="229"/>
      <c r="R34" s="229"/>
      <c r="S34" s="229"/>
      <c r="T34" s="231"/>
      <c r="U34" s="231"/>
      <c r="V34" s="231"/>
      <c r="W34" s="231"/>
      <c r="X34" s="231"/>
      <c r="Y34" s="231"/>
      <c r="Z34" s="231"/>
      <c r="AA34" s="231"/>
      <c r="AB34" s="233"/>
    </row>
    <row r="35" spans="1:28">
      <c r="A35" s="517">
        <v>8</v>
      </c>
      <c r="B35" s="520" t="s">
        <v>153</v>
      </c>
      <c r="C35" s="235"/>
      <c r="D35" s="227" t="s">
        <v>136</v>
      </c>
      <c r="E35" s="227"/>
      <c r="F35" s="227"/>
      <c r="G35" s="227"/>
      <c r="H35" s="227"/>
      <c r="I35" s="227"/>
      <c r="J35" s="226"/>
      <c r="K35" s="229"/>
      <c r="L35" s="229"/>
      <c r="M35" s="229"/>
      <c r="N35" s="229"/>
      <c r="O35" s="229"/>
      <c r="P35" s="229"/>
      <c r="Q35" s="229"/>
      <c r="R35" s="229"/>
      <c r="S35" s="229"/>
      <c r="T35" s="231"/>
      <c r="U35" s="231"/>
      <c r="V35" s="231"/>
      <c r="W35" s="231"/>
      <c r="X35" s="231"/>
      <c r="Y35" s="237"/>
      <c r="Z35" s="237"/>
      <c r="AA35" s="231"/>
      <c r="AB35" s="233"/>
    </row>
    <row r="36" spans="1:28">
      <c r="A36" s="518"/>
      <c r="B36" s="521"/>
      <c r="C36" s="235"/>
      <c r="D36" s="227" t="s">
        <v>141</v>
      </c>
      <c r="E36" s="227"/>
      <c r="F36" s="227"/>
      <c r="G36" s="227"/>
      <c r="H36" s="227"/>
      <c r="I36" s="227"/>
      <c r="J36" s="226"/>
      <c r="K36" s="229"/>
      <c r="L36" s="229"/>
      <c r="M36" s="229"/>
      <c r="N36" s="229"/>
      <c r="O36" s="229"/>
      <c r="P36" s="229"/>
      <c r="Q36" s="229"/>
      <c r="R36" s="229"/>
      <c r="S36" s="229"/>
      <c r="T36" s="231"/>
      <c r="U36" s="231"/>
      <c r="V36" s="231"/>
      <c r="W36" s="231"/>
      <c r="X36" s="231"/>
      <c r="Y36" s="231"/>
      <c r="Z36" s="231"/>
      <c r="AA36" s="231"/>
      <c r="AB36" s="233"/>
    </row>
    <row r="37" spans="1:28">
      <c r="A37" s="519"/>
      <c r="B37" s="522"/>
      <c r="C37" s="235"/>
      <c r="D37" s="227" t="s">
        <v>137</v>
      </c>
      <c r="E37" s="227"/>
      <c r="F37" s="227"/>
      <c r="G37" s="227"/>
      <c r="H37" s="227"/>
      <c r="I37" s="227"/>
      <c r="J37" s="226"/>
      <c r="K37" s="229"/>
      <c r="L37" s="229"/>
      <c r="M37" s="229"/>
      <c r="N37" s="229"/>
      <c r="O37" s="229"/>
      <c r="P37" s="229"/>
      <c r="Q37" s="229"/>
      <c r="R37" s="229"/>
      <c r="S37" s="229"/>
      <c r="T37" s="231"/>
      <c r="U37" s="231"/>
      <c r="V37" s="231"/>
      <c r="W37" s="231"/>
      <c r="X37" s="231"/>
      <c r="Y37" s="231"/>
      <c r="Z37" s="231"/>
      <c r="AA37" s="231"/>
      <c r="AB37" s="233"/>
    </row>
    <row r="38" spans="1:28">
      <c r="A38" s="517">
        <v>9</v>
      </c>
      <c r="B38" s="520" t="s">
        <v>154</v>
      </c>
      <c r="C38" s="235"/>
      <c r="D38" s="227" t="s">
        <v>136</v>
      </c>
      <c r="E38" s="227"/>
      <c r="F38" s="227"/>
      <c r="G38" s="227"/>
      <c r="H38" s="227"/>
      <c r="I38" s="227"/>
      <c r="J38" s="226"/>
      <c r="K38" s="229"/>
      <c r="L38" s="229"/>
      <c r="M38" s="229"/>
      <c r="N38" s="229"/>
      <c r="O38" s="229"/>
      <c r="P38" s="229"/>
      <c r="Q38" s="229"/>
      <c r="R38" s="229"/>
      <c r="S38" s="229"/>
      <c r="T38" s="231"/>
      <c r="U38" s="231"/>
      <c r="V38" s="231"/>
      <c r="W38" s="231"/>
      <c r="X38" s="231"/>
      <c r="Y38" s="231"/>
      <c r="Z38" s="231"/>
      <c r="AA38" s="239"/>
      <c r="AB38" s="233"/>
    </row>
    <row r="39" spans="1:28">
      <c r="A39" s="518"/>
      <c r="B39" s="521"/>
      <c r="C39" s="235"/>
      <c r="D39" s="227" t="s">
        <v>141</v>
      </c>
      <c r="E39" s="227"/>
      <c r="F39" s="227"/>
      <c r="G39" s="227"/>
      <c r="H39" s="227"/>
      <c r="I39" s="227"/>
      <c r="J39" s="226"/>
      <c r="K39" s="229"/>
      <c r="L39" s="229"/>
      <c r="M39" s="229"/>
      <c r="N39" s="229"/>
      <c r="O39" s="229"/>
      <c r="P39" s="229"/>
      <c r="Q39" s="229"/>
      <c r="R39" s="229"/>
      <c r="S39" s="229"/>
      <c r="T39" s="231"/>
      <c r="U39" s="231"/>
      <c r="V39" s="231"/>
      <c r="W39" s="231"/>
      <c r="X39" s="231"/>
      <c r="Y39" s="231"/>
      <c r="Z39" s="231"/>
      <c r="AA39" s="231"/>
      <c r="AB39" s="233"/>
    </row>
    <row r="40" spans="1:28">
      <c r="A40" s="519"/>
      <c r="B40" s="522"/>
      <c r="C40" s="235"/>
      <c r="D40" s="227" t="s">
        <v>137</v>
      </c>
      <c r="E40" s="227"/>
      <c r="F40" s="227"/>
      <c r="G40" s="227"/>
      <c r="H40" s="227"/>
      <c r="I40" s="227"/>
      <c r="J40" s="226"/>
      <c r="K40" s="229"/>
      <c r="L40" s="229"/>
      <c r="M40" s="229"/>
      <c r="N40" s="229"/>
      <c r="O40" s="229"/>
      <c r="P40" s="229"/>
      <c r="Q40" s="229"/>
      <c r="R40" s="229"/>
      <c r="S40" s="229"/>
      <c r="T40" s="231"/>
      <c r="U40" s="231"/>
      <c r="V40" s="231"/>
      <c r="W40" s="231"/>
      <c r="X40" s="231"/>
      <c r="Y40" s="231"/>
      <c r="Z40" s="231"/>
      <c r="AA40" s="231"/>
      <c r="AB40" s="233"/>
    </row>
    <row r="41" spans="1:28">
      <c r="A41" s="517">
        <v>10</v>
      </c>
      <c r="B41" s="520" t="s">
        <v>155</v>
      </c>
      <c r="C41" s="235"/>
      <c r="D41" s="227" t="s">
        <v>136</v>
      </c>
      <c r="E41" s="227"/>
      <c r="F41" s="227"/>
      <c r="G41" s="227"/>
      <c r="H41" s="227"/>
      <c r="I41" s="227"/>
      <c r="J41" s="226"/>
      <c r="K41" s="229"/>
      <c r="L41" s="229"/>
      <c r="M41" s="229"/>
      <c r="N41" s="229"/>
      <c r="O41" s="229"/>
      <c r="P41" s="229"/>
      <c r="Q41" s="229"/>
      <c r="R41" s="229"/>
      <c r="S41" s="229"/>
      <c r="T41" s="231"/>
      <c r="U41" s="231"/>
      <c r="V41" s="231"/>
      <c r="W41" s="231"/>
      <c r="X41" s="231"/>
      <c r="Y41" s="231"/>
      <c r="Z41" s="231"/>
      <c r="AA41" s="231"/>
      <c r="AB41" s="233"/>
    </row>
    <row r="42" spans="1:28">
      <c r="A42" s="518"/>
      <c r="B42" s="521"/>
      <c r="C42" s="235"/>
      <c r="D42" s="227" t="s">
        <v>141</v>
      </c>
      <c r="E42" s="227"/>
      <c r="F42" s="227"/>
      <c r="G42" s="227"/>
      <c r="H42" s="227"/>
      <c r="I42" s="227"/>
      <c r="J42" s="226"/>
      <c r="K42" s="229"/>
      <c r="L42" s="229"/>
      <c r="M42" s="229"/>
      <c r="N42" s="229"/>
      <c r="O42" s="229"/>
      <c r="P42" s="229"/>
      <c r="Q42" s="229"/>
      <c r="R42" s="229"/>
      <c r="S42" s="229"/>
      <c r="T42" s="231"/>
      <c r="U42" s="231"/>
      <c r="V42" s="231"/>
      <c r="W42" s="231"/>
      <c r="X42" s="231"/>
      <c r="Y42" s="231"/>
      <c r="Z42" s="231"/>
      <c r="AA42" s="231"/>
      <c r="AB42" s="233"/>
    </row>
    <row r="43" spans="1:28">
      <c r="A43" s="519"/>
      <c r="B43" s="522"/>
      <c r="C43" s="235"/>
      <c r="D43" s="227" t="s">
        <v>137</v>
      </c>
      <c r="E43" s="227"/>
      <c r="F43" s="227"/>
      <c r="G43" s="227"/>
      <c r="H43" s="227"/>
      <c r="I43" s="227"/>
      <c r="J43" s="226"/>
      <c r="K43" s="229"/>
      <c r="L43" s="229"/>
      <c r="M43" s="229"/>
      <c r="N43" s="229"/>
      <c r="O43" s="229"/>
      <c r="P43" s="229"/>
      <c r="Q43" s="229"/>
      <c r="R43" s="229"/>
      <c r="S43" s="229"/>
      <c r="T43" s="231"/>
      <c r="U43" s="231"/>
      <c r="V43" s="231"/>
      <c r="W43" s="231"/>
      <c r="X43" s="231"/>
      <c r="Y43" s="231"/>
      <c r="Z43" s="231"/>
      <c r="AA43" s="231"/>
      <c r="AB43" s="232"/>
    </row>
    <row r="44" spans="1:28">
      <c r="A44" s="517">
        <v>11</v>
      </c>
      <c r="B44" s="520" t="s">
        <v>156</v>
      </c>
      <c r="C44" s="235"/>
      <c r="D44" s="227" t="s">
        <v>136</v>
      </c>
      <c r="E44" s="227"/>
      <c r="F44" s="227"/>
      <c r="G44" s="227"/>
      <c r="H44" s="227"/>
      <c r="I44" s="227"/>
      <c r="J44" s="226"/>
      <c r="K44" s="229"/>
      <c r="L44" s="229"/>
      <c r="M44" s="229"/>
      <c r="N44" s="229"/>
      <c r="O44" s="229"/>
      <c r="P44" s="229"/>
      <c r="Q44" s="229"/>
      <c r="R44" s="229"/>
      <c r="S44" s="229"/>
      <c r="T44" s="231"/>
      <c r="U44" s="231"/>
      <c r="V44" s="231"/>
      <c r="W44" s="231"/>
      <c r="X44" s="231"/>
      <c r="Y44" s="231"/>
      <c r="Z44" s="231"/>
      <c r="AA44" s="240"/>
      <c r="AB44" s="241">
        <v>44377</v>
      </c>
    </row>
    <row r="45" spans="1:28">
      <c r="A45" s="518"/>
      <c r="B45" s="521"/>
      <c r="C45" s="235"/>
      <c r="D45" s="227" t="s">
        <v>141</v>
      </c>
      <c r="E45" s="227"/>
      <c r="F45" s="227"/>
      <c r="G45" s="227"/>
      <c r="H45" s="227"/>
      <c r="I45" s="227"/>
      <c r="J45" s="226"/>
      <c r="K45" s="229"/>
      <c r="L45" s="229"/>
      <c r="M45" s="229"/>
      <c r="N45" s="229"/>
      <c r="O45" s="229"/>
      <c r="P45" s="242"/>
      <c r="Q45" s="229"/>
      <c r="R45" s="229"/>
      <c r="S45" s="229"/>
      <c r="T45" s="242"/>
      <c r="U45" s="231"/>
      <c r="V45" s="231"/>
      <c r="W45" s="231"/>
      <c r="X45" s="231"/>
      <c r="Y45" s="242"/>
      <c r="Z45" s="231"/>
      <c r="AA45" s="231"/>
      <c r="AB45" s="232"/>
    </row>
    <row r="46" spans="1:28">
      <c r="A46" s="519"/>
      <c r="B46" s="522"/>
      <c r="C46" s="235"/>
      <c r="D46" s="227" t="s">
        <v>137</v>
      </c>
      <c r="E46" s="227"/>
      <c r="F46" s="227"/>
      <c r="G46" s="227"/>
      <c r="H46" s="227"/>
      <c r="I46" s="227"/>
      <c r="J46" s="226"/>
      <c r="K46" s="229"/>
      <c r="L46" s="229"/>
      <c r="M46" s="229"/>
      <c r="N46" s="229"/>
      <c r="O46" s="229"/>
      <c r="P46" s="229"/>
      <c r="Q46" s="229"/>
      <c r="R46" s="229"/>
      <c r="S46" s="229"/>
      <c r="T46" s="231"/>
      <c r="U46" s="231"/>
      <c r="V46" s="231"/>
      <c r="W46" s="231"/>
      <c r="X46" s="231"/>
      <c r="Y46" s="231"/>
      <c r="Z46" s="231"/>
      <c r="AA46" s="231"/>
      <c r="AB46" s="232"/>
    </row>
    <row r="47" spans="1:28">
      <c r="A47" s="243"/>
      <c r="B47" s="244"/>
      <c r="C47" s="235"/>
      <c r="D47" s="227"/>
      <c r="E47" s="227"/>
      <c r="F47" s="227"/>
      <c r="G47" s="227"/>
      <c r="H47" s="227"/>
      <c r="I47" s="227"/>
      <c r="J47" s="226"/>
      <c r="K47" s="226"/>
      <c r="L47" s="226"/>
      <c r="M47" s="226"/>
      <c r="N47" s="226"/>
      <c r="O47" s="226"/>
      <c r="P47" s="226"/>
      <c r="Q47" s="226"/>
      <c r="R47" s="226"/>
      <c r="S47" s="226"/>
      <c r="T47" s="232"/>
      <c r="U47" s="232"/>
      <c r="V47" s="232"/>
      <c r="W47" s="232"/>
      <c r="X47" s="232"/>
      <c r="Y47" s="232"/>
      <c r="Z47" s="232"/>
      <c r="AA47" s="232"/>
      <c r="AB47" s="232"/>
    </row>
    <row r="48" spans="1:28">
      <c r="A48" s="243"/>
      <c r="B48" s="244"/>
      <c r="C48" s="235"/>
      <c r="D48" s="227"/>
      <c r="E48" s="227"/>
      <c r="F48" s="227"/>
      <c r="G48" s="227"/>
      <c r="H48" s="227"/>
      <c r="I48" s="227"/>
      <c r="J48" s="235"/>
      <c r="K48" s="235"/>
      <c r="L48" s="235"/>
      <c r="M48" s="235"/>
      <c r="N48" s="245"/>
      <c r="O48" s="226"/>
      <c r="P48" s="235"/>
      <c r="Q48" s="235"/>
      <c r="R48" s="245"/>
      <c r="S48" s="226"/>
      <c r="T48" s="232"/>
      <c r="U48" s="232"/>
      <c r="V48" s="232"/>
      <c r="W48" s="232"/>
      <c r="X48" s="232"/>
      <c r="Y48" s="232"/>
      <c r="Z48" s="232"/>
      <c r="AA48" s="232"/>
      <c r="AB48" s="232"/>
    </row>
    <row r="49" spans="1:28">
      <c r="A49" s="243"/>
      <c r="B49" s="244"/>
      <c r="C49" s="226"/>
      <c r="D49" s="227"/>
      <c r="E49" s="227"/>
      <c r="F49" s="227"/>
      <c r="G49" s="227"/>
      <c r="H49" s="227"/>
      <c r="I49" s="227"/>
      <c r="J49" s="235"/>
      <c r="K49" s="235"/>
      <c r="L49" s="235"/>
      <c r="M49" s="235"/>
      <c r="N49" s="245"/>
      <c r="O49" s="226"/>
      <c r="P49" s="235"/>
      <c r="Q49" s="235"/>
      <c r="R49" s="245"/>
      <c r="S49" s="226"/>
      <c r="T49" s="232"/>
      <c r="U49" s="232"/>
      <c r="V49" s="232"/>
      <c r="W49" s="232"/>
      <c r="X49" s="232"/>
      <c r="Y49" s="232"/>
      <c r="Z49" s="232"/>
      <c r="AA49" s="232"/>
      <c r="AB49" s="232"/>
    </row>
    <row r="50" spans="1:28">
      <c r="A50" s="246"/>
      <c r="B50" s="245"/>
      <c r="C50" s="235"/>
      <c r="D50" s="227"/>
      <c r="E50" s="227"/>
      <c r="F50" s="227"/>
      <c r="G50" s="227"/>
      <c r="H50" s="227"/>
      <c r="I50" s="227"/>
      <c r="J50" s="235"/>
      <c r="K50" s="235"/>
      <c r="L50" s="235"/>
      <c r="M50" s="235"/>
      <c r="N50" s="245"/>
      <c r="O50" s="235"/>
      <c r="P50" s="235"/>
      <c r="Q50" s="235"/>
      <c r="R50" s="245"/>
      <c r="S50" s="235"/>
      <c r="T50" s="245"/>
      <c r="U50" s="245"/>
      <c r="V50" s="245"/>
      <c r="W50" s="245"/>
      <c r="X50" s="245"/>
      <c r="Y50" s="245"/>
      <c r="Z50" s="245"/>
      <c r="AA50" s="245"/>
      <c r="AB50" s="245"/>
    </row>
    <row r="51" spans="1:28">
      <c r="A51" s="247"/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204"/>
      <c r="M51" s="204"/>
      <c r="N51" s="204"/>
      <c r="O51" s="204"/>
      <c r="P51" s="204"/>
      <c r="Q51" s="204"/>
      <c r="R51" s="204"/>
      <c r="S51" s="204"/>
      <c r="T51" s="204"/>
      <c r="U51" s="204"/>
      <c r="V51" s="204"/>
      <c r="W51" s="204"/>
      <c r="X51" s="248"/>
      <c r="Y51" s="204"/>
      <c r="Z51" s="204"/>
      <c r="AA51" s="204"/>
      <c r="AB51" s="204"/>
    </row>
    <row r="52" spans="1:28">
      <c r="A52" s="249"/>
      <c r="B52" s="209"/>
      <c r="C52" s="209"/>
      <c r="D52" s="209"/>
      <c r="E52" s="209"/>
      <c r="F52" s="209"/>
      <c r="G52" s="209"/>
      <c r="H52" s="209"/>
      <c r="I52" s="209"/>
      <c r="J52" s="209"/>
      <c r="K52" s="209"/>
      <c r="L52" s="209"/>
      <c r="M52" s="209"/>
      <c r="N52" s="209"/>
      <c r="O52" s="209"/>
      <c r="P52" s="209"/>
      <c r="Q52" s="209"/>
      <c r="R52" s="209"/>
      <c r="S52" s="209"/>
      <c r="T52" s="209"/>
      <c r="U52" s="209"/>
      <c r="V52" s="209"/>
      <c r="W52" s="209"/>
      <c r="X52" s="209"/>
      <c r="Y52" s="209"/>
      <c r="Z52" s="209"/>
      <c r="AA52" s="209"/>
      <c r="AB52" s="209"/>
    </row>
    <row r="53" spans="1:28">
      <c r="A53" s="209"/>
      <c r="B53" s="209"/>
      <c r="C53" s="209"/>
      <c r="D53" s="204"/>
      <c r="E53" s="204"/>
      <c r="F53" s="204"/>
      <c r="G53" s="204"/>
      <c r="H53" s="204"/>
      <c r="I53" s="204"/>
      <c r="J53" s="204"/>
      <c r="K53" s="204"/>
      <c r="L53" s="204"/>
      <c r="M53" s="204"/>
      <c r="N53" s="204"/>
      <c r="O53" s="204"/>
      <c r="P53" s="204"/>
      <c r="Q53" s="204"/>
      <c r="R53" s="204"/>
      <c r="S53" s="204"/>
      <c r="T53" s="204"/>
      <c r="U53" s="204"/>
      <c r="V53" s="204"/>
      <c r="W53" s="204"/>
      <c r="X53" s="204"/>
      <c r="Y53" s="204"/>
      <c r="Z53" s="204"/>
      <c r="AA53" s="209"/>
      <c r="AB53" s="209"/>
    </row>
    <row r="54" spans="1:28">
      <c r="A54" s="209"/>
      <c r="B54" s="209"/>
      <c r="C54" s="209"/>
      <c r="D54" s="209"/>
      <c r="E54" s="209"/>
      <c r="F54" s="209"/>
      <c r="G54" s="209"/>
      <c r="H54" s="209"/>
      <c r="I54" s="209"/>
      <c r="J54" s="209"/>
      <c r="K54" s="209"/>
      <c r="L54" s="209"/>
      <c r="M54" s="209"/>
      <c r="N54" s="209"/>
      <c r="O54" s="209"/>
      <c r="P54" s="209"/>
      <c r="Q54" s="209"/>
      <c r="R54" s="209"/>
      <c r="S54" s="209"/>
      <c r="T54" s="209"/>
      <c r="U54" s="209"/>
      <c r="V54" s="209"/>
      <c r="W54" s="209"/>
      <c r="X54" s="211"/>
      <c r="Y54" s="209"/>
      <c r="Z54" s="209"/>
      <c r="AA54" s="209"/>
      <c r="AB54" s="209"/>
    </row>
    <row r="55" spans="1:28">
      <c r="A55" s="209"/>
      <c r="B55" s="209"/>
      <c r="C55" s="209"/>
      <c r="D55" s="535" t="s">
        <v>157</v>
      </c>
      <c r="E55" s="250"/>
      <c r="F55" s="250"/>
      <c r="G55" s="250"/>
      <c r="H55" s="250"/>
      <c r="I55" s="250"/>
      <c r="J55" s="536"/>
      <c r="K55" s="536"/>
      <c r="L55" s="536"/>
      <c r="M55" s="536"/>
      <c r="N55" s="536"/>
      <c r="O55" s="536"/>
      <c r="P55" s="537"/>
      <c r="Q55" s="209"/>
      <c r="R55" s="209"/>
      <c r="S55" s="535" t="s">
        <v>158</v>
      </c>
      <c r="T55" s="536"/>
      <c r="U55" s="536"/>
      <c r="V55" s="536"/>
      <c r="W55" s="536"/>
      <c r="X55" s="536"/>
      <c r="Y55" s="536"/>
      <c r="Z55" s="537"/>
      <c r="AA55" s="209"/>
      <c r="AB55" s="209"/>
    </row>
    <row r="56" spans="1:28">
      <c r="A56" s="209"/>
      <c r="B56" s="209"/>
      <c r="C56" s="209"/>
      <c r="D56" s="538"/>
      <c r="E56" s="251"/>
      <c r="F56" s="251"/>
      <c r="G56" s="251"/>
      <c r="H56" s="251"/>
      <c r="I56" s="251"/>
      <c r="J56" s="539"/>
      <c r="K56" s="539"/>
      <c r="L56" s="539"/>
      <c r="M56" s="539"/>
      <c r="N56" s="539"/>
      <c r="O56" s="539"/>
      <c r="P56" s="540"/>
      <c r="Q56" s="209"/>
      <c r="R56" s="209"/>
      <c r="S56" s="538"/>
      <c r="T56" s="539"/>
      <c r="U56" s="539"/>
      <c r="V56" s="539"/>
      <c r="W56" s="539"/>
      <c r="X56" s="539"/>
      <c r="Y56" s="539"/>
      <c r="Z56" s="540"/>
      <c r="AA56" s="209"/>
      <c r="AB56" s="209"/>
    </row>
    <row r="57" spans="1:28">
      <c r="A57" s="209"/>
      <c r="B57" s="209"/>
      <c r="C57" s="209"/>
      <c r="D57" s="538"/>
      <c r="E57" s="251"/>
      <c r="F57" s="251"/>
      <c r="G57" s="251"/>
      <c r="H57" s="251"/>
      <c r="I57" s="251"/>
      <c r="J57" s="539"/>
      <c r="K57" s="539"/>
      <c r="L57" s="539"/>
      <c r="M57" s="539"/>
      <c r="N57" s="539"/>
      <c r="O57" s="539"/>
      <c r="P57" s="540"/>
      <c r="Q57" s="209"/>
      <c r="R57" s="209"/>
      <c r="S57" s="538"/>
      <c r="T57" s="539"/>
      <c r="U57" s="539"/>
      <c r="V57" s="539"/>
      <c r="W57" s="539"/>
      <c r="X57" s="539"/>
      <c r="Y57" s="539"/>
      <c r="Z57" s="540"/>
      <c r="AA57" s="209"/>
      <c r="AB57" s="209"/>
    </row>
    <row r="58" spans="1:28">
      <c r="A58" s="209"/>
      <c r="B58" s="209"/>
      <c r="C58" s="209"/>
      <c r="D58" s="541"/>
      <c r="E58" s="252"/>
      <c r="F58" s="252"/>
      <c r="G58" s="252"/>
      <c r="H58" s="252"/>
      <c r="I58" s="252"/>
      <c r="J58" s="542"/>
      <c r="K58" s="542"/>
      <c r="L58" s="542"/>
      <c r="M58" s="542"/>
      <c r="N58" s="542"/>
      <c r="O58" s="542"/>
      <c r="P58" s="543"/>
      <c r="Q58" s="209"/>
      <c r="R58" s="209"/>
      <c r="S58" s="541"/>
      <c r="T58" s="542"/>
      <c r="U58" s="542"/>
      <c r="V58" s="542"/>
      <c r="W58" s="542"/>
      <c r="X58" s="542"/>
      <c r="Y58" s="542"/>
      <c r="Z58" s="543"/>
      <c r="AA58" s="209"/>
      <c r="AB58" s="209"/>
    </row>
    <row r="59" spans="1:28">
      <c r="A59" s="209"/>
      <c r="B59" s="209"/>
      <c r="C59" s="209"/>
      <c r="D59" s="209"/>
      <c r="E59" s="209"/>
      <c r="F59" s="209"/>
      <c r="G59" s="209"/>
      <c r="H59" s="209"/>
      <c r="I59" s="209"/>
      <c r="J59" s="209"/>
      <c r="K59" s="209"/>
      <c r="L59" s="209"/>
      <c r="M59" s="209"/>
      <c r="N59" s="209"/>
      <c r="O59" s="209"/>
      <c r="P59" s="209"/>
      <c r="Q59" s="209"/>
      <c r="R59" s="209"/>
      <c r="S59" s="209"/>
      <c r="T59" s="209"/>
      <c r="U59" s="209"/>
      <c r="V59" s="209"/>
      <c r="W59" s="209"/>
      <c r="X59" s="211"/>
      <c r="Y59" s="209"/>
      <c r="Z59" s="209"/>
      <c r="AA59" s="209"/>
      <c r="AB59" s="209"/>
    </row>
    <row r="60" spans="1:28">
      <c r="A60" s="209"/>
      <c r="B60" s="209"/>
      <c r="C60" s="209"/>
      <c r="D60" s="209"/>
      <c r="E60" s="209"/>
      <c r="F60" s="209"/>
      <c r="G60" s="209"/>
      <c r="H60" s="209"/>
      <c r="I60" s="209"/>
      <c r="J60" s="209"/>
      <c r="K60" s="209"/>
      <c r="L60" s="209"/>
      <c r="M60" s="209"/>
      <c r="N60" s="209"/>
      <c r="O60" s="209"/>
      <c r="P60" s="209"/>
      <c r="Q60" s="209"/>
      <c r="R60" s="209"/>
      <c r="S60" s="209"/>
      <c r="T60" s="209"/>
      <c r="U60" s="209"/>
      <c r="V60" s="209"/>
      <c r="W60" s="209"/>
      <c r="X60" s="211"/>
      <c r="Y60" s="209"/>
      <c r="Z60" s="209"/>
      <c r="AA60" s="209"/>
      <c r="AB60" s="209"/>
    </row>
    <row r="61" spans="1:28">
      <c r="A61" s="209"/>
      <c r="B61" s="209"/>
      <c r="C61" s="209"/>
      <c r="D61" s="209"/>
      <c r="E61" s="209"/>
      <c r="F61" s="209"/>
      <c r="G61" s="209"/>
      <c r="H61" s="209"/>
      <c r="I61" s="209"/>
      <c r="J61" s="209"/>
      <c r="K61" s="209"/>
      <c r="L61" s="209"/>
      <c r="M61" s="209"/>
      <c r="N61" s="209"/>
      <c r="O61" s="209"/>
      <c r="P61" s="209"/>
      <c r="Q61" s="209"/>
      <c r="R61" s="209"/>
      <c r="S61" s="209"/>
      <c r="T61" s="209"/>
      <c r="U61" s="209"/>
      <c r="V61" s="209"/>
      <c r="W61" s="209"/>
      <c r="X61" s="211"/>
      <c r="Y61" s="209"/>
      <c r="Z61" s="209"/>
      <c r="AA61" s="209"/>
      <c r="AB61" s="209"/>
    </row>
    <row r="62" spans="1:28">
      <c r="A62" s="209"/>
      <c r="B62" s="209"/>
      <c r="C62" s="209"/>
      <c r="D62" s="209"/>
      <c r="E62" s="209"/>
      <c r="F62" s="209"/>
      <c r="G62" s="209"/>
      <c r="H62" s="209"/>
      <c r="I62" s="209"/>
      <c r="J62" s="209"/>
      <c r="K62" s="209"/>
      <c r="L62" s="209"/>
      <c r="M62" s="209"/>
      <c r="N62" s="209"/>
      <c r="O62" s="209"/>
      <c r="P62" s="209"/>
      <c r="Q62" s="209"/>
      <c r="R62" s="209"/>
      <c r="S62" s="209"/>
      <c r="T62" s="209"/>
      <c r="U62" s="209"/>
      <c r="V62" s="209"/>
      <c r="W62" s="209"/>
      <c r="X62" s="211"/>
      <c r="Y62" s="209"/>
      <c r="Z62" s="209"/>
      <c r="AA62" s="209"/>
      <c r="AB62" s="209"/>
    </row>
    <row r="63" spans="1:28">
      <c r="D63" s="535" t="s">
        <v>159</v>
      </c>
      <c r="E63" s="250"/>
      <c r="F63" s="250"/>
      <c r="G63" s="250"/>
      <c r="H63" s="250"/>
      <c r="I63" s="250"/>
      <c r="J63" s="536"/>
      <c r="K63" s="536"/>
      <c r="L63" s="536"/>
      <c r="M63" s="536"/>
      <c r="N63" s="536"/>
      <c r="O63" s="536"/>
      <c r="P63" s="537"/>
      <c r="Q63" s="209"/>
      <c r="R63" s="209"/>
      <c r="S63" s="535" t="s">
        <v>160</v>
      </c>
      <c r="T63" s="536"/>
      <c r="U63" s="536"/>
      <c r="V63" s="536"/>
      <c r="W63" s="536"/>
      <c r="X63" s="536"/>
      <c r="Y63" s="536"/>
      <c r="Z63" s="537"/>
    </row>
    <row r="64" spans="1:28">
      <c r="D64" s="538"/>
      <c r="E64" s="251"/>
      <c r="F64" s="251"/>
      <c r="G64" s="251"/>
      <c r="H64" s="251"/>
      <c r="I64" s="251"/>
      <c r="J64" s="539"/>
      <c r="K64" s="539"/>
      <c r="L64" s="539"/>
      <c r="M64" s="539"/>
      <c r="N64" s="539"/>
      <c r="O64" s="539"/>
      <c r="P64" s="540"/>
      <c r="Q64" s="209"/>
      <c r="R64" s="209"/>
      <c r="S64" s="538"/>
      <c r="T64" s="539"/>
      <c r="U64" s="539"/>
      <c r="V64" s="539"/>
      <c r="W64" s="539"/>
      <c r="X64" s="539"/>
      <c r="Y64" s="539"/>
      <c r="Z64" s="540"/>
    </row>
    <row r="65" spans="4:26">
      <c r="D65" s="538"/>
      <c r="E65" s="251"/>
      <c r="F65" s="251"/>
      <c r="G65" s="251"/>
      <c r="H65" s="251"/>
      <c r="I65" s="251"/>
      <c r="J65" s="539"/>
      <c r="K65" s="539"/>
      <c r="L65" s="539"/>
      <c r="M65" s="539"/>
      <c r="N65" s="539"/>
      <c r="O65" s="539"/>
      <c r="P65" s="540"/>
      <c r="Q65" s="209"/>
      <c r="R65" s="209"/>
      <c r="S65" s="538"/>
      <c r="T65" s="539"/>
      <c r="U65" s="539"/>
      <c r="V65" s="539"/>
      <c r="W65" s="539"/>
      <c r="X65" s="539"/>
      <c r="Y65" s="539"/>
      <c r="Z65" s="540"/>
    </row>
    <row r="66" spans="4:26">
      <c r="D66" s="541"/>
      <c r="E66" s="252"/>
      <c r="F66" s="252"/>
      <c r="G66" s="252"/>
      <c r="H66" s="252"/>
      <c r="I66" s="252"/>
      <c r="J66" s="542"/>
      <c r="K66" s="542"/>
      <c r="L66" s="542"/>
      <c r="M66" s="542"/>
      <c r="N66" s="542"/>
      <c r="O66" s="542"/>
      <c r="P66" s="543"/>
      <c r="Q66" s="209"/>
      <c r="R66" s="209"/>
      <c r="S66" s="541"/>
      <c r="T66" s="542"/>
      <c r="U66" s="542"/>
      <c r="V66" s="542"/>
      <c r="W66" s="542"/>
      <c r="X66" s="542"/>
      <c r="Y66" s="542"/>
      <c r="Z66" s="543"/>
    </row>
    <row r="67" spans="4:26">
      <c r="D67" s="209"/>
      <c r="E67" s="209"/>
      <c r="F67" s="209"/>
      <c r="G67" s="209"/>
      <c r="H67" s="209"/>
      <c r="I67" s="209"/>
      <c r="J67" s="209"/>
      <c r="K67" s="209"/>
      <c r="L67" s="209"/>
      <c r="M67" s="209"/>
      <c r="N67" s="209"/>
      <c r="O67" s="209"/>
      <c r="P67" s="209"/>
      <c r="Q67" s="209"/>
      <c r="R67" s="209"/>
      <c r="S67" s="209"/>
      <c r="T67" s="209"/>
      <c r="U67" s="209"/>
      <c r="V67" s="209"/>
      <c r="W67" s="209"/>
      <c r="X67" s="211"/>
      <c r="Y67" s="209"/>
      <c r="Z67" s="209"/>
    </row>
    <row r="68" spans="4:26">
      <c r="D68" s="209"/>
      <c r="E68" s="209"/>
      <c r="F68" s="209"/>
      <c r="G68" s="209"/>
      <c r="H68" s="209"/>
      <c r="I68" s="209"/>
      <c r="J68" s="209"/>
      <c r="K68" s="209"/>
      <c r="L68" s="209"/>
      <c r="M68" s="209"/>
      <c r="N68" s="209"/>
      <c r="O68" s="209"/>
      <c r="P68" s="209"/>
      <c r="Q68" s="209"/>
      <c r="R68" s="209"/>
      <c r="S68" s="209"/>
      <c r="T68" s="209"/>
      <c r="U68" s="209"/>
      <c r="V68" s="209"/>
      <c r="W68" s="209"/>
      <c r="X68" s="211"/>
      <c r="Y68" s="209"/>
      <c r="Z68" s="209"/>
    </row>
    <row r="69" spans="4:26">
      <c r="D69" s="209"/>
      <c r="E69" s="209"/>
      <c r="F69" s="209"/>
      <c r="G69" s="209"/>
      <c r="H69" s="209"/>
      <c r="I69" s="209"/>
      <c r="J69" s="209"/>
      <c r="K69" s="209"/>
      <c r="L69" s="209"/>
      <c r="M69" s="209"/>
      <c r="N69" s="209"/>
      <c r="O69" s="209"/>
      <c r="P69" s="209"/>
      <c r="Q69" s="209"/>
      <c r="R69" s="209"/>
      <c r="S69" s="209"/>
      <c r="T69" s="209"/>
      <c r="U69" s="209"/>
      <c r="V69" s="209"/>
      <c r="W69" s="209"/>
      <c r="X69" s="211"/>
      <c r="Y69" s="209"/>
      <c r="Z69" s="209"/>
    </row>
    <row r="70" spans="4:26">
      <c r="D70" s="209"/>
      <c r="E70" s="209"/>
      <c r="F70" s="209"/>
      <c r="G70" s="209"/>
      <c r="H70" s="209"/>
      <c r="I70" s="209"/>
      <c r="J70" s="209"/>
      <c r="K70" s="209"/>
      <c r="L70" s="209"/>
      <c r="M70" s="209"/>
      <c r="N70" s="209"/>
      <c r="O70" s="209"/>
      <c r="P70" s="209"/>
      <c r="Q70" s="209"/>
      <c r="R70" s="209"/>
      <c r="S70" s="209"/>
      <c r="T70" s="209"/>
      <c r="U70" s="209"/>
      <c r="V70" s="209"/>
      <c r="W70" s="209"/>
      <c r="X70" s="211"/>
      <c r="Y70" s="209"/>
      <c r="Z70" s="209"/>
    </row>
    <row r="71" spans="4:26">
      <c r="D71" s="535" t="s">
        <v>161</v>
      </c>
      <c r="E71" s="250"/>
      <c r="F71" s="250"/>
      <c r="G71" s="250"/>
      <c r="H71" s="250"/>
      <c r="I71" s="250"/>
      <c r="J71" s="536"/>
      <c r="K71" s="536"/>
      <c r="L71" s="536"/>
      <c r="M71" s="536"/>
      <c r="N71" s="536"/>
      <c r="O71" s="536"/>
      <c r="P71" s="537"/>
      <c r="Q71" s="209"/>
      <c r="R71" s="209"/>
      <c r="S71" s="209"/>
      <c r="T71" s="209"/>
      <c r="U71" s="209"/>
      <c r="V71" s="209"/>
      <c r="W71" s="209"/>
      <c r="X71" s="211"/>
      <c r="Y71" s="209"/>
      <c r="Z71" s="209"/>
    </row>
    <row r="72" spans="4:26">
      <c r="D72" s="538"/>
      <c r="E72" s="251"/>
      <c r="F72" s="251"/>
      <c r="G72" s="251"/>
      <c r="H72" s="251"/>
      <c r="I72" s="251"/>
      <c r="J72" s="539"/>
      <c r="K72" s="539"/>
      <c r="L72" s="539"/>
      <c r="M72" s="539"/>
      <c r="N72" s="539"/>
      <c r="O72" s="539"/>
      <c r="P72" s="540"/>
      <c r="Q72" s="209"/>
      <c r="R72" s="209"/>
      <c r="S72" s="209"/>
      <c r="T72" s="209"/>
      <c r="U72" s="209"/>
      <c r="V72" s="209"/>
      <c r="W72" s="209"/>
      <c r="X72" s="211"/>
      <c r="Y72" s="209"/>
      <c r="Z72" s="209"/>
    </row>
    <row r="73" spans="4:26">
      <c r="D73" s="538"/>
      <c r="E73" s="251"/>
      <c r="F73" s="251"/>
      <c r="G73" s="251"/>
      <c r="H73" s="251"/>
      <c r="I73" s="251"/>
      <c r="J73" s="539"/>
      <c r="K73" s="539"/>
      <c r="L73" s="539"/>
      <c r="M73" s="539"/>
      <c r="N73" s="539"/>
      <c r="O73" s="539"/>
      <c r="P73" s="540"/>
      <c r="Q73" s="209"/>
      <c r="R73" s="209"/>
      <c r="S73" s="209"/>
      <c r="T73" s="209"/>
      <c r="U73" s="209"/>
      <c r="V73" s="209"/>
      <c r="W73" s="209"/>
      <c r="X73" s="211"/>
      <c r="Y73" s="209"/>
      <c r="Z73" s="209"/>
    </row>
    <row r="74" spans="4:26">
      <c r="D74" s="541"/>
      <c r="E74" s="252"/>
      <c r="F74" s="252"/>
      <c r="G74" s="252"/>
      <c r="H74" s="252"/>
      <c r="I74" s="252"/>
      <c r="J74" s="542"/>
      <c r="K74" s="542"/>
      <c r="L74" s="542"/>
      <c r="M74" s="542"/>
      <c r="N74" s="542"/>
      <c r="O74" s="542"/>
      <c r="P74" s="543"/>
      <c r="Q74" s="209"/>
      <c r="R74" s="209"/>
      <c r="S74" s="209"/>
      <c r="T74" s="209"/>
      <c r="U74" s="209"/>
      <c r="V74" s="209"/>
      <c r="W74" s="209"/>
      <c r="X74" s="211"/>
      <c r="Y74" s="209"/>
      <c r="Z74" s="209"/>
    </row>
    <row r="75" spans="4:26">
      <c r="D75" s="209"/>
      <c r="E75" s="209"/>
      <c r="F75" s="209"/>
      <c r="G75" s="209"/>
      <c r="H75" s="209"/>
      <c r="I75" s="209"/>
      <c r="J75" s="209"/>
      <c r="K75" s="209"/>
      <c r="L75" s="209"/>
      <c r="M75" s="209"/>
      <c r="N75" s="209"/>
      <c r="O75" s="209"/>
      <c r="P75" s="209"/>
      <c r="Q75" s="209"/>
      <c r="R75" s="209"/>
      <c r="S75" s="209"/>
      <c r="T75" s="209"/>
      <c r="U75" s="209"/>
      <c r="V75" s="209"/>
      <c r="W75" s="209"/>
      <c r="X75" s="211"/>
      <c r="Y75" s="209"/>
      <c r="Z75" s="209"/>
    </row>
    <row r="76" spans="4:26">
      <c r="D76" s="209"/>
      <c r="E76" s="209"/>
      <c r="F76" s="209"/>
      <c r="G76" s="209"/>
      <c r="H76" s="209"/>
      <c r="I76" s="209"/>
      <c r="J76" s="209"/>
      <c r="K76" s="209"/>
      <c r="L76" s="209"/>
      <c r="M76" s="209"/>
      <c r="N76" s="209"/>
      <c r="O76" s="209"/>
      <c r="P76" s="209"/>
      <c r="Q76" s="209"/>
      <c r="R76" s="209"/>
      <c r="S76" s="209"/>
      <c r="T76" s="209"/>
      <c r="U76" s="209"/>
      <c r="V76" s="209"/>
      <c r="W76" s="209"/>
      <c r="X76" s="211"/>
      <c r="Y76" s="209"/>
      <c r="Z76" s="209"/>
    </row>
  </sheetData>
  <protectedRanges>
    <protectedRange sqref="A1:A2" name="Range1_5_1"/>
  </protectedRanges>
  <mergeCells count="38">
    <mergeCell ref="D71:D74"/>
    <mergeCell ref="J71:P74"/>
    <mergeCell ref="A44:A46"/>
    <mergeCell ref="B44:B46"/>
    <mergeCell ref="D55:D58"/>
    <mergeCell ref="J55:P58"/>
    <mergeCell ref="S55:Z58"/>
    <mergeCell ref="D63:D66"/>
    <mergeCell ref="J63:P66"/>
    <mergeCell ref="S63:Z66"/>
    <mergeCell ref="A35:A37"/>
    <mergeCell ref="B35:B37"/>
    <mergeCell ref="A38:A40"/>
    <mergeCell ref="B38:B40"/>
    <mergeCell ref="A41:A43"/>
    <mergeCell ref="B41:B43"/>
    <mergeCell ref="A26:A28"/>
    <mergeCell ref="B26:B28"/>
    <mergeCell ref="A29:A31"/>
    <mergeCell ref="B29:B31"/>
    <mergeCell ref="A32:A34"/>
    <mergeCell ref="B32:B34"/>
    <mergeCell ref="A17:A19"/>
    <mergeCell ref="B17:B19"/>
    <mergeCell ref="A20:A22"/>
    <mergeCell ref="B20:B22"/>
    <mergeCell ref="A23:A25"/>
    <mergeCell ref="B23:B25"/>
    <mergeCell ref="P10:S10"/>
    <mergeCell ref="T10:X10"/>
    <mergeCell ref="Y10:AB10"/>
    <mergeCell ref="A12:A13"/>
    <mergeCell ref="B12:B13"/>
    <mergeCell ref="A14:A16"/>
    <mergeCell ref="B14:B16"/>
    <mergeCell ref="A9:C9"/>
    <mergeCell ref="E10:I10"/>
    <mergeCell ref="J10:O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55"/>
  <sheetViews>
    <sheetView zoomScale="70" zoomScaleNormal="70" workbookViewId="0">
      <selection activeCell="J31" sqref="J31"/>
    </sheetView>
  </sheetViews>
  <sheetFormatPr defaultColWidth="9" defaultRowHeight="18"/>
  <cols>
    <col min="1" max="1" width="3.28515625" style="206" customWidth="1"/>
    <col min="2" max="2" width="5.28515625" style="206" customWidth="1"/>
    <col min="3" max="3" width="31.28515625" style="206" customWidth="1"/>
    <col min="4" max="4" width="7.85546875" style="206" customWidth="1"/>
    <col min="5" max="5" width="11" style="206" customWidth="1"/>
    <col min="6" max="6" width="7.85546875" style="206" customWidth="1"/>
    <col min="7" max="7" width="14.28515625" style="206" customWidth="1"/>
    <col min="8" max="8" width="8.28515625" style="206" customWidth="1"/>
    <col min="9" max="9" width="9.28515625" style="206" customWidth="1"/>
    <col min="10" max="10" width="11.28515625" style="206" customWidth="1"/>
    <col min="11" max="11" width="9.85546875" style="206" customWidth="1"/>
    <col min="12" max="12" width="9.7109375" style="206" customWidth="1"/>
    <col min="13" max="13" width="9.5703125" style="206" customWidth="1"/>
    <col min="14" max="14" width="9.85546875" style="206" customWidth="1"/>
    <col min="15" max="15" width="24.28515625" style="206" customWidth="1"/>
    <col min="16" max="16" width="10.28515625" style="206" customWidth="1"/>
    <col min="17" max="17" width="10.7109375" style="206" customWidth="1"/>
    <col min="18" max="18" width="10.28515625" style="206" customWidth="1"/>
    <col min="19" max="19" width="30.85546875" style="206" customWidth="1"/>
    <col min="20" max="256" width="9" style="206" customWidth="1"/>
    <col min="257" max="257" width="3.28515625" style="206" customWidth="1"/>
    <col min="258" max="258" width="5.28515625" style="206" customWidth="1"/>
    <col min="259" max="259" width="31.28515625" style="206" customWidth="1"/>
    <col min="260" max="260" width="4.28515625" style="206" customWidth="1"/>
    <col min="261" max="261" width="9.85546875" style="206" customWidth="1"/>
    <col min="262" max="262" width="7.85546875" style="206" customWidth="1"/>
    <col min="263" max="263" width="13" style="206" customWidth="1"/>
    <col min="264" max="264" width="7.28515625" style="206" customWidth="1"/>
    <col min="265" max="265" width="8.28515625" style="206" customWidth="1"/>
    <col min="266" max="266" width="11.28515625" style="206" customWidth="1"/>
    <col min="267" max="267" width="9" style="206" customWidth="1"/>
    <col min="268" max="268" width="9.7109375" style="206" customWidth="1"/>
    <col min="269" max="269" width="8.28515625" style="206" customWidth="1"/>
    <col min="270" max="270" width="9" style="206" customWidth="1"/>
    <col min="271" max="271" width="17.7109375" style="206" customWidth="1"/>
    <col min="272" max="272" width="10.28515625" style="206" customWidth="1"/>
    <col min="273" max="273" width="10.7109375" style="206" customWidth="1"/>
    <col min="274" max="274" width="10.28515625" style="206" customWidth="1"/>
    <col min="275" max="275" width="30.85546875" style="206" customWidth="1"/>
    <col min="276" max="512" width="9" style="206" customWidth="1"/>
    <col min="513" max="513" width="3.28515625" style="206" customWidth="1"/>
    <col min="514" max="514" width="5.28515625" style="206" customWidth="1"/>
    <col min="515" max="515" width="31.28515625" style="206" customWidth="1"/>
    <col min="516" max="516" width="4.28515625" style="206" customWidth="1"/>
    <col min="517" max="517" width="9.85546875" style="206" customWidth="1"/>
    <col min="518" max="518" width="7.85546875" style="206" customWidth="1"/>
    <col min="519" max="519" width="13" style="206" customWidth="1"/>
    <col min="520" max="520" width="7.28515625" style="206" customWidth="1"/>
    <col min="521" max="521" width="8.28515625" style="206" customWidth="1"/>
    <col min="522" max="522" width="11.28515625" style="206" customWidth="1"/>
    <col min="523" max="523" width="9" style="206" customWidth="1"/>
    <col min="524" max="524" width="9.7109375" style="206" customWidth="1"/>
    <col min="525" max="525" width="8.28515625" style="206" customWidth="1"/>
    <col min="526" max="526" width="9" style="206" customWidth="1"/>
    <col min="527" max="527" width="17.7109375" style="206" customWidth="1"/>
    <col min="528" max="528" width="10.28515625" style="206" customWidth="1"/>
    <col min="529" max="529" width="10.7109375" style="206" customWidth="1"/>
    <col min="530" max="530" width="10.28515625" style="206" customWidth="1"/>
    <col min="531" max="531" width="30.85546875" style="206" customWidth="1"/>
    <col min="532" max="768" width="9" style="206" customWidth="1"/>
    <col min="769" max="769" width="3.28515625" style="206" customWidth="1"/>
    <col min="770" max="770" width="5.28515625" style="206" customWidth="1"/>
    <col min="771" max="771" width="31.28515625" style="206" customWidth="1"/>
    <col min="772" max="772" width="4.28515625" style="206" customWidth="1"/>
    <col min="773" max="773" width="9.85546875" style="206" customWidth="1"/>
    <col min="774" max="774" width="7.85546875" style="206" customWidth="1"/>
    <col min="775" max="775" width="13" style="206" customWidth="1"/>
    <col min="776" max="776" width="7.28515625" style="206" customWidth="1"/>
    <col min="777" max="777" width="8.28515625" style="206" customWidth="1"/>
    <col min="778" max="778" width="11.28515625" style="206" customWidth="1"/>
    <col min="779" max="779" width="9" style="206" customWidth="1"/>
    <col min="780" max="780" width="9.7109375" style="206" customWidth="1"/>
    <col min="781" max="781" width="8.28515625" style="206" customWidth="1"/>
    <col min="782" max="782" width="9" style="206" customWidth="1"/>
    <col min="783" max="783" width="17.7109375" style="206" customWidth="1"/>
    <col min="784" max="784" width="10.28515625" style="206" customWidth="1"/>
    <col min="785" max="785" width="10.7109375" style="206" customWidth="1"/>
    <col min="786" max="786" width="10.28515625" style="206" customWidth="1"/>
    <col min="787" max="787" width="30.85546875" style="206" customWidth="1"/>
    <col min="788" max="1024" width="9" style="206" customWidth="1"/>
    <col min="1025" max="1025" width="3.28515625" style="206" customWidth="1"/>
    <col min="1026" max="1026" width="5.28515625" style="206" customWidth="1"/>
    <col min="1027" max="1027" width="31.28515625" style="206" customWidth="1"/>
    <col min="1028" max="1028" width="4.28515625" style="206" customWidth="1"/>
    <col min="1029" max="1029" width="9.85546875" style="206" customWidth="1"/>
    <col min="1030" max="1030" width="7.85546875" style="206" customWidth="1"/>
    <col min="1031" max="1031" width="13" style="206" customWidth="1"/>
    <col min="1032" max="1032" width="7.28515625" style="206" customWidth="1"/>
    <col min="1033" max="1033" width="8.28515625" style="206" customWidth="1"/>
    <col min="1034" max="1034" width="11.28515625" style="206" customWidth="1"/>
    <col min="1035" max="1035" width="9" style="206" customWidth="1"/>
    <col min="1036" max="1036" width="9.7109375" style="206" customWidth="1"/>
    <col min="1037" max="1037" width="8.28515625" style="206" customWidth="1"/>
    <col min="1038" max="1038" width="9" style="206" customWidth="1"/>
    <col min="1039" max="1039" width="17.7109375" style="206" customWidth="1"/>
    <col min="1040" max="1040" width="10.28515625" style="206" customWidth="1"/>
    <col min="1041" max="1041" width="10.7109375" style="206" customWidth="1"/>
    <col min="1042" max="1042" width="10.28515625" style="206" customWidth="1"/>
    <col min="1043" max="1043" width="30.85546875" style="206" customWidth="1"/>
    <col min="1044" max="1280" width="9" style="206" customWidth="1"/>
    <col min="1281" max="1281" width="3.28515625" style="206" customWidth="1"/>
    <col min="1282" max="1282" width="5.28515625" style="206" customWidth="1"/>
    <col min="1283" max="1283" width="31.28515625" style="206" customWidth="1"/>
    <col min="1284" max="1284" width="4.28515625" style="206" customWidth="1"/>
    <col min="1285" max="1285" width="9.85546875" style="206" customWidth="1"/>
    <col min="1286" max="1286" width="7.85546875" style="206" customWidth="1"/>
    <col min="1287" max="1287" width="13" style="206" customWidth="1"/>
    <col min="1288" max="1288" width="7.28515625" style="206" customWidth="1"/>
    <col min="1289" max="1289" width="8.28515625" style="206" customWidth="1"/>
    <col min="1290" max="1290" width="11.28515625" style="206" customWidth="1"/>
    <col min="1291" max="1291" width="9" style="206" customWidth="1"/>
    <col min="1292" max="1292" width="9.7109375" style="206" customWidth="1"/>
    <col min="1293" max="1293" width="8.28515625" style="206" customWidth="1"/>
    <col min="1294" max="1294" width="9" style="206" customWidth="1"/>
    <col min="1295" max="1295" width="17.7109375" style="206" customWidth="1"/>
    <col min="1296" max="1296" width="10.28515625" style="206" customWidth="1"/>
    <col min="1297" max="1297" width="10.7109375" style="206" customWidth="1"/>
    <col min="1298" max="1298" width="10.28515625" style="206" customWidth="1"/>
    <col min="1299" max="1299" width="30.85546875" style="206" customWidth="1"/>
    <col min="1300" max="1536" width="9" style="206" customWidth="1"/>
    <col min="1537" max="1537" width="3.28515625" style="206" customWidth="1"/>
    <col min="1538" max="1538" width="5.28515625" style="206" customWidth="1"/>
    <col min="1539" max="1539" width="31.28515625" style="206" customWidth="1"/>
    <col min="1540" max="1540" width="4.28515625" style="206" customWidth="1"/>
    <col min="1541" max="1541" width="9.85546875" style="206" customWidth="1"/>
    <col min="1542" max="1542" width="7.85546875" style="206" customWidth="1"/>
    <col min="1543" max="1543" width="13" style="206" customWidth="1"/>
    <col min="1544" max="1544" width="7.28515625" style="206" customWidth="1"/>
    <col min="1545" max="1545" width="8.28515625" style="206" customWidth="1"/>
    <col min="1546" max="1546" width="11.28515625" style="206" customWidth="1"/>
    <col min="1547" max="1547" width="9" style="206" customWidth="1"/>
    <col min="1548" max="1548" width="9.7109375" style="206" customWidth="1"/>
    <col min="1549" max="1549" width="8.28515625" style="206" customWidth="1"/>
    <col min="1550" max="1550" width="9" style="206" customWidth="1"/>
    <col min="1551" max="1551" width="17.7109375" style="206" customWidth="1"/>
    <col min="1552" max="1552" width="10.28515625" style="206" customWidth="1"/>
    <col min="1553" max="1553" width="10.7109375" style="206" customWidth="1"/>
    <col min="1554" max="1554" width="10.28515625" style="206" customWidth="1"/>
    <col min="1555" max="1555" width="30.85546875" style="206" customWidth="1"/>
    <col min="1556" max="1792" width="9" style="206" customWidth="1"/>
    <col min="1793" max="1793" width="3.28515625" style="206" customWidth="1"/>
    <col min="1794" max="1794" width="5.28515625" style="206" customWidth="1"/>
    <col min="1795" max="1795" width="31.28515625" style="206" customWidth="1"/>
    <col min="1796" max="1796" width="4.28515625" style="206" customWidth="1"/>
    <col min="1797" max="1797" width="9.85546875" style="206" customWidth="1"/>
    <col min="1798" max="1798" width="7.85546875" style="206" customWidth="1"/>
    <col min="1799" max="1799" width="13" style="206" customWidth="1"/>
    <col min="1800" max="1800" width="7.28515625" style="206" customWidth="1"/>
    <col min="1801" max="1801" width="8.28515625" style="206" customWidth="1"/>
    <col min="1802" max="1802" width="11.28515625" style="206" customWidth="1"/>
    <col min="1803" max="1803" width="9" style="206" customWidth="1"/>
    <col min="1804" max="1804" width="9.7109375" style="206" customWidth="1"/>
    <col min="1805" max="1805" width="8.28515625" style="206" customWidth="1"/>
    <col min="1806" max="1806" width="9" style="206" customWidth="1"/>
    <col min="1807" max="1807" width="17.7109375" style="206" customWidth="1"/>
    <col min="1808" max="1808" width="10.28515625" style="206" customWidth="1"/>
    <col min="1809" max="1809" width="10.7109375" style="206" customWidth="1"/>
    <col min="1810" max="1810" width="10.28515625" style="206" customWidth="1"/>
    <col min="1811" max="1811" width="30.85546875" style="206" customWidth="1"/>
    <col min="1812" max="2048" width="9" style="206" customWidth="1"/>
    <col min="2049" max="2049" width="3.28515625" style="206" customWidth="1"/>
    <col min="2050" max="2050" width="5.28515625" style="206" customWidth="1"/>
    <col min="2051" max="2051" width="31.28515625" style="206" customWidth="1"/>
    <col min="2052" max="2052" width="4.28515625" style="206" customWidth="1"/>
    <col min="2053" max="2053" width="9.85546875" style="206" customWidth="1"/>
    <col min="2054" max="2054" width="7.85546875" style="206" customWidth="1"/>
    <col min="2055" max="2055" width="13" style="206" customWidth="1"/>
    <col min="2056" max="2056" width="7.28515625" style="206" customWidth="1"/>
    <col min="2057" max="2057" width="8.28515625" style="206" customWidth="1"/>
    <col min="2058" max="2058" width="11.28515625" style="206" customWidth="1"/>
    <col min="2059" max="2059" width="9" style="206" customWidth="1"/>
    <col min="2060" max="2060" width="9.7109375" style="206" customWidth="1"/>
    <col min="2061" max="2061" width="8.28515625" style="206" customWidth="1"/>
    <col min="2062" max="2062" width="9" style="206" customWidth="1"/>
    <col min="2063" max="2063" width="17.7109375" style="206" customWidth="1"/>
    <col min="2064" max="2064" width="10.28515625" style="206" customWidth="1"/>
    <col min="2065" max="2065" width="10.7109375" style="206" customWidth="1"/>
    <col min="2066" max="2066" width="10.28515625" style="206" customWidth="1"/>
    <col min="2067" max="2067" width="30.85546875" style="206" customWidth="1"/>
    <col min="2068" max="2304" width="9" style="206" customWidth="1"/>
    <col min="2305" max="2305" width="3.28515625" style="206" customWidth="1"/>
    <col min="2306" max="2306" width="5.28515625" style="206" customWidth="1"/>
    <col min="2307" max="2307" width="31.28515625" style="206" customWidth="1"/>
    <col min="2308" max="2308" width="4.28515625" style="206" customWidth="1"/>
    <col min="2309" max="2309" width="9.85546875" style="206" customWidth="1"/>
    <col min="2310" max="2310" width="7.85546875" style="206" customWidth="1"/>
    <col min="2311" max="2311" width="13" style="206" customWidth="1"/>
    <col min="2312" max="2312" width="7.28515625" style="206" customWidth="1"/>
    <col min="2313" max="2313" width="8.28515625" style="206" customWidth="1"/>
    <col min="2314" max="2314" width="11.28515625" style="206" customWidth="1"/>
    <col min="2315" max="2315" width="9" style="206" customWidth="1"/>
    <col min="2316" max="2316" width="9.7109375" style="206" customWidth="1"/>
    <col min="2317" max="2317" width="8.28515625" style="206" customWidth="1"/>
    <col min="2318" max="2318" width="9" style="206" customWidth="1"/>
    <col min="2319" max="2319" width="17.7109375" style="206" customWidth="1"/>
    <col min="2320" max="2320" width="10.28515625" style="206" customWidth="1"/>
    <col min="2321" max="2321" width="10.7109375" style="206" customWidth="1"/>
    <col min="2322" max="2322" width="10.28515625" style="206" customWidth="1"/>
    <col min="2323" max="2323" width="30.85546875" style="206" customWidth="1"/>
    <col min="2324" max="2560" width="9" style="206" customWidth="1"/>
    <col min="2561" max="2561" width="3.28515625" style="206" customWidth="1"/>
    <col min="2562" max="2562" width="5.28515625" style="206" customWidth="1"/>
    <col min="2563" max="2563" width="31.28515625" style="206" customWidth="1"/>
    <col min="2564" max="2564" width="4.28515625" style="206" customWidth="1"/>
    <col min="2565" max="2565" width="9.85546875" style="206" customWidth="1"/>
    <col min="2566" max="2566" width="7.85546875" style="206" customWidth="1"/>
    <col min="2567" max="2567" width="13" style="206" customWidth="1"/>
    <col min="2568" max="2568" width="7.28515625" style="206" customWidth="1"/>
    <col min="2569" max="2569" width="8.28515625" style="206" customWidth="1"/>
    <col min="2570" max="2570" width="11.28515625" style="206" customWidth="1"/>
    <col min="2571" max="2571" width="9" style="206" customWidth="1"/>
    <col min="2572" max="2572" width="9.7109375" style="206" customWidth="1"/>
    <col min="2573" max="2573" width="8.28515625" style="206" customWidth="1"/>
    <col min="2574" max="2574" width="9" style="206" customWidth="1"/>
    <col min="2575" max="2575" width="17.7109375" style="206" customWidth="1"/>
    <col min="2576" max="2576" width="10.28515625" style="206" customWidth="1"/>
    <col min="2577" max="2577" width="10.7109375" style="206" customWidth="1"/>
    <col min="2578" max="2578" width="10.28515625" style="206" customWidth="1"/>
    <col min="2579" max="2579" width="30.85546875" style="206" customWidth="1"/>
    <col min="2580" max="2816" width="9" style="206" customWidth="1"/>
    <col min="2817" max="2817" width="3.28515625" style="206" customWidth="1"/>
    <col min="2818" max="2818" width="5.28515625" style="206" customWidth="1"/>
    <col min="2819" max="2819" width="31.28515625" style="206" customWidth="1"/>
    <col min="2820" max="2820" width="4.28515625" style="206" customWidth="1"/>
    <col min="2821" max="2821" width="9.85546875" style="206" customWidth="1"/>
    <col min="2822" max="2822" width="7.85546875" style="206" customWidth="1"/>
    <col min="2823" max="2823" width="13" style="206" customWidth="1"/>
    <col min="2824" max="2824" width="7.28515625" style="206" customWidth="1"/>
    <col min="2825" max="2825" width="8.28515625" style="206" customWidth="1"/>
    <col min="2826" max="2826" width="11.28515625" style="206" customWidth="1"/>
    <col min="2827" max="2827" width="9" style="206" customWidth="1"/>
    <col min="2828" max="2828" width="9.7109375" style="206" customWidth="1"/>
    <col min="2829" max="2829" width="8.28515625" style="206" customWidth="1"/>
    <col min="2830" max="2830" width="9" style="206" customWidth="1"/>
    <col min="2831" max="2831" width="17.7109375" style="206" customWidth="1"/>
    <col min="2832" max="2832" width="10.28515625" style="206" customWidth="1"/>
    <col min="2833" max="2833" width="10.7109375" style="206" customWidth="1"/>
    <col min="2834" max="2834" width="10.28515625" style="206" customWidth="1"/>
    <col min="2835" max="2835" width="30.85546875" style="206" customWidth="1"/>
    <col min="2836" max="3072" width="9" style="206" customWidth="1"/>
    <col min="3073" max="3073" width="3.28515625" style="206" customWidth="1"/>
    <col min="3074" max="3074" width="5.28515625" style="206" customWidth="1"/>
    <col min="3075" max="3075" width="31.28515625" style="206" customWidth="1"/>
    <col min="3076" max="3076" width="4.28515625" style="206" customWidth="1"/>
    <col min="3077" max="3077" width="9.85546875" style="206" customWidth="1"/>
    <col min="3078" max="3078" width="7.85546875" style="206" customWidth="1"/>
    <col min="3079" max="3079" width="13" style="206" customWidth="1"/>
    <col min="3080" max="3080" width="7.28515625" style="206" customWidth="1"/>
    <col min="3081" max="3081" width="8.28515625" style="206" customWidth="1"/>
    <col min="3082" max="3082" width="11.28515625" style="206" customWidth="1"/>
    <col min="3083" max="3083" width="9" style="206" customWidth="1"/>
    <col min="3084" max="3084" width="9.7109375" style="206" customWidth="1"/>
    <col min="3085" max="3085" width="8.28515625" style="206" customWidth="1"/>
    <col min="3086" max="3086" width="9" style="206" customWidth="1"/>
    <col min="3087" max="3087" width="17.7109375" style="206" customWidth="1"/>
    <col min="3088" max="3088" width="10.28515625" style="206" customWidth="1"/>
    <col min="3089" max="3089" width="10.7109375" style="206" customWidth="1"/>
    <col min="3090" max="3090" width="10.28515625" style="206" customWidth="1"/>
    <col min="3091" max="3091" width="30.85546875" style="206" customWidth="1"/>
    <col min="3092" max="3328" width="9" style="206" customWidth="1"/>
    <col min="3329" max="3329" width="3.28515625" style="206" customWidth="1"/>
    <col min="3330" max="3330" width="5.28515625" style="206" customWidth="1"/>
    <col min="3331" max="3331" width="31.28515625" style="206" customWidth="1"/>
    <col min="3332" max="3332" width="4.28515625" style="206" customWidth="1"/>
    <col min="3333" max="3333" width="9.85546875" style="206" customWidth="1"/>
    <col min="3334" max="3334" width="7.85546875" style="206" customWidth="1"/>
    <col min="3335" max="3335" width="13" style="206" customWidth="1"/>
    <col min="3336" max="3336" width="7.28515625" style="206" customWidth="1"/>
    <col min="3337" max="3337" width="8.28515625" style="206" customWidth="1"/>
    <col min="3338" max="3338" width="11.28515625" style="206" customWidth="1"/>
    <col min="3339" max="3339" width="9" style="206" customWidth="1"/>
    <col min="3340" max="3340" width="9.7109375" style="206" customWidth="1"/>
    <col min="3341" max="3341" width="8.28515625" style="206" customWidth="1"/>
    <col min="3342" max="3342" width="9" style="206" customWidth="1"/>
    <col min="3343" max="3343" width="17.7109375" style="206" customWidth="1"/>
    <col min="3344" max="3344" width="10.28515625" style="206" customWidth="1"/>
    <col min="3345" max="3345" width="10.7109375" style="206" customWidth="1"/>
    <col min="3346" max="3346" width="10.28515625" style="206" customWidth="1"/>
    <col min="3347" max="3347" width="30.85546875" style="206" customWidth="1"/>
    <col min="3348" max="3584" width="9" style="206" customWidth="1"/>
    <col min="3585" max="3585" width="3.28515625" style="206" customWidth="1"/>
    <col min="3586" max="3586" width="5.28515625" style="206" customWidth="1"/>
    <col min="3587" max="3587" width="31.28515625" style="206" customWidth="1"/>
    <col min="3588" max="3588" width="4.28515625" style="206" customWidth="1"/>
    <col min="3589" max="3589" width="9.85546875" style="206" customWidth="1"/>
    <col min="3590" max="3590" width="7.85546875" style="206" customWidth="1"/>
    <col min="3591" max="3591" width="13" style="206" customWidth="1"/>
    <col min="3592" max="3592" width="7.28515625" style="206" customWidth="1"/>
    <col min="3593" max="3593" width="8.28515625" style="206" customWidth="1"/>
    <col min="3594" max="3594" width="11.28515625" style="206" customWidth="1"/>
    <col min="3595" max="3595" width="9" style="206" customWidth="1"/>
    <col min="3596" max="3596" width="9.7109375" style="206" customWidth="1"/>
    <col min="3597" max="3597" width="8.28515625" style="206" customWidth="1"/>
    <col min="3598" max="3598" width="9" style="206" customWidth="1"/>
    <col min="3599" max="3599" width="17.7109375" style="206" customWidth="1"/>
    <col min="3600" max="3600" width="10.28515625" style="206" customWidth="1"/>
    <col min="3601" max="3601" width="10.7109375" style="206" customWidth="1"/>
    <col min="3602" max="3602" width="10.28515625" style="206" customWidth="1"/>
    <col min="3603" max="3603" width="30.85546875" style="206" customWidth="1"/>
    <col min="3604" max="3840" width="9" style="206" customWidth="1"/>
    <col min="3841" max="3841" width="3.28515625" style="206" customWidth="1"/>
    <col min="3842" max="3842" width="5.28515625" style="206" customWidth="1"/>
    <col min="3843" max="3843" width="31.28515625" style="206" customWidth="1"/>
    <col min="3844" max="3844" width="4.28515625" style="206" customWidth="1"/>
    <col min="3845" max="3845" width="9.85546875" style="206" customWidth="1"/>
    <col min="3846" max="3846" width="7.85546875" style="206" customWidth="1"/>
    <col min="3847" max="3847" width="13" style="206" customWidth="1"/>
    <col min="3848" max="3848" width="7.28515625" style="206" customWidth="1"/>
    <col min="3849" max="3849" width="8.28515625" style="206" customWidth="1"/>
    <col min="3850" max="3850" width="11.28515625" style="206" customWidth="1"/>
    <col min="3851" max="3851" width="9" style="206" customWidth="1"/>
    <col min="3852" max="3852" width="9.7109375" style="206" customWidth="1"/>
    <col min="3853" max="3853" width="8.28515625" style="206" customWidth="1"/>
    <col min="3854" max="3854" width="9" style="206" customWidth="1"/>
    <col min="3855" max="3855" width="17.7109375" style="206" customWidth="1"/>
    <col min="3856" max="3856" width="10.28515625" style="206" customWidth="1"/>
    <col min="3857" max="3857" width="10.7109375" style="206" customWidth="1"/>
    <col min="3858" max="3858" width="10.28515625" style="206" customWidth="1"/>
    <col min="3859" max="3859" width="30.85546875" style="206" customWidth="1"/>
    <col min="3860" max="4096" width="9" style="206" customWidth="1"/>
    <col min="4097" max="4097" width="3.28515625" style="206" customWidth="1"/>
    <col min="4098" max="4098" width="5.28515625" style="206" customWidth="1"/>
    <col min="4099" max="4099" width="31.28515625" style="206" customWidth="1"/>
    <col min="4100" max="4100" width="4.28515625" style="206" customWidth="1"/>
    <col min="4101" max="4101" width="9.85546875" style="206" customWidth="1"/>
    <col min="4102" max="4102" width="7.85546875" style="206" customWidth="1"/>
    <col min="4103" max="4103" width="13" style="206" customWidth="1"/>
    <col min="4104" max="4104" width="7.28515625" style="206" customWidth="1"/>
    <col min="4105" max="4105" width="8.28515625" style="206" customWidth="1"/>
    <col min="4106" max="4106" width="11.28515625" style="206" customWidth="1"/>
    <col min="4107" max="4107" width="9" style="206" customWidth="1"/>
    <col min="4108" max="4108" width="9.7109375" style="206" customWidth="1"/>
    <col min="4109" max="4109" width="8.28515625" style="206" customWidth="1"/>
    <col min="4110" max="4110" width="9" style="206" customWidth="1"/>
    <col min="4111" max="4111" width="17.7109375" style="206" customWidth="1"/>
    <col min="4112" max="4112" width="10.28515625" style="206" customWidth="1"/>
    <col min="4113" max="4113" width="10.7109375" style="206" customWidth="1"/>
    <col min="4114" max="4114" width="10.28515625" style="206" customWidth="1"/>
    <col min="4115" max="4115" width="30.85546875" style="206" customWidth="1"/>
    <col min="4116" max="4352" width="9" style="206" customWidth="1"/>
    <col min="4353" max="4353" width="3.28515625" style="206" customWidth="1"/>
    <col min="4354" max="4354" width="5.28515625" style="206" customWidth="1"/>
    <col min="4355" max="4355" width="31.28515625" style="206" customWidth="1"/>
    <col min="4356" max="4356" width="4.28515625" style="206" customWidth="1"/>
    <col min="4357" max="4357" width="9.85546875" style="206" customWidth="1"/>
    <col min="4358" max="4358" width="7.85546875" style="206" customWidth="1"/>
    <col min="4359" max="4359" width="13" style="206" customWidth="1"/>
    <col min="4360" max="4360" width="7.28515625" style="206" customWidth="1"/>
    <col min="4361" max="4361" width="8.28515625" style="206" customWidth="1"/>
    <col min="4362" max="4362" width="11.28515625" style="206" customWidth="1"/>
    <col min="4363" max="4363" width="9" style="206" customWidth="1"/>
    <col min="4364" max="4364" width="9.7109375" style="206" customWidth="1"/>
    <col min="4365" max="4365" width="8.28515625" style="206" customWidth="1"/>
    <col min="4366" max="4366" width="9" style="206" customWidth="1"/>
    <col min="4367" max="4367" width="17.7109375" style="206" customWidth="1"/>
    <col min="4368" max="4368" width="10.28515625" style="206" customWidth="1"/>
    <col min="4369" max="4369" width="10.7109375" style="206" customWidth="1"/>
    <col min="4370" max="4370" width="10.28515625" style="206" customWidth="1"/>
    <col min="4371" max="4371" width="30.85546875" style="206" customWidth="1"/>
    <col min="4372" max="4608" width="9" style="206" customWidth="1"/>
    <col min="4609" max="4609" width="3.28515625" style="206" customWidth="1"/>
    <col min="4610" max="4610" width="5.28515625" style="206" customWidth="1"/>
    <col min="4611" max="4611" width="31.28515625" style="206" customWidth="1"/>
    <col min="4612" max="4612" width="4.28515625" style="206" customWidth="1"/>
    <col min="4613" max="4613" width="9.85546875" style="206" customWidth="1"/>
    <col min="4614" max="4614" width="7.85546875" style="206" customWidth="1"/>
    <col min="4615" max="4615" width="13" style="206" customWidth="1"/>
    <col min="4616" max="4616" width="7.28515625" style="206" customWidth="1"/>
    <col min="4617" max="4617" width="8.28515625" style="206" customWidth="1"/>
    <col min="4618" max="4618" width="11.28515625" style="206" customWidth="1"/>
    <col min="4619" max="4619" width="9" style="206" customWidth="1"/>
    <col min="4620" max="4620" width="9.7109375" style="206" customWidth="1"/>
    <col min="4621" max="4621" width="8.28515625" style="206" customWidth="1"/>
    <col min="4622" max="4622" width="9" style="206" customWidth="1"/>
    <col min="4623" max="4623" width="17.7109375" style="206" customWidth="1"/>
    <col min="4624" max="4624" width="10.28515625" style="206" customWidth="1"/>
    <col min="4625" max="4625" width="10.7109375" style="206" customWidth="1"/>
    <col min="4626" max="4626" width="10.28515625" style="206" customWidth="1"/>
    <col min="4627" max="4627" width="30.85546875" style="206" customWidth="1"/>
    <col min="4628" max="4864" width="9" style="206" customWidth="1"/>
    <col min="4865" max="4865" width="3.28515625" style="206" customWidth="1"/>
    <col min="4866" max="4866" width="5.28515625" style="206" customWidth="1"/>
    <col min="4867" max="4867" width="31.28515625" style="206" customWidth="1"/>
    <col min="4868" max="4868" width="4.28515625" style="206" customWidth="1"/>
    <col min="4869" max="4869" width="9.85546875" style="206" customWidth="1"/>
    <col min="4870" max="4870" width="7.85546875" style="206" customWidth="1"/>
    <col min="4871" max="4871" width="13" style="206" customWidth="1"/>
    <col min="4872" max="4872" width="7.28515625" style="206" customWidth="1"/>
    <col min="4873" max="4873" width="8.28515625" style="206" customWidth="1"/>
    <col min="4874" max="4874" width="11.28515625" style="206" customWidth="1"/>
    <col min="4875" max="4875" width="9" style="206" customWidth="1"/>
    <col min="4876" max="4876" width="9.7109375" style="206" customWidth="1"/>
    <col min="4877" max="4877" width="8.28515625" style="206" customWidth="1"/>
    <col min="4878" max="4878" width="9" style="206" customWidth="1"/>
    <col min="4879" max="4879" width="17.7109375" style="206" customWidth="1"/>
    <col min="4880" max="4880" width="10.28515625" style="206" customWidth="1"/>
    <col min="4881" max="4881" width="10.7109375" style="206" customWidth="1"/>
    <col min="4882" max="4882" width="10.28515625" style="206" customWidth="1"/>
    <col min="4883" max="4883" width="30.85546875" style="206" customWidth="1"/>
    <col min="4884" max="5120" width="9" style="206" customWidth="1"/>
    <col min="5121" max="5121" width="3.28515625" style="206" customWidth="1"/>
    <col min="5122" max="5122" width="5.28515625" style="206" customWidth="1"/>
    <col min="5123" max="5123" width="31.28515625" style="206" customWidth="1"/>
    <col min="5124" max="5124" width="4.28515625" style="206" customWidth="1"/>
    <col min="5125" max="5125" width="9.85546875" style="206" customWidth="1"/>
    <col min="5126" max="5126" width="7.85546875" style="206" customWidth="1"/>
    <col min="5127" max="5127" width="13" style="206" customWidth="1"/>
    <col min="5128" max="5128" width="7.28515625" style="206" customWidth="1"/>
    <col min="5129" max="5129" width="8.28515625" style="206" customWidth="1"/>
    <col min="5130" max="5130" width="11.28515625" style="206" customWidth="1"/>
    <col min="5131" max="5131" width="9" style="206" customWidth="1"/>
    <col min="5132" max="5132" width="9.7109375" style="206" customWidth="1"/>
    <col min="5133" max="5133" width="8.28515625" style="206" customWidth="1"/>
    <col min="5134" max="5134" width="9" style="206" customWidth="1"/>
    <col min="5135" max="5135" width="17.7109375" style="206" customWidth="1"/>
    <col min="5136" max="5136" width="10.28515625" style="206" customWidth="1"/>
    <col min="5137" max="5137" width="10.7109375" style="206" customWidth="1"/>
    <col min="5138" max="5138" width="10.28515625" style="206" customWidth="1"/>
    <col min="5139" max="5139" width="30.85546875" style="206" customWidth="1"/>
    <col min="5140" max="5376" width="9" style="206" customWidth="1"/>
    <col min="5377" max="5377" width="3.28515625" style="206" customWidth="1"/>
    <col min="5378" max="5378" width="5.28515625" style="206" customWidth="1"/>
    <col min="5379" max="5379" width="31.28515625" style="206" customWidth="1"/>
    <col min="5380" max="5380" width="4.28515625" style="206" customWidth="1"/>
    <col min="5381" max="5381" width="9.85546875" style="206" customWidth="1"/>
    <col min="5382" max="5382" width="7.85546875" style="206" customWidth="1"/>
    <col min="5383" max="5383" width="13" style="206" customWidth="1"/>
    <col min="5384" max="5384" width="7.28515625" style="206" customWidth="1"/>
    <col min="5385" max="5385" width="8.28515625" style="206" customWidth="1"/>
    <col min="5386" max="5386" width="11.28515625" style="206" customWidth="1"/>
    <col min="5387" max="5387" width="9" style="206" customWidth="1"/>
    <col min="5388" max="5388" width="9.7109375" style="206" customWidth="1"/>
    <col min="5389" max="5389" width="8.28515625" style="206" customWidth="1"/>
    <col min="5390" max="5390" width="9" style="206" customWidth="1"/>
    <col min="5391" max="5391" width="17.7109375" style="206" customWidth="1"/>
    <col min="5392" max="5392" width="10.28515625" style="206" customWidth="1"/>
    <col min="5393" max="5393" width="10.7109375" style="206" customWidth="1"/>
    <col min="5394" max="5394" width="10.28515625" style="206" customWidth="1"/>
    <col min="5395" max="5395" width="30.85546875" style="206" customWidth="1"/>
    <col min="5396" max="5632" width="9" style="206" customWidth="1"/>
    <col min="5633" max="5633" width="3.28515625" style="206" customWidth="1"/>
    <col min="5634" max="5634" width="5.28515625" style="206" customWidth="1"/>
    <col min="5635" max="5635" width="31.28515625" style="206" customWidth="1"/>
    <col min="5636" max="5636" width="4.28515625" style="206" customWidth="1"/>
    <col min="5637" max="5637" width="9.85546875" style="206" customWidth="1"/>
    <col min="5638" max="5638" width="7.85546875" style="206" customWidth="1"/>
    <col min="5639" max="5639" width="13" style="206" customWidth="1"/>
    <col min="5640" max="5640" width="7.28515625" style="206" customWidth="1"/>
    <col min="5641" max="5641" width="8.28515625" style="206" customWidth="1"/>
    <col min="5642" max="5642" width="11.28515625" style="206" customWidth="1"/>
    <col min="5643" max="5643" width="9" style="206" customWidth="1"/>
    <col min="5644" max="5644" width="9.7109375" style="206" customWidth="1"/>
    <col min="5645" max="5645" width="8.28515625" style="206" customWidth="1"/>
    <col min="5646" max="5646" width="9" style="206" customWidth="1"/>
    <col min="5647" max="5647" width="17.7109375" style="206" customWidth="1"/>
    <col min="5648" max="5648" width="10.28515625" style="206" customWidth="1"/>
    <col min="5649" max="5649" width="10.7109375" style="206" customWidth="1"/>
    <col min="5650" max="5650" width="10.28515625" style="206" customWidth="1"/>
    <col min="5651" max="5651" width="30.85546875" style="206" customWidth="1"/>
    <col min="5652" max="5888" width="9" style="206" customWidth="1"/>
    <col min="5889" max="5889" width="3.28515625" style="206" customWidth="1"/>
    <col min="5890" max="5890" width="5.28515625" style="206" customWidth="1"/>
    <col min="5891" max="5891" width="31.28515625" style="206" customWidth="1"/>
    <col min="5892" max="5892" width="4.28515625" style="206" customWidth="1"/>
    <col min="5893" max="5893" width="9.85546875" style="206" customWidth="1"/>
    <col min="5894" max="5894" width="7.85546875" style="206" customWidth="1"/>
    <col min="5895" max="5895" width="13" style="206" customWidth="1"/>
    <col min="5896" max="5896" width="7.28515625" style="206" customWidth="1"/>
    <col min="5897" max="5897" width="8.28515625" style="206" customWidth="1"/>
    <col min="5898" max="5898" width="11.28515625" style="206" customWidth="1"/>
    <col min="5899" max="5899" width="9" style="206" customWidth="1"/>
    <col min="5900" max="5900" width="9.7109375" style="206" customWidth="1"/>
    <col min="5901" max="5901" width="8.28515625" style="206" customWidth="1"/>
    <col min="5902" max="5902" width="9" style="206" customWidth="1"/>
    <col min="5903" max="5903" width="17.7109375" style="206" customWidth="1"/>
    <col min="5904" max="5904" width="10.28515625" style="206" customWidth="1"/>
    <col min="5905" max="5905" width="10.7109375" style="206" customWidth="1"/>
    <col min="5906" max="5906" width="10.28515625" style="206" customWidth="1"/>
    <col min="5907" max="5907" width="30.85546875" style="206" customWidth="1"/>
    <col min="5908" max="6144" width="9" style="206" customWidth="1"/>
    <col min="6145" max="6145" width="3.28515625" style="206" customWidth="1"/>
    <col min="6146" max="6146" width="5.28515625" style="206" customWidth="1"/>
    <col min="6147" max="6147" width="31.28515625" style="206" customWidth="1"/>
    <col min="6148" max="6148" width="4.28515625" style="206" customWidth="1"/>
    <col min="6149" max="6149" width="9.85546875" style="206" customWidth="1"/>
    <col min="6150" max="6150" width="7.85546875" style="206" customWidth="1"/>
    <col min="6151" max="6151" width="13" style="206" customWidth="1"/>
    <col min="6152" max="6152" width="7.28515625" style="206" customWidth="1"/>
    <col min="6153" max="6153" width="8.28515625" style="206" customWidth="1"/>
    <col min="6154" max="6154" width="11.28515625" style="206" customWidth="1"/>
    <col min="6155" max="6155" width="9" style="206" customWidth="1"/>
    <col min="6156" max="6156" width="9.7109375" style="206" customWidth="1"/>
    <col min="6157" max="6157" width="8.28515625" style="206" customWidth="1"/>
    <col min="6158" max="6158" width="9" style="206" customWidth="1"/>
    <col min="6159" max="6159" width="17.7109375" style="206" customWidth="1"/>
    <col min="6160" max="6160" width="10.28515625" style="206" customWidth="1"/>
    <col min="6161" max="6161" width="10.7109375" style="206" customWidth="1"/>
    <col min="6162" max="6162" width="10.28515625" style="206" customWidth="1"/>
    <col min="6163" max="6163" width="30.85546875" style="206" customWidth="1"/>
    <col min="6164" max="6400" width="9" style="206" customWidth="1"/>
    <col min="6401" max="6401" width="3.28515625" style="206" customWidth="1"/>
    <col min="6402" max="6402" width="5.28515625" style="206" customWidth="1"/>
    <col min="6403" max="6403" width="31.28515625" style="206" customWidth="1"/>
    <col min="6404" max="6404" width="4.28515625" style="206" customWidth="1"/>
    <col min="6405" max="6405" width="9.85546875" style="206" customWidth="1"/>
    <col min="6406" max="6406" width="7.85546875" style="206" customWidth="1"/>
    <col min="6407" max="6407" width="13" style="206" customWidth="1"/>
    <col min="6408" max="6408" width="7.28515625" style="206" customWidth="1"/>
    <col min="6409" max="6409" width="8.28515625" style="206" customWidth="1"/>
    <col min="6410" max="6410" width="11.28515625" style="206" customWidth="1"/>
    <col min="6411" max="6411" width="9" style="206" customWidth="1"/>
    <col min="6412" max="6412" width="9.7109375" style="206" customWidth="1"/>
    <col min="6413" max="6413" width="8.28515625" style="206" customWidth="1"/>
    <col min="6414" max="6414" width="9" style="206" customWidth="1"/>
    <col min="6415" max="6415" width="17.7109375" style="206" customWidth="1"/>
    <col min="6416" max="6416" width="10.28515625" style="206" customWidth="1"/>
    <col min="6417" max="6417" width="10.7109375" style="206" customWidth="1"/>
    <col min="6418" max="6418" width="10.28515625" style="206" customWidth="1"/>
    <col min="6419" max="6419" width="30.85546875" style="206" customWidth="1"/>
    <col min="6420" max="6656" width="9" style="206" customWidth="1"/>
    <col min="6657" max="6657" width="3.28515625" style="206" customWidth="1"/>
    <col min="6658" max="6658" width="5.28515625" style="206" customWidth="1"/>
    <col min="6659" max="6659" width="31.28515625" style="206" customWidth="1"/>
    <col min="6660" max="6660" width="4.28515625" style="206" customWidth="1"/>
    <col min="6661" max="6661" width="9.85546875" style="206" customWidth="1"/>
    <col min="6662" max="6662" width="7.85546875" style="206" customWidth="1"/>
    <col min="6663" max="6663" width="13" style="206" customWidth="1"/>
    <col min="6664" max="6664" width="7.28515625" style="206" customWidth="1"/>
    <col min="6665" max="6665" width="8.28515625" style="206" customWidth="1"/>
    <col min="6666" max="6666" width="11.28515625" style="206" customWidth="1"/>
    <col min="6667" max="6667" width="9" style="206" customWidth="1"/>
    <col min="6668" max="6668" width="9.7109375" style="206" customWidth="1"/>
    <col min="6669" max="6669" width="8.28515625" style="206" customWidth="1"/>
    <col min="6670" max="6670" width="9" style="206" customWidth="1"/>
    <col min="6671" max="6671" width="17.7109375" style="206" customWidth="1"/>
    <col min="6672" max="6672" width="10.28515625" style="206" customWidth="1"/>
    <col min="6673" max="6673" width="10.7109375" style="206" customWidth="1"/>
    <col min="6674" max="6674" width="10.28515625" style="206" customWidth="1"/>
    <col min="6675" max="6675" width="30.85546875" style="206" customWidth="1"/>
    <col min="6676" max="6912" width="9" style="206" customWidth="1"/>
    <col min="6913" max="6913" width="3.28515625" style="206" customWidth="1"/>
    <col min="6914" max="6914" width="5.28515625" style="206" customWidth="1"/>
    <col min="6915" max="6915" width="31.28515625" style="206" customWidth="1"/>
    <col min="6916" max="6916" width="4.28515625" style="206" customWidth="1"/>
    <col min="6917" max="6917" width="9.85546875" style="206" customWidth="1"/>
    <col min="6918" max="6918" width="7.85546875" style="206" customWidth="1"/>
    <col min="6919" max="6919" width="13" style="206" customWidth="1"/>
    <col min="6920" max="6920" width="7.28515625" style="206" customWidth="1"/>
    <col min="6921" max="6921" width="8.28515625" style="206" customWidth="1"/>
    <col min="6922" max="6922" width="11.28515625" style="206" customWidth="1"/>
    <col min="6923" max="6923" width="9" style="206" customWidth="1"/>
    <col min="6924" max="6924" width="9.7109375" style="206" customWidth="1"/>
    <col min="6925" max="6925" width="8.28515625" style="206" customWidth="1"/>
    <col min="6926" max="6926" width="9" style="206" customWidth="1"/>
    <col min="6927" max="6927" width="17.7109375" style="206" customWidth="1"/>
    <col min="6928" max="6928" width="10.28515625" style="206" customWidth="1"/>
    <col min="6929" max="6929" width="10.7109375" style="206" customWidth="1"/>
    <col min="6930" max="6930" width="10.28515625" style="206" customWidth="1"/>
    <col min="6931" max="6931" width="30.85546875" style="206" customWidth="1"/>
    <col min="6932" max="7168" width="9" style="206" customWidth="1"/>
    <col min="7169" max="7169" width="3.28515625" style="206" customWidth="1"/>
    <col min="7170" max="7170" width="5.28515625" style="206" customWidth="1"/>
    <col min="7171" max="7171" width="31.28515625" style="206" customWidth="1"/>
    <col min="7172" max="7172" width="4.28515625" style="206" customWidth="1"/>
    <col min="7173" max="7173" width="9.85546875" style="206" customWidth="1"/>
    <col min="7174" max="7174" width="7.85546875" style="206" customWidth="1"/>
    <col min="7175" max="7175" width="13" style="206" customWidth="1"/>
    <col min="7176" max="7176" width="7.28515625" style="206" customWidth="1"/>
    <col min="7177" max="7177" width="8.28515625" style="206" customWidth="1"/>
    <col min="7178" max="7178" width="11.28515625" style="206" customWidth="1"/>
    <col min="7179" max="7179" width="9" style="206" customWidth="1"/>
    <col min="7180" max="7180" width="9.7109375" style="206" customWidth="1"/>
    <col min="7181" max="7181" width="8.28515625" style="206" customWidth="1"/>
    <col min="7182" max="7182" width="9" style="206" customWidth="1"/>
    <col min="7183" max="7183" width="17.7109375" style="206" customWidth="1"/>
    <col min="7184" max="7184" width="10.28515625" style="206" customWidth="1"/>
    <col min="7185" max="7185" width="10.7109375" style="206" customWidth="1"/>
    <col min="7186" max="7186" width="10.28515625" style="206" customWidth="1"/>
    <col min="7187" max="7187" width="30.85546875" style="206" customWidth="1"/>
    <col min="7188" max="7424" width="9" style="206" customWidth="1"/>
    <col min="7425" max="7425" width="3.28515625" style="206" customWidth="1"/>
    <col min="7426" max="7426" width="5.28515625" style="206" customWidth="1"/>
    <col min="7427" max="7427" width="31.28515625" style="206" customWidth="1"/>
    <col min="7428" max="7428" width="4.28515625" style="206" customWidth="1"/>
    <col min="7429" max="7429" width="9.85546875" style="206" customWidth="1"/>
    <col min="7430" max="7430" width="7.85546875" style="206" customWidth="1"/>
    <col min="7431" max="7431" width="13" style="206" customWidth="1"/>
    <col min="7432" max="7432" width="7.28515625" style="206" customWidth="1"/>
    <col min="7433" max="7433" width="8.28515625" style="206" customWidth="1"/>
    <col min="7434" max="7434" width="11.28515625" style="206" customWidth="1"/>
    <col min="7435" max="7435" width="9" style="206" customWidth="1"/>
    <col min="7436" max="7436" width="9.7109375" style="206" customWidth="1"/>
    <col min="7437" max="7437" width="8.28515625" style="206" customWidth="1"/>
    <col min="7438" max="7438" width="9" style="206" customWidth="1"/>
    <col min="7439" max="7439" width="17.7109375" style="206" customWidth="1"/>
    <col min="7440" max="7440" width="10.28515625" style="206" customWidth="1"/>
    <col min="7441" max="7441" width="10.7109375" style="206" customWidth="1"/>
    <col min="7442" max="7442" width="10.28515625" style="206" customWidth="1"/>
    <col min="7443" max="7443" width="30.85546875" style="206" customWidth="1"/>
    <col min="7444" max="7680" width="9" style="206" customWidth="1"/>
    <col min="7681" max="7681" width="3.28515625" style="206" customWidth="1"/>
    <col min="7682" max="7682" width="5.28515625" style="206" customWidth="1"/>
    <col min="7683" max="7683" width="31.28515625" style="206" customWidth="1"/>
    <col min="7684" max="7684" width="4.28515625" style="206" customWidth="1"/>
    <col min="7685" max="7685" width="9.85546875" style="206" customWidth="1"/>
    <col min="7686" max="7686" width="7.85546875" style="206" customWidth="1"/>
    <col min="7687" max="7687" width="13" style="206" customWidth="1"/>
    <col min="7688" max="7688" width="7.28515625" style="206" customWidth="1"/>
    <col min="7689" max="7689" width="8.28515625" style="206" customWidth="1"/>
    <col min="7690" max="7690" width="11.28515625" style="206" customWidth="1"/>
    <col min="7691" max="7691" width="9" style="206" customWidth="1"/>
    <col min="7692" max="7692" width="9.7109375" style="206" customWidth="1"/>
    <col min="7693" max="7693" width="8.28515625" style="206" customWidth="1"/>
    <col min="7694" max="7694" width="9" style="206" customWidth="1"/>
    <col min="7695" max="7695" width="17.7109375" style="206" customWidth="1"/>
    <col min="7696" max="7696" width="10.28515625" style="206" customWidth="1"/>
    <col min="7697" max="7697" width="10.7109375" style="206" customWidth="1"/>
    <col min="7698" max="7698" width="10.28515625" style="206" customWidth="1"/>
    <col min="7699" max="7699" width="30.85546875" style="206" customWidth="1"/>
    <col min="7700" max="7936" width="9" style="206" customWidth="1"/>
    <col min="7937" max="7937" width="3.28515625" style="206" customWidth="1"/>
    <col min="7938" max="7938" width="5.28515625" style="206" customWidth="1"/>
    <col min="7939" max="7939" width="31.28515625" style="206" customWidth="1"/>
    <col min="7940" max="7940" width="4.28515625" style="206" customWidth="1"/>
    <col min="7941" max="7941" width="9.85546875" style="206" customWidth="1"/>
    <col min="7942" max="7942" width="7.85546875" style="206" customWidth="1"/>
    <col min="7943" max="7943" width="13" style="206" customWidth="1"/>
    <col min="7944" max="7944" width="7.28515625" style="206" customWidth="1"/>
    <col min="7945" max="7945" width="8.28515625" style="206" customWidth="1"/>
    <col min="7946" max="7946" width="11.28515625" style="206" customWidth="1"/>
    <col min="7947" max="7947" width="9" style="206" customWidth="1"/>
    <col min="7948" max="7948" width="9.7109375" style="206" customWidth="1"/>
    <col min="7949" max="7949" width="8.28515625" style="206" customWidth="1"/>
    <col min="7950" max="7950" width="9" style="206" customWidth="1"/>
    <col min="7951" max="7951" width="17.7109375" style="206" customWidth="1"/>
    <col min="7952" max="7952" width="10.28515625" style="206" customWidth="1"/>
    <col min="7953" max="7953" width="10.7109375" style="206" customWidth="1"/>
    <col min="7954" max="7954" width="10.28515625" style="206" customWidth="1"/>
    <col min="7955" max="7955" width="30.85546875" style="206" customWidth="1"/>
    <col min="7956" max="8192" width="9" style="206" customWidth="1"/>
    <col min="8193" max="8193" width="3.28515625" style="206" customWidth="1"/>
    <col min="8194" max="8194" width="5.28515625" style="206" customWidth="1"/>
    <col min="8195" max="8195" width="31.28515625" style="206" customWidth="1"/>
    <col min="8196" max="8196" width="4.28515625" style="206" customWidth="1"/>
    <col min="8197" max="8197" width="9.85546875" style="206" customWidth="1"/>
    <col min="8198" max="8198" width="7.85546875" style="206" customWidth="1"/>
    <col min="8199" max="8199" width="13" style="206" customWidth="1"/>
    <col min="8200" max="8200" width="7.28515625" style="206" customWidth="1"/>
    <col min="8201" max="8201" width="8.28515625" style="206" customWidth="1"/>
    <col min="8202" max="8202" width="11.28515625" style="206" customWidth="1"/>
    <col min="8203" max="8203" width="9" style="206" customWidth="1"/>
    <col min="8204" max="8204" width="9.7109375" style="206" customWidth="1"/>
    <col min="8205" max="8205" width="8.28515625" style="206" customWidth="1"/>
    <col min="8206" max="8206" width="9" style="206" customWidth="1"/>
    <col min="8207" max="8207" width="17.7109375" style="206" customWidth="1"/>
    <col min="8208" max="8208" width="10.28515625" style="206" customWidth="1"/>
    <col min="8209" max="8209" width="10.7109375" style="206" customWidth="1"/>
    <col min="8210" max="8210" width="10.28515625" style="206" customWidth="1"/>
    <col min="8211" max="8211" width="30.85546875" style="206" customWidth="1"/>
    <col min="8212" max="8448" width="9" style="206" customWidth="1"/>
    <col min="8449" max="8449" width="3.28515625" style="206" customWidth="1"/>
    <col min="8450" max="8450" width="5.28515625" style="206" customWidth="1"/>
    <col min="8451" max="8451" width="31.28515625" style="206" customWidth="1"/>
    <col min="8452" max="8452" width="4.28515625" style="206" customWidth="1"/>
    <col min="8453" max="8453" width="9.85546875" style="206" customWidth="1"/>
    <col min="8454" max="8454" width="7.85546875" style="206" customWidth="1"/>
    <col min="8455" max="8455" width="13" style="206" customWidth="1"/>
    <col min="8456" max="8456" width="7.28515625" style="206" customWidth="1"/>
    <col min="8457" max="8457" width="8.28515625" style="206" customWidth="1"/>
    <col min="8458" max="8458" width="11.28515625" style="206" customWidth="1"/>
    <col min="8459" max="8459" width="9" style="206" customWidth="1"/>
    <col min="8460" max="8460" width="9.7109375" style="206" customWidth="1"/>
    <col min="8461" max="8461" width="8.28515625" style="206" customWidth="1"/>
    <col min="8462" max="8462" width="9" style="206" customWidth="1"/>
    <col min="8463" max="8463" width="17.7109375" style="206" customWidth="1"/>
    <col min="8464" max="8464" width="10.28515625" style="206" customWidth="1"/>
    <col min="8465" max="8465" width="10.7109375" style="206" customWidth="1"/>
    <col min="8466" max="8466" width="10.28515625" style="206" customWidth="1"/>
    <col min="8467" max="8467" width="30.85546875" style="206" customWidth="1"/>
    <col min="8468" max="8704" width="9" style="206" customWidth="1"/>
    <col min="8705" max="8705" width="3.28515625" style="206" customWidth="1"/>
    <col min="8706" max="8706" width="5.28515625" style="206" customWidth="1"/>
    <col min="8707" max="8707" width="31.28515625" style="206" customWidth="1"/>
    <col min="8708" max="8708" width="4.28515625" style="206" customWidth="1"/>
    <col min="8709" max="8709" width="9.85546875" style="206" customWidth="1"/>
    <col min="8710" max="8710" width="7.85546875" style="206" customWidth="1"/>
    <col min="8711" max="8711" width="13" style="206" customWidth="1"/>
    <col min="8712" max="8712" width="7.28515625" style="206" customWidth="1"/>
    <col min="8713" max="8713" width="8.28515625" style="206" customWidth="1"/>
    <col min="8714" max="8714" width="11.28515625" style="206" customWidth="1"/>
    <col min="8715" max="8715" width="9" style="206" customWidth="1"/>
    <col min="8716" max="8716" width="9.7109375" style="206" customWidth="1"/>
    <col min="8717" max="8717" width="8.28515625" style="206" customWidth="1"/>
    <col min="8718" max="8718" width="9" style="206" customWidth="1"/>
    <col min="8719" max="8719" width="17.7109375" style="206" customWidth="1"/>
    <col min="8720" max="8720" width="10.28515625" style="206" customWidth="1"/>
    <col min="8721" max="8721" width="10.7109375" style="206" customWidth="1"/>
    <col min="8722" max="8722" width="10.28515625" style="206" customWidth="1"/>
    <col min="8723" max="8723" width="30.85546875" style="206" customWidth="1"/>
    <col min="8724" max="8960" width="9" style="206" customWidth="1"/>
    <col min="8961" max="8961" width="3.28515625" style="206" customWidth="1"/>
    <col min="8962" max="8962" width="5.28515625" style="206" customWidth="1"/>
    <col min="8963" max="8963" width="31.28515625" style="206" customWidth="1"/>
    <col min="8964" max="8964" width="4.28515625" style="206" customWidth="1"/>
    <col min="8965" max="8965" width="9.85546875" style="206" customWidth="1"/>
    <col min="8966" max="8966" width="7.85546875" style="206" customWidth="1"/>
    <col min="8967" max="8967" width="13" style="206" customWidth="1"/>
    <col min="8968" max="8968" width="7.28515625" style="206" customWidth="1"/>
    <col min="8969" max="8969" width="8.28515625" style="206" customWidth="1"/>
    <col min="8970" max="8970" width="11.28515625" style="206" customWidth="1"/>
    <col min="8971" max="8971" width="9" style="206" customWidth="1"/>
    <col min="8972" max="8972" width="9.7109375" style="206" customWidth="1"/>
    <col min="8973" max="8973" width="8.28515625" style="206" customWidth="1"/>
    <col min="8974" max="8974" width="9" style="206" customWidth="1"/>
    <col min="8975" max="8975" width="17.7109375" style="206" customWidth="1"/>
    <col min="8976" max="8976" width="10.28515625" style="206" customWidth="1"/>
    <col min="8977" max="8977" width="10.7109375" style="206" customWidth="1"/>
    <col min="8978" max="8978" width="10.28515625" style="206" customWidth="1"/>
    <col min="8979" max="8979" width="30.85546875" style="206" customWidth="1"/>
    <col min="8980" max="9216" width="9" style="206" customWidth="1"/>
    <col min="9217" max="9217" width="3.28515625" style="206" customWidth="1"/>
    <col min="9218" max="9218" width="5.28515625" style="206" customWidth="1"/>
    <col min="9219" max="9219" width="31.28515625" style="206" customWidth="1"/>
    <col min="9220" max="9220" width="4.28515625" style="206" customWidth="1"/>
    <col min="9221" max="9221" width="9.85546875" style="206" customWidth="1"/>
    <col min="9222" max="9222" width="7.85546875" style="206" customWidth="1"/>
    <col min="9223" max="9223" width="13" style="206" customWidth="1"/>
    <col min="9224" max="9224" width="7.28515625" style="206" customWidth="1"/>
    <col min="9225" max="9225" width="8.28515625" style="206" customWidth="1"/>
    <col min="9226" max="9226" width="11.28515625" style="206" customWidth="1"/>
    <col min="9227" max="9227" width="9" style="206" customWidth="1"/>
    <col min="9228" max="9228" width="9.7109375" style="206" customWidth="1"/>
    <col min="9229" max="9229" width="8.28515625" style="206" customWidth="1"/>
    <col min="9230" max="9230" width="9" style="206" customWidth="1"/>
    <col min="9231" max="9231" width="17.7109375" style="206" customWidth="1"/>
    <col min="9232" max="9232" width="10.28515625" style="206" customWidth="1"/>
    <col min="9233" max="9233" width="10.7109375" style="206" customWidth="1"/>
    <col min="9234" max="9234" width="10.28515625" style="206" customWidth="1"/>
    <col min="9235" max="9235" width="30.85546875" style="206" customWidth="1"/>
    <col min="9236" max="9472" width="9" style="206" customWidth="1"/>
    <col min="9473" max="9473" width="3.28515625" style="206" customWidth="1"/>
    <col min="9474" max="9474" width="5.28515625" style="206" customWidth="1"/>
    <col min="9475" max="9475" width="31.28515625" style="206" customWidth="1"/>
    <col min="9476" max="9476" width="4.28515625" style="206" customWidth="1"/>
    <col min="9477" max="9477" width="9.85546875" style="206" customWidth="1"/>
    <col min="9478" max="9478" width="7.85546875" style="206" customWidth="1"/>
    <col min="9479" max="9479" width="13" style="206" customWidth="1"/>
    <col min="9480" max="9480" width="7.28515625" style="206" customWidth="1"/>
    <col min="9481" max="9481" width="8.28515625" style="206" customWidth="1"/>
    <col min="9482" max="9482" width="11.28515625" style="206" customWidth="1"/>
    <col min="9483" max="9483" width="9" style="206" customWidth="1"/>
    <col min="9484" max="9484" width="9.7109375" style="206" customWidth="1"/>
    <col min="9485" max="9485" width="8.28515625" style="206" customWidth="1"/>
    <col min="9486" max="9486" width="9" style="206" customWidth="1"/>
    <col min="9487" max="9487" width="17.7109375" style="206" customWidth="1"/>
    <col min="9488" max="9488" width="10.28515625" style="206" customWidth="1"/>
    <col min="9489" max="9489" width="10.7109375" style="206" customWidth="1"/>
    <col min="9490" max="9490" width="10.28515625" style="206" customWidth="1"/>
    <col min="9491" max="9491" width="30.85546875" style="206" customWidth="1"/>
    <col min="9492" max="9728" width="9" style="206" customWidth="1"/>
    <col min="9729" max="9729" width="3.28515625" style="206" customWidth="1"/>
    <col min="9730" max="9730" width="5.28515625" style="206" customWidth="1"/>
    <col min="9731" max="9731" width="31.28515625" style="206" customWidth="1"/>
    <col min="9732" max="9732" width="4.28515625" style="206" customWidth="1"/>
    <col min="9733" max="9733" width="9.85546875" style="206" customWidth="1"/>
    <col min="9734" max="9734" width="7.85546875" style="206" customWidth="1"/>
    <col min="9735" max="9735" width="13" style="206" customWidth="1"/>
    <col min="9736" max="9736" width="7.28515625" style="206" customWidth="1"/>
    <col min="9737" max="9737" width="8.28515625" style="206" customWidth="1"/>
    <col min="9738" max="9738" width="11.28515625" style="206" customWidth="1"/>
    <col min="9739" max="9739" width="9" style="206" customWidth="1"/>
    <col min="9740" max="9740" width="9.7109375" style="206" customWidth="1"/>
    <col min="9741" max="9741" width="8.28515625" style="206" customWidth="1"/>
    <col min="9742" max="9742" width="9" style="206" customWidth="1"/>
    <col min="9743" max="9743" width="17.7109375" style="206" customWidth="1"/>
    <col min="9744" max="9744" width="10.28515625" style="206" customWidth="1"/>
    <col min="9745" max="9745" width="10.7109375" style="206" customWidth="1"/>
    <col min="9746" max="9746" width="10.28515625" style="206" customWidth="1"/>
    <col min="9747" max="9747" width="30.85546875" style="206" customWidth="1"/>
    <col min="9748" max="9984" width="9" style="206" customWidth="1"/>
    <col min="9985" max="9985" width="3.28515625" style="206" customWidth="1"/>
    <col min="9986" max="9986" width="5.28515625" style="206" customWidth="1"/>
    <col min="9987" max="9987" width="31.28515625" style="206" customWidth="1"/>
    <col min="9988" max="9988" width="4.28515625" style="206" customWidth="1"/>
    <col min="9989" max="9989" width="9.85546875" style="206" customWidth="1"/>
    <col min="9990" max="9990" width="7.85546875" style="206" customWidth="1"/>
    <col min="9991" max="9991" width="13" style="206" customWidth="1"/>
    <col min="9992" max="9992" width="7.28515625" style="206" customWidth="1"/>
    <col min="9993" max="9993" width="8.28515625" style="206" customWidth="1"/>
    <col min="9994" max="9994" width="11.28515625" style="206" customWidth="1"/>
    <col min="9995" max="9995" width="9" style="206" customWidth="1"/>
    <col min="9996" max="9996" width="9.7109375" style="206" customWidth="1"/>
    <col min="9997" max="9997" width="8.28515625" style="206" customWidth="1"/>
    <col min="9998" max="9998" width="9" style="206" customWidth="1"/>
    <col min="9999" max="9999" width="17.7109375" style="206" customWidth="1"/>
    <col min="10000" max="10000" width="10.28515625" style="206" customWidth="1"/>
    <col min="10001" max="10001" width="10.7109375" style="206" customWidth="1"/>
    <col min="10002" max="10002" width="10.28515625" style="206" customWidth="1"/>
    <col min="10003" max="10003" width="30.85546875" style="206" customWidth="1"/>
    <col min="10004" max="10240" width="9" style="206" customWidth="1"/>
    <col min="10241" max="10241" width="3.28515625" style="206" customWidth="1"/>
    <col min="10242" max="10242" width="5.28515625" style="206" customWidth="1"/>
    <col min="10243" max="10243" width="31.28515625" style="206" customWidth="1"/>
    <col min="10244" max="10244" width="4.28515625" style="206" customWidth="1"/>
    <col min="10245" max="10245" width="9.85546875" style="206" customWidth="1"/>
    <col min="10246" max="10246" width="7.85546875" style="206" customWidth="1"/>
    <col min="10247" max="10247" width="13" style="206" customWidth="1"/>
    <col min="10248" max="10248" width="7.28515625" style="206" customWidth="1"/>
    <col min="10249" max="10249" width="8.28515625" style="206" customWidth="1"/>
    <col min="10250" max="10250" width="11.28515625" style="206" customWidth="1"/>
    <col min="10251" max="10251" width="9" style="206" customWidth="1"/>
    <col min="10252" max="10252" width="9.7109375" style="206" customWidth="1"/>
    <col min="10253" max="10253" width="8.28515625" style="206" customWidth="1"/>
    <col min="10254" max="10254" width="9" style="206" customWidth="1"/>
    <col min="10255" max="10255" width="17.7109375" style="206" customWidth="1"/>
    <col min="10256" max="10256" width="10.28515625" style="206" customWidth="1"/>
    <col min="10257" max="10257" width="10.7109375" style="206" customWidth="1"/>
    <col min="10258" max="10258" width="10.28515625" style="206" customWidth="1"/>
    <col min="10259" max="10259" width="30.85546875" style="206" customWidth="1"/>
    <col min="10260" max="10496" width="9" style="206" customWidth="1"/>
    <col min="10497" max="10497" width="3.28515625" style="206" customWidth="1"/>
    <col min="10498" max="10498" width="5.28515625" style="206" customWidth="1"/>
    <col min="10499" max="10499" width="31.28515625" style="206" customWidth="1"/>
    <col min="10500" max="10500" width="4.28515625" style="206" customWidth="1"/>
    <col min="10501" max="10501" width="9.85546875" style="206" customWidth="1"/>
    <col min="10502" max="10502" width="7.85546875" style="206" customWidth="1"/>
    <col min="10503" max="10503" width="13" style="206" customWidth="1"/>
    <col min="10504" max="10504" width="7.28515625" style="206" customWidth="1"/>
    <col min="10505" max="10505" width="8.28515625" style="206" customWidth="1"/>
    <col min="10506" max="10506" width="11.28515625" style="206" customWidth="1"/>
    <col min="10507" max="10507" width="9" style="206" customWidth="1"/>
    <col min="10508" max="10508" width="9.7109375" style="206" customWidth="1"/>
    <col min="10509" max="10509" width="8.28515625" style="206" customWidth="1"/>
    <col min="10510" max="10510" width="9" style="206" customWidth="1"/>
    <col min="10511" max="10511" width="17.7109375" style="206" customWidth="1"/>
    <col min="10512" max="10512" width="10.28515625" style="206" customWidth="1"/>
    <col min="10513" max="10513" width="10.7109375" style="206" customWidth="1"/>
    <col min="10514" max="10514" width="10.28515625" style="206" customWidth="1"/>
    <col min="10515" max="10515" width="30.85546875" style="206" customWidth="1"/>
    <col min="10516" max="10752" width="9" style="206" customWidth="1"/>
    <col min="10753" max="10753" width="3.28515625" style="206" customWidth="1"/>
    <col min="10754" max="10754" width="5.28515625" style="206" customWidth="1"/>
    <col min="10755" max="10755" width="31.28515625" style="206" customWidth="1"/>
    <col min="10756" max="10756" width="4.28515625" style="206" customWidth="1"/>
    <col min="10757" max="10757" width="9.85546875" style="206" customWidth="1"/>
    <col min="10758" max="10758" width="7.85546875" style="206" customWidth="1"/>
    <col min="10759" max="10759" width="13" style="206" customWidth="1"/>
    <col min="10760" max="10760" width="7.28515625" style="206" customWidth="1"/>
    <col min="10761" max="10761" width="8.28515625" style="206" customWidth="1"/>
    <col min="10762" max="10762" width="11.28515625" style="206" customWidth="1"/>
    <col min="10763" max="10763" width="9" style="206" customWidth="1"/>
    <col min="10764" max="10764" width="9.7109375" style="206" customWidth="1"/>
    <col min="10765" max="10765" width="8.28515625" style="206" customWidth="1"/>
    <col min="10766" max="10766" width="9" style="206" customWidth="1"/>
    <col min="10767" max="10767" width="17.7109375" style="206" customWidth="1"/>
    <col min="10768" max="10768" width="10.28515625" style="206" customWidth="1"/>
    <col min="10769" max="10769" width="10.7109375" style="206" customWidth="1"/>
    <col min="10770" max="10770" width="10.28515625" style="206" customWidth="1"/>
    <col min="10771" max="10771" width="30.85546875" style="206" customWidth="1"/>
    <col min="10772" max="11008" width="9" style="206" customWidth="1"/>
    <col min="11009" max="11009" width="3.28515625" style="206" customWidth="1"/>
    <col min="11010" max="11010" width="5.28515625" style="206" customWidth="1"/>
    <col min="11011" max="11011" width="31.28515625" style="206" customWidth="1"/>
    <col min="11012" max="11012" width="4.28515625" style="206" customWidth="1"/>
    <col min="11013" max="11013" width="9.85546875" style="206" customWidth="1"/>
    <col min="11014" max="11014" width="7.85546875" style="206" customWidth="1"/>
    <col min="11015" max="11015" width="13" style="206" customWidth="1"/>
    <col min="11016" max="11016" width="7.28515625" style="206" customWidth="1"/>
    <col min="11017" max="11017" width="8.28515625" style="206" customWidth="1"/>
    <col min="11018" max="11018" width="11.28515625" style="206" customWidth="1"/>
    <col min="11019" max="11019" width="9" style="206" customWidth="1"/>
    <col min="11020" max="11020" width="9.7109375" style="206" customWidth="1"/>
    <col min="11021" max="11021" width="8.28515625" style="206" customWidth="1"/>
    <col min="11022" max="11022" width="9" style="206" customWidth="1"/>
    <col min="11023" max="11023" width="17.7109375" style="206" customWidth="1"/>
    <col min="11024" max="11024" width="10.28515625" style="206" customWidth="1"/>
    <col min="11025" max="11025" width="10.7109375" style="206" customWidth="1"/>
    <col min="11026" max="11026" width="10.28515625" style="206" customWidth="1"/>
    <col min="11027" max="11027" width="30.85546875" style="206" customWidth="1"/>
    <col min="11028" max="11264" width="9" style="206" customWidth="1"/>
    <col min="11265" max="11265" width="3.28515625" style="206" customWidth="1"/>
    <col min="11266" max="11266" width="5.28515625" style="206" customWidth="1"/>
    <col min="11267" max="11267" width="31.28515625" style="206" customWidth="1"/>
    <col min="11268" max="11268" width="4.28515625" style="206" customWidth="1"/>
    <col min="11269" max="11269" width="9.85546875" style="206" customWidth="1"/>
    <col min="11270" max="11270" width="7.85546875" style="206" customWidth="1"/>
    <col min="11271" max="11271" width="13" style="206" customWidth="1"/>
    <col min="11272" max="11272" width="7.28515625" style="206" customWidth="1"/>
    <col min="11273" max="11273" width="8.28515625" style="206" customWidth="1"/>
    <col min="11274" max="11274" width="11.28515625" style="206" customWidth="1"/>
    <col min="11275" max="11275" width="9" style="206" customWidth="1"/>
    <col min="11276" max="11276" width="9.7109375" style="206" customWidth="1"/>
    <col min="11277" max="11277" width="8.28515625" style="206" customWidth="1"/>
    <col min="11278" max="11278" width="9" style="206" customWidth="1"/>
    <col min="11279" max="11279" width="17.7109375" style="206" customWidth="1"/>
    <col min="11280" max="11280" width="10.28515625" style="206" customWidth="1"/>
    <col min="11281" max="11281" width="10.7109375" style="206" customWidth="1"/>
    <col min="11282" max="11282" width="10.28515625" style="206" customWidth="1"/>
    <col min="11283" max="11283" width="30.85546875" style="206" customWidth="1"/>
    <col min="11284" max="11520" width="9" style="206" customWidth="1"/>
    <col min="11521" max="11521" width="3.28515625" style="206" customWidth="1"/>
    <col min="11522" max="11522" width="5.28515625" style="206" customWidth="1"/>
    <col min="11523" max="11523" width="31.28515625" style="206" customWidth="1"/>
    <col min="11524" max="11524" width="4.28515625" style="206" customWidth="1"/>
    <col min="11525" max="11525" width="9.85546875" style="206" customWidth="1"/>
    <col min="11526" max="11526" width="7.85546875" style="206" customWidth="1"/>
    <col min="11527" max="11527" width="13" style="206" customWidth="1"/>
    <col min="11528" max="11528" width="7.28515625" style="206" customWidth="1"/>
    <col min="11529" max="11529" width="8.28515625" style="206" customWidth="1"/>
    <col min="11530" max="11530" width="11.28515625" style="206" customWidth="1"/>
    <col min="11531" max="11531" width="9" style="206" customWidth="1"/>
    <col min="11532" max="11532" width="9.7109375" style="206" customWidth="1"/>
    <col min="11533" max="11533" width="8.28515625" style="206" customWidth="1"/>
    <col min="11534" max="11534" width="9" style="206" customWidth="1"/>
    <col min="11535" max="11535" width="17.7109375" style="206" customWidth="1"/>
    <col min="11536" max="11536" width="10.28515625" style="206" customWidth="1"/>
    <col min="11537" max="11537" width="10.7109375" style="206" customWidth="1"/>
    <col min="11538" max="11538" width="10.28515625" style="206" customWidth="1"/>
    <col min="11539" max="11539" width="30.85546875" style="206" customWidth="1"/>
    <col min="11540" max="11776" width="9" style="206" customWidth="1"/>
    <col min="11777" max="11777" width="3.28515625" style="206" customWidth="1"/>
    <col min="11778" max="11778" width="5.28515625" style="206" customWidth="1"/>
    <col min="11779" max="11779" width="31.28515625" style="206" customWidth="1"/>
    <col min="11780" max="11780" width="4.28515625" style="206" customWidth="1"/>
    <col min="11781" max="11781" width="9.85546875" style="206" customWidth="1"/>
    <col min="11782" max="11782" width="7.85546875" style="206" customWidth="1"/>
    <col min="11783" max="11783" width="13" style="206" customWidth="1"/>
    <col min="11784" max="11784" width="7.28515625" style="206" customWidth="1"/>
    <col min="11785" max="11785" width="8.28515625" style="206" customWidth="1"/>
    <col min="11786" max="11786" width="11.28515625" style="206" customWidth="1"/>
    <col min="11787" max="11787" width="9" style="206" customWidth="1"/>
    <col min="11788" max="11788" width="9.7109375" style="206" customWidth="1"/>
    <col min="11789" max="11789" width="8.28515625" style="206" customWidth="1"/>
    <col min="11790" max="11790" width="9" style="206" customWidth="1"/>
    <col min="11791" max="11791" width="17.7109375" style="206" customWidth="1"/>
    <col min="11792" max="11792" width="10.28515625" style="206" customWidth="1"/>
    <col min="11793" max="11793" width="10.7109375" style="206" customWidth="1"/>
    <col min="11794" max="11794" width="10.28515625" style="206" customWidth="1"/>
    <col min="11795" max="11795" width="30.85546875" style="206" customWidth="1"/>
    <col min="11796" max="12032" width="9" style="206" customWidth="1"/>
    <col min="12033" max="12033" width="3.28515625" style="206" customWidth="1"/>
    <col min="12034" max="12034" width="5.28515625" style="206" customWidth="1"/>
    <col min="12035" max="12035" width="31.28515625" style="206" customWidth="1"/>
    <col min="12036" max="12036" width="4.28515625" style="206" customWidth="1"/>
    <col min="12037" max="12037" width="9.85546875" style="206" customWidth="1"/>
    <col min="12038" max="12038" width="7.85546875" style="206" customWidth="1"/>
    <col min="12039" max="12039" width="13" style="206" customWidth="1"/>
    <col min="12040" max="12040" width="7.28515625" style="206" customWidth="1"/>
    <col min="12041" max="12041" width="8.28515625" style="206" customWidth="1"/>
    <col min="12042" max="12042" width="11.28515625" style="206" customWidth="1"/>
    <col min="12043" max="12043" width="9" style="206" customWidth="1"/>
    <col min="12044" max="12044" width="9.7109375" style="206" customWidth="1"/>
    <col min="12045" max="12045" width="8.28515625" style="206" customWidth="1"/>
    <col min="12046" max="12046" width="9" style="206" customWidth="1"/>
    <col min="12047" max="12047" width="17.7109375" style="206" customWidth="1"/>
    <col min="12048" max="12048" width="10.28515625" style="206" customWidth="1"/>
    <col min="12049" max="12049" width="10.7109375" style="206" customWidth="1"/>
    <col min="12050" max="12050" width="10.28515625" style="206" customWidth="1"/>
    <col min="12051" max="12051" width="30.85546875" style="206" customWidth="1"/>
    <col min="12052" max="12288" width="9" style="206" customWidth="1"/>
    <col min="12289" max="12289" width="3.28515625" style="206" customWidth="1"/>
    <col min="12290" max="12290" width="5.28515625" style="206" customWidth="1"/>
    <col min="12291" max="12291" width="31.28515625" style="206" customWidth="1"/>
    <col min="12292" max="12292" width="4.28515625" style="206" customWidth="1"/>
    <col min="12293" max="12293" width="9.85546875" style="206" customWidth="1"/>
    <col min="12294" max="12294" width="7.85546875" style="206" customWidth="1"/>
    <col min="12295" max="12295" width="13" style="206" customWidth="1"/>
    <col min="12296" max="12296" width="7.28515625" style="206" customWidth="1"/>
    <col min="12297" max="12297" width="8.28515625" style="206" customWidth="1"/>
    <col min="12298" max="12298" width="11.28515625" style="206" customWidth="1"/>
    <col min="12299" max="12299" width="9" style="206" customWidth="1"/>
    <col min="12300" max="12300" width="9.7109375" style="206" customWidth="1"/>
    <col min="12301" max="12301" width="8.28515625" style="206" customWidth="1"/>
    <col min="12302" max="12302" width="9" style="206" customWidth="1"/>
    <col min="12303" max="12303" width="17.7109375" style="206" customWidth="1"/>
    <col min="12304" max="12304" width="10.28515625" style="206" customWidth="1"/>
    <col min="12305" max="12305" width="10.7109375" style="206" customWidth="1"/>
    <col min="12306" max="12306" width="10.28515625" style="206" customWidth="1"/>
    <col min="12307" max="12307" width="30.85546875" style="206" customWidth="1"/>
    <col min="12308" max="12544" width="9" style="206" customWidth="1"/>
    <col min="12545" max="12545" width="3.28515625" style="206" customWidth="1"/>
    <col min="12546" max="12546" width="5.28515625" style="206" customWidth="1"/>
    <col min="12547" max="12547" width="31.28515625" style="206" customWidth="1"/>
    <col min="12548" max="12548" width="4.28515625" style="206" customWidth="1"/>
    <col min="12549" max="12549" width="9.85546875" style="206" customWidth="1"/>
    <col min="12550" max="12550" width="7.85546875" style="206" customWidth="1"/>
    <col min="12551" max="12551" width="13" style="206" customWidth="1"/>
    <col min="12552" max="12552" width="7.28515625" style="206" customWidth="1"/>
    <col min="12553" max="12553" width="8.28515625" style="206" customWidth="1"/>
    <col min="12554" max="12554" width="11.28515625" style="206" customWidth="1"/>
    <col min="12555" max="12555" width="9" style="206" customWidth="1"/>
    <col min="12556" max="12556" width="9.7109375" style="206" customWidth="1"/>
    <col min="12557" max="12557" width="8.28515625" style="206" customWidth="1"/>
    <col min="12558" max="12558" width="9" style="206" customWidth="1"/>
    <col min="12559" max="12559" width="17.7109375" style="206" customWidth="1"/>
    <col min="12560" max="12560" width="10.28515625" style="206" customWidth="1"/>
    <col min="12561" max="12561" width="10.7109375" style="206" customWidth="1"/>
    <col min="12562" max="12562" width="10.28515625" style="206" customWidth="1"/>
    <col min="12563" max="12563" width="30.85546875" style="206" customWidth="1"/>
    <col min="12564" max="12800" width="9" style="206" customWidth="1"/>
    <col min="12801" max="12801" width="3.28515625" style="206" customWidth="1"/>
    <col min="12802" max="12802" width="5.28515625" style="206" customWidth="1"/>
    <col min="12803" max="12803" width="31.28515625" style="206" customWidth="1"/>
    <col min="12804" max="12804" width="4.28515625" style="206" customWidth="1"/>
    <col min="12805" max="12805" width="9.85546875" style="206" customWidth="1"/>
    <col min="12806" max="12806" width="7.85546875" style="206" customWidth="1"/>
    <col min="12807" max="12807" width="13" style="206" customWidth="1"/>
    <col min="12808" max="12808" width="7.28515625" style="206" customWidth="1"/>
    <col min="12809" max="12809" width="8.28515625" style="206" customWidth="1"/>
    <col min="12810" max="12810" width="11.28515625" style="206" customWidth="1"/>
    <col min="12811" max="12811" width="9" style="206" customWidth="1"/>
    <col min="12812" max="12812" width="9.7109375" style="206" customWidth="1"/>
    <col min="12813" max="12813" width="8.28515625" style="206" customWidth="1"/>
    <col min="12814" max="12814" width="9" style="206" customWidth="1"/>
    <col min="12815" max="12815" width="17.7109375" style="206" customWidth="1"/>
    <col min="12816" max="12816" width="10.28515625" style="206" customWidth="1"/>
    <col min="12817" max="12817" width="10.7109375" style="206" customWidth="1"/>
    <col min="12818" max="12818" width="10.28515625" style="206" customWidth="1"/>
    <col min="12819" max="12819" width="30.85546875" style="206" customWidth="1"/>
    <col min="12820" max="13056" width="9" style="206" customWidth="1"/>
    <col min="13057" max="13057" width="3.28515625" style="206" customWidth="1"/>
    <col min="13058" max="13058" width="5.28515625" style="206" customWidth="1"/>
    <col min="13059" max="13059" width="31.28515625" style="206" customWidth="1"/>
    <col min="13060" max="13060" width="4.28515625" style="206" customWidth="1"/>
    <col min="13061" max="13061" width="9.85546875" style="206" customWidth="1"/>
    <col min="13062" max="13062" width="7.85546875" style="206" customWidth="1"/>
    <col min="13063" max="13063" width="13" style="206" customWidth="1"/>
    <col min="13064" max="13064" width="7.28515625" style="206" customWidth="1"/>
    <col min="13065" max="13065" width="8.28515625" style="206" customWidth="1"/>
    <col min="13066" max="13066" width="11.28515625" style="206" customWidth="1"/>
    <col min="13067" max="13067" width="9" style="206" customWidth="1"/>
    <col min="13068" max="13068" width="9.7109375" style="206" customWidth="1"/>
    <col min="13069" max="13069" width="8.28515625" style="206" customWidth="1"/>
    <col min="13070" max="13070" width="9" style="206" customWidth="1"/>
    <col min="13071" max="13071" width="17.7109375" style="206" customWidth="1"/>
    <col min="13072" max="13072" width="10.28515625" style="206" customWidth="1"/>
    <col min="13073" max="13073" width="10.7109375" style="206" customWidth="1"/>
    <col min="13074" max="13074" width="10.28515625" style="206" customWidth="1"/>
    <col min="13075" max="13075" width="30.85546875" style="206" customWidth="1"/>
    <col min="13076" max="13312" width="9" style="206" customWidth="1"/>
    <col min="13313" max="13313" width="3.28515625" style="206" customWidth="1"/>
    <col min="13314" max="13314" width="5.28515625" style="206" customWidth="1"/>
    <col min="13315" max="13315" width="31.28515625" style="206" customWidth="1"/>
    <col min="13316" max="13316" width="4.28515625" style="206" customWidth="1"/>
    <col min="13317" max="13317" width="9.85546875" style="206" customWidth="1"/>
    <col min="13318" max="13318" width="7.85546875" style="206" customWidth="1"/>
    <col min="13319" max="13319" width="13" style="206" customWidth="1"/>
    <col min="13320" max="13320" width="7.28515625" style="206" customWidth="1"/>
    <col min="13321" max="13321" width="8.28515625" style="206" customWidth="1"/>
    <col min="13322" max="13322" width="11.28515625" style="206" customWidth="1"/>
    <col min="13323" max="13323" width="9" style="206" customWidth="1"/>
    <col min="13324" max="13324" width="9.7109375" style="206" customWidth="1"/>
    <col min="13325" max="13325" width="8.28515625" style="206" customWidth="1"/>
    <col min="13326" max="13326" width="9" style="206" customWidth="1"/>
    <col min="13327" max="13327" width="17.7109375" style="206" customWidth="1"/>
    <col min="13328" max="13328" width="10.28515625" style="206" customWidth="1"/>
    <col min="13329" max="13329" width="10.7109375" style="206" customWidth="1"/>
    <col min="13330" max="13330" width="10.28515625" style="206" customWidth="1"/>
    <col min="13331" max="13331" width="30.85546875" style="206" customWidth="1"/>
    <col min="13332" max="13568" width="9" style="206" customWidth="1"/>
    <col min="13569" max="13569" width="3.28515625" style="206" customWidth="1"/>
    <col min="13570" max="13570" width="5.28515625" style="206" customWidth="1"/>
    <col min="13571" max="13571" width="31.28515625" style="206" customWidth="1"/>
    <col min="13572" max="13572" width="4.28515625" style="206" customWidth="1"/>
    <col min="13573" max="13573" width="9.85546875" style="206" customWidth="1"/>
    <col min="13574" max="13574" width="7.85546875" style="206" customWidth="1"/>
    <col min="13575" max="13575" width="13" style="206" customWidth="1"/>
    <col min="13576" max="13576" width="7.28515625" style="206" customWidth="1"/>
    <col min="13577" max="13577" width="8.28515625" style="206" customWidth="1"/>
    <col min="13578" max="13578" width="11.28515625" style="206" customWidth="1"/>
    <col min="13579" max="13579" width="9" style="206" customWidth="1"/>
    <col min="13580" max="13580" width="9.7109375" style="206" customWidth="1"/>
    <col min="13581" max="13581" width="8.28515625" style="206" customWidth="1"/>
    <col min="13582" max="13582" width="9" style="206" customWidth="1"/>
    <col min="13583" max="13583" width="17.7109375" style="206" customWidth="1"/>
    <col min="13584" max="13584" width="10.28515625" style="206" customWidth="1"/>
    <col min="13585" max="13585" width="10.7109375" style="206" customWidth="1"/>
    <col min="13586" max="13586" width="10.28515625" style="206" customWidth="1"/>
    <col min="13587" max="13587" width="30.85546875" style="206" customWidth="1"/>
    <col min="13588" max="13824" width="9" style="206" customWidth="1"/>
    <col min="13825" max="13825" width="3.28515625" style="206" customWidth="1"/>
    <col min="13826" max="13826" width="5.28515625" style="206" customWidth="1"/>
    <col min="13827" max="13827" width="31.28515625" style="206" customWidth="1"/>
    <col min="13828" max="13828" width="4.28515625" style="206" customWidth="1"/>
    <col min="13829" max="13829" width="9.85546875" style="206" customWidth="1"/>
    <col min="13830" max="13830" width="7.85546875" style="206" customWidth="1"/>
    <col min="13831" max="13831" width="13" style="206" customWidth="1"/>
    <col min="13832" max="13832" width="7.28515625" style="206" customWidth="1"/>
    <col min="13833" max="13833" width="8.28515625" style="206" customWidth="1"/>
    <col min="13834" max="13834" width="11.28515625" style="206" customWidth="1"/>
    <col min="13835" max="13835" width="9" style="206" customWidth="1"/>
    <col min="13836" max="13836" width="9.7109375" style="206" customWidth="1"/>
    <col min="13837" max="13837" width="8.28515625" style="206" customWidth="1"/>
    <col min="13838" max="13838" width="9" style="206" customWidth="1"/>
    <col min="13839" max="13839" width="17.7109375" style="206" customWidth="1"/>
    <col min="13840" max="13840" width="10.28515625" style="206" customWidth="1"/>
    <col min="13841" max="13841" width="10.7109375" style="206" customWidth="1"/>
    <col min="13842" max="13842" width="10.28515625" style="206" customWidth="1"/>
    <col min="13843" max="13843" width="30.85546875" style="206" customWidth="1"/>
    <col min="13844" max="14080" width="9" style="206" customWidth="1"/>
    <col min="14081" max="14081" width="3.28515625" style="206" customWidth="1"/>
    <col min="14082" max="14082" width="5.28515625" style="206" customWidth="1"/>
    <col min="14083" max="14083" width="31.28515625" style="206" customWidth="1"/>
    <col min="14084" max="14084" width="4.28515625" style="206" customWidth="1"/>
    <col min="14085" max="14085" width="9.85546875" style="206" customWidth="1"/>
    <col min="14086" max="14086" width="7.85546875" style="206" customWidth="1"/>
    <col min="14087" max="14087" width="13" style="206" customWidth="1"/>
    <col min="14088" max="14088" width="7.28515625" style="206" customWidth="1"/>
    <col min="14089" max="14089" width="8.28515625" style="206" customWidth="1"/>
    <col min="14090" max="14090" width="11.28515625" style="206" customWidth="1"/>
    <col min="14091" max="14091" width="9" style="206" customWidth="1"/>
    <col min="14092" max="14092" width="9.7109375" style="206" customWidth="1"/>
    <col min="14093" max="14093" width="8.28515625" style="206" customWidth="1"/>
    <col min="14094" max="14094" width="9" style="206" customWidth="1"/>
    <col min="14095" max="14095" width="17.7109375" style="206" customWidth="1"/>
    <col min="14096" max="14096" width="10.28515625" style="206" customWidth="1"/>
    <col min="14097" max="14097" width="10.7109375" style="206" customWidth="1"/>
    <col min="14098" max="14098" width="10.28515625" style="206" customWidth="1"/>
    <col min="14099" max="14099" width="30.85546875" style="206" customWidth="1"/>
    <col min="14100" max="14336" width="9" style="206" customWidth="1"/>
    <col min="14337" max="14337" width="3.28515625" style="206" customWidth="1"/>
    <col min="14338" max="14338" width="5.28515625" style="206" customWidth="1"/>
    <col min="14339" max="14339" width="31.28515625" style="206" customWidth="1"/>
    <col min="14340" max="14340" width="4.28515625" style="206" customWidth="1"/>
    <col min="14341" max="14341" width="9.85546875" style="206" customWidth="1"/>
    <col min="14342" max="14342" width="7.85546875" style="206" customWidth="1"/>
    <col min="14343" max="14343" width="13" style="206" customWidth="1"/>
    <col min="14344" max="14344" width="7.28515625" style="206" customWidth="1"/>
    <col min="14345" max="14345" width="8.28515625" style="206" customWidth="1"/>
    <col min="14346" max="14346" width="11.28515625" style="206" customWidth="1"/>
    <col min="14347" max="14347" width="9" style="206" customWidth="1"/>
    <col min="14348" max="14348" width="9.7109375" style="206" customWidth="1"/>
    <col min="14349" max="14349" width="8.28515625" style="206" customWidth="1"/>
    <col min="14350" max="14350" width="9" style="206" customWidth="1"/>
    <col min="14351" max="14351" width="17.7109375" style="206" customWidth="1"/>
    <col min="14352" max="14352" width="10.28515625" style="206" customWidth="1"/>
    <col min="14353" max="14353" width="10.7109375" style="206" customWidth="1"/>
    <col min="14354" max="14354" width="10.28515625" style="206" customWidth="1"/>
    <col min="14355" max="14355" width="30.85546875" style="206" customWidth="1"/>
    <col min="14356" max="14592" width="9" style="206" customWidth="1"/>
    <col min="14593" max="14593" width="3.28515625" style="206" customWidth="1"/>
    <col min="14594" max="14594" width="5.28515625" style="206" customWidth="1"/>
    <col min="14595" max="14595" width="31.28515625" style="206" customWidth="1"/>
    <col min="14596" max="14596" width="4.28515625" style="206" customWidth="1"/>
    <col min="14597" max="14597" width="9.85546875" style="206" customWidth="1"/>
    <col min="14598" max="14598" width="7.85546875" style="206" customWidth="1"/>
    <col min="14599" max="14599" width="13" style="206" customWidth="1"/>
    <col min="14600" max="14600" width="7.28515625" style="206" customWidth="1"/>
    <col min="14601" max="14601" width="8.28515625" style="206" customWidth="1"/>
    <col min="14602" max="14602" width="11.28515625" style="206" customWidth="1"/>
    <col min="14603" max="14603" width="9" style="206" customWidth="1"/>
    <col min="14604" max="14604" width="9.7109375" style="206" customWidth="1"/>
    <col min="14605" max="14605" width="8.28515625" style="206" customWidth="1"/>
    <col min="14606" max="14606" width="9" style="206" customWidth="1"/>
    <col min="14607" max="14607" width="17.7109375" style="206" customWidth="1"/>
    <col min="14608" max="14608" width="10.28515625" style="206" customWidth="1"/>
    <col min="14609" max="14609" width="10.7109375" style="206" customWidth="1"/>
    <col min="14610" max="14610" width="10.28515625" style="206" customWidth="1"/>
    <col min="14611" max="14611" width="30.85546875" style="206" customWidth="1"/>
    <col min="14612" max="14848" width="9" style="206" customWidth="1"/>
    <col min="14849" max="14849" width="3.28515625" style="206" customWidth="1"/>
    <col min="14850" max="14850" width="5.28515625" style="206" customWidth="1"/>
    <col min="14851" max="14851" width="31.28515625" style="206" customWidth="1"/>
    <col min="14852" max="14852" width="4.28515625" style="206" customWidth="1"/>
    <col min="14853" max="14853" width="9.85546875" style="206" customWidth="1"/>
    <col min="14854" max="14854" width="7.85546875" style="206" customWidth="1"/>
    <col min="14855" max="14855" width="13" style="206" customWidth="1"/>
    <col min="14856" max="14856" width="7.28515625" style="206" customWidth="1"/>
    <col min="14857" max="14857" width="8.28515625" style="206" customWidth="1"/>
    <col min="14858" max="14858" width="11.28515625" style="206" customWidth="1"/>
    <col min="14859" max="14859" width="9" style="206" customWidth="1"/>
    <col min="14860" max="14860" width="9.7109375" style="206" customWidth="1"/>
    <col min="14861" max="14861" width="8.28515625" style="206" customWidth="1"/>
    <col min="14862" max="14862" width="9" style="206" customWidth="1"/>
    <col min="14863" max="14863" width="17.7109375" style="206" customWidth="1"/>
    <col min="14864" max="14864" width="10.28515625" style="206" customWidth="1"/>
    <col min="14865" max="14865" width="10.7109375" style="206" customWidth="1"/>
    <col min="14866" max="14866" width="10.28515625" style="206" customWidth="1"/>
    <col min="14867" max="14867" width="30.85546875" style="206" customWidth="1"/>
    <col min="14868" max="15104" width="9" style="206" customWidth="1"/>
    <col min="15105" max="15105" width="3.28515625" style="206" customWidth="1"/>
    <col min="15106" max="15106" width="5.28515625" style="206" customWidth="1"/>
    <col min="15107" max="15107" width="31.28515625" style="206" customWidth="1"/>
    <col min="15108" max="15108" width="4.28515625" style="206" customWidth="1"/>
    <col min="15109" max="15109" width="9.85546875" style="206" customWidth="1"/>
    <col min="15110" max="15110" width="7.85546875" style="206" customWidth="1"/>
    <col min="15111" max="15111" width="13" style="206" customWidth="1"/>
    <col min="15112" max="15112" width="7.28515625" style="206" customWidth="1"/>
    <col min="15113" max="15113" width="8.28515625" style="206" customWidth="1"/>
    <col min="15114" max="15114" width="11.28515625" style="206" customWidth="1"/>
    <col min="15115" max="15115" width="9" style="206" customWidth="1"/>
    <col min="15116" max="15116" width="9.7109375" style="206" customWidth="1"/>
    <col min="15117" max="15117" width="8.28515625" style="206" customWidth="1"/>
    <col min="15118" max="15118" width="9" style="206" customWidth="1"/>
    <col min="15119" max="15119" width="17.7109375" style="206" customWidth="1"/>
    <col min="15120" max="15120" width="10.28515625" style="206" customWidth="1"/>
    <col min="15121" max="15121" width="10.7109375" style="206" customWidth="1"/>
    <col min="15122" max="15122" width="10.28515625" style="206" customWidth="1"/>
    <col min="15123" max="15123" width="30.85546875" style="206" customWidth="1"/>
    <col min="15124" max="15360" width="9" style="206" customWidth="1"/>
    <col min="15361" max="15361" width="3.28515625" style="206" customWidth="1"/>
    <col min="15362" max="15362" width="5.28515625" style="206" customWidth="1"/>
    <col min="15363" max="15363" width="31.28515625" style="206" customWidth="1"/>
    <col min="15364" max="15364" width="4.28515625" style="206" customWidth="1"/>
    <col min="15365" max="15365" width="9.85546875" style="206" customWidth="1"/>
    <col min="15366" max="15366" width="7.85546875" style="206" customWidth="1"/>
    <col min="15367" max="15367" width="13" style="206" customWidth="1"/>
    <col min="15368" max="15368" width="7.28515625" style="206" customWidth="1"/>
    <col min="15369" max="15369" width="8.28515625" style="206" customWidth="1"/>
    <col min="15370" max="15370" width="11.28515625" style="206" customWidth="1"/>
    <col min="15371" max="15371" width="9" style="206" customWidth="1"/>
    <col min="15372" max="15372" width="9.7109375" style="206" customWidth="1"/>
    <col min="15373" max="15373" width="8.28515625" style="206" customWidth="1"/>
    <col min="15374" max="15374" width="9" style="206" customWidth="1"/>
    <col min="15375" max="15375" width="17.7109375" style="206" customWidth="1"/>
    <col min="15376" max="15376" width="10.28515625" style="206" customWidth="1"/>
    <col min="15377" max="15377" width="10.7109375" style="206" customWidth="1"/>
    <col min="15378" max="15378" width="10.28515625" style="206" customWidth="1"/>
    <col min="15379" max="15379" width="30.85546875" style="206" customWidth="1"/>
    <col min="15380" max="15616" width="9" style="206" customWidth="1"/>
    <col min="15617" max="15617" width="3.28515625" style="206" customWidth="1"/>
    <col min="15618" max="15618" width="5.28515625" style="206" customWidth="1"/>
    <col min="15619" max="15619" width="31.28515625" style="206" customWidth="1"/>
    <col min="15620" max="15620" width="4.28515625" style="206" customWidth="1"/>
    <col min="15621" max="15621" width="9.85546875" style="206" customWidth="1"/>
    <col min="15622" max="15622" width="7.85546875" style="206" customWidth="1"/>
    <col min="15623" max="15623" width="13" style="206" customWidth="1"/>
    <col min="15624" max="15624" width="7.28515625" style="206" customWidth="1"/>
    <col min="15625" max="15625" width="8.28515625" style="206" customWidth="1"/>
    <col min="15626" max="15626" width="11.28515625" style="206" customWidth="1"/>
    <col min="15627" max="15627" width="9" style="206" customWidth="1"/>
    <col min="15628" max="15628" width="9.7109375" style="206" customWidth="1"/>
    <col min="15629" max="15629" width="8.28515625" style="206" customWidth="1"/>
    <col min="15630" max="15630" width="9" style="206" customWidth="1"/>
    <col min="15631" max="15631" width="17.7109375" style="206" customWidth="1"/>
    <col min="15632" max="15632" width="10.28515625" style="206" customWidth="1"/>
    <col min="15633" max="15633" width="10.7109375" style="206" customWidth="1"/>
    <col min="15634" max="15634" width="10.28515625" style="206" customWidth="1"/>
    <col min="15635" max="15635" width="30.85546875" style="206" customWidth="1"/>
    <col min="15636" max="15872" width="9" style="206" customWidth="1"/>
    <col min="15873" max="15873" width="3.28515625" style="206" customWidth="1"/>
    <col min="15874" max="15874" width="5.28515625" style="206" customWidth="1"/>
    <col min="15875" max="15875" width="31.28515625" style="206" customWidth="1"/>
    <col min="15876" max="15876" width="4.28515625" style="206" customWidth="1"/>
    <col min="15877" max="15877" width="9.85546875" style="206" customWidth="1"/>
    <col min="15878" max="15878" width="7.85546875" style="206" customWidth="1"/>
    <col min="15879" max="15879" width="13" style="206" customWidth="1"/>
    <col min="15880" max="15880" width="7.28515625" style="206" customWidth="1"/>
    <col min="15881" max="15881" width="8.28515625" style="206" customWidth="1"/>
    <col min="15882" max="15882" width="11.28515625" style="206" customWidth="1"/>
    <col min="15883" max="15883" width="9" style="206" customWidth="1"/>
    <col min="15884" max="15884" width="9.7109375" style="206" customWidth="1"/>
    <col min="15885" max="15885" width="8.28515625" style="206" customWidth="1"/>
    <col min="15886" max="15886" width="9" style="206" customWidth="1"/>
    <col min="15887" max="15887" width="17.7109375" style="206" customWidth="1"/>
    <col min="15888" max="15888" width="10.28515625" style="206" customWidth="1"/>
    <col min="15889" max="15889" width="10.7109375" style="206" customWidth="1"/>
    <col min="15890" max="15890" width="10.28515625" style="206" customWidth="1"/>
    <col min="15891" max="15891" width="30.85546875" style="206" customWidth="1"/>
    <col min="15892" max="16128" width="9" style="206" customWidth="1"/>
    <col min="16129" max="16129" width="3.28515625" style="206" customWidth="1"/>
    <col min="16130" max="16130" width="5.28515625" style="206" customWidth="1"/>
    <col min="16131" max="16131" width="31.28515625" style="206" customWidth="1"/>
    <col min="16132" max="16132" width="4.28515625" style="206" customWidth="1"/>
    <col min="16133" max="16133" width="9.85546875" style="206" customWidth="1"/>
    <col min="16134" max="16134" width="7.85546875" style="206" customWidth="1"/>
    <col min="16135" max="16135" width="13" style="206" customWidth="1"/>
    <col min="16136" max="16136" width="7.28515625" style="206" customWidth="1"/>
    <col min="16137" max="16137" width="8.28515625" style="206" customWidth="1"/>
    <col min="16138" max="16138" width="11.28515625" style="206" customWidth="1"/>
    <col min="16139" max="16139" width="9" style="206" customWidth="1"/>
    <col min="16140" max="16140" width="9.7109375" style="206" customWidth="1"/>
    <col min="16141" max="16141" width="8.28515625" style="206" customWidth="1"/>
    <col min="16142" max="16142" width="9" style="206" customWidth="1"/>
    <col min="16143" max="16143" width="17.7109375" style="206" customWidth="1"/>
    <col min="16144" max="16144" width="10.28515625" style="206" customWidth="1"/>
    <col min="16145" max="16145" width="10.7109375" style="206" customWidth="1"/>
    <col min="16146" max="16146" width="10.28515625" style="206" customWidth="1"/>
    <col min="16147" max="16147" width="30.85546875" style="206" customWidth="1"/>
    <col min="16148" max="16384" width="9" style="206" customWidth="1"/>
  </cols>
  <sheetData>
    <row r="1" spans="1:19">
      <c r="A1" s="130" t="s">
        <v>0</v>
      </c>
    </row>
    <row r="2" spans="1:19">
      <c r="A2" s="130" t="s">
        <v>1</v>
      </c>
    </row>
    <row r="3" spans="1:19">
      <c r="A3" s="130" t="s">
        <v>2</v>
      </c>
    </row>
    <row r="4" spans="1:19">
      <c r="A4" s="130" t="s">
        <v>3</v>
      </c>
    </row>
    <row r="5" spans="1:19">
      <c r="A5" s="130" t="s">
        <v>4</v>
      </c>
    </row>
    <row r="6" spans="1:19">
      <c r="A6" s="130" t="s">
        <v>5</v>
      </c>
    </row>
    <row r="7" spans="1:19">
      <c r="A7" s="132" t="s">
        <v>6</v>
      </c>
      <c r="B7" s="204"/>
      <c r="C7" s="204"/>
      <c r="D7" s="204"/>
      <c r="E7" s="204"/>
      <c r="F7" s="204"/>
      <c r="G7" s="205"/>
      <c r="H7" s="205"/>
      <c r="I7" s="205"/>
      <c r="J7" s="253"/>
      <c r="K7" s="204"/>
      <c r="L7" s="204"/>
      <c r="M7" s="204"/>
      <c r="N7" s="204"/>
      <c r="O7" s="204"/>
      <c r="P7" s="204"/>
      <c r="Q7" s="204"/>
      <c r="R7" s="204"/>
      <c r="S7" s="204"/>
    </row>
    <row r="8" spans="1:19">
      <c r="B8" s="254"/>
      <c r="C8" s="254"/>
      <c r="D8" s="254"/>
      <c r="E8" s="254"/>
      <c r="F8" s="254"/>
      <c r="G8" s="254"/>
      <c r="H8" s="254"/>
      <c r="I8" s="254"/>
      <c r="J8" s="254"/>
      <c r="K8" s="254"/>
      <c r="L8" s="254"/>
      <c r="M8" s="205"/>
      <c r="N8" s="205"/>
      <c r="O8" s="204"/>
      <c r="P8" s="204"/>
      <c r="Q8" s="204"/>
      <c r="R8" s="204"/>
      <c r="S8" s="204"/>
    </row>
    <row r="9" spans="1:19" ht="72">
      <c r="B9" s="549" t="s">
        <v>7</v>
      </c>
      <c r="C9" s="549" t="s">
        <v>8</v>
      </c>
      <c r="D9" s="255" t="s">
        <v>9</v>
      </c>
      <c r="E9" s="255" t="s">
        <v>10</v>
      </c>
      <c r="F9" s="549" t="s">
        <v>11</v>
      </c>
      <c r="G9" s="255" t="s">
        <v>12</v>
      </c>
      <c r="H9" s="255" t="s">
        <v>13</v>
      </c>
      <c r="I9" s="255" t="s">
        <v>14</v>
      </c>
      <c r="J9" s="548" t="s">
        <v>15</v>
      </c>
      <c r="K9" s="548"/>
      <c r="L9" s="548" t="s">
        <v>16</v>
      </c>
      <c r="M9" s="548" t="s">
        <v>17</v>
      </c>
      <c r="N9" s="549" t="s">
        <v>18</v>
      </c>
      <c r="O9" s="548" t="s">
        <v>19</v>
      </c>
      <c r="P9" s="549" t="s">
        <v>20</v>
      </c>
      <c r="Q9" s="255" t="s">
        <v>21</v>
      </c>
      <c r="R9" s="548" t="s">
        <v>22</v>
      </c>
      <c r="S9" s="549" t="s">
        <v>23</v>
      </c>
    </row>
    <row r="10" spans="1:19">
      <c r="B10" s="550"/>
      <c r="C10" s="550"/>
      <c r="D10" s="256"/>
      <c r="E10" s="256"/>
      <c r="F10" s="550"/>
      <c r="G10" s="256"/>
      <c r="H10" s="256"/>
      <c r="I10" s="256"/>
      <c r="J10" s="257" t="s">
        <v>24</v>
      </c>
      <c r="K10" s="257" t="s">
        <v>25</v>
      </c>
      <c r="L10" s="548"/>
      <c r="M10" s="548"/>
      <c r="N10" s="551"/>
      <c r="O10" s="548"/>
      <c r="P10" s="551"/>
      <c r="Q10" s="258"/>
      <c r="R10" s="548"/>
      <c r="S10" s="550"/>
    </row>
    <row r="11" spans="1:19" ht="36">
      <c r="B11" s="551"/>
      <c r="C11" s="551"/>
      <c r="D11" s="258"/>
      <c r="E11" s="258"/>
      <c r="F11" s="551"/>
      <c r="G11" s="259" t="s">
        <v>26</v>
      </c>
      <c r="H11" s="259" t="s">
        <v>27</v>
      </c>
      <c r="I11" s="259" t="s">
        <v>28</v>
      </c>
      <c r="J11" s="260" t="s">
        <v>29</v>
      </c>
      <c r="K11" s="260" t="s">
        <v>30</v>
      </c>
      <c r="L11" s="260" t="s">
        <v>31</v>
      </c>
      <c r="M11" s="260" t="s">
        <v>32</v>
      </c>
      <c r="N11" s="260" t="s">
        <v>33</v>
      </c>
      <c r="O11" s="260" t="s">
        <v>34</v>
      </c>
      <c r="P11" s="260" t="s">
        <v>35</v>
      </c>
      <c r="Q11" s="260" t="s">
        <v>35</v>
      </c>
      <c r="R11" s="260" t="s">
        <v>35</v>
      </c>
      <c r="S11" s="551"/>
    </row>
    <row r="12" spans="1:19" s="261" customFormat="1">
      <c r="B12" s="544"/>
      <c r="C12" s="546"/>
      <c r="D12" s="262"/>
      <c r="E12" s="263"/>
      <c r="F12" s="264">
        <v>0</v>
      </c>
      <c r="G12" s="264" t="s">
        <v>36</v>
      </c>
      <c r="H12" s="264">
        <v>0</v>
      </c>
      <c r="I12" s="264">
        <v>0</v>
      </c>
      <c r="J12" s="264">
        <v>0</v>
      </c>
      <c r="K12" s="264">
        <v>0</v>
      </c>
      <c r="L12" s="264">
        <v>0</v>
      </c>
      <c r="M12" s="264">
        <v>0</v>
      </c>
      <c r="N12" s="264">
        <v>0</v>
      </c>
      <c r="O12" s="264" t="s">
        <v>37</v>
      </c>
      <c r="P12" s="264">
        <v>0</v>
      </c>
      <c r="Q12" s="264">
        <v>0</v>
      </c>
      <c r="R12" s="264">
        <v>0</v>
      </c>
      <c r="S12" s="265"/>
    </row>
    <row r="13" spans="1:19">
      <c r="B13" s="545"/>
      <c r="C13" s="547"/>
      <c r="D13" s="266"/>
      <c r="E13" s="267"/>
      <c r="F13" s="268">
        <v>0</v>
      </c>
      <c r="G13" s="269" t="s">
        <v>36</v>
      </c>
      <c r="H13" s="268">
        <v>0</v>
      </c>
      <c r="I13" s="268">
        <v>0</v>
      </c>
      <c r="J13" s="268">
        <v>0</v>
      </c>
      <c r="K13" s="268">
        <v>0</v>
      </c>
      <c r="L13" s="268">
        <v>0</v>
      </c>
      <c r="M13" s="269">
        <v>0</v>
      </c>
      <c r="N13" s="268">
        <v>0</v>
      </c>
      <c r="O13" s="269" t="s">
        <v>37</v>
      </c>
      <c r="P13" s="268">
        <v>0</v>
      </c>
      <c r="Q13" s="269">
        <v>0</v>
      </c>
      <c r="R13" s="268">
        <v>0</v>
      </c>
      <c r="S13" s="270"/>
    </row>
    <row r="14" spans="1:19" s="211" customFormat="1">
      <c r="B14" s="544"/>
      <c r="C14" s="546"/>
      <c r="D14" s="262"/>
      <c r="E14" s="263"/>
      <c r="F14" s="264">
        <v>0</v>
      </c>
      <c r="G14" s="264" t="s">
        <v>36</v>
      </c>
      <c r="H14" s="264">
        <v>0</v>
      </c>
      <c r="I14" s="264">
        <v>0</v>
      </c>
      <c r="J14" s="264">
        <v>0</v>
      </c>
      <c r="K14" s="264">
        <v>0</v>
      </c>
      <c r="L14" s="264">
        <v>0</v>
      </c>
      <c r="M14" s="264">
        <v>0</v>
      </c>
      <c r="N14" s="264">
        <v>0</v>
      </c>
      <c r="O14" s="264" t="s">
        <v>37</v>
      </c>
      <c r="P14" s="264">
        <v>0</v>
      </c>
      <c r="Q14" s="264">
        <v>0</v>
      </c>
      <c r="R14" s="264">
        <v>0</v>
      </c>
      <c r="S14" s="265"/>
    </row>
    <row r="15" spans="1:19" s="211" customFormat="1">
      <c r="B15" s="545"/>
      <c r="C15" s="547"/>
      <c r="D15" s="266"/>
      <c r="E15" s="267"/>
      <c r="F15" s="268">
        <v>0</v>
      </c>
      <c r="G15" s="269" t="s">
        <v>36</v>
      </c>
      <c r="H15" s="268">
        <v>0</v>
      </c>
      <c r="I15" s="268">
        <v>0</v>
      </c>
      <c r="J15" s="268">
        <v>0</v>
      </c>
      <c r="K15" s="268">
        <v>0</v>
      </c>
      <c r="L15" s="268">
        <v>0</v>
      </c>
      <c r="M15" s="269">
        <v>0</v>
      </c>
      <c r="N15" s="268">
        <v>0</v>
      </c>
      <c r="O15" s="269" t="s">
        <v>37</v>
      </c>
      <c r="P15" s="268">
        <v>0</v>
      </c>
      <c r="Q15" s="269">
        <v>0</v>
      </c>
      <c r="R15" s="268">
        <v>0</v>
      </c>
      <c r="S15" s="270"/>
    </row>
    <row r="16" spans="1:19" s="211" customFormat="1">
      <c r="B16" s="544"/>
      <c r="C16" s="546"/>
      <c r="D16" s="262"/>
      <c r="E16" s="263"/>
      <c r="F16" s="264">
        <v>0</v>
      </c>
      <c r="G16" s="264" t="s">
        <v>36</v>
      </c>
      <c r="H16" s="264">
        <v>0</v>
      </c>
      <c r="I16" s="264">
        <v>0</v>
      </c>
      <c r="J16" s="264">
        <v>0</v>
      </c>
      <c r="K16" s="264">
        <v>0</v>
      </c>
      <c r="L16" s="264">
        <v>0</v>
      </c>
      <c r="M16" s="264">
        <v>0</v>
      </c>
      <c r="N16" s="264">
        <v>0</v>
      </c>
      <c r="O16" s="264" t="s">
        <v>37</v>
      </c>
      <c r="P16" s="264">
        <v>0</v>
      </c>
      <c r="Q16" s="264">
        <v>0</v>
      </c>
      <c r="R16" s="264">
        <v>0</v>
      </c>
      <c r="S16" s="265"/>
    </row>
    <row r="17" spans="2:19" s="211" customFormat="1">
      <c r="B17" s="545"/>
      <c r="C17" s="547"/>
      <c r="D17" s="266"/>
      <c r="E17" s="267"/>
      <c r="F17" s="268">
        <v>0</v>
      </c>
      <c r="G17" s="269" t="s">
        <v>36</v>
      </c>
      <c r="H17" s="268">
        <v>0</v>
      </c>
      <c r="I17" s="268">
        <v>0</v>
      </c>
      <c r="J17" s="268">
        <v>0</v>
      </c>
      <c r="K17" s="268">
        <v>0</v>
      </c>
      <c r="L17" s="268">
        <v>0</v>
      </c>
      <c r="M17" s="269">
        <v>0</v>
      </c>
      <c r="N17" s="268">
        <v>0</v>
      </c>
      <c r="O17" s="269" t="s">
        <v>37</v>
      </c>
      <c r="P17" s="268">
        <v>0</v>
      </c>
      <c r="Q17" s="269">
        <v>0</v>
      </c>
      <c r="R17" s="268">
        <v>0</v>
      </c>
      <c r="S17" s="270"/>
    </row>
    <row r="18" spans="2:19" s="211" customFormat="1">
      <c r="B18" s="544"/>
      <c r="C18" s="546"/>
      <c r="D18" s="262"/>
      <c r="E18" s="263"/>
      <c r="F18" s="264">
        <v>0</v>
      </c>
      <c r="G18" s="264" t="s">
        <v>36</v>
      </c>
      <c r="H18" s="264">
        <v>0</v>
      </c>
      <c r="I18" s="264">
        <v>0</v>
      </c>
      <c r="J18" s="264">
        <v>0</v>
      </c>
      <c r="K18" s="264">
        <v>0</v>
      </c>
      <c r="L18" s="264">
        <v>0</v>
      </c>
      <c r="M18" s="264">
        <v>0</v>
      </c>
      <c r="N18" s="264">
        <v>0</v>
      </c>
      <c r="O18" s="264" t="s">
        <v>37</v>
      </c>
      <c r="P18" s="264">
        <v>0</v>
      </c>
      <c r="Q18" s="264">
        <v>0</v>
      </c>
      <c r="R18" s="264">
        <v>0</v>
      </c>
      <c r="S18" s="265"/>
    </row>
    <row r="19" spans="2:19" s="211" customFormat="1">
      <c r="B19" s="545"/>
      <c r="C19" s="547"/>
      <c r="D19" s="266"/>
      <c r="E19" s="267"/>
      <c r="F19" s="268">
        <v>0</v>
      </c>
      <c r="G19" s="269" t="s">
        <v>36</v>
      </c>
      <c r="H19" s="268">
        <v>0</v>
      </c>
      <c r="I19" s="268">
        <v>0</v>
      </c>
      <c r="J19" s="268">
        <v>0</v>
      </c>
      <c r="K19" s="268">
        <v>0</v>
      </c>
      <c r="L19" s="268">
        <v>0</v>
      </c>
      <c r="M19" s="269">
        <v>0</v>
      </c>
      <c r="N19" s="268">
        <v>0</v>
      </c>
      <c r="O19" s="269" t="s">
        <v>37</v>
      </c>
      <c r="P19" s="268">
        <v>0</v>
      </c>
      <c r="Q19" s="269">
        <v>0</v>
      </c>
      <c r="R19" s="268">
        <v>0</v>
      </c>
      <c r="S19" s="270"/>
    </row>
    <row r="20" spans="2:19" s="211" customFormat="1">
      <c r="B20" s="544"/>
      <c r="C20" s="546"/>
      <c r="D20" s="262"/>
      <c r="E20" s="263"/>
      <c r="F20" s="264">
        <v>0</v>
      </c>
      <c r="G20" s="264" t="s">
        <v>36</v>
      </c>
      <c r="H20" s="264">
        <v>0</v>
      </c>
      <c r="I20" s="264">
        <v>0</v>
      </c>
      <c r="J20" s="264">
        <v>0</v>
      </c>
      <c r="K20" s="264">
        <v>0</v>
      </c>
      <c r="L20" s="264">
        <v>0</v>
      </c>
      <c r="M20" s="264">
        <v>0</v>
      </c>
      <c r="N20" s="264">
        <v>0</v>
      </c>
      <c r="O20" s="264" t="s">
        <v>37</v>
      </c>
      <c r="P20" s="264">
        <v>0</v>
      </c>
      <c r="Q20" s="264">
        <v>0</v>
      </c>
      <c r="R20" s="264">
        <v>0</v>
      </c>
      <c r="S20" s="265"/>
    </row>
    <row r="21" spans="2:19" s="211" customFormat="1">
      <c r="B21" s="545"/>
      <c r="C21" s="547"/>
      <c r="D21" s="266"/>
      <c r="E21" s="267"/>
      <c r="F21" s="268">
        <v>0</v>
      </c>
      <c r="G21" s="269" t="s">
        <v>36</v>
      </c>
      <c r="H21" s="268">
        <v>0</v>
      </c>
      <c r="I21" s="268">
        <v>0</v>
      </c>
      <c r="J21" s="268">
        <v>0</v>
      </c>
      <c r="K21" s="268">
        <v>0</v>
      </c>
      <c r="L21" s="268">
        <v>0</v>
      </c>
      <c r="M21" s="269">
        <v>0</v>
      </c>
      <c r="N21" s="268">
        <v>0</v>
      </c>
      <c r="O21" s="269" t="s">
        <v>37</v>
      </c>
      <c r="P21" s="268">
        <v>0</v>
      </c>
      <c r="Q21" s="269">
        <v>0</v>
      </c>
      <c r="R21" s="268">
        <v>0</v>
      </c>
      <c r="S21" s="270"/>
    </row>
    <row r="22" spans="2:19" s="211" customFormat="1">
      <c r="B22" s="544"/>
      <c r="C22" s="546"/>
      <c r="D22" s="262"/>
      <c r="E22" s="263"/>
      <c r="F22" s="264">
        <v>0</v>
      </c>
      <c r="G22" s="264" t="s">
        <v>36</v>
      </c>
      <c r="H22" s="264">
        <v>0</v>
      </c>
      <c r="I22" s="264">
        <v>0</v>
      </c>
      <c r="J22" s="264">
        <v>0</v>
      </c>
      <c r="K22" s="264">
        <v>0</v>
      </c>
      <c r="L22" s="264">
        <v>0</v>
      </c>
      <c r="M22" s="264">
        <v>0</v>
      </c>
      <c r="N22" s="264">
        <v>0</v>
      </c>
      <c r="O22" s="264" t="s">
        <v>37</v>
      </c>
      <c r="P22" s="264">
        <v>0</v>
      </c>
      <c r="Q22" s="264">
        <v>0</v>
      </c>
      <c r="R22" s="264">
        <v>0</v>
      </c>
      <c r="S22" s="265"/>
    </row>
    <row r="23" spans="2:19" s="211" customFormat="1">
      <c r="B23" s="545"/>
      <c r="C23" s="547"/>
      <c r="D23" s="266"/>
      <c r="E23" s="267"/>
      <c r="F23" s="268">
        <v>0</v>
      </c>
      <c r="G23" s="269" t="s">
        <v>36</v>
      </c>
      <c r="H23" s="268">
        <v>0</v>
      </c>
      <c r="I23" s="268">
        <v>0</v>
      </c>
      <c r="J23" s="268">
        <v>0</v>
      </c>
      <c r="K23" s="268">
        <v>0</v>
      </c>
      <c r="L23" s="268">
        <v>0</v>
      </c>
      <c r="M23" s="269">
        <v>0</v>
      </c>
      <c r="N23" s="268">
        <v>0</v>
      </c>
      <c r="O23" s="269" t="s">
        <v>37</v>
      </c>
      <c r="P23" s="268">
        <v>0</v>
      </c>
      <c r="Q23" s="269">
        <v>0</v>
      </c>
      <c r="R23" s="268">
        <v>0</v>
      </c>
      <c r="S23" s="270"/>
    </row>
    <row r="24" spans="2:19" s="211" customFormat="1">
      <c r="B24" s="544"/>
      <c r="C24" s="546"/>
      <c r="D24" s="262"/>
      <c r="E24" s="263"/>
      <c r="F24" s="264">
        <v>0</v>
      </c>
      <c r="G24" s="264" t="s">
        <v>36</v>
      </c>
      <c r="H24" s="264">
        <v>0</v>
      </c>
      <c r="I24" s="264">
        <v>0</v>
      </c>
      <c r="J24" s="264">
        <v>0</v>
      </c>
      <c r="K24" s="264">
        <v>0</v>
      </c>
      <c r="L24" s="264">
        <v>0</v>
      </c>
      <c r="M24" s="264">
        <v>0</v>
      </c>
      <c r="N24" s="264">
        <v>0</v>
      </c>
      <c r="O24" s="264" t="s">
        <v>37</v>
      </c>
      <c r="P24" s="264">
        <v>0</v>
      </c>
      <c r="Q24" s="264">
        <v>0</v>
      </c>
      <c r="R24" s="264">
        <v>0</v>
      </c>
      <c r="S24" s="265"/>
    </row>
    <row r="25" spans="2:19" s="211" customFormat="1">
      <c r="B25" s="545"/>
      <c r="C25" s="547"/>
      <c r="D25" s="266"/>
      <c r="E25" s="267"/>
      <c r="F25" s="268">
        <v>0</v>
      </c>
      <c r="G25" s="269" t="s">
        <v>36</v>
      </c>
      <c r="H25" s="268">
        <v>0</v>
      </c>
      <c r="I25" s="268">
        <v>0</v>
      </c>
      <c r="J25" s="268">
        <v>0</v>
      </c>
      <c r="K25" s="268">
        <v>0</v>
      </c>
      <c r="L25" s="268">
        <v>0</v>
      </c>
      <c r="M25" s="269">
        <v>0</v>
      </c>
      <c r="N25" s="268">
        <v>0</v>
      </c>
      <c r="O25" s="269" t="s">
        <v>37</v>
      </c>
      <c r="P25" s="268">
        <v>0</v>
      </c>
      <c r="Q25" s="269">
        <v>0</v>
      </c>
      <c r="R25" s="268">
        <v>0</v>
      </c>
      <c r="S25" s="270"/>
    </row>
    <row r="26" spans="2:19" s="211" customFormat="1">
      <c r="B26" s="544"/>
      <c r="C26" s="546"/>
      <c r="D26" s="262"/>
      <c r="E26" s="263"/>
      <c r="F26" s="264">
        <v>0</v>
      </c>
      <c r="G26" s="264" t="s">
        <v>36</v>
      </c>
      <c r="H26" s="264">
        <v>0</v>
      </c>
      <c r="I26" s="264">
        <v>0</v>
      </c>
      <c r="J26" s="264">
        <v>0</v>
      </c>
      <c r="K26" s="264">
        <v>0</v>
      </c>
      <c r="L26" s="264">
        <v>0</v>
      </c>
      <c r="M26" s="264">
        <v>0</v>
      </c>
      <c r="N26" s="264">
        <v>0</v>
      </c>
      <c r="O26" s="264" t="s">
        <v>37</v>
      </c>
      <c r="P26" s="264">
        <v>0</v>
      </c>
      <c r="Q26" s="264">
        <v>0</v>
      </c>
      <c r="R26" s="264">
        <v>0</v>
      </c>
      <c r="S26" s="265"/>
    </row>
    <row r="27" spans="2:19" s="211" customFormat="1">
      <c r="B27" s="545"/>
      <c r="C27" s="547"/>
      <c r="D27" s="266"/>
      <c r="E27" s="267"/>
      <c r="F27" s="268">
        <v>0</v>
      </c>
      <c r="G27" s="269" t="s">
        <v>36</v>
      </c>
      <c r="H27" s="268">
        <v>0</v>
      </c>
      <c r="I27" s="268">
        <v>0</v>
      </c>
      <c r="J27" s="268">
        <v>0</v>
      </c>
      <c r="K27" s="268">
        <v>0</v>
      </c>
      <c r="L27" s="268">
        <v>0</v>
      </c>
      <c r="M27" s="269">
        <v>0</v>
      </c>
      <c r="N27" s="268">
        <v>0</v>
      </c>
      <c r="O27" s="269" t="s">
        <v>37</v>
      </c>
      <c r="P27" s="268">
        <v>0</v>
      </c>
      <c r="Q27" s="269">
        <v>0</v>
      </c>
      <c r="R27" s="268">
        <v>0</v>
      </c>
      <c r="S27" s="270"/>
    </row>
    <row r="28" spans="2:19" s="211" customFormat="1">
      <c r="B28" s="544"/>
      <c r="C28" s="546"/>
      <c r="D28" s="262"/>
      <c r="E28" s="263"/>
      <c r="F28" s="264">
        <v>0</v>
      </c>
      <c r="G28" s="264" t="s">
        <v>36</v>
      </c>
      <c r="H28" s="264">
        <v>0</v>
      </c>
      <c r="I28" s="264">
        <v>0</v>
      </c>
      <c r="J28" s="264">
        <v>0</v>
      </c>
      <c r="K28" s="264">
        <v>0</v>
      </c>
      <c r="L28" s="264">
        <v>0</v>
      </c>
      <c r="M28" s="264">
        <v>0</v>
      </c>
      <c r="N28" s="264">
        <v>0</v>
      </c>
      <c r="O28" s="264" t="s">
        <v>37</v>
      </c>
      <c r="P28" s="264">
        <v>0</v>
      </c>
      <c r="Q28" s="264">
        <v>0</v>
      </c>
      <c r="R28" s="264">
        <v>0</v>
      </c>
      <c r="S28" s="265"/>
    </row>
    <row r="29" spans="2:19" s="211" customFormat="1">
      <c r="B29" s="545"/>
      <c r="C29" s="547"/>
      <c r="D29" s="266"/>
      <c r="E29" s="267"/>
      <c r="F29" s="268">
        <v>0</v>
      </c>
      <c r="G29" s="269" t="s">
        <v>36</v>
      </c>
      <c r="H29" s="268">
        <v>0</v>
      </c>
      <c r="I29" s="268">
        <v>0</v>
      </c>
      <c r="J29" s="268">
        <v>0</v>
      </c>
      <c r="K29" s="268">
        <v>0</v>
      </c>
      <c r="L29" s="268">
        <v>0</v>
      </c>
      <c r="M29" s="269">
        <v>0</v>
      </c>
      <c r="N29" s="268">
        <v>0</v>
      </c>
      <c r="O29" s="269" t="s">
        <v>37</v>
      </c>
      <c r="P29" s="268">
        <v>0</v>
      </c>
      <c r="Q29" s="269">
        <v>0</v>
      </c>
      <c r="R29" s="268">
        <v>0</v>
      </c>
      <c r="S29" s="270"/>
    </row>
    <row r="30" spans="2:19" s="211" customFormat="1">
      <c r="B30" s="544"/>
      <c r="C30" s="546"/>
      <c r="D30" s="262"/>
      <c r="E30" s="263"/>
      <c r="F30" s="264">
        <v>0</v>
      </c>
      <c r="G30" s="264" t="s">
        <v>36</v>
      </c>
      <c r="H30" s="264">
        <v>0</v>
      </c>
      <c r="I30" s="264">
        <v>0</v>
      </c>
      <c r="J30" s="264">
        <v>0</v>
      </c>
      <c r="K30" s="264">
        <v>0</v>
      </c>
      <c r="L30" s="264">
        <v>0</v>
      </c>
      <c r="M30" s="264">
        <v>0</v>
      </c>
      <c r="N30" s="264">
        <v>0</v>
      </c>
      <c r="O30" s="264" t="s">
        <v>37</v>
      </c>
      <c r="P30" s="264">
        <v>0</v>
      </c>
      <c r="Q30" s="264">
        <v>0</v>
      </c>
      <c r="R30" s="264">
        <v>0</v>
      </c>
      <c r="S30" s="265"/>
    </row>
    <row r="31" spans="2:19" s="211" customFormat="1">
      <c r="B31" s="545"/>
      <c r="C31" s="547"/>
      <c r="D31" s="266"/>
      <c r="E31" s="267"/>
      <c r="F31" s="268">
        <v>0</v>
      </c>
      <c r="G31" s="269" t="s">
        <v>36</v>
      </c>
      <c r="H31" s="268">
        <v>0</v>
      </c>
      <c r="I31" s="268">
        <v>0</v>
      </c>
      <c r="J31" s="268">
        <v>0</v>
      </c>
      <c r="K31" s="268">
        <v>0</v>
      </c>
      <c r="L31" s="268">
        <v>0</v>
      </c>
      <c r="M31" s="269">
        <v>0</v>
      </c>
      <c r="N31" s="268">
        <v>0</v>
      </c>
      <c r="O31" s="269" t="s">
        <v>37</v>
      </c>
      <c r="P31" s="268">
        <v>0</v>
      </c>
      <c r="Q31" s="269">
        <v>0</v>
      </c>
      <c r="R31" s="268">
        <v>0</v>
      </c>
      <c r="S31" s="270"/>
    </row>
    <row r="32" spans="2:19" s="211" customFormat="1">
      <c r="B32" s="544"/>
      <c r="C32" s="546"/>
      <c r="D32" s="262"/>
      <c r="E32" s="263"/>
      <c r="F32" s="264">
        <v>0</v>
      </c>
      <c r="G32" s="264" t="s">
        <v>36</v>
      </c>
      <c r="H32" s="264">
        <v>0</v>
      </c>
      <c r="I32" s="264">
        <v>0</v>
      </c>
      <c r="J32" s="264">
        <v>0</v>
      </c>
      <c r="K32" s="264">
        <v>0</v>
      </c>
      <c r="L32" s="264">
        <v>0</v>
      </c>
      <c r="M32" s="264">
        <v>0</v>
      </c>
      <c r="N32" s="264">
        <v>0</v>
      </c>
      <c r="O32" s="264" t="s">
        <v>37</v>
      </c>
      <c r="P32" s="264">
        <v>0</v>
      </c>
      <c r="Q32" s="264">
        <v>0</v>
      </c>
      <c r="R32" s="264">
        <v>0</v>
      </c>
      <c r="S32" s="265"/>
    </row>
    <row r="33" spans="2:19" s="211" customFormat="1">
      <c r="B33" s="545"/>
      <c r="C33" s="547"/>
      <c r="D33" s="266"/>
      <c r="E33" s="267"/>
      <c r="F33" s="268">
        <v>0</v>
      </c>
      <c r="G33" s="269" t="s">
        <v>36</v>
      </c>
      <c r="H33" s="268">
        <v>0</v>
      </c>
      <c r="I33" s="268">
        <v>0</v>
      </c>
      <c r="J33" s="268">
        <v>0</v>
      </c>
      <c r="K33" s="268">
        <v>0</v>
      </c>
      <c r="L33" s="268">
        <v>0</v>
      </c>
      <c r="M33" s="269">
        <v>0</v>
      </c>
      <c r="N33" s="268">
        <v>0</v>
      </c>
      <c r="O33" s="269" t="s">
        <v>37</v>
      </c>
      <c r="P33" s="268">
        <v>0</v>
      </c>
      <c r="Q33" s="269">
        <v>0</v>
      </c>
      <c r="R33" s="268">
        <v>0</v>
      </c>
      <c r="S33" s="270"/>
    </row>
    <row r="34" spans="2:19" s="211" customFormat="1">
      <c r="B34" s="544"/>
      <c r="C34" s="546"/>
      <c r="D34" s="262"/>
      <c r="E34" s="263"/>
      <c r="F34" s="264">
        <v>0</v>
      </c>
      <c r="G34" s="264" t="s">
        <v>36</v>
      </c>
      <c r="H34" s="264">
        <v>0</v>
      </c>
      <c r="I34" s="264">
        <v>0</v>
      </c>
      <c r="J34" s="264">
        <v>0</v>
      </c>
      <c r="K34" s="264">
        <v>0</v>
      </c>
      <c r="L34" s="264">
        <v>0</v>
      </c>
      <c r="M34" s="264">
        <v>0</v>
      </c>
      <c r="N34" s="264">
        <v>0</v>
      </c>
      <c r="O34" s="264" t="s">
        <v>37</v>
      </c>
      <c r="P34" s="264">
        <v>0</v>
      </c>
      <c r="Q34" s="264">
        <v>0</v>
      </c>
      <c r="R34" s="264">
        <v>0</v>
      </c>
      <c r="S34" s="265"/>
    </row>
    <row r="35" spans="2:19" s="211" customFormat="1">
      <c r="B35" s="545"/>
      <c r="C35" s="547"/>
      <c r="D35" s="266"/>
      <c r="E35" s="267"/>
      <c r="F35" s="268">
        <v>0</v>
      </c>
      <c r="G35" s="269" t="s">
        <v>36</v>
      </c>
      <c r="H35" s="268">
        <v>0</v>
      </c>
      <c r="I35" s="268">
        <v>0</v>
      </c>
      <c r="J35" s="268">
        <v>0</v>
      </c>
      <c r="K35" s="268">
        <v>0</v>
      </c>
      <c r="L35" s="268">
        <v>0</v>
      </c>
      <c r="M35" s="269">
        <v>0</v>
      </c>
      <c r="N35" s="268">
        <v>0</v>
      </c>
      <c r="O35" s="269" t="s">
        <v>37</v>
      </c>
      <c r="P35" s="268">
        <v>0</v>
      </c>
      <c r="Q35" s="269">
        <v>0</v>
      </c>
      <c r="R35" s="268">
        <v>0</v>
      </c>
      <c r="S35" s="270"/>
    </row>
    <row r="36" spans="2:19" s="211" customFormat="1">
      <c r="B36" s="544"/>
      <c r="C36" s="546"/>
      <c r="D36" s="262"/>
      <c r="E36" s="263"/>
      <c r="F36" s="264">
        <v>0</v>
      </c>
      <c r="G36" s="264" t="s">
        <v>36</v>
      </c>
      <c r="H36" s="264">
        <v>0</v>
      </c>
      <c r="I36" s="264">
        <v>0</v>
      </c>
      <c r="J36" s="264">
        <v>0</v>
      </c>
      <c r="K36" s="264">
        <v>0</v>
      </c>
      <c r="L36" s="264">
        <v>0</v>
      </c>
      <c r="M36" s="264">
        <v>0</v>
      </c>
      <c r="N36" s="264">
        <v>0</v>
      </c>
      <c r="O36" s="264" t="s">
        <v>37</v>
      </c>
      <c r="P36" s="264">
        <v>0</v>
      </c>
      <c r="Q36" s="264">
        <v>0</v>
      </c>
      <c r="R36" s="264">
        <v>0</v>
      </c>
      <c r="S36" s="265"/>
    </row>
    <row r="37" spans="2:19" s="211" customFormat="1">
      <c r="B37" s="545"/>
      <c r="C37" s="547"/>
      <c r="D37" s="266"/>
      <c r="E37" s="267"/>
      <c r="F37" s="268">
        <v>0</v>
      </c>
      <c r="G37" s="269" t="s">
        <v>36</v>
      </c>
      <c r="H37" s="268">
        <v>0</v>
      </c>
      <c r="I37" s="268">
        <v>0</v>
      </c>
      <c r="J37" s="268">
        <v>0</v>
      </c>
      <c r="K37" s="268">
        <v>0</v>
      </c>
      <c r="L37" s="268">
        <v>0</v>
      </c>
      <c r="M37" s="269">
        <v>0</v>
      </c>
      <c r="N37" s="268">
        <v>0</v>
      </c>
      <c r="O37" s="269" t="s">
        <v>37</v>
      </c>
      <c r="P37" s="268">
        <v>0</v>
      </c>
      <c r="Q37" s="269">
        <v>0</v>
      </c>
      <c r="R37" s="268">
        <v>0</v>
      </c>
      <c r="S37" s="270"/>
    </row>
    <row r="38" spans="2:19" s="211" customFormat="1">
      <c r="B38" s="544"/>
      <c r="C38" s="546"/>
      <c r="D38" s="262"/>
      <c r="E38" s="263"/>
      <c r="F38" s="264">
        <v>0</v>
      </c>
      <c r="G38" s="264" t="s">
        <v>36</v>
      </c>
      <c r="H38" s="264">
        <v>0</v>
      </c>
      <c r="I38" s="264">
        <v>0</v>
      </c>
      <c r="J38" s="264">
        <v>0</v>
      </c>
      <c r="K38" s="264">
        <v>0</v>
      </c>
      <c r="L38" s="264">
        <v>0</v>
      </c>
      <c r="M38" s="264">
        <v>0</v>
      </c>
      <c r="N38" s="264">
        <v>0</v>
      </c>
      <c r="O38" s="264" t="s">
        <v>37</v>
      </c>
      <c r="P38" s="264">
        <v>0</v>
      </c>
      <c r="Q38" s="264">
        <v>0</v>
      </c>
      <c r="R38" s="264">
        <v>0</v>
      </c>
      <c r="S38" s="265"/>
    </row>
    <row r="39" spans="2:19" s="211" customFormat="1">
      <c r="B39" s="545"/>
      <c r="C39" s="547"/>
      <c r="D39" s="266"/>
      <c r="E39" s="267"/>
      <c r="F39" s="268">
        <v>0</v>
      </c>
      <c r="G39" s="269" t="s">
        <v>36</v>
      </c>
      <c r="H39" s="268">
        <v>0</v>
      </c>
      <c r="I39" s="268">
        <v>0</v>
      </c>
      <c r="J39" s="268">
        <v>0</v>
      </c>
      <c r="K39" s="268">
        <v>0</v>
      </c>
      <c r="L39" s="268">
        <v>0</v>
      </c>
      <c r="M39" s="269">
        <v>0</v>
      </c>
      <c r="N39" s="268">
        <v>0</v>
      </c>
      <c r="O39" s="269" t="s">
        <v>37</v>
      </c>
      <c r="P39" s="268">
        <v>0</v>
      </c>
      <c r="Q39" s="269">
        <v>0</v>
      </c>
      <c r="R39" s="268">
        <v>0</v>
      </c>
      <c r="S39" s="270"/>
    </row>
    <row r="40" spans="2:19" s="211" customFormat="1">
      <c r="B40" s="544"/>
      <c r="C40" s="546"/>
      <c r="D40" s="262"/>
      <c r="E40" s="263"/>
      <c r="F40" s="264">
        <v>0</v>
      </c>
      <c r="G40" s="264" t="s">
        <v>36</v>
      </c>
      <c r="H40" s="264">
        <v>0</v>
      </c>
      <c r="I40" s="264">
        <v>0</v>
      </c>
      <c r="J40" s="264">
        <v>0</v>
      </c>
      <c r="K40" s="264">
        <v>0</v>
      </c>
      <c r="L40" s="264">
        <v>0</v>
      </c>
      <c r="M40" s="264">
        <v>0</v>
      </c>
      <c r="N40" s="264">
        <v>0</v>
      </c>
      <c r="O40" s="264" t="s">
        <v>37</v>
      </c>
      <c r="P40" s="264">
        <v>0</v>
      </c>
      <c r="Q40" s="264">
        <v>0</v>
      </c>
      <c r="R40" s="264">
        <v>0</v>
      </c>
      <c r="S40" s="265"/>
    </row>
    <row r="41" spans="2:19">
      <c r="B41" s="545"/>
      <c r="C41" s="547"/>
      <c r="D41" s="266"/>
      <c r="E41" s="267"/>
      <c r="F41" s="268">
        <v>0</v>
      </c>
      <c r="G41" s="269" t="s">
        <v>36</v>
      </c>
      <c r="H41" s="268">
        <v>0</v>
      </c>
      <c r="I41" s="268">
        <v>0</v>
      </c>
      <c r="J41" s="268">
        <v>0</v>
      </c>
      <c r="K41" s="268">
        <v>0</v>
      </c>
      <c r="L41" s="268">
        <v>0</v>
      </c>
      <c r="M41" s="269">
        <v>0</v>
      </c>
      <c r="N41" s="268">
        <v>0</v>
      </c>
      <c r="O41" s="269" t="s">
        <v>37</v>
      </c>
      <c r="P41" s="268">
        <v>0</v>
      </c>
      <c r="Q41" s="269">
        <v>0</v>
      </c>
      <c r="R41" s="268">
        <v>0</v>
      </c>
      <c r="S41" s="270"/>
    </row>
    <row r="42" spans="2:19">
      <c r="B42" s="544"/>
      <c r="C42" s="546"/>
      <c r="D42" s="262"/>
      <c r="E42" s="263"/>
      <c r="F42" s="264">
        <v>0</v>
      </c>
      <c r="G42" s="264" t="s">
        <v>36</v>
      </c>
      <c r="H42" s="264">
        <v>0</v>
      </c>
      <c r="I42" s="264">
        <v>0</v>
      </c>
      <c r="J42" s="264">
        <v>0</v>
      </c>
      <c r="K42" s="264">
        <v>0</v>
      </c>
      <c r="L42" s="264">
        <v>0</v>
      </c>
      <c r="M42" s="264">
        <v>0</v>
      </c>
      <c r="N42" s="264">
        <v>0</v>
      </c>
      <c r="O42" s="264" t="s">
        <v>37</v>
      </c>
      <c r="P42" s="264">
        <v>0</v>
      </c>
      <c r="Q42" s="264">
        <v>0</v>
      </c>
      <c r="R42" s="264">
        <v>0</v>
      </c>
      <c r="S42" s="265"/>
    </row>
    <row r="43" spans="2:19">
      <c r="B43" s="545"/>
      <c r="C43" s="547"/>
      <c r="D43" s="266"/>
      <c r="E43" s="267"/>
      <c r="F43" s="268">
        <v>0</v>
      </c>
      <c r="G43" s="269" t="s">
        <v>36</v>
      </c>
      <c r="H43" s="268">
        <v>0</v>
      </c>
      <c r="I43" s="268">
        <v>0</v>
      </c>
      <c r="J43" s="268">
        <v>0</v>
      </c>
      <c r="K43" s="268">
        <v>0</v>
      </c>
      <c r="L43" s="268">
        <v>0</v>
      </c>
      <c r="M43" s="269">
        <v>0</v>
      </c>
      <c r="N43" s="268">
        <v>0</v>
      </c>
      <c r="O43" s="269" t="s">
        <v>37</v>
      </c>
      <c r="P43" s="268">
        <v>0</v>
      </c>
      <c r="Q43" s="269">
        <v>0</v>
      </c>
      <c r="R43" s="268">
        <v>0</v>
      </c>
      <c r="S43" s="270"/>
    </row>
    <row r="44" spans="2:19">
      <c r="B44" s="544"/>
      <c r="C44" s="546"/>
      <c r="D44" s="262"/>
      <c r="E44" s="263"/>
      <c r="F44" s="264">
        <v>0</v>
      </c>
      <c r="G44" s="264" t="s">
        <v>36</v>
      </c>
      <c r="H44" s="264">
        <v>0</v>
      </c>
      <c r="I44" s="264">
        <v>0</v>
      </c>
      <c r="J44" s="264">
        <v>0</v>
      </c>
      <c r="K44" s="264">
        <v>0</v>
      </c>
      <c r="L44" s="264">
        <v>0</v>
      </c>
      <c r="M44" s="264">
        <v>0</v>
      </c>
      <c r="N44" s="264">
        <v>0</v>
      </c>
      <c r="O44" s="264" t="s">
        <v>37</v>
      </c>
      <c r="P44" s="264">
        <v>0</v>
      </c>
      <c r="Q44" s="264">
        <v>0</v>
      </c>
      <c r="R44" s="264">
        <v>0</v>
      </c>
      <c r="S44" s="265"/>
    </row>
    <row r="45" spans="2:19">
      <c r="B45" s="545"/>
      <c r="C45" s="547"/>
      <c r="D45" s="266"/>
      <c r="E45" s="267"/>
      <c r="F45" s="268">
        <v>0</v>
      </c>
      <c r="G45" s="269" t="s">
        <v>36</v>
      </c>
      <c r="H45" s="268">
        <v>0</v>
      </c>
      <c r="I45" s="268">
        <v>0</v>
      </c>
      <c r="J45" s="268">
        <v>0</v>
      </c>
      <c r="K45" s="268">
        <v>0</v>
      </c>
      <c r="L45" s="268">
        <v>0</v>
      </c>
      <c r="M45" s="269">
        <v>0</v>
      </c>
      <c r="N45" s="268">
        <v>0</v>
      </c>
      <c r="O45" s="269" t="s">
        <v>37</v>
      </c>
      <c r="P45" s="268">
        <v>0</v>
      </c>
      <c r="Q45" s="269">
        <v>0</v>
      </c>
      <c r="R45" s="268">
        <v>0</v>
      </c>
      <c r="S45" s="270"/>
    </row>
    <row r="46" spans="2:19">
      <c r="B46" s="544"/>
      <c r="C46" s="546"/>
      <c r="D46" s="262"/>
      <c r="E46" s="263"/>
      <c r="F46" s="264">
        <v>0</v>
      </c>
      <c r="G46" s="264" t="s">
        <v>36</v>
      </c>
      <c r="H46" s="264">
        <v>0</v>
      </c>
      <c r="I46" s="264">
        <v>0</v>
      </c>
      <c r="J46" s="264">
        <v>0</v>
      </c>
      <c r="K46" s="264">
        <v>0</v>
      </c>
      <c r="L46" s="264">
        <v>0</v>
      </c>
      <c r="M46" s="264">
        <v>0</v>
      </c>
      <c r="N46" s="264">
        <v>0</v>
      </c>
      <c r="O46" s="264" t="s">
        <v>37</v>
      </c>
      <c r="P46" s="264">
        <v>0</v>
      </c>
      <c r="Q46" s="264">
        <v>0</v>
      </c>
      <c r="R46" s="264">
        <v>0</v>
      </c>
      <c r="S46" s="265"/>
    </row>
    <row r="47" spans="2:19">
      <c r="B47" s="545"/>
      <c r="C47" s="547"/>
      <c r="D47" s="266"/>
      <c r="E47" s="267"/>
      <c r="F47" s="268">
        <v>0</v>
      </c>
      <c r="G47" s="269" t="s">
        <v>36</v>
      </c>
      <c r="H47" s="268">
        <v>0</v>
      </c>
      <c r="I47" s="268">
        <v>0</v>
      </c>
      <c r="J47" s="268">
        <v>0</v>
      </c>
      <c r="K47" s="268">
        <v>0</v>
      </c>
      <c r="L47" s="268">
        <v>0</v>
      </c>
      <c r="M47" s="269">
        <v>0</v>
      </c>
      <c r="N47" s="268">
        <v>0</v>
      </c>
      <c r="O47" s="269" t="s">
        <v>37</v>
      </c>
      <c r="P47" s="268">
        <v>0</v>
      </c>
      <c r="Q47" s="269">
        <v>0</v>
      </c>
      <c r="R47" s="268">
        <v>0</v>
      </c>
      <c r="S47" s="270"/>
    </row>
    <row r="48" spans="2:19">
      <c r="B48" s="544"/>
      <c r="C48" s="546"/>
      <c r="D48" s="262"/>
      <c r="E48" s="263"/>
      <c r="F48" s="264">
        <v>0</v>
      </c>
      <c r="G48" s="264" t="s">
        <v>36</v>
      </c>
      <c r="H48" s="264">
        <v>0</v>
      </c>
      <c r="I48" s="264">
        <v>0</v>
      </c>
      <c r="J48" s="264">
        <v>0</v>
      </c>
      <c r="K48" s="264">
        <v>0</v>
      </c>
      <c r="L48" s="264">
        <v>0</v>
      </c>
      <c r="M48" s="264">
        <v>0</v>
      </c>
      <c r="N48" s="264">
        <v>0</v>
      </c>
      <c r="O48" s="264" t="s">
        <v>37</v>
      </c>
      <c r="P48" s="264">
        <v>0</v>
      </c>
      <c r="Q48" s="264">
        <v>0</v>
      </c>
      <c r="R48" s="264">
        <v>0</v>
      </c>
      <c r="S48" s="265"/>
    </row>
    <row r="49" spans="2:19">
      <c r="B49" s="545"/>
      <c r="C49" s="547"/>
      <c r="D49" s="266"/>
      <c r="E49" s="267"/>
      <c r="F49" s="268">
        <v>0</v>
      </c>
      <c r="G49" s="269" t="s">
        <v>36</v>
      </c>
      <c r="H49" s="268">
        <v>0</v>
      </c>
      <c r="I49" s="268">
        <v>0</v>
      </c>
      <c r="J49" s="268">
        <v>0</v>
      </c>
      <c r="K49" s="268">
        <v>0</v>
      </c>
      <c r="L49" s="268">
        <v>0</v>
      </c>
      <c r="M49" s="269">
        <v>0</v>
      </c>
      <c r="N49" s="268">
        <v>0</v>
      </c>
      <c r="O49" s="269" t="s">
        <v>37</v>
      </c>
      <c r="P49" s="268">
        <v>0</v>
      </c>
      <c r="Q49" s="269">
        <v>0</v>
      </c>
      <c r="R49" s="268">
        <v>0</v>
      </c>
      <c r="S49" s="270"/>
    </row>
    <row r="50" spans="2:19">
      <c r="B50" s="544"/>
      <c r="C50" s="546"/>
      <c r="D50" s="262"/>
      <c r="E50" s="263"/>
      <c r="F50" s="264">
        <v>0</v>
      </c>
      <c r="G50" s="264" t="s">
        <v>36</v>
      </c>
      <c r="H50" s="264">
        <v>0</v>
      </c>
      <c r="I50" s="264">
        <v>0</v>
      </c>
      <c r="J50" s="264">
        <v>0</v>
      </c>
      <c r="K50" s="264">
        <v>0</v>
      </c>
      <c r="L50" s="264">
        <v>0</v>
      </c>
      <c r="M50" s="264">
        <v>0</v>
      </c>
      <c r="N50" s="264">
        <v>0</v>
      </c>
      <c r="O50" s="264" t="s">
        <v>37</v>
      </c>
      <c r="P50" s="264">
        <v>0</v>
      </c>
      <c r="Q50" s="264">
        <v>0</v>
      </c>
      <c r="R50" s="264">
        <v>0</v>
      </c>
      <c r="S50" s="265"/>
    </row>
    <row r="51" spans="2:19">
      <c r="B51" s="545"/>
      <c r="C51" s="547"/>
      <c r="D51" s="266"/>
      <c r="E51" s="267"/>
      <c r="F51" s="268">
        <v>0</v>
      </c>
      <c r="G51" s="269" t="s">
        <v>36</v>
      </c>
      <c r="H51" s="268">
        <v>0</v>
      </c>
      <c r="I51" s="268">
        <v>0</v>
      </c>
      <c r="J51" s="268">
        <v>0</v>
      </c>
      <c r="K51" s="268">
        <v>0</v>
      </c>
      <c r="L51" s="268">
        <v>0</v>
      </c>
      <c r="M51" s="269">
        <v>0</v>
      </c>
      <c r="N51" s="268">
        <v>0</v>
      </c>
      <c r="O51" s="269" t="s">
        <v>37</v>
      </c>
      <c r="P51" s="268">
        <v>0</v>
      </c>
      <c r="Q51" s="269">
        <v>0</v>
      </c>
      <c r="R51" s="268">
        <v>0</v>
      </c>
      <c r="S51" s="270"/>
    </row>
    <row r="52" spans="2:19">
      <c r="B52" s="544"/>
      <c r="C52" s="546"/>
      <c r="D52" s="262"/>
      <c r="E52" s="263"/>
      <c r="F52" s="264">
        <v>0</v>
      </c>
      <c r="G52" s="264" t="s">
        <v>36</v>
      </c>
      <c r="H52" s="264">
        <v>0</v>
      </c>
      <c r="I52" s="264">
        <v>0</v>
      </c>
      <c r="J52" s="264">
        <v>0</v>
      </c>
      <c r="K52" s="264">
        <v>0</v>
      </c>
      <c r="L52" s="264">
        <v>0</v>
      </c>
      <c r="M52" s="264">
        <v>0</v>
      </c>
      <c r="N52" s="264">
        <v>0</v>
      </c>
      <c r="O52" s="264" t="s">
        <v>37</v>
      </c>
      <c r="P52" s="264">
        <v>0</v>
      </c>
      <c r="Q52" s="264">
        <v>0</v>
      </c>
      <c r="R52" s="264">
        <v>0</v>
      </c>
      <c r="S52" s="265"/>
    </row>
    <row r="53" spans="2:19">
      <c r="B53" s="545"/>
      <c r="C53" s="547"/>
      <c r="D53" s="266"/>
      <c r="E53" s="267"/>
      <c r="F53" s="268">
        <v>0</v>
      </c>
      <c r="G53" s="269" t="s">
        <v>36</v>
      </c>
      <c r="H53" s="268">
        <v>0</v>
      </c>
      <c r="I53" s="268">
        <v>0</v>
      </c>
      <c r="J53" s="268">
        <v>0</v>
      </c>
      <c r="K53" s="268">
        <v>0</v>
      </c>
      <c r="L53" s="268">
        <v>0</v>
      </c>
      <c r="M53" s="269">
        <v>0</v>
      </c>
      <c r="N53" s="268">
        <v>0</v>
      </c>
      <c r="O53" s="269" t="s">
        <v>37</v>
      </c>
      <c r="P53" s="268">
        <v>0</v>
      </c>
      <c r="Q53" s="269">
        <v>0</v>
      </c>
      <c r="R53" s="268">
        <v>0</v>
      </c>
      <c r="S53" s="270"/>
    </row>
    <row r="54" spans="2:19">
      <c r="B54" s="544"/>
      <c r="C54" s="546"/>
      <c r="D54" s="262"/>
      <c r="E54" s="263"/>
      <c r="F54" s="264">
        <v>0</v>
      </c>
      <c r="G54" s="264" t="s">
        <v>36</v>
      </c>
      <c r="H54" s="264">
        <v>0</v>
      </c>
      <c r="I54" s="264">
        <v>0</v>
      </c>
      <c r="J54" s="264">
        <v>0</v>
      </c>
      <c r="K54" s="264">
        <v>0</v>
      </c>
      <c r="L54" s="264">
        <v>0</v>
      </c>
      <c r="M54" s="264">
        <v>0</v>
      </c>
      <c r="N54" s="264">
        <v>0</v>
      </c>
      <c r="O54" s="264" t="s">
        <v>37</v>
      </c>
      <c r="P54" s="264">
        <v>0</v>
      </c>
      <c r="Q54" s="264">
        <v>0</v>
      </c>
      <c r="R54" s="264">
        <v>0</v>
      </c>
      <c r="S54" s="265"/>
    </row>
    <row r="55" spans="2:19">
      <c r="B55" s="545"/>
      <c r="C55" s="547"/>
      <c r="D55" s="266"/>
      <c r="E55" s="267"/>
      <c r="F55" s="268">
        <v>0</v>
      </c>
      <c r="G55" s="269" t="s">
        <v>36</v>
      </c>
      <c r="H55" s="268">
        <v>0</v>
      </c>
      <c r="I55" s="268">
        <v>0</v>
      </c>
      <c r="J55" s="268">
        <v>0</v>
      </c>
      <c r="K55" s="268">
        <v>0</v>
      </c>
      <c r="L55" s="268">
        <v>0</v>
      </c>
      <c r="M55" s="269">
        <v>0</v>
      </c>
      <c r="N55" s="268">
        <v>0</v>
      </c>
      <c r="O55" s="269" t="s">
        <v>37</v>
      </c>
      <c r="P55" s="268">
        <v>0</v>
      </c>
      <c r="Q55" s="269">
        <v>0</v>
      </c>
      <c r="R55" s="268">
        <v>0</v>
      </c>
      <c r="S55" s="270"/>
    </row>
  </sheetData>
  <protectedRanges>
    <protectedRange sqref="A1:A2" name="Range1_5_1"/>
  </protectedRanges>
  <mergeCells count="55">
    <mergeCell ref="B14:B15"/>
    <mergeCell ref="C14:C15"/>
    <mergeCell ref="R9:R10"/>
    <mergeCell ref="S9:S11"/>
    <mergeCell ref="B12:B13"/>
    <mergeCell ref="C12:C13"/>
    <mergeCell ref="J9:K9"/>
    <mergeCell ref="L9:L10"/>
    <mergeCell ref="M9:M10"/>
    <mergeCell ref="N9:N10"/>
    <mergeCell ref="O9:O10"/>
    <mergeCell ref="P9:P10"/>
    <mergeCell ref="B9:B11"/>
    <mergeCell ref="C9:C11"/>
    <mergeCell ref="F9:F11"/>
    <mergeCell ref="B16:B17"/>
    <mergeCell ref="C16:C17"/>
    <mergeCell ref="B18:B19"/>
    <mergeCell ref="C18:C19"/>
    <mergeCell ref="B20:B21"/>
    <mergeCell ref="C20:C21"/>
    <mergeCell ref="B22:B23"/>
    <mergeCell ref="C22:C23"/>
    <mergeCell ref="B24:B25"/>
    <mergeCell ref="C24:C25"/>
    <mergeCell ref="B26:B27"/>
    <mergeCell ref="C26:C27"/>
    <mergeCell ref="B28:B29"/>
    <mergeCell ref="C28:C29"/>
    <mergeCell ref="B30:B31"/>
    <mergeCell ref="C30:C31"/>
    <mergeCell ref="B32:B33"/>
    <mergeCell ref="C32:C33"/>
    <mergeCell ref="B34:B35"/>
    <mergeCell ref="C34:C35"/>
    <mergeCell ref="B36:B37"/>
    <mergeCell ref="C36:C37"/>
    <mergeCell ref="B38:B39"/>
    <mergeCell ref="C38:C39"/>
    <mergeCell ref="B40:B41"/>
    <mergeCell ref="C40:C41"/>
    <mergeCell ref="B42:B43"/>
    <mergeCell ref="C42:C43"/>
    <mergeCell ref="B44:B45"/>
    <mergeCell ref="C44:C45"/>
    <mergeCell ref="B52:B53"/>
    <mergeCell ref="C52:C53"/>
    <mergeCell ref="B54:B55"/>
    <mergeCell ref="C54:C55"/>
    <mergeCell ref="B46:B47"/>
    <mergeCell ref="C46:C47"/>
    <mergeCell ref="B48:B49"/>
    <mergeCell ref="C48:C49"/>
    <mergeCell ref="B50:B51"/>
    <mergeCell ref="C50:C5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90"/>
  <sheetViews>
    <sheetView workbookViewId="0">
      <selection activeCell="C6" sqref="C6"/>
    </sheetView>
  </sheetViews>
  <sheetFormatPr defaultColWidth="9" defaultRowHeight="15"/>
  <cols>
    <col min="2" max="2" width="6.7109375" customWidth="1"/>
    <col min="3" max="3" width="34.7109375" customWidth="1"/>
    <col min="4" max="4" width="29.7109375" customWidth="1"/>
    <col min="5" max="5" width="18" customWidth="1"/>
    <col min="6" max="6" width="16.7109375" customWidth="1"/>
    <col min="7" max="7" width="13.28515625" customWidth="1"/>
    <col min="8" max="8" width="12.28515625" customWidth="1"/>
    <col min="9" max="9" width="12.5703125" customWidth="1"/>
    <col min="10" max="10" width="20.28515625" customWidth="1"/>
    <col min="12" max="12" width="15.7109375" customWidth="1"/>
  </cols>
  <sheetData>
    <row r="1" spans="1:12">
      <c r="A1" s="133" t="s">
        <v>0</v>
      </c>
    </row>
    <row r="2" spans="1:12">
      <c r="A2" s="133" t="s">
        <v>1</v>
      </c>
    </row>
    <row r="3" spans="1:12">
      <c r="A3" s="133" t="s">
        <v>2</v>
      </c>
    </row>
    <row r="4" spans="1:12">
      <c r="A4" s="133" t="s">
        <v>3</v>
      </c>
    </row>
    <row r="5" spans="1:12" s="142" customFormat="1" ht="12">
      <c r="A5" s="133" t="s">
        <v>4</v>
      </c>
      <c r="B5" s="134"/>
      <c r="C5" s="134"/>
      <c r="D5" s="135"/>
      <c r="E5" s="136"/>
      <c r="F5" s="137"/>
      <c r="G5" s="137"/>
      <c r="H5" s="138"/>
      <c r="I5" s="139">
        <v>1</v>
      </c>
      <c r="J5" s="140" t="s">
        <v>322</v>
      </c>
      <c r="K5" s="141"/>
      <c r="L5" s="141"/>
    </row>
    <row r="6" spans="1:12" s="142" customFormat="1" ht="12">
      <c r="A6" s="133" t="s">
        <v>5</v>
      </c>
      <c r="B6" s="134"/>
      <c r="C6" s="143"/>
      <c r="D6" s="143"/>
      <c r="E6" s="137"/>
      <c r="F6" s="137"/>
      <c r="G6" s="137"/>
      <c r="H6" s="144"/>
      <c r="I6" s="139">
        <v>2</v>
      </c>
      <c r="J6" s="140" t="s">
        <v>323</v>
      </c>
      <c r="K6" s="141"/>
      <c r="L6" s="141"/>
    </row>
    <row r="7" spans="1:12" s="142" customFormat="1" ht="12">
      <c r="A7" s="131" t="s">
        <v>6</v>
      </c>
      <c r="B7" s="134"/>
      <c r="C7" s="143"/>
      <c r="D7" s="145"/>
      <c r="E7" s="146"/>
      <c r="F7" s="137"/>
      <c r="G7" s="137"/>
      <c r="H7" s="138"/>
      <c r="I7" s="139">
        <v>3</v>
      </c>
      <c r="J7" s="140" t="s">
        <v>324</v>
      </c>
      <c r="K7" s="141"/>
      <c r="L7" s="141"/>
    </row>
    <row r="8" spans="1:12" s="142" customFormat="1" ht="12">
      <c r="B8" s="134"/>
      <c r="C8" s="143"/>
      <c r="D8" s="143"/>
      <c r="E8" s="145"/>
      <c r="F8" s="143"/>
      <c r="G8" s="137"/>
      <c r="H8" s="144"/>
      <c r="I8" s="139">
        <v>4</v>
      </c>
      <c r="J8" s="140" t="s">
        <v>325</v>
      </c>
      <c r="K8" s="141"/>
      <c r="L8" s="141"/>
    </row>
    <row r="9" spans="1:12" s="154" customFormat="1">
      <c r="B9" s="147" t="s">
        <v>326</v>
      </c>
      <c r="C9" s="148" t="s">
        <v>45</v>
      </c>
      <c r="D9" s="149" t="s">
        <v>327</v>
      </c>
      <c r="E9" s="150" t="s">
        <v>8</v>
      </c>
      <c r="F9" s="148" t="s">
        <v>328</v>
      </c>
      <c r="G9" s="151" t="s">
        <v>329</v>
      </c>
      <c r="H9" s="148" t="s">
        <v>330</v>
      </c>
      <c r="I9" s="152" t="s">
        <v>331</v>
      </c>
      <c r="J9" s="153" t="s">
        <v>23</v>
      </c>
    </row>
    <row r="10" spans="1:12">
      <c r="B10" s="7">
        <v>1</v>
      </c>
      <c r="C10" s="155"/>
      <c r="D10" s="155"/>
      <c r="E10" s="156"/>
      <c r="F10" s="155"/>
      <c r="G10" s="157"/>
      <c r="H10" s="158" t="s">
        <v>332</v>
      </c>
      <c r="I10" s="159">
        <v>1</v>
      </c>
      <c r="J10" s="160"/>
    </row>
    <row r="11" spans="1:12">
      <c r="B11" s="7">
        <v>2</v>
      </c>
      <c r="C11" s="155"/>
      <c r="D11" s="155"/>
      <c r="E11" s="155"/>
      <c r="F11" s="155"/>
      <c r="G11" s="157"/>
      <c r="H11" s="158" t="s">
        <v>332</v>
      </c>
      <c r="I11" s="159">
        <v>1</v>
      </c>
      <c r="J11" s="3"/>
    </row>
    <row r="12" spans="1:12">
      <c r="B12" s="7">
        <v>3</v>
      </c>
      <c r="C12" s="155"/>
      <c r="D12" s="155"/>
      <c r="E12" s="155"/>
      <c r="F12" s="155"/>
      <c r="G12" s="157"/>
      <c r="H12" s="158" t="s">
        <v>332</v>
      </c>
      <c r="I12" s="159">
        <v>1</v>
      </c>
      <c r="J12" s="3"/>
    </row>
    <row r="13" spans="1:12">
      <c r="B13" s="7">
        <v>4</v>
      </c>
      <c r="C13" s="155"/>
      <c r="D13" s="155"/>
      <c r="E13" s="155"/>
      <c r="F13" s="155"/>
      <c r="G13" s="157"/>
      <c r="H13" s="158" t="s">
        <v>332</v>
      </c>
      <c r="I13" s="159">
        <v>1</v>
      </c>
      <c r="J13" s="3"/>
    </row>
    <row r="14" spans="1:12">
      <c r="B14" s="7">
        <v>5</v>
      </c>
      <c r="C14" s="155"/>
      <c r="D14" s="155"/>
      <c r="E14" s="156"/>
      <c r="F14" s="155"/>
      <c r="G14" s="157"/>
      <c r="H14" s="158" t="s">
        <v>332</v>
      </c>
      <c r="I14" s="159">
        <v>1</v>
      </c>
      <c r="J14" s="3"/>
    </row>
    <row r="15" spans="1:12">
      <c r="B15" s="7">
        <v>6</v>
      </c>
      <c r="C15" s="155"/>
      <c r="D15" s="155"/>
      <c r="E15" s="155"/>
      <c r="F15" s="155"/>
      <c r="G15" s="157"/>
      <c r="H15" s="158" t="s">
        <v>332</v>
      </c>
      <c r="I15" s="159">
        <v>1</v>
      </c>
      <c r="J15" s="3"/>
    </row>
    <row r="16" spans="1:12" ht="19.5" customHeight="1">
      <c r="B16" s="7">
        <v>7</v>
      </c>
      <c r="C16" s="155"/>
      <c r="D16" s="155"/>
      <c r="E16" s="161"/>
      <c r="F16" s="155"/>
      <c r="G16" s="157"/>
      <c r="H16" s="158" t="s">
        <v>332</v>
      </c>
      <c r="I16" s="159">
        <v>1</v>
      </c>
      <c r="J16" s="162"/>
    </row>
    <row r="17" spans="2:10">
      <c r="B17" s="7">
        <v>8</v>
      </c>
      <c r="C17" s="163"/>
      <c r="D17" s="155"/>
      <c r="E17" s="158"/>
      <c r="F17" s="155"/>
      <c r="G17" s="157"/>
      <c r="H17" s="158" t="s">
        <v>332</v>
      </c>
      <c r="I17" s="159">
        <v>1</v>
      </c>
      <c r="J17" s="162"/>
    </row>
    <row r="18" spans="2:10">
      <c r="B18" s="7">
        <v>9</v>
      </c>
      <c r="C18" s="155"/>
      <c r="D18" s="158"/>
      <c r="E18" s="162"/>
      <c r="F18" s="158"/>
      <c r="G18" s="157"/>
      <c r="H18" s="158" t="s">
        <v>332</v>
      </c>
      <c r="I18" s="159">
        <v>1</v>
      </c>
      <c r="J18" s="162"/>
    </row>
    <row r="19" spans="2:10">
      <c r="B19" s="7">
        <v>10</v>
      </c>
      <c r="C19" s="155"/>
      <c r="D19" s="155"/>
      <c r="E19" s="162"/>
      <c r="F19" s="155"/>
      <c r="G19" s="157"/>
      <c r="H19" s="158" t="s">
        <v>332</v>
      </c>
      <c r="I19" s="159">
        <v>1</v>
      </c>
      <c r="J19" s="162"/>
    </row>
    <row r="20" spans="2:10">
      <c r="B20" s="7">
        <v>11</v>
      </c>
      <c r="C20" s="155"/>
      <c r="D20" s="155"/>
      <c r="E20" s="162"/>
      <c r="F20" s="155"/>
      <c r="G20" s="157"/>
      <c r="H20" s="158" t="s">
        <v>332</v>
      </c>
      <c r="I20" s="159">
        <v>1</v>
      </c>
      <c r="J20" s="162"/>
    </row>
    <row r="21" spans="2:10" ht="15.75">
      <c r="B21" s="7">
        <v>12</v>
      </c>
      <c r="C21" s="155"/>
      <c r="D21" s="162"/>
      <c r="E21" s="162"/>
      <c r="F21" s="164"/>
      <c r="G21" s="165"/>
      <c r="H21" s="158" t="s">
        <v>332</v>
      </c>
      <c r="I21" s="159">
        <v>1</v>
      </c>
      <c r="J21" s="162"/>
    </row>
    <row r="22" spans="2:10">
      <c r="B22" s="166">
        <v>13</v>
      </c>
      <c r="C22" s="167"/>
      <c r="D22" s="167"/>
      <c r="E22" s="164"/>
      <c r="F22" s="167"/>
      <c r="G22" s="168"/>
      <c r="H22" s="158" t="s">
        <v>332</v>
      </c>
      <c r="I22" s="159">
        <v>1</v>
      </c>
      <c r="J22" s="162"/>
    </row>
    <row r="23" spans="2:10">
      <c r="B23" s="7">
        <v>14</v>
      </c>
      <c r="C23" s="155"/>
      <c r="D23" s="155"/>
      <c r="E23" s="155"/>
      <c r="F23" s="155"/>
      <c r="G23" s="157"/>
      <c r="H23" s="158" t="s">
        <v>332</v>
      </c>
      <c r="I23" s="159">
        <v>1</v>
      </c>
      <c r="J23" s="162"/>
    </row>
    <row r="24" spans="2:10">
      <c r="B24" s="7">
        <v>15</v>
      </c>
      <c r="C24" s="155"/>
      <c r="D24" s="155"/>
      <c r="E24" s="155"/>
      <c r="F24" s="155"/>
      <c r="G24" s="157"/>
      <c r="H24" s="158" t="s">
        <v>332</v>
      </c>
      <c r="I24" s="159">
        <v>1</v>
      </c>
      <c r="J24" s="162"/>
    </row>
    <row r="25" spans="2:10">
      <c r="B25" s="169">
        <v>16</v>
      </c>
      <c r="C25" s="170"/>
      <c r="D25" s="171"/>
      <c r="E25" s="172"/>
      <c r="F25" s="172"/>
      <c r="G25" s="173"/>
      <c r="H25" s="158" t="s">
        <v>332</v>
      </c>
      <c r="I25" s="159">
        <v>1</v>
      </c>
      <c r="J25" s="162"/>
    </row>
    <row r="26" spans="2:10">
      <c r="B26" s="7">
        <v>17</v>
      </c>
      <c r="C26" s="155"/>
      <c r="D26" s="155"/>
      <c r="E26" s="155"/>
      <c r="F26" s="155"/>
      <c r="G26" s="157"/>
      <c r="H26" s="158" t="s">
        <v>332</v>
      </c>
      <c r="I26" s="159">
        <v>1</v>
      </c>
      <c r="J26" s="3"/>
    </row>
    <row r="27" spans="2:10">
      <c r="B27" s="7">
        <v>18</v>
      </c>
      <c r="C27" s="155"/>
      <c r="D27" s="155"/>
      <c r="E27" s="155"/>
      <c r="F27" s="155"/>
      <c r="G27" s="157"/>
      <c r="H27" s="158" t="s">
        <v>332</v>
      </c>
      <c r="I27" s="159">
        <v>1</v>
      </c>
      <c r="J27" s="3"/>
    </row>
    <row r="28" spans="2:10">
      <c r="B28" s="174">
        <v>19</v>
      </c>
      <c r="C28" s="155"/>
      <c r="D28" s="155"/>
      <c r="E28" s="155"/>
      <c r="F28" s="155"/>
      <c r="G28" s="157"/>
      <c r="H28" s="158" t="s">
        <v>332</v>
      </c>
      <c r="I28" s="159">
        <v>1</v>
      </c>
      <c r="J28" s="3"/>
    </row>
    <row r="29" spans="2:10">
      <c r="B29" s="169">
        <v>20</v>
      </c>
      <c r="C29" s="171"/>
      <c r="D29" s="171"/>
      <c r="E29" s="175"/>
      <c r="F29" s="175"/>
      <c r="G29" s="176"/>
      <c r="H29" s="158" t="s">
        <v>332</v>
      </c>
      <c r="I29" s="177">
        <v>1</v>
      </c>
      <c r="J29" s="3"/>
    </row>
    <row r="30" spans="2:10">
      <c r="B30" s="7">
        <v>21</v>
      </c>
      <c r="C30" s="155"/>
      <c r="D30" s="155"/>
      <c r="E30" s="155"/>
      <c r="F30" s="155"/>
      <c r="G30" s="157"/>
      <c r="H30" s="158" t="s">
        <v>332</v>
      </c>
      <c r="I30" s="159">
        <v>1</v>
      </c>
      <c r="J30" s="3"/>
    </row>
    <row r="31" spans="2:10">
      <c r="B31" s="7">
        <v>22</v>
      </c>
      <c r="C31" s="155"/>
      <c r="D31" s="155"/>
      <c r="E31" s="155"/>
      <c r="F31" s="155"/>
      <c r="G31" s="157"/>
      <c r="H31" s="158" t="s">
        <v>332</v>
      </c>
      <c r="I31" s="159">
        <v>1</v>
      </c>
      <c r="J31" s="3"/>
    </row>
    <row r="32" spans="2:10">
      <c r="B32" s="7">
        <v>23</v>
      </c>
      <c r="C32" s="155"/>
      <c r="D32" s="155"/>
      <c r="E32" s="155"/>
      <c r="F32" s="155"/>
      <c r="G32" s="157"/>
      <c r="H32" s="158" t="s">
        <v>332</v>
      </c>
      <c r="I32" s="159">
        <v>1</v>
      </c>
      <c r="J32" s="3"/>
    </row>
    <row r="33" spans="2:10">
      <c r="B33" s="169">
        <v>24</v>
      </c>
      <c r="C33" s="171"/>
      <c r="D33" s="171"/>
      <c r="E33" s="171"/>
      <c r="F33" s="175"/>
      <c r="G33" s="178"/>
      <c r="H33" s="158" t="s">
        <v>332</v>
      </c>
      <c r="I33" s="177">
        <v>1</v>
      </c>
      <c r="J33" s="3"/>
    </row>
    <row r="34" spans="2:10">
      <c r="B34" s="169">
        <v>25</v>
      </c>
      <c r="C34" s="171"/>
      <c r="D34" s="171"/>
      <c r="E34" s="170"/>
      <c r="F34" s="175"/>
      <c r="G34" s="179"/>
      <c r="H34" s="158" t="s">
        <v>332</v>
      </c>
      <c r="I34" s="177">
        <v>1</v>
      </c>
      <c r="J34" s="3"/>
    </row>
    <row r="35" spans="2:10" ht="15.75">
      <c r="B35" s="180">
        <v>26</v>
      </c>
      <c r="C35" s="181"/>
      <c r="D35" s="167"/>
      <c r="E35" s="3"/>
      <c r="F35" s="175"/>
      <c r="G35" s="182"/>
      <c r="H35" s="158" t="s">
        <v>332</v>
      </c>
      <c r="I35" s="159">
        <v>1</v>
      </c>
      <c r="J35" s="3"/>
    </row>
    <row r="36" spans="2:10" ht="15.75">
      <c r="B36" s="180">
        <v>27</v>
      </c>
      <c r="C36" s="167"/>
      <c r="D36" s="167"/>
      <c r="E36" s="3"/>
      <c r="F36" s="175"/>
      <c r="G36" s="183"/>
      <c r="H36" s="158" t="s">
        <v>332</v>
      </c>
      <c r="I36" s="159">
        <v>1</v>
      </c>
      <c r="J36" s="3"/>
    </row>
    <row r="37" spans="2:10" ht="15.75">
      <c r="B37" s="180">
        <v>28</v>
      </c>
      <c r="C37" s="184"/>
      <c r="D37" s="171"/>
      <c r="E37" s="185"/>
      <c r="F37" s="175"/>
      <c r="G37" s="186"/>
      <c r="H37" s="158" t="s">
        <v>332</v>
      </c>
      <c r="I37" s="159">
        <v>1</v>
      </c>
      <c r="J37" s="3"/>
    </row>
    <row r="38" spans="2:10" ht="15.75">
      <c r="B38" s="180">
        <v>29</v>
      </c>
      <c r="C38" s="184"/>
      <c r="D38" s="171"/>
      <c r="E38" s="185"/>
      <c r="F38" s="175"/>
      <c r="G38" s="186"/>
      <c r="H38" s="158" t="s">
        <v>332</v>
      </c>
      <c r="I38" s="159">
        <v>1</v>
      </c>
      <c r="J38" s="3"/>
    </row>
    <row r="39" spans="2:10" ht="15.75">
      <c r="B39" s="180">
        <v>30</v>
      </c>
      <c r="C39" s="184"/>
      <c r="D39" s="171"/>
      <c r="E39" s="184"/>
      <c r="F39" s="175"/>
      <c r="G39" s="186"/>
      <c r="H39" s="158" t="s">
        <v>332</v>
      </c>
      <c r="I39" s="159">
        <v>1</v>
      </c>
      <c r="J39" s="3"/>
    </row>
    <row r="40" spans="2:10" ht="15.75">
      <c r="B40" s="180">
        <v>31</v>
      </c>
      <c r="C40" s="184"/>
      <c r="D40" s="184"/>
      <c r="E40" s="185"/>
      <c r="F40" s="175"/>
      <c r="G40" s="186"/>
      <c r="H40" s="158" t="s">
        <v>332</v>
      </c>
      <c r="I40" s="166">
        <v>1</v>
      </c>
      <c r="J40" s="3"/>
    </row>
    <row r="41" spans="2:10" ht="15.75">
      <c r="B41" s="180">
        <v>32</v>
      </c>
      <c r="C41" s="181"/>
      <c r="D41" s="167"/>
      <c r="E41" s="181"/>
      <c r="F41" s="175"/>
      <c r="G41" s="186"/>
      <c r="H41" s="158" t="s">
        <v>332</v>
      </c>
      <c r="I41" s="166">
        <v>1</v>
      </c>
      <c r="J41" s="3"/>
    </row>
    <row r="42" spans="2:10">
      <c r="B42" s="166">
        <v>33</v>
      </c>
      <c r="C42" s="181"/>
      <c r="D42" s="187"/>
      <c r="E42" s="160"/>
      <c r="F42" s="164"/>
      <c r="G42" s="188"/>
      <c r="H42" s="158" t="s">
        <v>332</v>
      </c>
      <c r="I42" s="166">
        <v>1</v>
      </c>
      <c r="J42" s="3"/>
    </row>
    <row r="43" spans="2:10" ht="15.75">
      <c r="B43" s="180">
        <v>34</v>
      </c>
      <c r="C43" s="187"/>
      <c r="D43" s="167"/>
      <c r="E43" s="167"/>
      <c r="F43" s="167"/>
      <c r="G43" s="189"/>
      <c r="H43" s="158" t="s">
        <v>332</v>
      </c>
      <c r="I43" s="166">
        <v>1</v>
      </c>
      <c r="J43" s="3"/>
    </row>
    <row r="44" spans="2:10">
      <c r="B44" s="7">
        <v>35</v>
      </c>
      <c r="C44" s="181"/>
      <c r="D44" s="187"/>
      <c r="E44" s="167"/>
      <c r="F44" s="164"/>
      <c r="G44" s="189"/>
      <c r="H44" s="158" t="s">
        <v>332</v>
      </c>
      <c r="I44" s="166">
        <v>1</v>
      </c>
      <c r="J44" s="3"/>
    </row>
    <row r="45" spans="2:10" ht="15.75">
      <c r="B45" s="180">
        <v>36</v>
      </c>
      <c r="C45" s="167"/>
      <c r="D45" s="164"/>
      <c r="E45" s="185"/>
      <c r="F45" s="167"/>
      <c r="G45" s="186"/>
      <c r="H45" s="158" t="s">
        <v>332</v>
      </c>
      <c r="I45" s="166">
        <v>1</v>
      </c>
      <c r="J45" s="3"/>
    </row>
    <row r="46" spans="2:10">
      <c r="B46" s="166">
        <v>37</v>
      </c>
      <c r="C46" s="167"/>
      <c r="D46" s="167"/>
      <c r="E46" s="167"/>
      <c r="F46" s="164"/>
      <c r="G46" s="190"/>
      <c r="H46" s="158" t="s">
        <v>332</v>
      </c>
      <c r="I46" s="166">
        <v>1</v>
      </c>
      <c r="J46" s="3"/>
    </row>
    <row r="47" spans="2:10">
      <c r="B47" s="166">
        <v>38</v>
      </c>
      <c r="C47" s="167"/>
      <c r="D47" s="167"/>
      <c r="E47" s="191"/>
      <c r="F47" s="167"/>
      <c r="G47" s="190"/>
      <c r="H47" s="158" t="s">
        <v>332</v>
      </c>
      <c r="I47" s="166">
        <v>1</v>
      </c>
      <c r="J47" s="162"/>
    </row>
    <row r="48" spans="2:10">
      <c r="B48" s="166">
        <v>39</v>
      </c>
      <c r="C48" s="167"/>
      <c r="D48" s="164"/>
      <c r="E48" s="167"/>
      <c r="F48" s="164"/>
      <c r="G48" s="164"/>
      <c r="H48" s="158" t="s">
        <v>332</v>
      </c>
      <c r="I48" s="166">
        <v>1</v>
      </c>
      <c r="J48" s="162"/>
    </row>
    <row r="49" spans="2:10">
      <c r="B49" s="166">
        <v>40</v>
      </c>
      <c r="C49" s="192"/>
      <c r="D49" s="167"/>
      <c r="E49" s="167"/>
      <c r="F49" s="164"/>
      <c r="G49" s="193"/>
      <c r="H49" s="158" t="s">
        <v>332</v>
      </c>
      <c r="I49" s="166">
        <v>1</v>
      </c>
      <c r="J49" s="162"/>
    </row>
    <row r="50" spans="2:10">
      <c r="B50" s="166">
        <v>41</v>
      </c>
      <c r="C50" s="167"/>
      <c r="D50" s="164"/>
      <c r="E50" s="167"/>
      <c r="F50" s="164"/>
      <c r="G50" s="182"/>
      <c r="H50" s="158" t="s">
        <v>332</v>
      </c>
      <c r="I50" s="166">
        <v>1</v>
      </c>
      <c r="J50" s="162"/>
    </row>
    <row r="51" spans="2:10">
      <c r="B51" s="166">
        <v>42</v>
      </c>
      <c r="C51" s="167"/>
      <c r="D51" s="164"/>
      <c r="E51" s="167"/>
      <c r="F51" s="164"/>
      <c r="G51" s="182"/>
      <c r="H51" s="158" t="s">
        <v>332</v>
      </c>
      <c r="I51" s="166">
        <v>1</v>
      </c>
      <c r="J51" s="162"/>
    </row>
    <row r="52" spans="2:10">
      <c r="B52" s="166">
        <v>43</v>
      </c>
      <c r="C52" s="167"/>
      <c r="D52" s="164"/>
      <c r="E52" s="164"/>
      <c r="F52" s="164"/>
      <c r="G52" s="182"/>
      <c r="H52" s="158" t="s">
        <v>332</v>
      </c>
      <c r="I52" s="166">
        <v>1</v>
      </c>
      <c r="J52" s="162"/>
    </row>
    <row r="53" spans="2:10">
      <c r="B53" s="7">
        <v>44</v>
      </c>
      <c r="C53" s="194"/>
      <c r="D53" s="3"/>
      <c r="E53" s="3"/>
      <c r="F53" s="3"/>
      <c r="G53" s="3"/>
      <c r="H53" s="158" t="s">
        <v>332</v>
      </c>
      <c r="I53" s="195">
        <v>1</v>
      </c>
      <c r="J53" s="3"/>
    </row>
    <row r="54" spans="2:10">
      <c r="B54" s="7">
        <v>45</v>
      </c>
      <c r="C54" s="194"/>
      <c r="D54" s="3"/>
      <c r="E54" s="3"/>
      <c r="F54" s="3"/>
      <c r="G54" s="3"/>
      <c r="H54" s="158" t="s">
        <v>332</v>
      </c>
      <c r="I54" s="174">
        <v>1</v>
      </c>
      <c r="J54" s="3"/>
    </row>
    <row r="55" spans="2:10">
      <c r="B55" s="7">
        <v>46</v>
      </c>
      <c r="C55" s="194"/>
      <c r="D55" s="3"/>
      <c r="E55" s="3"/>
      <c r="F55" s="3"/>
      <c r="G55" s="3"/>
      <c r="H55" s="158" t="s">
        <v>332</v>
      </c>
      <c r="I55" s="174">
        <v>1</v>
      </c>
      <c r="J55" s="3"/>
    </row>
    <row r="56" spans="2:10">
      <c r="B56" s="166">
        <v>44</v>
      </c>
      <c r="C56" s="167"/>
      <c r="D56" s="164"/>
      <c r="E56" s="164"/>
      <c r="F56" s="164"/>
      <c r="G56" s="182"/>
      <c r="H56" s="158" t="s">
        <v>332</v>
      </c>
      <c r="I56" s="166">
        <v>1</v>
      </c>
      <c r="J56" s="3"/>
    </row>
    <row r="57" spans="2:10">
      <c r="B57" s="166">
        <v>45</v>
      </c>
      <c r="C57" s="167"/>
      <c r="D57" s="164"/>
      <c r="E57" s="164"/>
      <c r="F57" s="164"/>
      <c r="G57" s="182"/>
      <c r="H57" s="158" t="s">
        <v>332</v>
      </c>
      <c r="I57" s="166">
        <v>1</v>
      </c>
      <c r="J57" s="3"/>
    </row>
    <row r="58" spans="2:10">
      <c r="B58" s="166">
        <v>46</v>
      </c>
      <c r="C58" s="167"/>
      <c r="D58" s="164"/>
      <c r="E58" s="164"/>
      <c r="F58" s="164"/>
      <c r="G58" s="182"/>
      <c r="H58" s="158" t="s">
        <v>332</v>
      </c>
      <c r="I58" s="166">
        <v>1</v>
      </c>
      <c r="J58" s="3"/>
    </row>
    <row r="59" spans="2:10">
      <c r="B59" s="166">
        <v>47</v>
      </c>
      <c r="C59" s="167"/>
      <c r="D59" s="164"/>
      <c r="E59" s="164"/>
      <c r="F59" s="164"/>
      <c r="G59" s="182"/>
      <c r="H59" s="158" t="s">
        <v>332</v>
      </c>
      <c r="I59" s="166">
        <v>1</v>
      </c>
      <c r="J59" s="3"/>
    </row>
    <row r="60" spans="2:10">
      <c r="B60" s="166">
        <v>48</v>
      </c>
      <c r="C60" s="167"/>
      <c r="D60" s="164"/>
      <c r="E60" s="164"/>
      <c r="F60" s="164"/>
      <c r="G60" s="182"/>
      <c r="H60" s="158" t="s">
        <v>332</v>
      </c>
      <c r="I60" s="166">
        <v>1</v>
      </c>
      <c r="J60" s="3"/>
    </row>
    <row r="61" spans="2:10">
      <c r="B61" s="166">
        <v>49</v>
      </c>
      <c r="C61" s="167"/>
      <c r="D61" s="164"/>
      <c r="E61" s="164"/>
      <c r="F61" s="164"/>
      <c r="G61" s="182"/>
      <c r="H61" s="158" t="s">
        <v>332</v>
      </c>
      <c r="I61" s="166">
        <v>1</v>
      </c>
      <c r="J61" s="3"/>
    </row>
    <row r="62" spans="2:10">
      <c r="B62" s="166">
        <v>50</v>
      </c>
      <c r="C62" s="167"/>
      <c r="D62" s="164"/>
      <c r="E62" s="164"/>
      <c r="F62" s="164"/>
      <c r="G62" s="182"/>
      <c r="H62" s="158" t="s">
        <v>332</v>
      </c>
      <c r="I62" s="166">
        <v>1</v>
      </c>
      <c r="J62" s="3"/>
    </row>
    <row r="63" spans="2:10">
      <c r="B63" s="166">
        <v>51</v>
      </c>
      <c r="C63" s="167"/>
      <c r="D63" s="164"/>
      <c r="E63" s="164"/>
      <c r="F63" s="164"/>
      <c r="G63" s="182"/>
      <c r="H63" s="158" t="s">
        <v>332</v>
      </c>
      <c r="I63" s="166">
        <v>1</v>
      </c>
      <c r="J63" s="3"/>
    </row>
    <row r="64" spans="2:10">
      <c r="B64" s="166">
        <v>52</v>
      </c>
      <c r="C64" s="167"/>
      <c r="D64" s="164"/>
      <c r="E64" s="164"/>
      <c r="F64" s="164"/>
      <c r="G64" s="164"/>
      <c r="H64" s="158" t="s">
        <v>332</v>
      </c>
      <c r="I64" s="166">
        <v>1</v>
      </c>
      <c r="J64" s="3"/>
    </row>
    <row r="65" spans="2:10">
      <c r="B65" s="166">
        <v>53</v>
      </c>
      <c r="C65" s="167"/>
      <c r="D65" s="164"/>
      <c r="E65" s="164"/>
      <c r="F65" s="196"/>
      <c r="G65" s="164"/>
      <c r="H65" s="158" t="s">
        <v>332</v>
      </c>
      <c r="I65" s="166">
        <v>1</v>
      </c>
      <c r="J65" s="3"/>
    </row>
    <row r="66" spans="2:10">
      <c r="B66" s="166">
        <v>54</v>
      </c>
      <c r="C66" s="167"/>
      <c r="D66" s="164"/>
      <c r="E66" s="164"/>
      <c r="F66" s="196"/>
      <c r="G66" s="164"/>
      <c r="H66" s="158" t="s">
        <v>332</v>
      </c>
      <c r="I66" s="166">
        <v>1</v>
      </c>
      <c r="J66" s="3"/>
    </row>
    <row r="67" spans="2:10">
      <c r="B67" s="166">
        <v>55</v>
      </c>
      <c r="C67" s="164"/>
      <c r="D67" s="167"/>
      <c r="E67" s="164"/>
      <c r="F67" s="192"/>
      <c r="G67" s="182"/>
      <c r="H67" s="158" t="s">
        <v>332</v>
      </c>
      <c r="I67" s="166">
        <v>1</v>
      </c>
      <c r="J67" s="3"/>
    </row>
    <row r="68" spans="2:10">
      <c r="B68" s="166">
        <v>56</v>
      </c>
      <c r="C68" s="197"/>
      <c r="D68" s="164"/>
      <c r="E68" s="164"/>
      <c r="F68" s="196"/>
      <c r="G68" s="182"/>
      <c r="H68" s="158" t="s">
        <v>332</v>
      </c>
      <c r="I68" s="166">
        <v>1</v>
      </c>
      <c r="J68" s="3"/>
    </row>
    <row r="69" spans="2:10">
      <c r="B69" s="166">
        <v>57</v>
      </c>
      <c r="C69" s="197"/>
      <c r="D69" s="164"/>
      <c r="E69" s="164"/>
      <c r="F69" s="196"/>
      <c r="G69" s="182"/>
      <c r="H69" s="158" t="s">
        <v>332</v>
      </c>
      <c r="I69" s="166">
        <v>1</v>
      </c>
      <c r="J69" s="3"/>
    </row>
    <row r="70" spans="2:10">
      <c r="B70" s="166">
        <v>58</v>
      </c>
      <c r="C70" s="197"/>
      <c r="D70" s="160"/>
      <c r="E70" s="160"/>
      <c r="F70" s="196"/>
      <c r="G70" s="182"/>
      <c r="H70" s="158" t="s">
        <v>332</v>
      </c>
      <c r="I70" s="166">
        <v>1</v>
      </c>
      <c r="J70" s="3"/>
    </row>
    <row r="71" spans="2:10">
      <c r="B71" s="166">
        <v>59</v>
      </c>
      <c r="C71" s="197"/>
      <c r="D71" s="160"/>
      <c r="E71" s="160"/>
      <c r="F71" s="196"/>
      <c r="G71" s="182"/>
      <c r="H71" s="158" t="s">
        <v>332</v>
      </c>
      <c r="I71" s="166">
        <v>1</v>
      </c>
      <c r="J71" s="3"/>
    </row>
    <row r="72" spans="2:10">
      <c r="B72" s="166">
        <v>60</v>
      </c>
      <c r="C72" s="198"/>
      <c r="D72" s="160"/>
      <c r="E72" s="160"/>
      <c r="F72" s="196"/>
      <c r="G72" s="160"/>
      <c r="H72" s="158" t="s">
        <v>332</v>
      </c>
      <c r="I72" s="166">
        <v>1</v>
      </c>
      <c r="J72" s="3"/>
    </row>
    <row r="73" spans="2:10">
      <c r="B73" s="166">
        <v>61</v>
      </c>
      <c r="C73" s="181"/>
      <c r="D73" s="160"/>
      <c r="E73" s="160"/>
      <c r="F73" s="196"/>
      <c r="G73" s="182"/>
      <c r="H73" s="158" t="s">
        <v>332</v>
      </c>
      <c r="I73" s="166">
        <v>1</v>
      </c>
      <c r="J73" s="3"/>
    </row>
    <row r="74" spans="2:10">
      <c r="B74" s="166">
        <v>62</v>
      </c>
      <c r="C74" s="197"/>
      <c r="D74" s="160"/>
      <c r="E74" s="160"/>
      <c r="F74" s="196"/>
      <c r="G74" s="199"/>
      <c r="H74" s="158" t="s">
        <v>332</v>
      </c>
      <c r="I74" s="166">
        <v>1</v>
      </c>
      <c r="J74" s="3"/>
    </row>
    <row r="75" spans="2:10">
      <c r="B75" s="166">
        <v>63</v>
      </c>
      <c r="C75" s="200"/>
      <c r="D75" s="196"/>
      <c r="E75" s="196"/>
      <c r="F75" s="192"/>
      <c r="G75" s="196"/>
      <c r="H75" s="158" t="s">
        <v>332</v>
      </c>
      <c r="I75" s="166">
        <v>1</v>
      </c>
      <c r="J75" s="3"/>
    </row>
    <row r="76" spans="2:10">
      <c r="B76" s="166">
        <v>64</v>
      </c>
      <c r="C76" s="201"/>
      <c r="D76" s="196"/>
      <c r="E76" s="196"/>
      <c r="F76" s="196"/>
      <c r="G76" s="182"/>
      <c r="H76" s="158" t="s">
        <v>332</v>
      </c>
      <c r="I76" s="166">
        <v>1</v>
      </c>
      <c r="J76" s="3"/>
    </row>
    <row r="77" spans="2:10">
      <c r="B77" s="166">
        <v>65</v>
      </c>
      <c r="C77" s="201"/>
      <c r="D77" s="196"/>
      <c r="E77" s="196"/>
      <c r="F77" s="196"/>
      <c r="G77" s="182"/>
      <c r="H77" s="164"/>
      <c r="I77" s="166">
        <v>1</v>
      </c>
      <c r="J77" s="3"/>
    </row>
    <row r="78" spans="2:10">
      <c r="B78" s="7">
        <v>66</v>
      </c>
      <c r="C78" s="202"/>
      <c r="D78" s="196"/>
      <c r="E78" s="203"/>
      <c r="F78" s="196"/>
      <c r="G78" s="183"/>
      <c r="H78" s="164"/>
      <c r="I78" s="166">
        <v>1</v>
      </c>
      <c r="J78" s="3"/>
    </row>
    <row r="79" spans="2:10">
      <c r="B79" s="7">
        <v>67</v>
      </c>
      <c r="C79" s="3"/>
      <c r="D79" s="3"/>
      <c r="E79" s="3"/>
      <c r="F79" s="3"/>
      <c r="G79" s="3"/>
      <c r="H79" s="164"/>
      <c r="I79" s="166">
        <v>1</v>
      </c>
      <c r="J79" s="3"/>
    </row>
    <row r="80" spans="2:10">
      <c r="B80" s="7">
        <v>68</v>
      </c>
      <c r="C80" s="3"/>
      <c r="D80" s="3"/>
      <c r="E80" s="3"/>
      <c r="F80" s="3"/>
      <c r="G80" s="3"/>
      <c r="H80" s="164"/>
      <c r="I80" s="166">
        <v>1</v>
      </c>
      <c r="J80" s="3"/>
    </row>
    <row r="81" spans="2:10">
      <c r="B81" s="7">
        <v>69</v>
      </c>
      <c r="C81" s="3"/>
      <c r="D81" s="3"/>
      <c r="E81" s="3"/>
      <c r="F81" s="3"/>
      <c r="G81" s="3"/>
      <c r="H81" s="164"/>
      <c r="I81" s="166">
        <v>1</v>
      </c>
      <c r="J81" s="3"/>
    </row>
    <row r="82" spans="2:10">
      <c r="B82" s="3"/>
      <c r="C82" s="3"/>
      <c r="D82" s="3"/>
      <c r="E82" s="3"/>
      <c r="F82" s="3"/>
      <c r="G82" s="3"/>
      <c r="H82" s="164"/>
      <c r="I82" s="166">
        <v>1</v>
      </c>
      <c r="J82" s="3"/>
    </row>
    <row r="83" spans="2:10">
      <c r="B83" s="3"/>
      <c r="C83" s="3"/>
      <c r="D83" s="3"/>
      <c r="E83" s="3"/>
      <c r="F83" s="3"/>
      <c r="G83" s="3"/>
      <c r="H83" s="164"/>
      <c r="I83" s="166">
        <v>1</v>
      </c>
      <c r="J83" s="3"/>
    </row>
    <row r="84" spans="2:10">
      <c r="B84" s="3"/>
      <c r="C84" s="3"/>
      <c r="D84" s="3"/>
      <c r="E84" s="3"/>
      <c r="F84" s="3"/>
      <c r="G84" s="3"/>
      <c r="H84" s="164"/>
      <c r="I84" s="166">
        <v>1</v>
      </c>
      <c r="J84" s="3"/>
    </row>
    <row r="85" spans="2:10">
      <c r="B85" s="3"/>
      <c r="C85" s="3"/>
      <c r="D85" s="3"/>
      <c r="E85" s="3"/>
      <c r="F85" s="3"/>
      <c r="G85" s="3"/>
      <c r="H85" s="3"/>
      <c r="I85" s="3"/>
      <c r="J85" s="3"/>
    </row>
    <row r="86" spans="2:10">
      <c r="B86" s="3"/>
      <c r="C86" s="3"/>
      <c r="D86" s="3"/>
      <c r="E86" s="3"/>
      <c r="F86" s="3"/>
      <c r="G86" s="3"/>
      <c r="H86" s="3"/>
      <c r="I86" s="3"/>
      <c r="J86" s="3"/>
    </row>
    <row r="87" spans="2:10">
      <c r="B87" s="3"/>
      <c r="C87" s="3"/>
      <c r="D87" s="3"/>
      <c r="E87" s="3"/>
      <c r="F87" s="3"/>
      <c r="G87" s="3"/>
      <c r="H87" s="3"/>
      <c r="I87" s="3"/>
      <c r="J87" s="3"/>
    </row>
    <row r="88" spans="2:10">
      <c r="B88" s="3"/>
      <c r="C88" s="3"/>
      <c r="D88" s="3"/>
      <c r="E88" s="3"/>
      <c r="F88" s="3"/>
      <c r="G88" s="3"/>
      <c r="H88" s="3"/>
      <c r="I88" s="3"/>
      <c r="J88" s="3"/>
    </row>
    <row r="89" spans="2:10">
      <c r="B89" s="3"/>
      <c r="C89" s="3"/>
      <c r="D89" s="3"/>
      <c r="E89" s="3"/>
      <c r="F89" s="3"/>
      <c r="G89" s="3"/>
      <c r="H89" s="3"/>
      <c r="I89" s="3"/>
      <c r="J89" s="3"/>
    </row>
    <row r="90" spans="2:10">
      <c r="B90" s="3"/>
      <c r="C90" s="3"/>
      <c r="D90" s="3"/>
      <c r="E90" s="3"/>
      <c r="F90" s="3"/>
      <c r="G90" s="3"/>
      <c r="H90" s="3"/>
      <c r="I90" s="3"/>
      <c r="J90" s="3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A911"/>
  <sheetViews>
    <sheetView zoomScale="90" zoomScaleNormal="90" workbookViewId="0">
      <selection activeCell="D9" sqref="D9"/>
    </sheetView>
  </sheetViews>
  <sheetFormatPr defaultColWidth="9" defaultRowHeight="18.75"/>
  <cols>
    <col min="1" max="1" width="8.7109375" style="14" customWidth="1"/>
    <col min="2" max="2" width="92.42578125" style="14" bestFit="1" customWidth="1"/>
    <col min="3" max="3" width="16.7109375" style="14" bestFit="1" customWidth="1"/>
    <col min="4" max="4" width="25.7109375" style="14" customWidth="1"/>
    <col min="5" max="5" width="11.140625" style="14" bestFit="1" customWidth="1"/>
    <col min="6" max="6" width="22" style="65" hidden="1" customWidth="1"/>
    <col min="7" max="7" width="31.85546875" style="48" hidden="1" customWidth="1"/>
    <col min="8" max="8" width="38" style="41" hidden="1" customWidth="1"/>
    <col min="9" max="9" width="16.7109375" style="14" hidden="1" customWidth="1"/>
    <col min="10" max="10" width="45.85546875" style="41" hidden="1" customWidth="1"/>
    <col min="11" max="11" width="16" style="14" hidden="1" customWidth="1"/>
    <col min="12" max="12" width="45.28515625" style="41" hidden="1" customWidth="1"/>
    <col min="13" max="13" width="16" style="14" hidden="1" customWidth="1"/>
    <col min="14" max="14" width="40" style="41" hidden="1" customWidth="1"/>
    <col min="15" max="15" width="50.28515625" style="41" hidden="1" customWidth="1"/>
    <col min="16" max="16" width="38.7109375" style="41" hidden="1" customWidth="1"/>
    <col min="17" max="17" width="18.85546875" style="14" bestFit="1" customWidth="1"/>
    <col min="18" max="18" width="22.42578125" style="66" bestFit="1" customWidth="1"/>
    <col min="19" max="19" width="15.28515625" style="99" bestFit="1" customWidth="1"/>
    <col min="20" max="20" width="24.140625" style="99" bestFit="1" customWidth="1"/>
    <col min="21" max="21" width="30.28515625" style="90" hidden="1" customWidth="1"/>
    <col min="22" max="22" width="34" style="91" hidden="1" customWidth="1"/>
    <col min="23" max="23" width="17.42578125" style="90" bestFit="1" customWidth="1"/>
    <col min="24" max="24" width="20.42578125" style="92" bestFit="1" customWidth="1"/>
    <col min="25" max="25" width="18.140625" style="90" bestFit="1" customWidth="1"/>
    <col min="26" max="26" width="31" style="90" bestFit="1" customWidth="1"/>
    <col min="27" max="27" width="9" style="90" customWidth="1"/>
    <col min="28" max="46" width="9" style="14" customWidth="1"/>
    <col min="47" max="16384" width="9" style="14"/>
  </cols>
  <sheetData>
    <row r="1" spans="1:27">
      <c r="A1" s="552" t="s">
        <v>0</v>
      </c>
      <c r="B1" s="552"/>
      <c r="C1" s="35"/>
      <c r="D1" s="36" t="s">
        <v>333</v>
      </c>
      <c r="E1" s="37"/>
      <c r="F1" s="38"/>
      <c r="G1" s="39"/>
      <c r="H1" s="40"/>
      <c r="K1" s="42"/>
      <c r="L1" s="40"/>
      <c r="M1" s="42"/>
      <c r="N1" s="40"/>
      <c r="O1" s="40"/>
      <c r="P1" s="40"/>
      <c r="Q1" s="43"/>
      <c r="R1" s="43"/>
      <c r="S1" s="89"/>
      <c r="T1" s="89"/>
      <c r="Z1" s="93"/>
    </row>
    <row r="2" spans="1:27">
      <c r="A2" s="552" t="s">
        <v>1</v>
      </c>
      <c r="B2" s="552"/>
      <c r="C2" s="44"/>
      <c r="D2" s="36" t="s">
        <v>334</v>
      </c>
      <c r="E2" s="37"/>
      <c r="F2" s="38"/>
      <c r="G2" s="39"/>
      <c r="H2" s="40"/>
      <c r="K2" s="42"/>
      <c r="L2" s="40"/>
      <c r="M2" s="42"/>
      <c r="N2" s="40"/>
      <c r="O2" s="40"/>
      <c r="P2" s="40"/>
      <c r="Q2" s="43"/>
      <c r="R2" s="43"/>
      <c r="S2" s="89"/>
      <c r="T2" s="89"/>
      <c r="Z2" s="93"/>
    </row>
    <row r="3" spans="1:27">
      <c r="A3" s="45"/>
      <c r="B3" s="46"/>
      <c r="C3" s="47"/>
      <c r="D3" s="36" t="s">
        <v>335</v>
      </c>
      <c r="E3" s="37"/>
      <c r="F3" s="38"/>
      <c r="H3" s="40"/>
      <c r="K3" s="42"/>
      <c r="L3" s="40"/>
      <c r="M3" s="42"/>
      <c r="N3" s="40"/>
      <c r="O3" s="40"/>
      <c r="P3" s="40"/>
      <c r="Q3" s="43"/>
      <c r="R3" s="43"/>
      <c r="S3" s="89"/>
      <c r="T3" s="89"/>
      <c r="Z3" s="93"/>
    </row>
    <row r="4" spans="1:27">
      <c r="A4" s="49" t="s">
        <v>2896</v>
      </c>
      <c r="C4" s="50"/>
      <c r="D4" s="46" t="s">
        <v>337</v>
      </c>
      <c r="E4" s="37"/>
      <c r="F4" s="38"/>
      <c r="G4" s="39"/>
      <c r="H4" s="40"/>
      <c r="K4" s="42"/>
      <c r="L4" s="40"/>
      <c r="M4" s="42"/>
      <c r="N4" s="40"/>
      <c r="O4" s="40"/>
      <c r="P4" s="40"/>
      <c r="Q4" s="43"/>
      <c r="R4" s="43"/>
      <c r="S4" s="89"/>
      <c r="T4" s="89"/>
      <c r="Z4" s="93"/>
    </row>
    <row r="5" spans="1:27">
      <c r="A5" s="51"/>
      <c r="B5" s="37"/>
      <c r="C5" s="52"/>
      <c r="D5" s="46" t="s">
        <v>338</v>
      </c>
      <c r="E5" s="37"/>
      <c r="F5" s="38"/>
      <c r="G5" s="39"/>
      <c r="H5" s="40"/>
      <c r="K5" s="42"/>
      <c r="L5" s="40"/>
      <c r="M5" s="42"/>
      <c r="N5" s="40"/>
      <c r="O5" s="40"/>
      <c r="P5" s="40"/>
      <c r="Q5" s="43"/>
      <c r="R5" s="43"/>
      <c r="S5" s="89"/>
      <c r="T5" s="94"/>
      <c r="Z5" s="93"/>
    </row>
    <row r="6" spans="1:27">
      <c r="A6" s="51"/>
      <c r="B6" s="37"/>
      <c r="C6" s="53"/>
      <c r="D6" s="46" t="s">
        <v>339</v>
      </c>
      <c r="E6" s="37"/>
      <c r="F6" s="38" t="s">
        <v>340</v>
      </c>
      <c r="G6" s="39"/>
      <c r="H6" s="40"/>
      <c r="I6" s="42"/>
      <c r="J6" s="40"/>
      <c r="K6" s="42"/>
      <c r="L6" s="40"/>
      <c r="M6" s="42"/>
      <c r="N6" s="40"/>
      <c r="O6" s="40"/>
      <c r="P6" s="40"/>
      <c r="Q6" s="43"/>
      <c r="R6" s="43"/>
      <c r="S6" s="89"/>
      <c r="T6" s="89"/>
      <c r="Z6" s="93"/>
    </row>
    <row r="7" spans="1:27">
      <c r="A7" s="51"/>
      <c r="B7" s="37"/>
      <c r="C7" s="54"/>
      <c r="D7" s="46" t="s">
        <v>341</v>
      </c>
      <c r="E7" s="37"/>
      <c r="F7" s="38"/>
      <c r="G7" s="39"/>
      <c r="H7" s="40"/>
      <c r="I7" s="42"/>
      <c r="K7" s="42"/>
      <c r="L7" s="40"/>
      <c r="M7" s="42"/>
      <c r="N7" s="40"/>
      <c r="O7" s="40"/>
      <c r="P7" s="40"/>
      <c r="Q7" s="43"/>
      <c r="R7" s="43"/>
      <c r="S7" s="89"/>
      <c r="T7" s="89"/>
      <c r="Z7" s="93"/>
    </row>
    <row r="8" spans="1:27">
      <c r="A8" s="37"/>
      <c r="B8" s="37"/>
      <c r="C8" s="37"/>
      <c r="D8" s="37"/>
      <c r="E8" s="37"/>
      <c r="F8" s="38"/>
      <c r="G8" s="39"/>
      <c r="H8" s="40"/>
      <c r="I8" s="42"/>
      <c r="J8" s="40"/>
      <c r="K8" s="42"/>
      <c r="L8" s="40"/>
      <c r="M8" s="42"/>
      <c r="N8" s="40"/>
      <c r="O8" s="40"/>
      <c r="P8" s="40"/>
      <c r="Q8" s="43"/>
      <c r="R8" s="43"/>
      <c r="S8" s="89"/>
      <c r="T8" s="89"/>
      <c r="Z8" s="93"/>
    </row>
    <row r="9" spans="1:27" ht="47.25" customHeight="1">
      <c r="A9" s="71" t="s">
        <v>217</v>
      </c>
      <c r="B9" s="56" t="s">
        <v>342</v>
      </c>
      <c r="C9" s="56" t="s">
        <v>343</v>
      </c>
      <c r="D9" s="56" t="s">
        <v>344</v>
      </c>
      <c r="E9" s="56" t="s">
        <v>345</v>
      </c>
      <c r="F9" s="57" t="s">
        <v>346</v>
      </c>
      <c r="G9" s="58" t="s">
        <v>347</v>
      </c>
      <c r="H9" s="59" t="s">
        <v>348</v>
      </c>
      <c r="I9" s="60" t="s">
        <v>349</v>
      </c>
      <c r="J9" s="59" t="s">
        <v>350</v>
      </c>
      <c r="K9" s="60" t="s">
        <v>351</v>
      </c>
      <c r="L9" s="59" t="s">
        <v>352</v>
      </c>
      <c r="M9" s="60" t="s">
        <v>353</v>
      </c>
      <c r="N9" s="59" t="s">
        <v>354</v>
      </c>
      <c r="O9" s="59" t="s">
        <v>355</v>
      </c>
      <c r="P9" s="59" t="s">
        <v>356</v>
      </c>
      <c r="Q9" s="61" t="s">
        <v>357</v>
      </c>
      <c r="R9" s="61" t="s">
        <v>358</v>
      </c>
      <c r="S9" s="95" t="s">
        <v>329</v>
      </c>
      <c r="T9" s="104" t="s">
        <v>359</v>
      </c>
      <c r="U9" s="105" t="s">
        <v>360</v>
      </c>
      <c r="V9" s="106" t="s">
        <v>361</v>
      </c>
      <c r="W9" s="105" t="s">
        <v>362</v>
      </c>
      <c r="X9" s="110" t="s">
        <v>363</v>
      </c>
      <c r="Y9" s="108" t="s">
        <v>364</v>
      </c>
      <c r="Z9" s="109" t="s">
        <v>365</v>
      </c>
      <c r="AA9" s="491" t="s">
        <v>331</v>
      </c>
    </row>
    <row r="10" spans="1:27" s="128" customFormat="1" ht="21" customHeight="1">
      <c r="A10" s="72"/>
      <c r="B10" s="73" t="s">
        <v>366</v>
      </c>
      <c r="C10" s="62"/>
      <c r="D10" s="74"/>
      <c r="E10" s="75"/>
      <c r="F10" s="76"/>
      <c r="G10" s="77">
        <f>E10*F10</f>
        <v>0</v>
      </c>
      <c r="H10" s="63"/>
      <c r="I10" s="74"/>
      <c r="J10" s="63"/>
      <c r="K10" s="74"/>
      <c r="L10" s="64"/>
      <c r="M10" s="74"/>
      <c r="N10" s="64"/>
      <c r="O10" s="64"/>
      <c r="P10" s="64"/>
      <c r="Q10" s="78"/>
      <c r="R10" s="78"/>
      <c r="S10" s="96"/>
      <c r="T10" s="96"/>
      <c r="U10" s="101"/>
      <c r="V10" s="97"/>
      <c r="W10" s="102"/>
      <c r="X10" s="102"/>
      <c r="Y10" s="98"/>
      <c r="Z10" s="103"/>
      <c r="AA10" s="415"/>
    </row>
    <row r="11" spans="1:27" s="441" customFormat="1" ht="21" customHeight="1">
      <c r="A11" s="427">
        <v>1</v>
      </c>
      <c r="B11" s="428" t="s">
        <v>2897</v>
      </c>
      <c r="C11" s="429" t="s">
        <v>52</v>
      </c>
      <c r="D11" s="428" t="s">
        <v>2898</v>
      </c>
      <c r="E11" s="430">
        <v>2</v>
      </c>
      <c r="F11" s="431"/>
      <c r="G11" s="432">
        <f t="shared" ref="G11:G13" si="0">E11*F11</f>
        <v>0</v>
      </c>
      <c r="H11" s="433"/>
      <c r="I11" s="428"/>
      <c r="J11" s="433"/>
      <c r="K11" s="428"/>
      <c r="L11" s="433"/>
      <c r="M11" s="428"/>
      <c r="N11" s="433"/>
      <c r="O11" s="433"/>
      <c r="P11" s="433"/>
      <c r="Q11" s="434"/>
      <c r="R11" s="434"/>
      <c r="S11" s="435"/>
      <c r="T11" s="435"/>
      <c r="U11" s="436"/>
      <c r="V11" s="437"/>
      <c r="W11" s="438"/>
      <c r="X11" s="438"/>
      <c r="Y11" s="439" t="s">
        <v>592</v>
      </c>
      <c r="Z11" s="440"/>
      <c r="AA11" s="436"/>
    </row>
    <row r="12" spans="1:27" s="441" customFormat="1" ht="21" customHeight="1">
      <c r="A12" s="427">
        <v>2</v>
      </c>
      <c r="B12" s="428" t="s">
        <v>2899</v>
      </c>
      <c r="C12" s="429" t="s">
        <v>52</v>
      </c>
      <c r="D12" s="428" t="s">
        <v>2900</v>
      </c>
      <c r="E12" s="430">
        <v>1</v>
      </c>
      <c r="F12" s="431"/>
      <c r="G12" s="432">
        <f t="shared" si="0"/>
        <v>0</v>
      </c>
      <c r="H12" s="433"/>
      <c r="I12" s="428"/>
      <c r="J12" s="433"/>
      <c r="K12" s="428"/>
      <c r="L12" s="433"/>
      <c r="M12" s="428"/>
      <c r="N12" s="433"/>
      <c r="O12" s="433"/>
      <c r="P12" s="433"/>
      <c r="Q12" s="434"/>
      <c r="R12" s="434"/>
      <c r="S12" s="435"/>
      <c r="T12" s="435"/>
      <c r="U12" s="436"/>
      <c r="V12" s="437"/>
      <c r="W12" s="438"/>
      <c r="X12" s="438"/>
      <c r="Y12" s="439" t="s">
        <v>592</v>
      </c>
      <c r="Z12" s="440"/>
      <c r="AA12" s="436"/>
    </row>
    <row r="13" spans="1:27" s="441" customFormat="1" ht="21" customHeight="1">
      <c r="A13" s="427">
        <v>3</v>
      </c>
      <c r="B13" s="428" t="s">
        <v>2901</v>
      </c>
      <c r="C13" s="429" t="s">
        <v>52</v>
      </c>
      <c r="D13" s="428" t="s">
        <v>2902</v>
      </c>
      <c r="E13" s="430">
        <v>1</v>
      </c>
      <c r="F13" s="431"/>
      <c r="G13" s="432">
        <f t="shared" si="0"/>
        <v>0</v>
      </c>
      <c r="H13" s="433"/>
      <c r="I13" s="428"/>
      <c r="J13" s="433"/>
      <c r="K13" s="428"/>
      <c r="L13" s="433"/>
      <c r="M13" s="428"/>
      <c r="N13" s="433"/>
      <c r="O13" s="433"/>
      <c r="P13" s="433"/>
      <c r="Q13" s="434"/>
      <c r="R13" s="434"/>
      <c r="S13" s="435"/>
      <c r="T13" s="435"/>
      <c r="U13" s="436"/>
      <c r="V13" s="437"/>
      <c r="W13" s="438"/>
      <c r="X13" s="438"/>
      <c r="Y13" s="439" t="s">
        <v>592</v>
      </c>
      <c r="Z13" s="440"/>
      <c r="AA13" s="436"/>
    </row>
    <row r="14" spans="1:27" s="128" customFormat="1" ht="21" customHeight="1">
      <c r="A14" s="405">
        <v>4</v>
      </c>
      <c r="B14" s="407" t="s">
        <v>2903</v>
      </c>
      <c r="C14" s="406" t="s">
        <v>52</v>
      </c>
      <c r="D14" s="407" t="s">
        <v>2904</v>
      </c>
      <c r="E14" s="408">
        <v>1</v>
      </c>
      <c r="F14" s="409"/>
      <c r="G14" s="410">
        <f>E14*F14</f>
        <v>0</v>
      </c>
      <c r="H14" s="412"/>
      <c r="I14" s="407"/>
      <c r="J14" s="412"/>
      <c r="K14" s="407" t="s">
        <v>2905</v>
      </c>
      <c r="L14" s="412" t="s">
        <v>444</v>
      </c>
      <c r="M14" s="407" t="s">
        <v>444</v>
      </c>
      <c r="N14" s="412"/>
      <c r="O14" s="412"/>
      <c r="P14" s="412" t="s">
        <v>444</v>
      </c>
      <c r="Q14" s="413" t="s">
        <v>1514</v>
      </c>
      <c r="R14" s="413" t="s">
        <v>2906</v>
      </c>
      <c r="S14" s="414"/>
      <c r="T14" s="414"/>
      <c r="U14" s="415"/>
      <c r="V14" s="416"/>
      <c r="W14" s="417"/>
      <c r="X14" s="417"/>
      <c r="Y14" s="418" t="s">
        <v>377</v>
      </c>
      <c r="Z14" s="496"/>
      <c r="AA14" s="415"/>
    </row>
    <row r="15" spans="1:27" s="128" customFormat="1" ht="21" customHeight="1">
      <c r="A15" s="405">
        <v>5</v>
      </c>
      <c r="B15" s="407" t="s">
        <v>2907</v>
      </c>
      <c r="C15" s="406" t="s">
        <v>52</v>
      </c>
      <c r="D15" s="407" t="s">
        <v>2908</v>
      </c>
      <c r="E15" s="408">
        <v>1</v>
      </c>
      <c r="F15" s="409"/>
      <c r="G15" s="410">
        <f>E15*F15</f>
        <v>0</v>
      </c>
      <c r="H15" s="412"/>
      <c r="I15" s="407"/>
      <c r="J15" s="412"/>
      <c r="K15" s="407" t="s">
        <v>2905</v>
      </c>
      <c r="L15" s="412" t="s">
        <v>444</v>
      </c>
      <c r="M15" s="407" t="s">
        <v>444</v>
      </c>
      <c r="N15" s="412"/>
      <c r="O15" s="412"/>
      <c r="P15" s="412" t="s">
        <v>444</v>
      </c>
      <c r="Q15" s="413" t="s">
        <v>1514</v>
      </c>
      <c r="R15" s="413" t="s">
        <v>2909</v>
      </c>
      <c r="S15" s="414"/>
      <c r="T15" s="414"/>
      <c r="U15" s="415"/>
      <c r="V15" s="416"/>
      <c r="W15" s="417"/>
      <c r="X15" s="417"/>
      <c r="Y15" s="418" t="s">
        <v>377</v>
      </c>
      <c r="Z15" s="496"/>
      <c r="AA15" s="415"/>
    </row>
    <row r="16" spans="1:27">
      <c r="A16" s="389"/>
      <c r="B16" s="390" t="s">
        <v>367</v>
      </c>
      <c r="C16" s="391"/>
      <c r="D16" s="392"/>
      <c r="E16" s="393"/>
      <c r="F16" s="394"/>
      <c r="G16" s="395">
        <f>E16*F16</f>
        <v>0</v>
      </c>
      <c r="H16" s="420"/>
      <c r="I16" s="392"/>
      <c r="J16" s="420"/>
      <c r="K16" s="392"/>
      <c r="L16" s="397"/>
      <c r="M16" s="392"/>
      <c r="N16" s="397"/>
      <c r="O16" s="397"/>
      <c r="P16" s="397"/>
      <c r="Q16" s="398"/>
      <c r="R16" s="398"/>
      <c r="S16" s="399"/>
      <c r="T16" s="399"/>
      <c r="U16" s="400"/>
      <c r="V16" s="401"/>
      <c r="W16" s="402"/>
      <c r="X16" s="402"/>
      <c r="Y16" s="403"/>
      <c r="Z16" s="404"/>
      <c r="AA16" s="493"/>
    </row>
    <row r="17" spans="1:27" s="128" customFormat="1" ht="37.5">
      <c r="A17" s="443">
        <v>1</v>
      </c>
      <c r="B17" s="444" t="s">
        <v>2910</v>
      </c>
      <c r="C17" s="445" t="s">
        <v>55</v>
      </c>
      <c r="D17" s="444" t="s">
        <v>2911</v>
      </c>
      <c r="E17" s="446">
        <v>3</v>
      </c>
      <c r="F17" s="447"/>
      <c r="G17" s="448">
        <f t="shared" ref="G17:G48" si="1">E17*F17</f>
        <v>0</v>
      </c>
      <c r="H17" s="450">
        <v>45498</v>
      </c>
      <c r="I17" s="444">
        <v>37241</v>
      </c>
      <c r="J17" s="450">
        <v>45499</v>
      </c>
      <c r="K17" s="444" t="s">
        <v>2912</v>
      </c>
      <c r="L17" s="450" t="s">
        <v>2913</v>
      </c>
      <c r="M17" s="444" t="s">
        <v>2914</v>
      </c>
      <c r="N17" s="450"/>
      <c r="O17" s="450"/>
      <c r="P17" s="450" t="s">
        <v>2915</v>
      </c>
      <c r="Q17" s="451" t="s">
        <v>374</v>
      </c>
      <c r="R17" s="451" t="s">
        <v>306</v>
      </c>
      <c r="S17" s="452">
        <v>45516</v>
      </c>
      <c r="T17" s="452" t="s">
        <v>611</v>
      </c>
      <c r="U17" s="453"/>
      <c r="V17" s="454"/>
      <c r="W17" s="455" t="s">
        <v>406</v>
      </c>
      <c r="X17" s="455">
        <v>45516</v>
      </c>
      <c r="Y17" s="456" t="s">
        <v>377</v>
      </c>
      <c r="Z17" s="457"/>
      <c r="AA17" s="453"/>
    </row>
    <row r="18" spans="1:27" s="128" customFormat="1" ht="37.5">
      <c r="A18" s="443">
        <v>2</v>
      </c>
      <c r="B18" s="444" t="s">
        <v>2916</v>
      </c>
      <c r="C18" s="445" t="s">
        <v>55</v>
      </c>
      <c r="D18" s="444" t="s">
        <v>2917</v>
      </c>
      <c r="E18" s="446">
        <v>3</v>
      </c>
      <c r="F18" s="447"/>
      <c r="G18" s="448">
        <f t="shared" si="1"/>
        <v>0</v>
      </c>
      <c r="H18" s="450"/>
      <c r="I18" s="444"/>
      <c r="J18" s="450"/>
      <c r="K18" s="444" t="s">
        <v>2918</v>
      </c>
      <c r="L18" s="450" t="s">
        <v>2919</v>
      </c>
      <c r="M18" s="444" t="s">
        <v>2920</v>
      </c>
      <c r="N18" s="450"/>
      <c r="O18" s="450"/>
      <c r="P18" s="450" t="s">
        <v>2921</v>
      </c>
      <c r="Q18" s="451" t="s">
        <v>374</v>
      </c>
      <c r="R18" s="451" t="s">
        <v>2922</v>
      </c>
      <c r="S18" s="452">
        <v>45555</v>
      </c>
      <c r="T18" s="452"/>
      <c r="U18" s="453"/>
      <c r="V18" s="454"/>
      <c r="W18" s="455" t="s">
        <v>406</v>
      </c>
      <c r="X18" s="455">
        <v>45552</v>
      </c>
      <c r="Y18" s="456" t="s">
        <v>377</v>
      </c>
      <c r="Z18" s="457"/>
      <c r="AA18" s="453"/>
    </row>
    <row r="19" spans="1:27" s="128" customFormat="1" ht="37.5">
      <c r="A19" s="443">
        <v>3</v>
      </c>
      <c r="B19" s="444" t="s">
        <v>2923</v>
      </c>
      <c r="C19" s="445" t="s">
        <v>55</v>
      </c>
      <c r="D19" s="444" t="s">
        <v>2924</v>
      </c>
      <c r="E19" s="446">
        <v>3</v>
      </c>
      <c r="F19" s="447"/>
      <c r="G19" s="448">
        <f t="shared" si="1"/>
        <v>0</v>
      </c>
      <c r="H19" s="450"/>
      <c r="I19" s="444"/>
      <c r="J19" s="450"/>
      <c r="K19" s="444" t="s">
        <v>2918</v>
      </c>
      <c r="L19" s="450" t="s">
        <v>2919</v>
      </c>
      <c r="M19" s="444" t="s">
        <v>2920</v>
      </c>
      <c r="N19" s="450"/>
      <c r="O19" s="450"/>
      <c r="P19" s="450" t="s">
        <v>2921</v>
      </c>
      <c r="Q19" s="451" t="s">
        <v>374</v>
      </c>
      <c r="R19" s="451" t="s">
        <v>2922</v>
      </c>
      <c r="S19" s="452">
        <v>45555</v>
      </c>
      <c r="T19" s="452"/>
      <c r="U19" s="453"/>
      <c r="V19" s="454"/>
      <c r="W19" s="455" t="s">
        <v>406</v>
      </c>
      <c r="X19" s="455">
        <v>45552</v>
      </c>
      <c r="Y19" s="456" t="s">
        <v>377</v>
      </c>
      <c r="Z19" s="457"/>
      <c r="AA19" s="453"/>
    </row>
    <row r="20" spans="1:27" s="128" customFormat="1" ht="37.5">
      <c r="A20" s="443">
        <v>4</v>
      </c>
      <c r="B20" s="444" t="s">
        <v>2925</v>
      </c>
      <c r="C20" s="445" t="s">
        <v>55</v>
      </c>
      <c r="D20" s="444" t="s">
        <v>2926</v>
      </c>
      <c r="E20" s="446">
        <v>3</v>
      </c>
      <c r="F20" s="447"/>
      <c r="G20" s="448">
        <f t="shared" si="1"/>
        <v>0</v>
      </c>
      <c r="H20" s="450"/>
      <c r="I20" s="444"/>
      <c r="J20" s="450"/>
      <c r="K20" s="444" t="s">
        <v>2918</v>
      </c>
      <c r="L20" s="450" t="s">
        <v>2919</v>
      </c>
      <c r="M20" s="444" t="s">
        <v>2927</v>
      </c>
      <c r="N20" s="450"/>
      <c r="O20" s="450"/>
      <c r="P20" s="450" t="s">
        <v>2921</v>
      </c>
      <c r="Q20" s="451" t="s">
        <v>374</v>
      </c>
      <c r="R20" s="451" t="s">
        <v>260</v>
      </c>
      <c r="S20" s="452">
        <v>45541</v>
      </c>
      <c r="T20" s="452"/>
      <c r="U20" s="453"/>
      <c r="V20" s="454"/>
      <c r="W20" s="455" t="s">
        <v>406</v>
      </c>
      <c r="X20" s="455">
        <v>45545</v>
      </c>
      <c r="Y20" s="456" t="s">
        <v>377</v>
      </c>
      <c r="Z20" s="457"/>
      <c r="AA20" s="453"/>
    </row>
    <row r="21" spans="1:27" s="128" customFormat="1" ht="37.5">
      <c r="A21" s="443">
        <v>5</v>
      </c>
      <c r="B21" s="444" t="s">
        <v>2928</v>
      </c>
      <c r="C21" s="445" t="s">
        <v>55</v>
      </c>
      <c r="D21" s="444" t="s">
        <v>2929</v>
      </c>
      <c r="E21" s="446">
        <v>3</v>
      </c>
      <c r="F21" s="447"/>
      <c r="G21" s="448">
        <f t="shared" si="1"/>
        <v>0</v>
      </c>
      <c r="H21" s="450"/>
      <c r="I21" s="444"/>
      <c r="J21" s="450"/>
      <c r="K21" s="444" t="s">
        <v>2918</v>
      </c>
      <c r="L21" s="450" t="s">
        <v>2919</v>
      </c>
      <c r="M21" s="444" t="s">
        <v>2930</v>
      </c>
      <c r="N21" s="450"/>
      <c r="O21" s="450"/>
      <c r="P21" s="450" t="s">
        <v>2921</v>
      </c>
      <c r="Q21" s="451" t="s">
        <v>374</v>
      </c>
      <c r="R21" s="451" t="s">
        <v>2906</v>
      </c>
      <c r="S21" s="452">
        <v>45541</v>
      </c>
      <c r="T21" s="452"/>
      <c r="U21" s="453"/>
      <c r="V21" s="454"/>
      <c r="W21" s="455" t="s">
        <v>406</v>
      </c>
      <c r="X21" s="455">
        <v>45532</v>
      </c>
      <c r="Y21" s="456" t="s">
        <v>377</v>
      </c>
      <c r="Z21" s="457"/>
      <c r="AA21" s="453"/>
    </row>
    <row r="22" spans="1:27" s="128" customFormat="1" ht="37.5">
      <c r="A22" s="443">
        <v>6</v>
      </c>
      <c r="B22" s="444" t="s">
        <v>2931</v>
      </c>
      <c r="C22" s="445" t="s">
        <v>55</v>
      </c>
      <c r="D22" s="444" t="s">
        <v>2932</v>
      </c>
      <c r="E22" s="446">
        <v>6</v>
      </c>
      <c r="F22" s="447"/>
      <c r="G22" s="448">
        <f t="shared" si="1"/>
        <v>0</v>
      </c>
      <c r="H22" s="450"/>
      <c r="I22" s="444"/>
      <c r="J22" s="450"/>
      <c r="K22" s="444" t="s">
        <v>2918</v>
      </c>
      <c r="L22" s="450" t="s">
        <v>2919</v>
      </c>
      <c r="M22" s="444" t="s">
        <v>2930</v>
      </c>
      <c r="N22" s="450"/>
      <c r="O22" s="450"/>
      <c r="P22" s="450" t="s">
        <v>2921</v>
      </c>
      <c r="Q22" s="451" t="s">
        <v>374</v>
      </c>
      <c r="R22" s="451" t="s">
        <v>2906</v>
      </c>
      <c r="S22" s="452">
        <v>45541</v>
      </c>
      <c r="T22" s="452"/>
      <c r="U22" s="453"/>
      <c r="V22" s="454"/>
      <c r="W22" s="455" t="s">
        <v>406</v>
      </c>
      <c r="X22" s="455">
        <v>45532</v>
      </c>
      <c r="Y22" s="456" t="s">
        <v>377</v>
      </c>
      <c r="Z22" s="457"/>
      <c r="AA22" s="453"/>
    </row>
    <row r="23" spans="1:27" s="128" customFormat="1" ht="37.5">
      <c r="A23" s="443">
        <v>7</v>
      </c>
      <c r="B23" s="444" t="s">
        <v>2933</v>
      </c>
      <c r="C23" s="445" t="s">
        <v>55</v>
      </c>
      <c r="D23" s="444" t="s">
        <v>2934</v>
      </c>
      <c r="E23" s="446">
        <v>6</v>
      </c>
      <c r="F23" s="447"/>
      <c r="G23" s="448">
        <f t="shared" si="1"/>
        <v>0</v>
      </c>
      <c r="H23" s="450"/>
      <c r="I23" s="444"/>
      <c r="J23" s="450"/>
      <c r="K23" s="444" t="s">
        <v>2918</v>
      </c>
      <c r="L23" s="450" t="s">
        <v>2919</v>
      </c>
      <c r="M23" s="444" t="s">
        <v>2920</v>
      </c>
      <c r="N23" s="450"/>
      <c r="O23" s="450"/>
      <c r="P23" s="450" t="s">
        <v>2921</v>
      </c>
      <c r="Q23" s="451" t="s">
        <v>374</v>
      </c>
      <c r="R23" s="451" t="s">
        <v>2922</v>
      </c>
      <c r="S23" s="452">
        <v>45545</v>
      </c>
      <c r="T23" s="452"/>
      <c r="U23" s="453"/>
      <c r="V23" s="454"/>
      <c r="W23" s="455" t="s">
        <v>406</v>
      </c>
      <c r="X23" s="455">
        <v>45545</v>
      </c>
      <c r="Y23" s="456" t="s">
        <v>377</v>
      </c>
      <c r="Z23" s="457"/>
      <c r="AA23" s="453"/>
    </row>
    <row r="24" spans="1:27" s="128" customFormat="1" ht="37.5">
      <c r="A24" s="443">
        <v>8</v>
      </c>
      <c r="B24" s="444" t="s">
        <v>2935</v>
      </c>
      <c r="C24" s="445" t="s">
        <v>55</v>
      </c>
      <c r="D24" s="444" t="s">
        <v>2936</v>
      </c>
      <c r="E24" s="446">
        <v>3</v>
      </c>
      <c r="F24" s="447"/>
      <c r="G24" s="448">
        <f t="shared" si="1"/>
        <v>0</v>
      </c>
      <c r="H24" s="450"/>
      <c r="I24" s="444"/>
      <c r="J24" s="450"/>
      <c r="K24" s="444" t="s">
        <v>2918</v>
      </c>
      <c r="L24" s="450" t="s">
        <v>2919</v>
      </c>
      <c r="M24" s="444" t="s">
        <v>2930</v>
      </c>
      <c r="N24" s="450"/>
      <c r="O24" s="450"/>
      <c r="P24" s="450" t="s">
        <v>2921</v>
      </c>
      <c r="Q24" s="451" t="s">
        <v>374</v>
      </c>
      <c r="R24" s="451" t="s">
        <v>2906</v>
      </c>
      <c r="S24" s="452">
        <v>45541</v>
      </c>
      <c r="T24" s="452"/>
      <c r="U24" s="453"/>
      <c r="V24" s="454"/>
      <c r="W24" s="455" t="s">
        <v>406</v>
      </c>
      <c r="X24" s="455">
        <v>45532</v>
      </c>
      <c r="Y24" s="456" t="s">
        <v>377</v>
      </c>
      <c r="Z24" s="457"/>
      <c r="AA24" s="453"/>
    </row>
    <row r="25" spans="1:27" s="128" customFormat="1" ht="37.5">
      <c r="A25" s="443">
        <v>9</v>
      </c>
      <c r="B25" s="444" t="s">
        <v>2937</v>
      </c>
      <c r="C25" s="445" t="s">
        <v>55</v>
      </c>
      <c r="D25" s="444" t="s">
        <v>2938</v>
      </c>
      <c r="E25" s="446">
        <v>3</v>
      </c>
      <c r="F25" s="447"/>
      <c r="G25" s="448">
        <f t="shared" si="1"/>
        <v>0</v>
      </c>
      <c r="H25" s="450"/>
      <c r="I25" s="444"/>
      <c r="J25" s="450"/>
      <c r="K25" s="444" t="s">
        <v>2918</v>
      </c>
      <c r="L25" s="450" t="s">
        <v>2919</v>
      </c>
      <c r="M25" s="444" t="s">
        <v>2939</v>
      </c>
      <c r="N25" s="450"/>
      <c r="O25" s="450"/>
      <c r="P25" s="450" t="s">
        <v>2921</v>
      </c>
      <c r="Q25" s="451" t="s">
        <v>374</v>
      </c>
      <c r="R25" s="451" t="s">
        <v>244</v>
      </c>
      <c r="S25" s="452">
        <v>45541</v>
      </c>
      <c r="T25" s="452"/>
      <c r="U25" s="453"/>
      <c r="V25" s="454"/>
      <c r="W25" s="455" t="s">
        <v>376</v>
      </c>
      <c r="X25" s="455">
        <v>45546</v>
      </c>
      <c r="Y25" s="456" t="s">
        <v>377</v>
      </c>
      <c r="Z25" s="457"/>
      <c r="AA25" s="453"/>
    </row>
    <row r="26" spans="1:27" s="128" customFormat="1" ht="37.5">
      <c r="A26" s="443">
        <v>10</v>
      </c>
      <c r="B26" s="444" t="s">
        <v>2940</v>
      </c>
      <c r="C26" s="445" t="s">
        <v>55</v>
      </c>
      <c r="D26" s="444" t="s">
        <v>2941</v>
      </c>
      <c r="E26" s="446">
        <v>3</v>
      </c>
      <c r="F26" s="447"/>
      <c r="G26" s="448">
        <f t="shared" si="1"/>
        <v>0</v>
      </c>
      <c r="H26" s="450"/>
      <c r="I26" s="444"/>
      <c r="J26" s="450"/>
      <c r="K26" s="444" t="s">
        <v>2918</v>
      </c>
      <c r="L26" s="450" t="s">
        <v>2919</v>
      </c>
      <c r="M26" s="444" t="s">
        <v>2942</v>
      </c>
      <c r="N26" s="450"/>
      <c r="O26" s="450"/>
      <c r="P26" s="450" t="s">
        <v>2921</v>
      </c>
      <c r="Q26" s="451" t="s">
        <v>374</v>
      </c>
      <c r="R26" s="451" t="s">
        <v>2943</v>
      </c>
      <c r="S26" s="452">
        <v>45541</v>
      </c>
      <c r="T26" s="452"/>
      <c r="U26" s="453"/>
      <c r="V26" s="454"/>
      <c r="W26" s="455" t="s">
        <v>406</v>
      </c>
      <c r="X26" s="455">
        <v>45544</v>
      </c>
      <c r="Y26" s="456" t="s">
        <v>377</v>
      </c>
      <c r="Z26" s="457"/>
      <c r="AA26" s="453"/>
    </row>
    <row r="27" spans="1:27" s="128" customFormat="1" ht="37.5">
      <c r="A27" s="443">
        <v>11</v>
      </c>
      <c r="B27" s="444" t="s">
        <v>2944</v>
      </c>
      <c r="C27" s="445" t="s">
        <v>55</v>
      </c>
      <c r="D27" s="444" t="s">
        <v>2945</v>
      </c>
      <c r="E27" s="446">
        <v>3</v>
      </c>
      <c r="F27" s="447"/>
      <c r="G27" s="448">
        <f t="shared" si="1"/>
        <v>0</v>
      </c>
      <c r="H27" s="450"/>
      <c r="I27" s="444"/>
      <c r="J27" s="450"/>
      <c r="K27" s="444" t="s">
        <v>2918</v>
      </c>
      <c r="L27" s="450" t="s">
        <v>2919</v>
      </c>
      <c r="M27" s="444" t="s">
        <v>2927</v>
      </c>
      <c r="N27" s="450"/>
      <c r="O27" s="450"/>
      <c r="P27" s="450" t="s">
        <v>2921</v>
      </c>
      <c r="Q27" s="451" t="s">
        <v>374</v>
      </c>
      <c r="R27" s="451" t="s">
        <v>260</v>
      </c>
      <c r="S27" s="452">
        <v>45541</v>
      </c>
      <c r="T27" s="452"/>
      <c r="U27" s="453"/>
      <c r="V27" s="454"/>
      <c r="W27" s="455" t="s">
        <v>406</v>
      </c>
      <c r="X27" s="455">
        <v>45541</v>
      </c>
      <c r="Y27" s="456" t="s">
        <v>377</v>
      </c>
      <c r="Z27" s="457"/>
      <c r="AA27" s="453"/>
    </row>
    <row r="28" spans="1:27" s="128" customFormat="1" ht="37.5" customHeight="1">
      <c r="A28" s="443">
        <v>12</v>
      </c>
      <c r="B28" s="444" t="s">
        <v>2946</v>
      </c>
      <c r="C28" s="445" t="s">
        <v>55</v>
      </c>
      <c r="D28" s="444" t="s">
        <v>2947</v>
      </c>
      <c r="E28" s="446">
        <v>6</v>
      </c>
      <c r="F28" s="447"/>
      <c r="G28" s="448">
        <f t="shared" si="1"/>
        <v>0</v>
      </c>
      <c r="H28" s="450"/>
      <c r="I28" s="444"/>
      <c r="J28" s="450"/>
      <c r="K28" s="444" t="s">
        <v>2918</v>
      </c>
      <c r="L28" s="450" t="s">
        <v>2919</v>
      </c>
      <c r="M28" s="444" t="s">
        <v>2920</v>
      </c>
      <c r="N28" s="450"/>
      <c r="O28" s="450"/>
      <c r="P28" s="450" t="s">
        <v>2921</v>
      </c>
      <c r="Q28" s="451" t="s">
        <v>374</v>
      </c>
      <c r="R28" s="451" t="s">
        <v>2922</v>
      </c>
      <c r="S28" s="452">
        <v>45545</v>
      </c>
      <c r="T28" s="452"/>
      <c r="U28" s="453"/>
      <c r="V28" s="454"/>
      <c r="W28" s="455" t="s">
        <v>406</v>
      </c>
      <c r="X28" s="455">
        <v>45545</v>
      </c>
      <c r="Y28" s="456" t="s">
        <v>377</v>
      </c>
      <c r="Z28" s="457"/>
      <c r="AA28" s="453"/>
    </row>
    <row r="29" spans="1:27" s="128" customFormat="1" ht="37.5">
      <c r="A29" s="443">
        <v>13</v>
      </c>
      <c r="B29" s="444" t="s">
        <v>2948</v>
      </c>
      <c r="C29" s="445" t="s">
        <v>55</v>
      </c>
      <c r="D29" s="444" t="s">
        <v>2949</v>
      </c>
      <c r="E29" s="446">
        <v>3</v>
      </c>
      <c r="F29" s="447"/>
      <c r="G29" s="448">
        <f t="shared" si="1"/>
        <v>0</v>
      </c>
      <c r="H29" s="450"/>
      <c r="I29" s="444"/>
      <c r="J29" s="450"/>
      <c r="K29" s="444" t="s">
        <v>2918</v>
      </c>
      <c r="L29" s="450" t="s">
        <v>2919</v>
      </c>
      <c r="M29" s="444" t="s">
        <v>2939</v>
      </c>
      <c r="N29" s="450"/>
      <c r="O29" s="450"/>
      <c r="P29" s="450" t="s">
        <v>2921</v>
      </c>
      <c r="Q29" s="451" t="s">
        <v>374</v>
      </c>
      <c r="R29" s="451" t="s">
        <v>244</v>
      </c>
      <c r="S29" s="452">
        <v>45541</v>
      </c>
      <c r="T29" s="452"/>
      <c r="U29" s="453"/>
      <c r="V29" s="454"/>
      <c r="W29" s="455" t="s">
        <v>376</v>
      </c>
      <c r="X29" s="455">
        <v>45546</v>
      </c>
      <c r="Y29" s="456" t="s">
        <v>377</v>
      </c>
      <c r="Z29" s="457"/>
      <c r="AA29" s="453"/>
    </row>
    <row r="30" spans="1:27" s="128" customFormat="1" ht="37.5">
      <c r="A30" s="443">
        <v>14</v>
      </c>
      <c r="B30" s="444" t="s">
        <v>2950</v>
      </c>
      <c r="C30" s="445" t="s">
        <v>55</v>
      </c>
      <c r="D30" s="444" t="s">
        <v>2951</v>
      </c>
      <c r="E30" s="446">
        <v>6</v>
      </c>
      <c r="F30" s="447"/>
      <c r="G30" s="448">
        <f t="shared" si="1"/>
        <v>0</v>
      </c>
      <c r="H30" s="450"/>
      <c r="I30" s="444"/>
      <c r="J30" s="450"/>
      <c r="K30" s="444" t="s">
        <v>2918</v>
      </c>
      <c r="L30" s="450" t="s">
        <v>2919</v>
      </c>
      <c r="M30" s="444" t="s">
        <v>2920</v>
      </c>
      <c r="N30" s="450"/>
      <c r="O30" s="450"/>
      <c r="P30" s="450" t="s">
        <v>2921</v>
      </c>
      <c r="Q30" s="451" t="s">
        <v>374</v>
      </c>
      <c r="R30" s="451" t="s">
        <v>2922</v>
      </c>
      <c r="S30" s="452">
        <v>45545</v>
      </c>
      <c r="T30" s="452"/>
      <c r="U30" s="453"/>
      <c r="V30" s="454"/>
      <c r="W30" s="455" t="s">
        <v>406</v>
      </c>
      <c r="X30" s="455">
        <v>45545</v>
      </c>
      <c r="Y30" s="456" t="s">
        <v>377</v>
      </c>
      <c r="Z30" s="457"/>
      <c r="AA30" s="453"/>
    </row>
    <row r="31" spans="1:27" s="128" customFormat="1" ht="37.5">
      <c r="A31" s="443">
        <v>15</v>
      </c>
      <c r="B31" s="444" t="s">
        <v>2952</v>
      </c>
      <c r="C31" s="445" t="s">
        <v>55</v>
      </c>
      <c r="D31" s="444" t="s">
        <v>2953</v>
      </c>
      <c r="E31" s="446">
        <v>6</v>
      </c>
      <c r="F31" s="447"/>
      <c r="G31" s="448">
        <f t="shared" si="1"/>
        <v>0</v>
      </c>
      <c r="H31" s="450"/>
      <c r="I31" s="444"/>
      <c r="J31" s="450"/>
      <c r="K31" s="444" t="s">
        <v>2918</v>
      </c>
      <c r="L31" s="450" t="s">
        <v>2919</v>
      </c>
      <c r="M31" s="444" t="s">
        <v>2920</v>
      </c>
      <c r="N31" s="450"/>
      <c r="O31" s="450"/>
      <c r="P31" s="450" t="s">
        <v>2921</v>
      </c>
      <c r="Q31" s="451" t="s">
        <v>374</v>
      </c>
      <c r="R31" s="451" t="s">
        <v>2922</v>
      </c>
      <c r="S31" s="452">
        <v>45545</v>
      </c>
      <c r="T31" s="452"/>
      <c r="U31" s="453"/>
      <c r="V31" s="454"/>
      <c r="W31" s="455" t="s">
        <v>406</v>
      </c>
      <c r="X31" s="455">
        <v>45545</v>
      </c>
      <c r="Y31" s="456" t="s">
        <v>377</v>
      </c>
      <c r="Z31" s="457"/>
      <c r="AA31" s="453"/>
    </row>
    <row r="32" spans="1:27" s="128" customFormat="1" ht="37.5">
      <c r="A32" s="443">
        <v>16</v>
      </c>
      <c r="B32" s="444" t="s">
        <v>2954</v>
      </c>
      <c r="C32" s="445" t="s">
        <v>55</v>
      </c>
      <c r="D32" s="444" t="s">
        <v>2955</v>
      </c>
      <c r="E32" s="446">
        <v>3</v>
      </c>
      <c r="F32" s="447"/>
      <c r="G32" s="448">
        <f t="shared" si="1"/>
        <v>0</v>
      </c>
      <c r="H32" s="450"/>
      <c r="I32" s="444"/>
      <c r="J32" s="450"/>
      <c r="K32" s="444" t="s">
        <v>2918</v>
      </c>
      <c r="L32" s="450" t="s">
        <v>2919</v>
      </c>
      <c r="M32" s="444" t="s">
        <v>2956</v>
      </c>
      <c r="N32" s="450"/>
      <c r="O32" s="450"/>
      <c r="P32" s="450" t="s">
        <v>2921</v>
      </c>
      <c r="Q32" s="451" t="s">
        <v>374</v>
      </c>
      <c r="R32" s="451" t="s">
        <v>2957</v>
      </c>
      <c r="S32" s="452">
        <v>45544</v>
      </c>
      <c r="T32" s="452"/>
      <c r="U32" s="453"/>
      <c r="V32" s="454"/>
      <c r="W32" s="455" t="s">
        <v>376</v>
      </c>
      <c r="X32" s="455">
        <v>45546</v>
      </c>
      <c r="Y32" s="456" t="s">
        <v>377</v>
      </c>
      <c r="Z32" s="457"/>
      <c r="AA32" s="453"/>
    </row>
    <row r="33" spans="1:27" s="128" customFormat="1" ht="37.5">
      <c r="A33" s="443">
        <v>17</v>
      </c>
      <c r="B33" s="444" t="s">
        <v>2958</v>
      </c>
      <c r="C33" s="445" t="s">
        <v>55</v>
      </c>
      <c r="D33" s="444" t="s">
        <v>2959</v>
      </c>
      <c r="E33" s="446">
        <v>3</v>
      </c>
      <c r="F33" s="447"/>
      <c r="G33" s="448">
        <f t="shared" si="1"/>
        <v>0</v>
      </c>
      <c r="H33" s="450"/>
      <c r="I33" s="444"/>
      <c r="J33" s="450"/>
      <c r="K33" s="444" t="s">
        <v>2918</v>
      </c>
      <c r="L33" s="450" t="s">
        <v>2919</v>
      </c>
      <c r="M33" s="444" t="s">
        <v>2956</v>
      </c>
      <c r="N33" s="450"/>
      <c r="O33" s="450"/>
      <c r="P33" s="450" t="s">
        <v>2921</v>
      </c>
      <c r="Q33" s="451" t="s">
        <v>374</v>
      </c>
      <c r="R33" s="451" t="s">
        <v>2957</v>
      </c>
      <c r="S33" s="452">
        <v>45544</v>
      </c>
      <c r="T33" s="452"/>
      <c r="U33" s="453"/>
      <c r="V33" s="454"/>
      <c r="W33" s="455" t="s">
        <v>376</v>
      </c>
      <c r="X33" s="455">
        <v>45546</v>
      </c>
      <c r="Y33" s="456" t="s">
        <v>377</v>
      </c>
      <c r="Z33" s="457"/>
      <c r="AA33" s="453"/>
    </row>
    <row r="34" spans="1:27" s="128" customFormat="1" ht="37.5">
      <c r="A34" s="443">
        <v>18</v>
      </c>
      <c r="B34" s="444" t="s">
        <v>2960</v>
      </c>
      <c r="C34" s="445" t="s">
        <v>55</v>
      </c>
      <c r="D34" s="444" t="s">
        <v>2961</v>
      </c>
      <c r="E34" s="446">
        <v>3</v>
      </c>
      <c r="F34" s="447"/>
      <c r="G34" s="448">
        <f t="shared" si="1"/>
        <v>0</v>
      </c>
      <c r="H34" s="450"/>
      <c r="I34" s="444"/>
      <c r="J34" s="450"/>
      <c r="K34" s="444" t="s">
        <v>2918</v>
      </c>
      <c r="L34" s="450" t="s">
        <v>2919</v>
      </c>
      <c r="M34" s="444" t="s">
        <v>2962</v>
      </c>
      <c r="N34" s="450"/>
      <c r="O34" s="450"/>
      <c r="P34" s="450" t="s">
        <v>2921</v>
      </c>
      <c r="Q34" s="451" t="s">
        <v>374</v>
      </c>
      <c r="R34" s="451" t="s">
        <v>2963</v>
      </c>
      <c r="S34" s="452">
        <v>45541</v>
      </c>
      <c r="T34" s="452"/>
      <c r="U34" s="453"/>
      <c r="V34" s="454"/>
      <c r="W34" s="455" t="s">
        <v>406</v>
      </c>
      <c r="X34" s="455">
        <v>45540</v>
      </c>
      <c r="Y34" s="456" t="s">
        <v>377</v>
      </c>
      <c r="Z34" s="457"/>
      <c r="AA34" s="453"/>
    </row>
    <row r="35" spans="1:27" s="128" customFormat="1" ht="37.5">
      <c r="A35" s="443">
        <v>19</v>
      </c>
      <c r="B35" s="444" t="s">
        <v>2964</v>
      </c>
      <c r="C35" s="445" t="s">
        <v>55</v>
      </c>
      <c r="D35" s="444" t="s">
        <v>2965</v>
      </c>
      <c r="E35" s="446">
        <v>3</v>
      </c>
      <c r="F35" s="447"/>
      <c r="G35" s="448">
        <f t="shared" si="1"/>
        <v>0</v>
      </c>
      <c r="H35" s="450"/>
      <c r="I35" s="444"/>
      <c r="J35" s="450"/>
      <c r="K35" s="444" t="s">
        <v>2918</v>
      </c>
      <c r="L35" s="450" t="s">
        <v>2919</v>
      </c>
      <c r="M35" s="444" t="s">
        <v>2966</v>
      </c>
      <c r="N35" s="450"/>
      <c r="O35" s="450"/>
      <c r="P35" s="450" t="s">
        <v>2921</v>
      </c>
      <c r="Q35" s="451" t="s">
        <v>374</v>
      </c>
      <c r="R35" s="451" t="s">
        <v>2967</v>
      </c>
      <c r="S35" s="452">
        <v>45541</v>
      </c>
      <c r="T35" s="452"/>
      <c r="U35" s="453"/>
      <c r="V35" s="454"/>
      <c r="W35" s="455" t="s">
        <v>406</v>
      </c>
      <c r="X35" s="455">
        <v>45538</v>
      </c>
      <c r="Y35" s="456" t="s">
        <v>377</v>
      </c>
      <c r="Z35" s="457"/>
      <c r="AA35" s="453"/>
    </row>
    <row r="36" spans="1:27" s="128" customFormat="1" ht="37.5">
      <c r="A36" s="443">
        <v>20</v>
      </c>
      <c r="B36" s="444" t="s">
        <v>2968</v>
      </c>
      <c r="C36" s="445" t="s">
        <v>55</v>
      </c>
      <c r="D36" s="444" t="s">
        <v>2969</v>
      </c>
      <c r="E36" s="446">
        <v>3</v>
      </c>
      <c r="F36" s="447"/>
      <c r="G36" s="448">
        <f t="shared" si="1"/>
        <v>0</v>
      </c>
      <c r="H36" s="450"/>
      <c r="I36" s="444"/>
      <c r="J36" s="450"/>
      <c r="K36" s="444" t="s">
        <v>2918</v>
      </c>
      <c r="L36" s="450" t="s">
        <v>2919</v>
      </c>
      <c r="M36" s="444" t="s">
        <v>2966</v>
      </c>
      <c r="N36" s="450"/>
      <c r="O36" s="450"/>
      <c r="P36" s="450" t="s">
        <v>2921</v>
      </c>
      <c r="Q36" s="451" t="s">
        <v>374</v>
      </c>
      <c r="R36" s="451" t="s">
        <v>2967</v>
      </c>
      <c r="S36" s="452">
        <v>45541</v>
      </c>
      <c r="T36" s="452"/>
      <c r="U36" s="453"/>
      <c r="V36" s="454"/>
      <c r="W36" s="455" t="s">
        <v>406</v>
      </c>
      <c r="X36" s="455">
        <v>45538</v>
      </c>
      <c r="Y36" s="456" t="s">
        <v>377</v>
      </c>
      <c r="Z36" s="457"/>
      <c r="AA36" s="453"/>
    </row>
    <row r="37" spans="1:27" s="128" customFormat="1" ht="37.5">
      <c r="A37" s="443">
        <v>21</v>
      </c>
      <c r="B37" s="444" t="s">
        <v>2970</v>
      </c>
      <c r="C37" s="445" t="s">
        <v>55</v>
      </c>
      <c r="D37" s="444" t="s">
        <v>2971</v>
      </c>
      <c r="E37" s="446">
        <v>3</v>
      </c>
      <c r="F37" s="447"/>
      <c r="G37" s="448">
        <f t="shared" si="1"/>
        <v>0</v>
      </c>
      <c r="H37" s="450"/>
      <c r="I37" s="444"/>
      <c r="J37" s="450"/>
      <c r="K37" s="444" t="s">
        <v>2918</v>
      </c>
      <c r="L37" s="450" t="s">
        <v>2919</v>
      </c>
      <c r="M37" s="444" t="s">
        <v>2956</v>
      </c>
      <c r="N37" s="450"/>
      <c r="O37" s="450"/>
      <c r="P37" s="450" t="s">
        <v>2921</v>
      </c>
      <c r="Q37" s="451" t="s">
        <v>374</v>
      </c>
      <c r="R37" s="451" t="s">
        <v>2957</v>
      </c>
      <c r="S37" s="452">
        <v>45544</v>
      </c>
      <c r="T37" s="452"/>
      <c r="U37" s="453"/>
      <c r="V37" s="454"/>
      <c r="W37" s="455" t="s">
        <v>376</v>
      </c>
      <c r="X37" s="455">
        <v>45546</v>
      </c>
      <c r="Y37" s="456" t="s">
        <v>377</v>
      </c>
      <c r="Z37" s="457"/>
      <c r="AA37" s="453"/>
    </row>
    <row r="38" spans="1:27" s="128" customFormat="1" ht="37.5">
      <c r="A38" s="443">
        <v>22</v>
      </c>
      <c r="B38" s="444" t="s">
        <v>2972</v>
      </c>
      <c r="C38" s="445" t="s">
        <v>55</v>
      </c>
      <c r="D38" s="444" t="s">
        <v>2973</v>
      </c>
      <c r="E38" s="446">
        <v>3</v>
      </c>
      <c r="F38" s="447"/>
      <c r="G38" s="448">
        <f t="shared" si="1"/>
        <v>0</v>
      </c>
      <c r="H38" s="450"/>
      <c r="I38" s="444"/>
      <c r="J38" s="450"/>
      <c r="K38" s="444" t="s">
        <v>2918</v>
      </c>
      <c r="L38" s="450" t="s">
        <v>2919</v>
      </c>
      <c r="M38" s="444" t="s">
        <v>2927</v>
      </c>
      <c r="N38" s="450"/>
      <c r="O38" s="450"/>
      <c r="P38" s="450" t="s">
        <v>2921</v>
      </c>
      <c r="Q38" s="451" t="s">
        <v>374</v>
      </c>
      <c r="R38" s="451" t="s">
        <v>260</v>
      </c>
      <c r="S38" s="452">
        <v>45541</v>
      </c>
      <c r="T38" s="452"/>
      <c r="U38" s="453"/>
      <c r="V38" s="454"/>
      <c r="W38" s="455" t="s">
        <v>406</v>
      </c>
      <c r="X38" s="455">
        <v>45540</v>
      </c>
      <c r="Y38" s="456" t="s">
        <v>377</v>
      </c>
      <c r="Z38" s="457"/>
      <c r="AA38" s="453"/>
    </row>
    <row r="39" spans="1:27" s="128" customFormat="1" ht="37.5">
      <c r="A39" s="443">
        <v>23</v>
      </c>
      <c r="B39" s="444" t="s">
        <v>2974</v>
      </c>
      <c r="C39" s="445" t="s">
        <v>55</v>
      </c>
      <c r="D39" s="444" t="s">
        <v>2975</v>
      </c>
      <c r="E39" s="446">
        <v>6</v>
      </c>
      <c r="F39" s="447"/>
      <c r="G39" s="448">
        <f t="shared" si="1"/>
        <v>0</v>
      </c>
      <c r="H39" s="450"/>
      <c r="I39" s="444"/>
      <c r="J39" s="450"/>
      <c r="K39" s="444" t="s">
        <v>2918</v>
      </c>
      <c r="L39" s="450" t="s">
        <v>2919</v>
      </c>
      <c r="M39" s="444" t="s">
        <v>2920</v>
      </c>
      <c r="N39" s="450"/>
      <c r="O39" s="450"/>
      <c r="P39" s="450" t="s">
        <v>2921</v>
      </c>
      <c r="Q39" s="451" t="s">
        <v>374</v>
      </c>
      <c r="R39" s="451" t="s">
        <v>2922</v>
      </c>
      <c r="S39" s="452">
        <v>45545</v>
      </c>
      <c r="T39" s="452"/>
      <c r="U39" s="453"/>
      <c r="V39" s="454"/>
      <c r="W39" s="455" t="s">
        <v>406</v>
      </c>
      <c r="X39" s="455">
        <v>45545</v>
      </c>
      <c r="Y39" s="456" t="s">
        <v>377</v>
      </c>
      <c r="Z39" s="457"/>
      <c r="AA39" s="453"/>
    </row>
    <row r="40" spans="1:27" s="128" customFormat="1" ht="37.5">
      <c r="A40" s="443">
        <v>24</v>
      </c>
      <c r="B40" s="444" t="s">
        <v>2976</v>
      </c>
      <c r="C40" s="445" t="s">
        <v>55</v>
      </c>
      <c r="D40" s="444" t="s">
        <v>2977</v>
      </c>
      <c r="E40" s="446">
        <v>3</v>
      </c>
      <c r="F40" s="447"/>
      <c r="G40" s="448">
        <f t="shared" si="1"/>
        <v>0</v>
      </c>
      <c r="H40" s="450"/>
      <c r="I40" s="444"/>
      <c r="J40" s="450"/>
      <c r="K40" s="444" t="s">
        <v>2918</v>
      </c>
      <c r="L40" s="450" t="s">
        <v>2919</v>
      </c>
      <c r="M40" s="444" t="s">
        <v>2927</v>
      </c>
      <c r="N40" s="450"/>
      <c r="O40" s="450"/>
      <c r="P40" s="450" t="s">
        <v>2921</v>
      </c>
      <c r="Q40" s="451" t="s">
        <v>374</v>
      </c>
      <c r="R40" s="451" t="s">
        <v>260</v>
      </c>
      <c r="S40" s="452">
        <v>45541</v>
      </c>
      <c r="T40" s="452"/>
      <c r="U40" s="453"/>
      <c r="V40" s="454"/>
      <c r="W40" s="455" t="s">
        <v>406</v>
      </c>
      <c r="X40" s="455">
        <v>45540</v>
      </c>
      <c r="Y40" s="456" t="s">
        <v>377</v>
      </c>
      <c r="Z40" s="457"/>
      <c r="AA40" s="453"/>
    </row>
    <row r="41" spans="1:27" s="128" customFormat="1" ht="37.5">
      <c r="A41" s="443">
        <v>25</v>
      </c>
      <c r="B41" s="444" t="s">
        <v>2978</v>
      </c>
      <c r="C41" s="445" t="s">
        <v>55</v>
      </c>
      <c r="D41" s="444" t="s">
        <v>2979</v>
      </c>
      <c r="E41" s="446">
        <v>6</v>
      </c>
      <c r="F41" s="447"/>
      <c r="G41" s="448">
        <f t="shared" si="1"/>
        <v>0</v>
      </c>
      <c r="H41" s="450"/>
      <c r="I41" s="444"/>
      <c r="J41" s="450"/>
      <c r="K41" s="444" t="s">
        <v>2918</v>
      </c>
      <c r="L41" s="450" t="s">
        <v>2919</v>
      </c>
      <c r="M41" s="444" t="s">
        <v>2942</v>
      </c>
      <c r="N41" s="450"/>
      <c r="O41" s="450"/>
      <c r="P41" s="450" t="s">
        <v>2921</v>
      </c>
      <c r="Q41" s="451" t="s">
        <v>374</v>
      </c>
      <c r="R41" s="451" t="s">
        <v>2943</v>
      </c>
      <c r="S41" s="452">
        <v>45541</v>
      </c>
      <c r="T41" s="452"/>
      <c r="U41" s="453"/>
      <c r="V41" s="454"/>
      <c r="W41" s="455" t="s">
        <v>406</v>
      </c>
      <c r="X41" s="455">
        <v>45544</v>
      </c>
      <c r="Y41" s="456" t="s">
        <v>377</v>
      </c>
      <c r="Z41" s="457"/>
      <c r="AA41" s="453"/>
    </row>
    <row r="42" spans="1:27" s="128" customFormat="1" ht="37.5">
      <c r="A42" s="443">
        <v>26</v>
      </c>
      <c r="B42" s="444" t="s">
        <v>2980</v>
      </c>
      <c r="C42" s="445" t="s">
        <v>55</v>
      </c>
      <c r="D42" s="444" t="s">
        <v>2981</v>
      </c>
      <c r="E42" s="446">
        <v>3</v>
      </c>
      <c r="F42" s="447"/>
      <c r="G42" s="448">
        <f t="shared" si="1"/>
        <v>0</v>
      </c>
      <c r="H42" s="450"/>
      <c r="I42" s="444"/>
      <c r="J42" s="450"/>
      <c r="K42" s="444" t="s">
        <v>2918</v>
      </c>
      <c r="L42" s="450" t="s">
        <v>2919</v>
      </c>
      <c r="M42" s="444" t="s">
        <v>2966</v>
      </c>
      <c r="N42" s="450"/>
      <c r="O42" s="450"/>
      <c r="P42" s="450" t="s">
        <v>2921</v>
      </c>
      <c r="Q42" s="451" t="s">
        <v>374</v>
      </c>
      <c r="R42" s="451" t="s">
        <v>2967</v>
      </c>
      <c r="S42" s="452">
        <v>45541</v>
      </c>
      <c r="T42" s="452"/>
      <c r="U42" s="453"/>
      <c r="V42" s="454"/>
      <c r="W42" s="455" t="s">
        <v>406</v>
      </c>
      <c r="X42" s="455">
        <v>45538</v>
      </c>
      <c r="Y42" s="456" t="s">
        <v>377</v>
      </c>
      <c r="Z42" s="457"/>
      <c r="AA42" s="453"/>
    </row>
    <row r="43" spans="1:27" s="128" customFormat="1" ht="37.5">
      <c r="A43" s="443">
        <v>27</v>
      </c>
      <c r="B43" s="444" t="s">
        <v>2982</v>
      </c>
      <c r="C43" s="445" t="s">
        <v>55</v>
      </c>
      <c r="D43" s="444" t="s">
        <v>2983</v>
      </c>
      <c r="E43" s="446">
        <v>3</v>
      </c>
      <c r="F43" s="447"/>
      <c r="G43" s="448">
        <f t="shared" si="1"/>
        <v>0</v>
      </c>
      <c r="H43" s="450"/>
      <c r="I43" s="444"/>
      <c r="J43" s="450"/>
      <c r="K43" s="444" t="s">
        <v>2918</v>
      </c>
      <c r="L43" s="450" t="s">
        <v>2919</v>
      </c>
      <c r="M43" s="444" t="s">
        <v>2966</v>
      </c>
      <c r="N43" s="450"/>
      <c r="O43" s="450"/>
      <c r="P43" s="450" t="s">
        <v>2921</v>
      </c>
      <c r="Q43" s="451" t="s">
        <v>374</v>
      </c>
      <c r="R43" s="451" t="s">
        <v>2967</v>
      </c>
      <c r="S43" s="452">
        <v>45541</v>
      </c>
      <c r="T43" s="452"/>
      <c r="U43" s="453"/>
      <c r="V43" s="454"/>
      <c r="W43" s="455" t="s">
        <v>406</v>
      </c>
      <c r="X43" s="455">
        <v>45538</v>
      </c>
      <c r="Y43" s="456" t="s">
        <v>377</v>
      </c>
      <c r="Z43" s="457"/>
      <c r="AA43" s="453"/>
    </row>
    <row r="44" spans="1:27" s="128" customFormat="1" ht="37.5">
      <c r="A44" s="443">
        <v>28</v>
      </c>
      <c r="B44" s="444" t="s">
        <v>2984</v>
      </c>
      <c r="C44" s="445" t="s">
        <v>55</v>
      </c>
      <c r="D44" s="444" t="s">
        <v>2985</v>
      </c>
      <c r="E44" s="446">
        <v>3</v>
      </c>
      <c r="F44" s="447"/>
      <c r="G44" s="448">
        <f t="shared" si="1"/>
        <v>0</v>
      </c>
      <c r="H44" s="450"/>
      <c r="I44" s="444"/>
      <c r="J44" s="450"/>
      <c r="K44" s="444" t="s">
        <v>2918</v>
      </c>
      <c r="L44" s="450" t="s">
        <v>2919</v>
      </c>
      <c r="M44" s="444" t="s">
        <v>2966</v>
      </c>
      <c r="N44" s="450"/>
      <c r="O44" s="450"/>
      <c r="P44" s="450" t="s">
        <v>2921</v>
      </c>
      <c r="Q44" s="451" t="s">
        <v>374</v>
      </c>
      <c r="R44" s="451" t="s">
        <v>2967</v>
      </c>
      <c r="S44" s="452">
        <v>45541</v>
      </c>
      <c r="T44" s="452"/>
      <c r="U44" s="453"/>
      <c r="V44" s="454"/>
      <c r="W44" s="455" t="s">
        <v>406</v>
      </c>
      <c r="X44" s="455">
        <v>45538</v>
      </c>
      <c r="Y44" s="456" t="s">
        <v>377</v>
      </c>
      <c r="Z44" s="457"/>
      <c r="AA44" s="453"/>
    </row>
    <row r="45" spans="1:27" s="128" customFormat="1" ht="37.5">
      <c r="A45" s="443">
        <v>29</v>
      </c>
      <c r="B45" s="444" t="s">
        <v>2986</v>
      </c>
      <c r="C45" s="445" t="s">
        <v>55</v>
      </c>
      <c r="D45" s="444" t="s">
        <v>2987</v>
      </c>
      <c r="E45" s="446">
        <v>3</v>
      </c>
      <c r="F45" s="447"/>
      <c r="G45" s="448">
        <f t="shared" si="1"/>
        <v>0</v>
      </c>
      <c r="H45" s="450"/>
      <c r="I45" s="444"/>
      <c r="J45" s="450"/>
      <c r="K45" s="444" t="s">
        <v>2918</v>
      </c>
      <c r="L45" s="450" t="s">
        <v>2919</v>
      </c>
      <c r="M45" s="444" t="s">
        <v>2927</v>
      </c>
      <c r="N45" s="450"/>
      <c r="O45" s="450"/>
      <c r="P45" s="450" t="s">
        <v>2921</v>
      </c>
      <c r="Q45" s="451" t="s">
        <v>374</v>
      </c>
      <c r="R45" s="451" t="s">
        <v>260</v>
      </c>
      <c r="S45" s="452">
        <v>45541</v>
      </c>
      <c r="T45" s="452"/>
      <c r="U45" s="453"/>
      <c r="V45" s="454"/>
      <c r="W45" s="455" t="s">
        <v>406</v>
      </c>
      <c r="X45" s="455">
        <v>45540</v>
      </c>
      <c r="Y45" s="456" t="s">
        <v>377</v>
      </c>
      <c r="Z45" s="457"/>
      <c r="AA45" s="453"/>
    </row>
    <row r="46" spans="1:27" s="128" customFormat="1" ht="37.5">
      <c r="A46" s="443">
        <v>30</v>
      </c>
      <c r="B46" s="444" t="s">
        <v>2988</v>
      </c>
      <c r="C46" s="445" t="s">
        <v>55</v>
      </c>
      <c r="D46" s="444" t="s">
        <v>2989</v>
      </c>
      <c r="E46" s="446">
        <v>3</v>
      </c>
      <c r="F46" s="447"/>
      <c r="G46" s="448">
        <f t="shared" si="1"/>
        <v>0</v>
      </c>
      <c r="H46" s="450"/>
      <c r="I46" s="444"/>
      <c r="J46" s="450"/>
      <c r="K46" s="444" t="s">
        <v>2918</v>
      </c>
      <c r="L46" s="450" t="s">
        <v>2919</v>
      </c>
      <c r="M46" s="444" t="s">
        <v>2920</v>
      </c>
      <c r="N46" s="450"/>
      <c r="O46" s="450"/>
      <c r="P46" s="450" t="s">
        <v>2921</v>
      </c>
      <c r="Q46" s="451" t="s">
        <v>374</v>
      </c>
      <c r="R46" s="451" t="s">
        <v>2922</v>
      </c>
      <c r="S46" s="452">
        <v>45545</v>
      </c>
      <c r="T46" s="452"/>
      <c r="U46" s="453"/>
      <c r="V46" s="454"/>
      <c r="W46" s="455" t="s">
        <v>406</v>
      </c>
      <c r="X46" s="455">
        <v>45545</v>
      </c>
      <c r="Y46" s="456" t="s">
        <v>377</v>
      </c>
      <c r="Z46" s="457"/>
      <c r="AA46" s="453"/>
    </row>
    <row r="47" spans="1:27" s="128" customFormat="1" ht="37.5">
      <c r="A47" s="443">
        <v>31</v>
      </c>
      <c r="B47" s="444" t="s">
        <v>2990</v>
      </c>
      <c r="C47" s="445" t="s">
        <v>55</v>
      </c>
      <c r="D47" s="444" t="s">
        <v>2991</v>
      </c>
      <c r="E47" s="446">
        <v>3</v>
      </c>
      <c r="F47" s="447"/>
      <c r="G47" s="448">
        <f t="shared" si="1"/>
        <v>0</v>
      </c>
      <c r="H47" s="450"/>
      <c r="I47" s="444"/>
      <c r="J47" s="450"/>
      <c r="K47" s="444" t="s">
        <v>2918</v>
      </c>
      <c r="L47" s="450" t="s">
        <v>2919</v>
      </c>
      <c r="M47" s="444" t="s">
        <v>2930</v>
      </c>
      <c r="N47" s="450"/>
      <c r="O47" s="450"/>
      <c r="P47" s="450" t="s">
        <v>2921</v>
      </c>
      <c r="Q47" s="451" t="s">
        <v>374</v>
      </c>
      <c r="R47" s="451" t="s">
        <v>2906</v>
      </c>
      <c r="S47" s="452">
        <v>45541</v>
      </c>
      <c r="T47" s="452"/>
      <c r="U47" s="453"/>
      <c r="V47" s="454"/>
      <c r="W47" s="455" t="s">
        <v>406</v>
      </c>
      <c r="X47" s="455">
        <v>45532</v>
      </c>
      <c r="Y47" s="456" t="s">
        <v>377</v>
      </c>
      <c r="Z47" s="457"/>
      <c r="AA47" s="453"/>
    </row>
    <row r="48" spans="1:27" s="128" customFormat="1" ht="37.5">
      <c r="A48" s="443">
        <v>32</v>
      </c>
      <c r="B48" s="444" t="s">
        <v>2992</v>
      </c>
      <c r="C48" s="445" t="s">
        <v>55</v>
      </c>
      <c r="D48" s="444" t="s">
        <v>2993</v>
      </c>
      <c r="E48" s="446">
        <v>6</v>
      </c>
      <c r="F48" s="447"/>
      <c r="G48" s="448">
        <f t="shared" si="1"/>
        <v>0</v>
      </c>
      <c r="H48" s="450"/>
      <c r="I48" s="444"/>
      <c r="J48" s="450"/>
      <c r="K48" s="444" t="s">
        <v>2918</v>
      </c>
      <c r="L48" s="450" t="s">
        <v>2919</v>
      </c>
      <c r="M48" s="444" t="s">
        <v>2920</v>
      </c>
      <c r="N48" s="450"/>
      <c r="O48" s="450"/>
      <c r="P48" s="450" t="s">
        <v>2921</v>
      </c>
      <c r="Q48" s="451" t="s">
        <v>374</v>
      </c>
      <c r="R48" s="451" t="s">
        <v>2922</v>
      </c>
      <c r="S48" s="452">
        <v>45545</v>
      </c>
      <c r="T48" s="452"/>
      <c r="U48" s="453"/>
      <c r="V48" s="454"/>
      <c r="W48" s="455" t="s">
        <v>406</v>
      </c>
      <c r="X48" s="455">
        <v>45545</v>
      </c>
      <c r="Y48" s="456" t="s">
        <v>377</v>
      </c>
      <c r="Z48" s="457"/>
      <c r="AA48" s="453"/>
    </row>
    <row r="49" spans="1:27" s="128" customFormat="1" ht="37.5">
      <c r="A49" s="443">
        <v>33</v>
      </c>
      <c r="B49" s="444" t="s">
        <v>2994</v>
      </c>
      <c r="C49" s="445" t="s">
        <v>55</v>
      </c>
      <c r="D49" s="444" t="s">
        <v>2995</v>
      </c>
      <c r="E49" s="446">
        <v>3</v>
      </c>
      <c r="F49" s="447"/>
      <c r="G49" s="448">
        <f t="shared" ref="G49:G80" si="2">E49*F49</f>
        <v>0</v>
      </c>
      <c r="H49" s="450"/>
      <c r="I49" s="444"/>
      <c r="J49" s="450"/>
      <c r="K49" s="444" t="s">
        <v>2918</v>
      </c>
      <c r="L49" s="450" t="s">
        <v>2919</v>
      </c>
      <c r="M49" s="444" t="s">
        <v>2920</v>
      </c>
      <c r="N49" s="450"/>
      <c r="O49" s="450"/>
      <c r="P49" s="450" t="s">
        <v>2921</v>
      </c>
      <c r="Q49" s="451" t="s">
        <v>374</v>
      </c>
      <c r="R49" s="451" t="s">
        <v>2922</v>
      </c>
      <c r="S49" s="452">
        <v>45545</v>
      </c>
      <c r="T49" s="452"/>
      <c r="U49" s="453"/>
      <c r="V49" s="454"/>
      <c r="W49" s="455" t="s">
        <v>376</v>
      </c>
      <c r="X49" s="455">
        <v>45546</v>
      </c>
      <c r="Y49" s="456" t="s">
        <v>377</v>
      </c>
      <c r="Z49" s="457"/>
      <c r="AA49" s="453"/>
    </row>
    <row r="50" spans="1:27" s="128" customFormat="1" ht="37.5">
      <c r="A50" s="443">
        <v>34</v>
      </c>
      <c r="B50" s="444" t="s">
        <v>2996</v>
      </c>
      <c r="C50" s="445" t="s">
        <v>55</v>
      </c>
      <c r="D50" s="444" t="s">
        <v>2997</v>
      </c>
      <c r="E50" s="446">
        <v>3</v>
      </c>
      <c r="F50" s="447"/>
      <c r="G50" s="448">
        <f t="shared" si="2"/>
        <v>0</v>
      </c>
      <c r="H50" s="450"/>
      <c r="I50" s="444"/>
      <c r="J50" s="450"/>
      <c r="K50" s="444" t="s">
        <v>2918</v>
      </c>
      <c r="L50" s="450" t="s">
        <v>2919</v>
      </c>
      <c r="M50" s="444" t="s">
        <v>2930</v>
      </c>
      <c r="N50" s="450"/>
      <c r="O50" s="450"/>
      <c r="P50" s="450" t="s">
        <v>2921</v>
      </c>
      <c r="Q50" s="451" t="s">
        <v>374</v>
      </c>
      <c r="R50" s="451" t="s">
        <v>2906</v>
      </c>
      <c r="S50" s="452">
        <v>45541</v>
      </c>
      <c r="T50" s="452"/>
      <c r="U50" s="453"/>
      <c r="V50" s="454"/>
      <c r="W50" s="455" t="s">
        <v>406</v>
      </c>
      <c r="X50" s="455">
        <v>45532</v>
      </c>
      <c r="Y50" s="456" t="s">
        <v>377</v>
      </c>
      <c r="Z50" s="457"/>
      <c r="AA50" s="453"/>
    </row>
    <row r="51" spans="1:27" s="128" customFormat="1" ht="37.5">
      <c r="A51" s="443">
        <v>35</v>
      </c>
      <c r="B51" s="444" t="s">
        <v>2998</v>
      </c>
      <c r="C51" s="445" t="s">
        <v>55</v>
      </c>
      <c r="D51" s="444" t="s">
        <v>2999</v>
      </c>
      <c r="E51" s="446">
        <v>3</v>
      </c>
      <c r="F51" s="447"/>
      <c r="G51" s="448">
        <f t="shared" si="2"/>
        <v>0</v>
      </c>
      <c r="H51" s="450"/>
      <c r="I51" s="444"/>
      <c r="J51" s="450"/>
      <c r="K51" s="444" t="s">
        <v>2918</v>
      </c>
      <c r="L51" s="450" t="s">
        <v>2919</v>
      </c>
      <c r="M51" s="444" t="s">
        <v>2942</v>
      </c>
      <c r="N51" s="450"/>
      <c r="O51" s="450"/>
      <c r="P51" s="450" t="s">
        <v>2921</v>
      </c>
      <c r="Q51" s="451" t="s">
        <v>374</v>
      </c>
      <c r="R51" s="451" t="s">
        <v>2943</v>
      </c>
      <c r="S51" s="452">
        <v>45541</v>
      </c>
      <c r="T51" s="452"/>
      <c r="U51" s="453"/>
      <c r="V51" s="454"/>
      <c r="W51" s="455" t="s">
        <v>406</v>
      </c>
      <c r="X51" s="455">
        <v>45544</v>
      </c>
      <c r="Y51" s="456" t="s">
        <v>377</v>
      </c>
      <c r="Z51" s="457"/>
      <c r="AA51" s="453"/>
    </row>
    <row r="52" spans="1:27" s="128" customFormat="1" ht="37.5">
      <c r="A52" s="443">
        <v>36</v>
      </c>
      <c r="B52" s="444" t="s">
        <v>3000</v>
      </c>
      <c r="C52" s="445" t="s">
        <v>55</v>
      </c>
      <c r="D52" s="444" t="s">
        <v>3001</v>
      </c>
      <c r="E52" s="446">
        <v>3</v>
      </c>
      <c r="F52" s="447"/>
      <c r="G52" s="448">
        <f t="shared" si="2"/>
        <v>0</v>
      </c>
      <c r="H52" s="450"/>
      <c r="I52" s="444"/>
      <c r="J52" s="450"/>
      <c r="K52" s="444" t="s">
        <v>2918</v>
      </c>
      <c r="L52" s="450" t="s">
        <v>2919</v>
      </c>
      <c r="M52" s="444" t="s">
        <v>2930</v>
      </c>
      <c r="N52" s="450"/>
      <c r="O52" s="450"/>
      <c r="P52" s="450" t="s">
        <v>2921</v>
      </c>
      <c r="Q52" s="451" t="s">
        <v>374</v>
      </c>
      <c r="R52" s="451" t="s">
        <v>2906</v>
      </c>
      <c r="S52" s="452">
        <v>45541</v>
      </c>
      <c r="T52" s="452"/>
      <c r="U52" s="453"/>
      <c r="V52" s="454"/>
      <c r="W52" s="455" t="s">
        <v>406</v>
      </c>
      <c r="X52" s="455">
        <v>45540</v>
      </c>
      <c r="Y52" s="456" t="s">
        <v>377</v>
      </c>
      <c r="Z52" s="457"/>
      <c r="AA52" s="453"/>
    </row>
    <row r="53" spans="1:27" s="128" customFormat="1" ht="37.5">
      <c r="A53" s="443">
        <v>37</v>
      </c>
      <c r="B53" s="444" t="s">
        <v>3002</v>
      </c>
      <c r="C53" s="445" t="s">
        <v>55</v>
      </c>
      <c r="D53" s="444" t="s">
        <v>3003</v>
      </c>
      <c r="E53" s="446">
        <v>3</v>
      </c>
      <c r="F53" s="447"/>
      <c r="G53" s="448">
        <f t="shared" si="2"/>
        <v>0</v>
      </c>
      <c r="H53" s="450"/>
      <c r="I53" s="444"/>
      <c r="J53" s="450"/>
      <c r="K53" s="444" t="s">
        <v>2918</v>
      </c>
      <c r="L53" s="450" t="s">
        <v>2919</v>
      </c>
      <c r="M53" s="444" t="s">
        <v>2927</v>
      </c>
      <c r="N53" s="450"/>
      <c r="O53" s="450"/>
      <c r="P53" s="450" t="s">
        <v>2921</v>
      </c>
      <c r="Q53" s="451" t="s">
        <v>374</v>
      </c>
      <c r="R53" s="451" t="s">
        <v>260</v>
      </c>
      <c r="S53" s="452">
        <v>45541</v>
      </c>
      <c r="T53" s="452"/>
      <c r="U53" s="453"/>
      <c r="V53" s="454"/>
      <c r="W53" s="455" t="s">
        <v>406</v>
      </c>
      <c r="X53" s="455">
        <v>45540</v>
      </c>
      <c r="Y53" s="456" t="s">
        <v>377</v>
      </c>
      <c r="Z53" s="457"/>
      <c r="AA53" s="453"/>
    </row>
    <row r="54" spans="1:27" s="128" customFormat="1" ht="37.5">
      <c r="A54" s="443">
        <v>38</v>
      </c>
      <c r="B54" s="444" t="s">
        <v>3004</v>
      </c>
      <c r="C54" s="445" t="s">
        <v>55</v>
      </c>
      <c r="D54" s="444" t="s">
        <v>3005</v>
      </c>
      <c r="E54" s="446">
        <v>3</v>
      </c>
      <c r="F54" s="447"/>
      <c r="G54" s="448">
        <f t="shared" si="2"/>
        <v>0</v>
      </c>
      <c r="H54" s="450"/>
      <c r="I54" s="444"/>
      <c r="J54" s="450"/>
      <c r="K54" s="444" t="s">
        <v>2918</v>
      </c>
      <c r="L54" s="450" t="s">
        <v>2919</v>
      </c>
      <c r="M54" s="444" t="s">
        <v>2920</v>
      </c>
      <c r="N54" s="450"/>
      <c r="O54" s="450"/>
      <c r="P54" s="450" t="s">
        <v>2921</v>
      </c>
      <c r="Q54" s="451" t="s">
        <v>374</v>
      </c>
      <c r="R54" s="451" t="s">
        <v>2922</v>
      </c>
      <c r="S54" s="452">
        <v>45545</v>
      </c>
      <c r="T54" s="452"/>
      <c r="U54" s="453"/>
      <c r="V54" s="454"/>
      <c r="W54" s="455" t="s">
        <v>406</v>
      </c>
      <c r="X54" s="455">
        <v>45553</v>
      </c>
      <c r="Y54" s="456" t="s">
        <v>377</v>
      </c>
      <c r="Z54" s="457"/>
      <c r="AA54" s="453"/>
    </row>
    <row r="55" spans="1:27" s="128" customFormat="1" ht="37.5">
      <c r="A55" s="443">
        <v>39</v>
      </c>
      <c r="B55" s="444" t="s">
        <v>3006</v>
      </c>
      <c r="C55" s="445" t="s">
        <v>55</v>
      </c>
      <c r="D55" s="444" t="s">
        <v>3007</v>
      </c>
      <c r="E55" s="446">
        <v>6</v>
      </c>
      <c r="F55" s="447"/>
      <c r="G55" s="448">
        <f t="shared" si="2"/>
        <v>0</v>
      </c>
      <c r="H55" s="450"/>
      <c r="I55" s="444"/>
      <c r="J55" s="450"/>
      <c r="K55" s="444" t="s">
        <v>2918</v>
      </c>
      <c r="L55" s="450" t="s">
        <v>2919</v>
      </c>
      <c r="M55" s="444" t="s">
        <v>2942</v>
      </c>
      <c r="N55" s="450"/>
      <c r="O55" s="450"/>
      <c r="P55" s="450" t="s">
        <v>2921</v>
      </c>
      <c r="Q55" s="451" t="s">
        <v>374</v>
      </c>
      <c r="R55" s="451" t="s">
        <v>2943</v>
      </c>
      <c r="S55" s="452">
        <v>45541</v>
      </c>
      <c r="T55" s="452"/>
      <c r="U55" s="453"/>
      <c r="V55" s="454"/>
      <c r="W55" s="455" t="s">
        <v>406</v>
      </c>
      <c r="X55" s="455">
        <v>45544</v>
      </c>
      <c r="Y55" s="456" t="s">
        <v>377</v>
      </c>
      <c r="Z55" s="457"/>
      <c r="AA55" s="453"/>
    </row>
    <row r="56" spans="1:27" s="128" customFormat="1" ht="37.5">
      <c r="A56" s="443">
        <v>40</v>
      </c>
      <c r="B56" s="444" t="s">
        <v>3008</v>
      </c>
      <c r="C56" s="445" t="s">
        <v>55</v>
      </c>
      <c r="D56" s="444" t="s">
        <v>3009</v>
      </c>
      <c r="E56" s="446">
        <v>6</v>
      </c>
      <c r="F56" s="447"/>
      <c r="G56" s="448">
        <f t="shared" si="2"/>
        <v>0</v>
      </c>
      <c r="H56" s="450"/>
      <c r="I56" s="444"/>
      <c r="J56" s="450"/>
      <c r="K56" s="444" t="s">
        <v>2918</v>
      </c>
      <c r="L56" s="450" t="s">
        <v>2919</v>
      </c>
      <c r="M56" s="444" t="s">
        <v>2920</v>
      </c>
      <c r="N56" s="450"/>
      <c r="O56" s="450"/>
      <c r="P56" s="450" t="s">
        <v>2921</v>
      </c>
      <c r="Q56" s="451" t="s">
        <v>374</v>
      </c>
      <c r="R56" s="451" t="s">
        <v>2922</v>
      </c>
      <c r="S56" s="452">
        <v>45545</v>
      </c>
      <c r="T56" s="452"/>
      <c r="U56" s="453"/>
      <c r="V56" s="454"/>
      <c r="W56" s="455" t="s">
        <v>406</v>
      </c>
      <c r="X56" s="455">
        <v>45545</v>
      </c>
      <c r="Y56" s="456" t="s">
        <v>377</v>
      </c>
      <c r="Z56" s="457"/>
      <c r="AA56" s="453"/>
    </row>
    <row r="57" spans="1:27" s="128" customFormat="1" ht="37.5">
      <c r="A57" s="443">
        <v>41</v>
      </c>
      <c r="B57" s="444" t="s">
        <v>3010</v>
      </c>
      <c r="C57" s="445" t="s">
        <v>55</v>
      </c>
      <c r="D57" s="444" t="s">
        <v>3011</v>
      </c>
      <c r="E57" s="446">
        <v>3</v>
      </c>
      <c r="F57" s="447"/>
      <c r="G57" s="448">
        <f t="shared" si="2"/>
        <v>0</v>
      </c>
      <c r="H57" s="450"/>
      <c r="I57" s="444"/>
      <c r="J57" s="450"/>
      <c r="K57" s="444" t="s">
        <v>2918</v>
      </c>
      <c r="L57" s="450" t="s">
        <v>2919</v>
      </c>
      <c r="M57" s="444" t="s">
        <v>2920</v>
      </c>
      <c r="N57" s="450"/>
      <c r="O57" s="450"/>
      <c r="P57" s="450" t="s">
        <v>2921</v>
      </c>
      <c r="Q57" s="451" t="s">
        <v>374</v>
      </c>
      <c r="R57" s="451" t="s">
        <v>2922</v>
      </c>
      <c r="S57" s="452">
        <v>45545</v>
      </c>
      <c r="T57" s="452"/>
      <c r="U57" s="453"/>
      <c r="V57" s="454"/>
      <c r="W57" s="455" t="s">
        <v>406</v>
      </c>
      <c r="X57" s="455">
        <v>45545</v>
      </c>
      <c r="Y57" s="456" t="s">
        <v>377</v>
      </c>
      <c r="Z57" s="457"/>
      <c r="AA57" s="453"/>
    </row>
    <row r="58" spans="1:27" s="128" customFormat="1" ht="37.5">
      <c r="A58" s="443">
        <v>42</v>
      </c>
      <c r="B58" s="444" t="s">
        <v>3012</v>
      </c>
      <c r="C58" s="445" t="s">
        <v>55</v>
      </c>
      <c r="D58" s="444" t="s">
        <v>3013</v>
      </c>
      <c r="E58" s="446">
        <v>3</v>
      </c>
      <c r="F58" s="447"/>
      <c r="G58" s="448">
        <f t="shared" si="2"/>
        <v>0</v>
      </c>
      <c r="H58" s="450"/>
      <c r="I58" s="444"/>
      <c r="J58" s="450"/>
      <c r="K58" s="444" t="s">
        <v>2918</v>
      </c>
      <c r="L58" s="450" t="s">
        <v>2919</v>
      </c>
      <c r="M58" s="444" t="s">
        <v>2942</v>
      </c>
      <c r="N58" s="450"/>
      <c r="O58" s="450"/>
      <c r="P58" s="450" t="s">
        <v>2921</v>
      </c>
      <c r="Q58" s="451" t="s">
        <v>374</v>
      </c>
      <c r="R58" s="451" t="s">
        <v>2943</v>
      </c>
      <c r="S58" s="452">
        <v>45541</v>
      </c>
      <c r="T58" s="452"/>
      <c r="U58" s="453"/>
      <c r="V58" s="454"/>
      <c r="W58" s="455" t="s">
        <v>406</v>
      </c>
      <c r="X58" s="455">
        <v>45544</v>
      </c>
      <c r="Y58" s="456" t="s">
        <v>377</v>
      </c>
      <c r="Z58" s="457"/>
      <c r="AA58" s="453"/>
    </row>
    <row r="59" spans="1:27" s="128" customFormat="1" ht="37.5">
      <c r="A59" s="443">
        <v>43</v>
      </c>
      <c r="B59" s="444" t="s">
        <v>3014</v>
      </c>
      <c r="C59" s="445" t="s">
        <v>55</v>
      </c>
      <c r="D59" s="444" t="s">
        <v>3015</v>
      </c>
      <c r="E59" s="446">
        <v>3</v>
      </c>
      <c r="F59" s="447"/>
      <c r="G59" s="448">
        <f t="shared" si="2"/>
        <v>0</v>
      </c>
      <c r="H59" s="450"/>
      <c r="I59" s="444"/>
      <c r="J59" s="450"/>
      <c r="K59" s="444" t="s">
        <v>2918</v>
      </c>
      <c r="L59" s="450" t="s">
        <v>2919</v>
      </c>
      <c r="M59" s="444" t="s">
        <v>2942</v>
      </c>
      <c r="N59" s="450"/>
      <c r="O59" s="450"/>
      <c r="P59" s="450" t="s">
        <v>2921</v>
      </c>
      <c r="Q59" s="451" t="s">
        <v>374</v>
      </c>
      <c r="R59" s="451" t="s">
        <v>2943</v>
      </c>
      <c r="S59" s="452">
        <v>45541</v>
      </c>
      <c r="T59" s="452"/>
      <c r="U59" s="453"/>
      <c r="V59" s="454"/>
      <c r="W59" s="455" t="s">
        <v>406</v>
      </c>
      <c r="X59" s="455">
        <v>45544</v>
      </c>
      <c r="Y59" s="456" t="s">
        <v>377</v>
      </c>
      <c r="Z59" s="457"/>
      <c r="AA59" s="453"/>
    </row>
    <row r="60" spans="1:27" s="128" customFormat="1" ht="37.5">
      <c r="A60" s="443">
        <v>44</v>
      </c>
      <c r="B60" s="444" t="s">
        <v>3016</v>
      </c>
      <c r="C60" s="445" t="s">
        <v>55</v>
      </c>
      <c r="D60" s="444" t="s">
        <v>3017</v>
      </c>
      <c r="E60" s="446">
        <v>3</v>
      </c>
      <c r="F60" s="447"/>
      <c r="G60" s="448">
        <f t="shared" si="2"/>
        <v>0</v>
      </c>
      <c r="H60" s="450"/>
      <c r="I60" s="444"/>
      <c r="J60" s="450"/>
      <c r="K60" s="444" t="s">
        <v>2918</v>
      </c>
      <c r="L60" s="450" t="s">
        <v>2919</v>
      </c>
      <c r="M60" s="444" t="s">
        <v>2942</v>
      </c>
      <c r="N60" s="450"/>
      <c r="O60" s="450"/>
      <c r="P60" s="450" t="s">
        <v>2921</v>
      </c>
      <c r="Q60" s="451" t="s">
        <v>374</v>
      </c>
      <c r="R60" s="451" t="s">
        <v>2943</v>
      </c>
      <c r="S60" s="452">
        <v>45541</v>
      </c>
      <c r="T60" s="452"/>
      <c r="U60" s="453"/>
      <c r="V60" s="454"/>
      <c r="W60" s="455" t="s">
        <v>406</v>
      </c>
      <c r="X60" s="455">
        <v>45544</v>
      </c>
      <c r="Y60" s="456" t="s">
        <v>377</v>
      </c>
      <c r="Z60" s="457"/>
      <c r="AA60" s="453"/>
    </row>
    <row r="61" spans="1:27" s="128" customFormat="1" ht="37.5">
      <c r="A61" s="443">
        <v>45</v>
      </c>
      <c r="B61" s="444" t="s">
        <v>3018</v>
      </c>
      <c r="C61" s="445" t="s">
        <v>55</v>
      </c>
      <c r="D61" s="444" t="s">
        <v>3019</v>
      </c>
      <c r="E61" s="446">
        <v>3</v>
      </c>
      <c r="F61" s="447"/>
      <c r="G61" s="448">
        <f t="shared" si="2"/>
        <v>0</v>
      </c>
      <c r="H61" s="450"/>
      <c r="I61" s="444"/>
      <c r="J61" s="450"/>
      <c r="K61" s="444" t="s">
        <v>2918</v>
      </c>
      <c r="L61" s="450" t="s">
        <v>2919</v>
      </c>
      <c r="M61" s="444" t="s">
        <v>2942</v>
      </c>
      <c r="N61" s="450"/>
      <c r="O61" s="450"/>
      <c r="P61" s="450" t="s">
        <v>2921</v>
      </c>
      <c r="Q61" s="451" t="s">
        <v>374</v>
      </c>
      <c r="R61" s="451" t="s">
        <v>2943</v>
      </c>
      <c r="S61" s="452">
        <v>45541</v>
      </c>
      <c r="T61" s="452"/>
      <c r="U61" s="453"/>
      <c r="V61" s="454"/>
      <c r="W61" s="455" t="s">
        <v>406</v>
      </c>
      <c r="X61" s="455">
        <v>45544</v>
      </c>
      <c r="Y61" s="456" t="s">
        <v>377</v>
      </c>
      <c r="Z61" s="457"/>
      <c r="AA61" s="453"/>
    </row>
    <row r="62" spans="1:27" s="128" customFormat="1" ht="37.5">
      <c r="A62" s="443">
        <v>46</v>
      </c>
      <c r="B62" s="444" t="s">
        <v>3020</v>
      </c>
      <c r="C62" s="445" t="s">
        <v>55</v>
      </c>
      <c r="D62" s="444" t="s">
        <v>3021</v>
      </c>
      <c r="E62" s="446">
        <v>15</v>
      </c>
      <c r="F62" s="447"/>
      <c r="G62" s="448">
        <f t="shared" si="2"/>
        <v>0</v>
      </c>
      <c r="H62" s="450"/>
      <c r="I62" s="444"/>
      <c r="J62" s="450"/>
      <c r="K62" s="444" t="s">
        <v>2918</v>
      </c>
      <c r="L62" s="450" t="s">
        <v>2919</v>
      </c>
      <c r="M62" s="444" t="s">
        <v>2942</v>
      </c>
      <c r="N62" s="450"/>
      <c r="O62" s="450"/>
      <c r="P62" s="450" t="s">
        <v>2921</v>
      </c>
      <c r="Q62" s="451" t="s">
        <v>374</v>
      </c>
      <c r="R62" s="451" t="s">
        <v>2943</v>
      </c>
      <c r="S62" s="452">
        <v>45541</v>
      </c>
      <c r="T62" s="452"/>
      <c r="U62" s="453"/>
      <c r="V62" s="454"/>
      <c r="W62" s="455" t="s">
        <v>406</v>
      </c>
      <c r="X62" s="455">
        <v>45544</v>
      </c>
      <c r="Y62" s="456" t="s">
        <v>377</v>
      </c>
      <c r="Z62" s="457"/>
      <c r="AA62" s="453"/>
    </row>
    <row r="63" spans="1:27" s="128" customFormat="1" ht="37.5">
      <c r="A63" s="443">
        <v>47</v>
      </c>
      <c r="B63" s="444" t="s">
        <v>3022</v>
      </c>
      <c r="C63" s="445" t="s">
        <v>55</v>
      </c>
      <c r="D63" s="444" t="s">
        <v>3023</v>
      </c>
      <c r="E63" s="446">
        <v>6</v>
      </c>
      <c r="F63" s="447"/>
      <c r="G63" s="448">
        <f t="shared" si="2"/>
        <v>0</v>
      </c>
      <c r="H63" s="450"/>
      <c r="I63" s="444"/>
      <c r="J63" s="450"/>
      <c r="K63" s="444" t="s">
        <v>2918</v>
      </c>
      <c r="L63" s="450" t="s">
        <v>2919</v>
      </c>
      <c r="M63" s="444" t="s">
        <v>2942</v>
      </c>
      <c r="N63" s="450"/>
      <c r="O63" s="450"/>
      <c r="P63" s="450" t="s">
        <v>2921</v>
      </c>
      <c r="Q63" s="451" t="s">
        <v>374</v>
      </c>
      <c r="R63" s="451" t="s">
        <v>2943</v>
      </c>
      <c r="S63" s="452">
        <v>45541</v>
      </c>
      <c r="T63" s="452"/>
      <c r="U63" s="453"/>
      <c r="V63" s="454"/>
      <c r="W63" s="455" t="s">
        <v>406</v>
      </c>
      <c r="X63" s="455">
        <v>45544</v>
      </c>
      <c r="Y63" s="456" t="s">
        <v>377</v>
      </c>
      <c r="Z63" s="457"/>
      <c r="AA63" s="453"/>
    </row>
    <row r="64" spans="1:27" s="128" customFormat="1" ht="37.5">
      <c r="A64" s="443">
        <v>48</v>
      </c>
      <c r="B64" s="444" t="s">
        <v>3024</v>
      </c>
      <c r="C64" s="445" t="s">
        <v>55</v>
      </c>
      <c r="D64" s="444" t="s">
        <v>3025</v>
      </c>
      <c r="E64" s="446">
        <v>18</v>
      </c>
      <c r="F64" s="447"/>
      <c r="G64" s="448">
        <f t="shared" si="2"/>
        <v>0</v>
      </c>
      <c r="H64" s="450"/>
      <c r="I64" s="444"/>
      <c r="J64" s="450"/>
      <c r="K64" s="444" t="s">
        <v>2918</v>
      </c>
      <c r="L64" s="450" t="s">
        <v>2919</v>
      </c>
      <c r="M64" s="444" t="s">
        <v>2966</v>
      </c>
      <c r="N64" s="450"/>
      <c r="O64" s="450"/>
      <c r="P64" s="450" t="s">
        <v>2921</v>
      </c>
      <c r="Q64" s="451" t="s">
        <v>374</v>
      </c>
      <c r="R64" s="451" t="s">
        <v>2967</v>
      </c>
      <c r="S64" s="452">
        <v>45541</v>
      </c>
      <c r="T64" s="452"/>
      <c r="U64" s="453"/>
      <c r="V64" s="454"/>
      <c r="W64" s="455" t="s">
        <v>406</v>
      </c>
      <c r="X64" s="455">
        <v>45538</v>
      </c>
      <c r="Y64" s="456" t="s">
        <v>377</v>
      </c>
      <c r="Z64" s="457"/>
      <c r="AA64" s="453"/>
    </row>
    <row r="65" spans="1:27" s="128" customFormat="1" ht="37.5">
      <c r="A65" s="443">
        <v>49</v>
      </c>
      <c r="B65" s="444" t="s">
        <v>3026</v>
      </c>
      <c r="C65" s="445" t="s">
        <v>55</v>
      </c>
      <c r="D65" s="444" t="s">
        <v>3027</v>
      </c>
      <c r="E65" s="446">
        <v>9</v>
      </c>
      <c r="F65" s="447"/>
      <c r="G65" s="448">
        <f t="shared" si="2"/>
        <v>0</v>
      </c>
      <c r="H65" s="450"/>
      <c r="I65" s="444"/>
      <c r="J65" s="450"/>
      <c r="K65" s="444" t="s">
        <v>2918</v>
      </c>
      <c r="L65" s="450" t="s">
        <v>2919</v>
      </c>
      <c r="M65" s="444" t="s">
        <v>2966</v>
      </c>
      <c r="N65" s="450"/>
      <c r="O65" s="450"/>
      <c r="P65" s="450" t="s">
        <v>2921</v>
      </c>
      <c r="Q65" s="451" t="s">
        <v>374</v>
      </c>
      <c r="R65" s="451" t="s">
        <v>2967</v>
      </c>
      <c r="S65" s="452">
        <v>45541</v>
      </c>
      <c r="T65" s="452"/>
      <c r="U65" s="453"/>
      <c r="V65" s="454"/>
      <c r="W65" s="455" t="s">
        <v>406</v>
      </c>
      <c r="X65" s="455">
        <v>45538</v>
      </c>
      <c r="Y65" s="456" t="s">
        <v>377</v>
      </c>
      <c r="Z65" s="457"/>
      <c r="AA65" s="453"/>
    </row>
    <row r="66" spans="1:27" s="128" customFormat="1" ht="37.5">
      <c r="A66" s="443">
        <v>50</v>
      </c>
      <c r="B66" s="444" t="s">
        <v>3028</v>
      </c>
      <c r="C66" s="445" t="s">
        <v>55</v>
      </c>
      <c r="D66" s="444" t="s">
        <v>3029</v>
      </c>
      <c r="E66" s="446">
        <v>24</v>
      </c>
      <c r="F66" s="447"/>
      <c r="G66" s="448">
        <f t="shared" si="2"/>
        <v>0</v>
      </c>
      <c r="H66" s="450"/>
      <c r="I66" s="444"/>
      <c r="J66" s="450"/>
      <c r="K66" s="444" t="s">
        <v>2918</v>
      </c>
      <c r="L66" s="450" t="s">
        <v>2919</v>
      </c>
      <c r="M66" s="444" t="s">
        <v>2930</v>
      </c>
      <c r="N66" s="450"/>
      <c r="O66" s="450"/>
      <c r="P66" s="450" t="s">
        <v>2921</v>
      </c>
      <c r="Q66" s="451" t="s">
        <v>374</v>
      </c>
      <c r="R66" s="451" t="s">
        <v>2906</v>
      </c>
      <c r="S66" s="452">
        <v>45541</v>
      </c>
      <c r="T66" s="452"/>
      <c r="U66" s="453"/>
      <c r="V66" s="454"/>
      <c r="W66" s="455" t="s">
        <v>406</v>
      </c>
      <c r="X66" s="455">
        <v>45540</v>
      </c>
      <c r="Y66" s="456" t="s">
        <v>377</v>
      </c>
      <c r="Z66" s="457"/>
      <c r="AA66" s="453"/>
    </row>
    <row r="67" spans="1:27" s="128" customFormat="1" ht="37.5">
      <c r="A67" s="443">
        <v>51</v>
      </c>
      <c r="B67" s="444" t="s">
        <v>3030</v>
      </c>
      <c r="C67" s="445" t="s">
        <v>55</v>
      </c>
      <c r="D67" s="444" t="s">
        <v>3031</v>
      </c>
      <c r="E67" s="446">
        <v>3</v>
      </c>
      <c r="F67" s="447"/>
      <c r="G67" s="448">
        <f t="shared" si="2"/>
        <v>0</v>
      </c>
      <c r="H67" s="450"/>
      <c r="I67" s="444"/>
      <c r="J67" s="450"/>
      <c r="K67" s="444" t="s">
        <v>2918</v>
      </c>
      <c r="L67" s="450" t="s">
        <v>2919</v>
      </c>
      <c r="M67" s="444" t="s">
        <v>2920</v>
      </c>
      <c r="N67" s="450"/>
      <c r="O67" s="450"/>
      <c r="P67" s="450" t="s">
        <v>2921</v>
      </c>
      <c r="Q67" s="451" t="s">
        <v>374</v>
      </c>
      <c r="R67" s="451" t="s">
        <v>2922</v>
      </c>
      <c r="S67" s="452">
        <v>45545</v>
      </c>
      <c r="T67" s="452"/>
      <c r="U67" s="453"/>
      <c r="V67" s="454"/>
      <c r="W67" s="455" t="s">
        <v>376</v>
      </c>
      <c r="X67" s="455">
        <v>45548</v>
      </c>
      <c r="Y67" s="456" t="s">
        <v>377</v>
      </c>
      <c r="Z67" s="457"/>
      <c r="AA67" s="453"/>
    </row>
    <row r="68" spans="1:27" s="128" customFormat="1" ht="37.5">
      <c r="A68" s="443">
        <v>52</v>
      </c>
      <c r="B68" s="444" t="s">
        <v>3032</v>
      </c>
      <c r="C68" s="445" t="s">
        <v>55</v>
      </c>
      <c r="D68" s="444" t="s">
        <v>3033</v>
      </c>
      <c r="E68" s="446">
        <v>3</v>
      </c>
      <c r="F68" s="447"/>
      <c r="G68" s="448">
        <f t="shared" si="2"/>
        <v>0</v>
      </c>
      <c r="H68" s="450"/>
      <c r="I68" s="444"/>
      <c r="J68" s="450"/>
      <c r="K68" s="444" t="s">
        <v>2918</v>
      </c>
      <c r="L68" s="450" t="s">
        <v>2919</v>
      </c>
      <c r="M68" s="444" t="s">
        <v>2930</v>
      </c>
      <c r="N68" s="450"/>
      <c r="O68" s="450"/>
      <c r="P68" s="450" t="s">
        <v>2921</v>
      </c>
      <c r="Q68" s="451" t="s">
        <v>374</v>
      </c>
      <c r="R68" s="451" t="s">
        <v>2906</v>
      </c>
      <c r="S68" s="452">
        <v>45541</v>
      </c>
      <c r="T68" s="452"/>
      <c r="U68" s="453"/>
      <c r="V68" s="454"/>
      <c r="W68" s="455" t="s">
        <v>406</v>
      </c>
      <c r="X68" s="455">
        <v>45532</v>
      </c>
      <c r="Y68" s="456" t="s">
        <v>377</v>
      </c>
      <c r="Z68" s="457"/>
      <c r="AA68" s="453"/>
    </row>
    <row r="69" spans="1:27" s="128" customFormat="1" ht="37.5">
      <c r="A69" s="443">
        <v>53</v>
      </c>
      <c r="B69" s="444" t="s">
        <v>3034</v>
      </c>
      <c r="C69" s="445" t="s">
        <v>55</v>
      </c>
      <c r="D69" s="444" t="s">
        <v>3035</v>
      </c>
      <c r="E69" s="446">
        <v>3</v>
      </c>
      <c r="F69" s="447"/>
      <c r="G69" s="448">
        <f t="shared" si="2"/>
        <v>0</v>
      </c>
      <c r="H69" s="450"/>
      <c r="I69" s="444"/>
      <c r="J69" s="450"/>
      <c r="K69" s="444" t="s">
        <v>2918</v>
      </c>
      <c r="L69" s="450" t="s">
        <v>2919</v>
      </c>
      <c r="M69" s="444" t="s">
        <v>2930</v>
      </c>
      <c r="N69" s="450"/>
      <c r="O69" s="450"/>
      <c r="P69" s="450" t="s">
        <v>2921</v>
      </c>
      <c r="Q69" s="451" t="s">
        <v>374</v>
      </c>
      <c r="R69" s="451" t="s">
        <v>2906</v>
      </c>
      <c r="S69" s="452">
        <v>45541</v>
      </c>
      <c r="T69" s="452"/>
      <c r="U69" s="453"/>
      <c r="V69" s="454"/>
      <c r="W69" s="455" t="s">
        <v>406</v>
      </c>
      <c r="X69" s="455">
        <v>45540</v>
      </c>
      <c r="Y69" s="456" t="s">
        <v>377</v>
      </c>
      <c r="Z69" s="457"/>
      <c r="AA69" s="453"/>
    </row>
    <row r="70" spans="1:27" s="128" customFormat="1" ht="37.5">
      <c r="A70" s="443">
        <v>54</v>
      </c>
      <c r="B70" s="444" t="s">
        <v>3036</v>
      </c>
      <c r="C70" s="445" t="s">
        <v>55</v>
      </c>
      <c r="D70" s="444" t="s">
        <v>3037</v>
      </c>
      <c r="E70" s="446">
        <v>3</v>
      </c>
      <c r="F70" s="447"/>
      <c r="G70" s="448">
        <f t="shared" si="2"/>
        <v>0</v>
      </c>
      <c r="H70" s="450"/>
      <c r="I70" s="444"/>
      <c r="J70" s="450"/>
      <c r="K70" s="444" t="s">
        <v>2918</v>
      </c>
      <c r="L70" s="450" t="s">
        <v>2919</v>
      </c>
      <c r="M70" s="444" t="s">
        <v>2966</v>
      </c>
      <c r="N70" s="450"/>
      <c r="O70" s="450"/>
      <c r="P70" s="450" t="s">
        <v>2921</v>
      </c>
      <c r="Q70" s="451" t="s">
        <v>374</v>
      </c>
      <c r="R70" s="451" t="s">
        <v>2967</v>
      </c>
      <c r="S70" s="452">
        <v>45541</v>
      </c>
      <c r="T70" s="452"/>
      <c r="U70" s="453"/>
      <c r="V70" s="454"/>
      <c r="W70" s="455" t="s">
        <v>406</v>
      </c>
      <c r="X70" s="455">
        <v>45538</v>
      </c>
      <c r="Y70" s="456" t="s">
        <v>377</v>
      </c>
      <c r="Z70" s="457"/>
      <c r="AA70" s="453"/>
    </row>
    <row r="71" spans="1:27" s="128" customFormat="1" ht="37.5">
      <c r="A71" s="443">
        <v>55</v>
      </c>
      <c r="B71" s="444" t="s">
        <v>3038</v>
      </c>
      <c r="C71" s="445" t="s">
        <v>55</v>
      </c>
      <c r="D71" s="444" t="s">
        <v>3039</v>
      </c>
      <c r="E71" s="446">
        <v>3</v>
      </c>
      <c r="F71" s="447"/>
      <c r="G71" s="448">
        <f t="shared" si="2"/>
        <v>0</v>
      </c>
      <c r="H71" s="450"/>
      <c r="I71" s="444"/>
      <c r="J71" s="450"/>
      <c r="K71" s="444" t="s">
        <v>2918</v>
      </c>
      <c r="L71" s="450" t="s">
        <v>2919</v>
      </c>
      <c r="M71" s="444" t="s">
        <v>2927</v>
      </c>
      <c r="N71" s="450"/>
      <c r="O71" s="450"/>
      <c r="P71" s="450" t="s">
        <v>2921</v>
      </c>
      <c r="Q71" s="451" t="s">
        <v>374</v>
      </c>
      <c r="R71" s="451" t="s">
        <v>260</v>
      </c>
      <c r="S71" s="452">
        <v>45541</v>
      </c>
      <c r="T71" s="452"/>
      <c r="U71" s="453"/>
      <c r="V71" s="454"/>
      <c r="W71" s="455" t="s">
        <v>406</v>
      </c>
      <c r="X71" s="455">
        <v>45545</v>
      </c>
      <c r="Y71" s="456" t="s">
        <v>377</v>
      </c>
      <c r="Z71" s="457"/>
      <c r="AA71" s="453"/>
    </row>
    <row r="72" spans="1:27" s="128" customFormat="1" ht="37.5">
      <c r="A72" s="443">
        <v>56</v>
      </c>
      <c r="B72" s="444" t="s">
        <v>3040</v>
      </c>
      <c r="C72" s="445" t="s">
        <v>55</v>
      </c>
      <c r="D72" s="444" t="s">
        <v>3041</v>
      </c>
      <c r="E72" s="446">
        <v>3</v>
      </c>
      <c r="F72" s="447"/>
      <c r="G72" s="448">
        <f t="shared" si="2"/>
        <v>0</v>
      </c>
      <c r="H72" s="450"/>
      <c r="I72" s="444"/>
      <c r="J72" s="450"/>
      <c r="K72" s="444" t="s">
        <v>2918</v>
      </c>
      <c r="L72" s="450" t="s">
        <v>2919</v>
      </c>
      <c r="M72" s="444" t="s">
        <v>2927</v>
      </c>
      <c r="N72" s="450"/>
      <c r="O72" s="450"/>
      <c r="P72" s="450" t="s">
        <v>2921</v>
      </c>
      <c r="Q72" s="451" t="s">
        <v>374</v>
      </c>
      <c r="R72" s="451" t="s">
        <v>260</v>
      </c>
      <c r="S72" s="452">
        <v>45541</v>
      </c>
      <c r="T72" s="452"/>
      <c r="U72" s="453"/>
      <c r="V72" s="454"/>
      <c r="W72" s="455" t="s">
        <v>406</v>
      </c>
      <c r="X72" s="455">
        <v>45545</v>
      </c>
      <c r="Y72" s="456" t="s">
        <v>377</v>
      </c>
      <c r="Z72" s="457"/>
      <c r="AA72" s="453"/>
    </row>
    <row r="73" spans="1:27" s="128" customFormat="1" ht="37.5">
      <c r="A73" s="443">
        <v>57</v>
      </c>
      <c r="B73" s="444" t="s">
        <v>3042</v>
      </c>
      <c r="C73" s="445" t="s">
        <v>55</v>
      </c>
      <c r="D73" s="444" t="s">
        <v>3043</v>
      </c>
      <c r="E73" s="446">
        <v>6</v>
      </c>
      <c r="F73" s="447"/>
      <c r="G73" s="448">
        <f t="shared" si="2"/>
        <v>0</v>
      </c>
      <c r="H73" s="450"/>
      <c r="I73" s="444"/>
      <c r="J73" s="450"/>
      <c r="K73" s="444" t="s">
        <v>2918</v>
      </c>
      <c r="L73" s="450" t="s">
        <v>2919</v>
      </c>
      <c r="M73" s="444" t="s">
        <v>2927</v>
      </c>
      <c r="N73" s="450"/>
      <c r="O73" s="450"/>
      <c r="P73" s="450" t="s">
        <v>2921</v>
      </c>
      <c r="Q73" s="451" t="s">
        <v>374</v>
      </c>
      <c r="R73" s="451" t="s">
        <v>260</v>
      </c>
      <c r="S73" s="452">
        <v>45541</v>
      </c>
      <c r="T73" s="452"/>
      <c r="U73" s="453"/>
      <c r="V73" s="454"/>
      <c r="W73" s="455" t="s">
        <v>406</v>
      </c>
      <c r="X73" s="455">
        <v>45544</v>
      </c>
      <c r="Y73" s="456" t="s">
        <v>377</v>
      </c>
      <c r="Z73" s="457"/>
      <c r="AA73" s="453"/>
    </row>
    <row r="74" spans="1:27" s="128" customFormat="1" ht="37.5">
      <c r="A74" s="443">
        <v>58</v>
      </c>
      <c r="B74" s="444" t="s">
        <v>3044</v>
      </c>
      <c r="C74" s="445" t="s">
        <v>55</v>
      </c>
      <c r="D74" s="444" t="s">
        <v>3045</v>
      </c>
      <c r="E74" s="446">
        <v>3</v>
      </c>
      <c r="F74" s="447"/>
      <c r="G74" s="448">
        <f t="shared" si="2"/>
        <v>0</v>
      </c>
      <c r="H74" s="450"/>
      <c r="I74" s="444"/>
      <c r="J74" s="450"/>
      <c r="K74" s="444" t="s">
        <v>2918</v>
      </c>
      <c r="L74" s="450" t="s">
        <v>2919</v>
      </c>
      <c r="M74" s="444" t="s">
        <v>2920</v>
      </c>
      <c r="N74" s="450"/>
      <c r="O74" s="450"/>
      <c r="P74" s="450" t="s">
        <v>2921</v>
      </c>
      <c r="Q74" s="451" t="s">
        <v>374</v>
      </c>
      <c r="R74" s="451" t="s">
        <v>2922</v>
      </c>
      <c r="S74" s="452">
        <v>45545</v>
      </c>
      <c r="T74" s="452"/>
      <c r="U74" s="453"/>
      <c r="V74" s="454"/>
      <c r="W74" s="455" t="s">
        <v>406</v>
      </c>
      <c r="X74" s="455">
        <v>45545</v>
      </c>
      <c r="Y74" s="456" t="s">
        <v>377</v>
      </c>
      <c r="Z74" s="457"/>
      <c r="AA74" s="453"/>
    </row>
    <row r="75" spans="1:27" s="128" customFormat="1" ht="37.5">
      <c r="A75" s="443">
        <v>59</v>
      </c>
      <c r="B75" s="444" t="s">
        <v>3046</v>
      </c>
      <c r="C75" s="445" t="s">
        <v>55</v>
      </c>
      <c r="D75" s="444" t="s">
        <v>3047</v>
      </c>
      <c r="E75" s="446">
        <v>3</v>
      </c>
      <c r="F75" s="447"/>
      <c r="G75" s="448">
        <f t="shared" si="2"/>
        <v>0</v>
      </c>
      <c r="H75" s="450"/>
      <c r="I75" s="444"/>
      <c r="J75" s="450"/>
      <c r="K75" s="444" t="s">
        <v>2918</v>
      </c>
      <c r="L75" s="450" t="s">
        <v>2919</v>
      </c>
      <c r="M75" s="444" t="s">
        <v>2942</v>
      </c>
      <c r="N75" s="450"/>
      <c r="O75" s="450"/>
      <c r="P75" s="450" t="s">
        <v>2921</v>
      </c>
      <c r="Q75" s="451" t="s">
        <v>374</v>
      </c>
      <c r="R75" s="451" t="s">
        <v>2943</v>
      </c>
      <c r="S75" s="452">
        <v>45541</v>
      </c>
      <c r="T75" s="452"/>
      <c r="U75" s="453"/>
      <c r="V75" s="454"/>
      <c r="W75" s="455" t="s">
        <v>406</v>
      </c>
      <c r="X75" s="455">
        <v>45544</v>
      </c>
      <c r="Y75" s="456" t="s">
        <v>377</v>
      </c>
      <c r="Z75" s="457"/>
      <c r="AA75" s="453"/>
    </row>
    <row r="76" spans="1:27" s="128" customFormat="1" ht="37.5">
      <c r="A76" s="443">
        <v>60</v>
      </c>
      <c r="B76" s="444" t="s">
        <v>3048</v>
      </c>
      <c r="C76" s="445" t="s">
        <v>55</v>
      </c>
      <c r="D76" s="444" t="s">
        <v>3049</v>
      </c>
      <c r="E76" s="446">
        <v>3</v>
      </c>
      <c r="F76" s="447"/>
      <c r="G76" s="448">
        <f t="shared" si="2"/>
        <v>0</v>
      </c>
      <c r="H76" s="450"/>
      <c r="I76" s="444"/>
      <c r="J76" s="450"/>
      <c r="K76" s="444" t="s">
        <v>2918</v>
      </c>
      <c r="L76" s="450" t="s">
        <v>2919</v>
      </c>
      <c r="M76" s="444" t="s">
        <v>2920</v>
      </c>
      <c r="N76" s="450"/>
      <c r="O76" s="450"/>
      <c r="P76" s="450" t="s">
        <v>2921</v>
      </c>
      <c r="Q76" s="451" t="s">
        <v>374</v>
      </c>
      <c r="R76" s="451" t="s">
        <v>2922</v>
      </c>
      <c r="S76" s="452">
        <v>45545</v>
      </c>
      <c r="T76" s="452"/>
      <c r="U76" s="453"/>
      <c r="V76" s="454"/>
      <c r="W76" s="455" t="s">
        <v>406</v>
      </c>
      <c r="X76" s="455">
        <v>45545</v>
      </c>
      <c r="Y76" s="456" t="s">
        <v>377</v>
      </c>
      <c r="Z76" s="457"/>
      <c r="AA76" s="453"/>
    </row>
    <row r="77" spans="1:27" s="128" customFormat="1" ht="37.5">
      <c r="A77" s="443">
        <v>61</v>
      </c>
      <c r="B77" s="444" t="s">
        <v>3050</v>
      </c>
      <c r="C77" s="445" t="s">
        <v>55</v>
      </c>
      <c r="D77" s="444" t="s">
        <v>3051</v>
      </c>
      <c r="E77" s="446">
        <v>3</v>
      </c>
      <c r="F77" s="447"/>
      <c r="G77" s="448">
        <f t="shared" si="2"/>
        <v>0</v>
      </c>
      <c r="H77" s="450"/>
      <c r="I77" s="444"/>
      <c r="J77" s="450"/>
      <c r="K77" s="444" t="s">
        <v>2918</v>
      </c>
      <c r="L77" s="450" t="s">
        <v>2919</v>
      </c>
      <c r="M77" s="444" t="s">
        <v>2927</v>
      </c>
      <c r="N77" s="450"/>
      <c r="O77" s="450"/>
      <c r="P77" s="450" t="s">
        <v>2921</v>
      </c>
      <c r="Q77" s="451" t="s">
        <v>374</v>
      </c>
      <c r="R77" s="451" t="s">
        <v>260</v>
      </c>
      <c r="S77" s="452">
        <v>45541</v>
      </c>
      <c r="T77" s="452"/>
      <c r="U77" s="453"/>
      <c r="V77" s="454"/>
      <c r="W77" s="455" t="s">
        <v>406</v>
      </c>
      <c r="X77" s="455">
        <v>45540</v>
      </c>
      <c r="Y77" s="456" t="s">
        <v>377</v>
      </c>
      <c r="Z77" s="457"/>
      <c r="AA77" s="453"/>
    </row>
    <row r="78" spans="1:27" s="128" customFormat="1" ht="37.5">
      <c r="A78" s="443">
        <v>62</v>
      </c>
      <c r="B78" s="444" t="s">
        <v>3052</v>
      </c>
      <c r="C78" s="445" t="s">
        <v>55</v>
      </c>
      <c r="D78" s="444" t="s">
        <v>3053</v>
      </c>
      <c r="E78" s="446">
        <v>3</v>
      </c>
      <c r="F78" s="447"/>
      <c r="G78" s="448">
        <f t="shared" si="2"/>
        <v>0</v>
      </c>
      <c r="H78" s="450"/>
      <c r="I78" s="444"/>
      <c r="J78" s="450"/>
      <c r="K78" s="444" t="s">
        <v>2918</v>
      </c>
      <c r="L78" s="450" t="s">
        <v>2919</v>
      </c>
      <c r="M78" s="444" t="s">
        <v>2942</v>
      </c>
      <c r="N78" s="450"/>
      <c r="O78" s="450"/>
      <c r="P78" s="450" t="s">
        <v>2921</v>
      </c>
      <c r="Q78" s="451" t="s">
        <v>374</v>
      </c>
      <c r="R78" s="451" t="s">
        <v>2943</v>
      </c>
      <c r="S78" s="452">
        <v>45541</v>
      </c>
      <c r="T78" s="452"/>
      <c r="U78" s="453"/>
      <c r="V78" s="454"/>
      <c r="W78" s="455" t="s">
        <v>406</v>
      </c>
      <c r="X78" s="455">
        <v>45544</v>
      </c>
      <c r="Y78" s="456" t="s">
        <v>377</v>
      </c>
      <c r="Z78" s="457"/>
      <c r="AA78" s="453"/>
    </row>
    <row r="79" spans="1:27" s="128" customFormat="1" ht="37.5">
      <c r="A79" s="443">
        <v>63</v>
      </c>
      <c r="B79" s="444" t="s">
        <v>3054</v>
      </c>
      <c r="C79" s="445" t="s">
        <v>55</v>
      </c>
      <c r="D79" s="444" t="s">
        <v>3055</v>
      </c>
      <c r="E79" s="446">
        <v>3</v>
      </c>
      <c r="F79" s="447"/>
      <c r="G79" s="448">
        <f t="shared" si="2"/>
        <v>0</v>
      </c>
      <c r="H79" s="450"/>
      <c r="I79" s="444"/>
      <c r="J79" s="450"/>
      <c r="K79" s="444" t="s">
        <v>2918</v>
      </c>
      <c r="L79" s="450" t="s">
        <v>2919</v>
      </c>
      <c r="M79" s="444" t="s">
        <v>2942</v>
      </c>
      <c r="N79" s="450"/>
      <c r="O79" s="450"/>
      <c r="P79" s="450" t="s">
        <v>2921</v>
      </c>
      <c r="Q79" s="451" t="s">
        <v>374</v>
      </c>
      <c r="R79" s="451" t="s">
        <v>2943</v>
      </c>
      <c r="S79" s="452">
        <v>45541</v>
      </c>
      <c r="T79" s="452"/>
      <c r="U79" s="453"/>
      <c r="V79" s="454"/>
      <c r="W79" s="455" t="s">
        <v>406</v>
      </c>
      <c r="X79" s="455">
        <v>45544</v>
      </c>
      <c r="Y79" s="456" t="s">
        <v>377</v>
      </c>
      <c r="Z79" s="457"/>
      <c r="AA79" s="453"/>
    </row>
    <row r="80" spans="1:27" s="128" customFormat="1" ht="37.5">
      <c r="A80" s="443">
        <v>64</v>
      </c>
      <c r="B80" s="444" t="s">
        <v>3056</v>
      </c>
      <c r="C80" s="445" t="s">
        <v>55</v>
      </c>
      <c r="D80" s="444" t="s">
        <v>3057</v>
      </c>
      <c r="E80" s="446">
        <v>9</v>
      </c>
      <c r="F80" s="447"/>
      <c r="G80" s="448">
        <f t="shared" si="2"/>
        <v>0</v>
      </c>
      <c r="H80" s="450"/>
      <c r="I80" s="444"/>
      <c r="J80" s="450"/>
      <c r="K80" s="444" t="s">
        <v>2918</v>
      </c>
      <c r="L80" s="450" t="s">
        <v>2919</v>
      </c>
      <c r="M80" s="444" t="s">
        <v>2942</v>
      </c>
      <c r="N80" s="450"/>
      <c r="O80" s="450"/>
      <c r="P80" s="450" t="s">
        <v>2921</v>
      </c>
      <c r="Q80" s="451" t="s">
        <v>374</v>
      </c>
      <c r="R80" s="451" t="s">
        <v>2943</v>
      </c>
      <c r="S80" s="452">
        <v>45541</v>
      </c>
      <c r="T80" s="452"/>
      <c r="U80" s="453"/>
      <c r="V80" s="454"/>
      <c r="W80" s="455" t="s">
        <v>406</v>
      </c>
      <c r="X80" s="455">
        <v>45544</v>
      </c>
      <c r="Y80" s="456" t="s">
        <v>377</v>
      </c>
      <c r="Z80" s="457"/>
      <c r="AA80" s="453"/>
    </row>
    <row r="81" spans="1:27" s="128" customFormat="1" ht="37.5">
      <c r="A81" s="443">
        <v>65</v>
      </c>
      <c r="B81" s="444" t="s">
        <v>3058</v>
      </c>
      <c r="C81" s="445" t="s">
        <v>55</v>
      </c>
      <c r="D81" s="444" t="s">
        <v>3059</v>
      </c>
      <c r="E81" s="446">
        <v>3</v>
      </c>
      <c r="F81" s="447"/>
      <c r="G81" s="448">
        <f t="shared" ref="G81:G112" si="3">E81*F81</f>
        <v>0</v>
      </c>
      <c r="H81" s="450"/>
      <c r="I81" s="444"/>
      <c r="J81" s="450"/>
      <c r="K81" s="444" t="s">
        <v>2918</v>
      </c>
      <c r="L81" s="450" t="s">
        <v>2919</v>
      </c>
      <c r="M81" s="444" t="s">
        <v>2920</v>
      </c>
      <c r="N81" s="450"/>
      <c r="O81" s="450"/>
      <c r="P81" s="450" t="s">
        <v>2921</v>
      </c>
      <c r="Q81" s="451" t="s">
        <v>374</v>
      </c>
      <c r="R81" s="451" t="s">
        <v>2922</v>
      </c>
      <c r="S81" s="452">
        <v>45555</v>
      </c>
      <c r="T81" s="452"/>
      <c r="U81" s="453"/>
      <c r="V81" s="454"/>
      <c r="W81" s="455" t="s">
        <v>376</v>
      </c>
      <c r="X81" s="455">
        <v>45558</v>
      </c>
      <c r="Y81" s="456" t="s">
        <v>377</v>
      </c>
      <c r="Z81" s="457"/>
      <c r="AA81" s="453"/>
    </row>
    <row r="82" spans="1:27" s="128" customFormat="1" ht="37.5">
      <c r="A82" s="443">
        <v>66</v>
      </c>
      <c r="B82" s="444" t="s">
        <v>3060</v>
      </c>
      <c r="C82" s="445" t="s">
        <v>55</v>
      </c>
      <c r="D82" s="444" t="s">
        <v>3061</v>
      </c>
      <c r="E82" s="446">
        <v>3</v>
      </c>
      <c r="F82" s="447"/>
      <c r="G82" s="448">
        <f t="shared" si="3"/>
        <v>0</v>
      </c>
      <c r="H82" s="450"/>
      <c r="I82" s="444"/>
      <c r="J82" s="450"/>
      <c r="K82" s="444" t="s">
        <v>2918</v>
      </c>
      <c r="L82" s="450" t="s">
        <v>2919</v>
      </c>
      <c r="M82" s="444" t="s">
        <v>2956</v>
      </c>
      <c r="N82" s="450"/>
      <c r="O82" s="450"/>
      <c r="P82" s="450" t="s">
        <v>2921</v>
      </c>
      <c r="Q82" s="451" t="s">
        <v>374</v>
      </c>
      <c r="R82" s="451" t="s">
        <v>2957</v>
      </c>
      <c r="S82" s="452">
        <v>45544</v>
      </c>
      <c r="T82" s="452"/>
      <c r="U82" s="453"/>
      <c r="V82" s="454"/>
      <c r="W82" s="455" t="s">
        <v>376</v>
      </c>
      <c r="X82" s="455">
        <v>45546</v>
      </c>
      <c r="Y82" s="456" t="s">
        <v>377</v>
      </c>
      <c r="Z82" s="457"/>
      <c r="AA82" s="453"/>
    </row>
    <row r="83" spans="1:27" s="128" customFormat="1" ht="37.5">
      <c r="A83" s="443">
        <v>67</v>
      </c>
      <c r="B83" s="444" t="s">
        <v>3062</v>
      </c>
      <c r="C83" s="445" t="s">
        <v>55</v>
      </c>
      <c r="D83" s="444" t="s">
        <v>3063</v>
      </c>
      <c r="E83" s="446">
        <v>3</v>
      </c>
      <c r="F83" s="447"/>
      <c r="G83" s="448">
        <f t="shared" si="3"/>
        <v>0</v>
      </c>
      <c r="H83" s="450"/>
      <c r="I83" s="444"/>
      <c r="J83" s="450"/>
      <c r="K83" s="444" t="s">
        <v>2918</v>
      </c>
      <c r="L83" s="450" t="s">
        <v>2919</v>
      </c>
      <c r="M83" s="444" t="s">
        <v>2927</v>
      </c>
      <c r="N83" s="450"/>
      <c r="O83" s="450"/>
      <c r="P83" s="450" t="s">
        <v>2921</v>
      </c>
      <c r="Q83" s="451" t="s">
        <v>374</v>
      </c>
      <c r="R83" s="451" t="s">
        <v>260</v>
      </c>
      <c r="S83" s="452">
        <v>45541</v>
      </c>
      <c r="T83" s="452"/>
      <c r="U83" s="453"/>
      <c r="V83" s="454"/>
      <c r="W83" s="455" t="s">
        <v>406</v>
      </c>
      <c r="X83" s="455">
        <v>45545</v>
      </c>
      <c r="Y83" s="456" t="s">
        <v>377</v>
      </c>
      <c r="Z83" s="457"/>
      <c r="AA83" s="453"/>
    </row>
    <row r="84" spans="1:27" s="128" customFormat="1" ht="37.5">
      <c r="A84" s="443">
        <v>68</v>
      </c>
      <c r="B84" s="444" t="s">
        <v>3028</v>
      </c>
      <c r="C84" s="445" t="s">
        <v>55</v>
      </c>
      <c r="D84" s="444" t="s">
        <v>3029</v>
      </c>
      <c r="E84" s="446">
        <v>9</v>
      </c>
      <c r="F84" s="447"/>
      <c r="G84" s="448">
        <f t="shared" si="3"/>
        <v>0</v>
      </c>
      <c r="H84" s="450"/>
      <c r="I84" s="444"/>
      <c r="J84" s="450"/>
      <c r="K84" s="444" t="s">
        <v>2918</v>
      </c>
      <c r="L84" s="450" t="s">
        <v>2919</v>
      </c>
      <c r="M84" s="444" t="s">
        <v>2930</v>
      </c>
      <c r="N84" s="450"/>
      <c r="O84" s="450"/>
      <c r="P84" s="450" t="s">
        <v>2921</v>
      </c>
      <c r="Q84" s="451" t="s">
        <v>374</v>
      </c>
      <c r="R84" s="451" t="s">
        <v>2906</v>
      </c>
      <c r="S84" s="452">
        <v>45541</v>
      </c>
      <c r="T84" s="452"/>
      <c r="U84" s="453"/>
      <c r="V84" s="454"/>
      <c r="W84" s="455" t="s">
        <v>406</v>
      </c>
      <c r="X84" s="455">
        <v>45540</v>
      </c>
      <c r="Y84" s="456" t="s">
        <v>377</v>
      </c>
      <c r="Z84" s="457"/>
      <c r="AA84" s="453"/>
    </row>
    <row r="85" spans="1:27" s="128" customFormat="1" ht="37.5">
      <c r="A85" s="443">
        <v>69</v>
      </c>
      <c r="B85" s="444" t="s">
        <v>3026</v>
      </c>
      <c r="C85" s="445" t="s">
        <v>55</v>
      </c>
      <c r="D85" s="444" t="s">
        <v>3027</v>
      </c>
      <c r="E85" s="446">
        <v>6</v>
      </c>
      <c r="F85" s="447"/>
      <c r="G85" s="448">
        <f t="shared" si="3"/>
        <v>0</v>
      </c>
      <c r="H85" s="450"/>
      <c r="I85" s="444"/>
      <c r="J85" s="450"/>
      <c r="K85" s="444" t="s">
        <v>2918</v>
      </c>
      <c r="L85" s="450" t="s">
        <v>2919</v>
      </c>
      <c r="M85" s="444" t="s">
        <v>2966</v>
      </c>
      <c r="N85" s="450"/>
      <c r="O85" s="450"/>
      <c r="P85" s="450" t="s">
        <v>2921</v>
      </c>
      <c r="Q85" s="451" t="s">
        <v>374</v>
      </c>
      <c r="R85" s="451" t="s">
        <v>2967</v>
      </c>
      <c r="S85" s="452">
        <v>45541</v>
      </c>
      <c r="T85" s="452"/>
      <c r="U85" s="453"/>
      <c r="V85" s="454"/>
      <c r="W85" s="455" t="s">
        <v>406</v>
      </c>
      <c r="X85" s="455">
        <v>45538</v>
      </c>
      <c r="Y85" s="456" t="s">
        <v>377</v>
      </c>
      <c r="Z85" s="457"/>
      <c r="AA85" s="453"/>
    </row>
    <row r="86" spans="1:27" s="128" customFormat="1" ht="37.5">
      <c r="A86" s="443">
        <v>70</v>
      </c>
      <c r="B86" s="444" t="s">
        <v>3064</v>
      </c>
      <c r="C86" s="445" t="s">
        <v>55</v>
      </c>
      <c r="D86" s="444" t="s">
        <v>3065</v>
      </c>
      <c r="E86" s="446">
        <v>6</v>
      </c>
      <c r="F86" s="447"/>
      <c r="G86" s="448">
        <f t="shared" si="3"/>
        <v>0</v>
      </c>
      <c r="H86" s="450"/>
      <c r="I86" s="444"/>
      <c r="J86" s="450"/>
      <c r="K86" s="444" t="s">
        <v>2918</v>
      </c>
      <c r="L86" s="450" t="s">
        <v>2919</v>
      </c>
      <c r="M86" s="444" t="s">
        <v>2927</v>
      </c>
      <c r="N86" s="450"/>
      <c r="O86" s="450"/>
      <c r="P86" s="450" t="s">
        <v>2921</v>
      </c>
      <c r="Q86" s="451" t="s">
        <v>374</v>
      </c>
      <c r="R86" s="451" t="s">
        <v>260</v>
      </c>
      <c r="S86" s="452">
        <v>45541</v>
      </c>
      <c r="T86" s="452"/>
      <c r="U86" s="453"/>
      <c r="V86" s="454"/>
      <c r="W86" s="455" t="s">
        <v>406</v>
      </c>
      <c r="X86" s="455">
        <v>45540</v>
      </c>
      <c r="Y86" s="456" t="s">
        <v>377</v>
      </c>
      <c r="Z86" s="457"/>
      <c r="AA86" s="453"/>
    </row>
    <row r="87" spans="1:27" s="128" customFormat="1" ht="37.5">
      <c r="A87" s="443">
        <v>71</v>
      </c>
      <c r="B87" s="444" t="s">
        <v>3066</v>
      </c>
      <c r="C87" s="445" t="s">
        <v>55</v>
      </c>
      <c r="D87" s="444" t="s">
        <v>3067</v>
      </c>
      <c r="E87" s="446">
        <v>3</v>
      </c>
      <c r="F87" s="447"/>
      <c r="G87" s="448">
        <f t="shared" si="3"/>
        <v>0</v>
      </c>
      <c r="H87" s="450"/>
      <c r="I87" s="444"/>
      <c r="J87" s="450"/>
      <c r="K87" s="444" t="s">
        <v>2918</v>
      </c>
      <c r="L87" s="450" t="s">
        <v>2919</v>
      </c>
      <c r="M87" s="444" t="s">
        <v>2942</v>
      </c>
      <c r="N87" s="450"/>
      <c r="O87" s="450"/>
      <c r="P87" s="450" t="s">
        <v>2921</v>
      </c>
      <c r="Q87" s="451" t="s">
        <v>374</v>
      </c>
      <c r="R87" s="451" t="s">
        <v>2943</v>
      </c>
      <c r="S87" s="452">
        <v>45541</v>
      </c>
      <c r="T87" s="452"/>
      <c r="U87" s="453"/>
      <c r="V87" s="454"/>
      <c r="W87" s="455" t="s">
        <v>406</v>
      </c>
      <c r="X87" s="455">
        <v>45544</v>
      </c>
      <c r="Y87" s="456" t="s">
        <v>377</v>
      </c>
      <c r="Z87" s="457"/>
      <c r="AA87" s="453"/>
    </row>
    <row r="88" spans="1:27" s="128" customFormat="1" ht="37.5">
      <c r="A88" s="443">
        <v>72</v>
      </c>
      <c r="B88" s="444" t="s">
        <v>3068</v>
      </c>
      <c r="C88" s="445" t="s">
        <v>55</v>
      </c>
      <c r="D88" s="444" t="s">
        <v>3069</v>
      </c>
      <c r="E88" s="446">
        <v>3</v>
      </c>
      <c r="F88" s="447"/>
      <c r="G88" s="448">
        <f t="shared" si="3"/>
        <v>0</v>
      </c>
      <c r="H88" s="450"/>
      <c r="I88" s="444"/>
      <c r="J88" s="450"/>
      <c r="K88" s="444" t="s">
        <v>2918</v>
      </c>
      <c r="L88" s="450" t="s">
        <v>2919</v>
      </c>
      <c r="M88" s="444" t="s">
        <v>2942</v>
      </c>
      <c r="N88" s="450"/>
      <c r="O88" s="450"/>
      <c r="P88" s="450" t="s">
        <v>2921</v>
      </c>
      <c r="Q88" s="451" t="s">
        <v>374</v>
      </c>
      <c r="R88" s="451" t="s">
        <v>2943</v>
      </c>
      <c r="S88" s="452">
        <v>45541</v>
      </c>
      <c r="T88" s="452"/>
      <c r="U88" s="453"/>
      <c r="V88" s="454"/>
      <c r="W88" s="455" t="s">
        <v>406</v>
      </c>
      <c r="X88" s="455">
        <v>45544</v>
      </c>
      <c r="Y88" s="456" t="s">
        <v>377</v>
      </c>
      <c r="Z88" s="457"/>
      <c r="AA88" s="453"/>
    </row>
    <row r="89" spans="1:27" s="128" customFormat="1" ht="37.5">
      <c r="A89" s="443">
        <v>73</v>
      </c>
      <c r="B89" s="444" t="s">
        <v>3070</v>
      </c>
      <c r="C89" s="445" t="s">
        <v>55</v>
      </c>
      <c r="D89" s="444" t="s">
        <v>3071</v>
      </c>
      <c r="E89" s="446">
        <v>3</v>
      </c>
      <c r="F89" s="447"/>
      <c r="G89" s="448">
        <f t="shared" si="3"/>
        <v>0</v>
      </c>
      <c r="H89" s="450"/>
      <c r="I89" s="444"/>
      <c r="J89" s="450"/>
      <c r="K89" s="444" t="s">
        <v>2918</v>
      </c>
      <c r="L89" s="450" t="s">
        <v>2919</v>
      </c>
      <c r="M89" s="444" t="s">
        <v>2942</v>
      </c>
      <c r="N89" s="450"/>
      <c r="O89" s="450"/>
      <c r="P89" s="450" t="s">
        <v>2921</v>
      </c>
      <c r="Q89" s="451" t="s">
        <v>374</v>
      </c>
      <c r="R89" s="451" t="s">
        <v>2943</v>
      </c>
      <c r="S89" s="452">
        <v>45541</v>
      </c>
      <c r="T89" s="452"/>
      <c r="U89" s="453"/>
      <c r="V89" s="454"/>
      <c r="W89" s="455" t="s">
        <v>406</v>
      </c>
      <c r="X89" s="455">
        <v>45544</v>
      </c>
      <c r="Y89" s="456" t="s">
        <v>377</v>
      </c>
      <c r="Z89" s="457"/>
      <c r="AA89" s="453"/>
    </row>
    <row r="90" spans="1:27" s="128" customFormat="1" ht="37.5">
      <c r="A90" s="443">
        <v>74</v>
      </c>
      <c r="B90" s="444" t="s">
        <v>3072</v>
      </c>
      <c r="C90" s="445" t="s">
        <v>55</v>
      </c>
      <c r="D90" s="444" t="s">
        <v>3073</v>
      </c>
      <c r="E90" s="446">
        <v>3</v>
      </c>
      <c r="F90" s="447"/>
      <c r="G90" s="448">
        <f t="shared" si="3"/>
        <v>0</v>
      </c>
      <c r="H90" s="450"/>
      <c r="I90" s="444"/>
      <c r="J90" s="450"/>
      <c r="K90" s="444" t="s">
        <v>2918</v>
      </c>
      <c r="L90" s="450" t="s">
        <v>2919</v>
      </c>
      <c r="M90" s="444" t="s">
        <v>2920</v>
      </c>
      <c r="N90" s="450"/>
      <c r="O90" s="450"/>
      <c r="P90" s="450" t="s">
        <v>2921</v>
      </c>
      <c r="Q90" s="451" t="s">
        <v>374</v>
      </c>
      <c r="R90" s="451" t="s">
        <v>2922</v>
      </c>
      <c r="S90" s="452">
        <v>45545</v>
      </c>
      <c r="T90" s="452"/>
      <c r="U90" s="453"/>
      <c r="V90" s="454"/>
      <c r="W90" s="455" t="s">
        <v>406</v>
      </c>
      <c r="X90" s="455">
        <v>45545</v>
      </c>
      <c r="Y90" s="456" t="s">
        <v>377</v>
      </c>
      <c r="Z90" s="457"/>
      <c r="AA90" s="453"/>
    </row>
    <row r="91" spans="1:27" s="128" customFormat="1" ht="37.5">
      <c r="A91" s="443">
        <v>75</v>
      </c>
      <c r="B91" s="444" t="s">
        <v>3074</v>
      </c>
      <c r="C91" s="445" t="s">
        <v>55</v>
      </c>
      <c r="D91" s="444" t="s">
        <v>3075</v>
      </c>
      <c r="E91" s="446">
        <v>6</v>
      </c>
      <c r="F91" s="447"/>
      <c r="G91" s="448">
        <f t="shared" si="3"/>
        <v>0</v>
      </c>
      <c r="H91" s="450"/>
      <c r="I91" s="444"/>
      <c r="J91" s="450"/>
      <c r="K91" s="444" t="s">
        <v>2918</v>
      </c>
      <c r="L91" s="450" t="s">
        <v>2919</v>
      </c>
      <c r="M91" s="444" t="s">
        <v>2920</v>
      </c>
      <c r="N91" s="450"/>
      <c r="O91" s="450"/>
      <c r="P91" s="450" t="s">
        <v>2921</v>
      </c>
      <c r="Q91" s="451" t="s">
        <v>374</v>
      </c>
      <c r="R91" s="451" t="s">
        <v>2922</v>
      </c>
      <c r="S91" s="452">
        <v>45545</v>
      </c>
      <c r="T91" s="452"/>
      <c r="U91" s="453"/>
      <c r="V91" s="454"/>
      <c r="W91" s="455" t="s">
        <v>406</v>
      </c>
      <c r="X91" s="455">
        <v>45545</v>
      </c>
      <c r="Y91" s="456" t="s">
        <v>377</v>
      </c>
      <c r="Z91" s="457"/>
      <c r="AA91" s="453"/>
    </row>
    <row r="92" spans="1:27" s="128" customFormat="1" ht="37.5">
      <c r="A92" s="443">
        <v>76</v>
      </c>
      <c r="B92" s="444" t="s">
        <v>3076</v>
      </c>
      <c r="C92" s="445" t="s">
        <v>55</v>
      </c>
      <c r="D92" s="444" t="s">
        <v>3077</v>
      </c>
      <c r="E92" s="446">
        <v>6</v>
      </c>
      <c r="F92" s="447"/>
      <c r="G92" s="448">
        <f t="shared" si="3"/>
        <v>0</v>
      </c>
      <c r="H92" s="450"/>
      <c r="I92" s="444"/>
      <c r="J92" s="450"/>
      <c r="K92" s="444" t="s">
        <v>2918</v>
      </c>
      <c r="L92" s="450" t="s">
        <v>2919</v>
      </c>
      <c r="M92" s="444" t="s">
        <v>2927</v>
      </c>
      <c r="N92" s="450"/>
      <c r="O92" s="450"/>
      <c r="P92" s="450" t="s">
        <v>2921</v>
      </c>
      <c r="Q92" s="451" t="s">
        <v>374</v>
      </c>
      <c r="R92" s="451" t="s">
        <v>260</v>
      </c>
      <c r="S92" s="452">
        <v>45541</v>
      </c>
      <c r="T92" s="452"/>
      <c r="U92" s="453"/>
      <c r="V92" s="454"/>
      <c r="W92" s="455" t="s">
        <v>406</v>
      </c>
      <c r="X92" s="455">
        <v>45540</v>
      </c>
      <c r="Y92" s="456" t="s">
        <v>377</v>
      </c>
      <c r="Z92" s="457"/>
      <c r="AA92" s="453"/>
    </row>
    <row r="93" spans="1:27" s="128" customFormat="1" ht="37.5">
      <c r="A93" s="443">
        <v>77</v>
      </c>
      <c r="B93" s="444" t="s">
        <v>3078</v>
      </c>
      <c r="C93" s="445" t="s">
        <v>55</v>
      </c>
      <c r="D93" s="444" t="s">
        <v>3079</v>
      </c>
      <c r="E93" s="446">
        <v>6</v>
      </c>
      <c r="F93" s="447"/>
      <c r="G93" s="448">
        <f t="shared" si="3"/>
        <v>0</v>
      </c>
      <c r="H93" s="450"/>
      <c r="I93" s="444"/>
      <c r="J93" s="450"/>
      <c r="K93" s="444" t="s">
        <v>2918</v>
      </c>
      <c r="L93" s="450" t="s">
        <v>2919</v>
      </c>
      <c r="M93" s="444" t="s">
        <v>2966</v>
      </c>
      <c r="N93" s="450"/>
      <c r="O93" s="450"/>
      <c r="P93" s="450" t="s">
        <v>2921</v>
      </c>
      <c r="Q93" s="451" t="s">
        <v>374</v>
      </c>
      <c r="R93" s="451" t="s">
        <v>2967</v>
      </c>
      <c r="S93" s="452">
        <v>45541</v>
      </c>
      <c r="T93" s="452"/>
      <c r="U93" s="453"/>
      <c r="V93" s="454"/>
      <c r="W93" s="455" t="s">
        <v>406</v>
      </c>
      <c r="X93" s="455">
        <v>45538</v>
      </c>
      <c r="Y93" s="456" t="s">
        <v>377</v>
      </c>
      <c r="Z93" s="457"/>
      <c r="AA93" s="453"/>
    </row>
    <row r="94" spans="1:27" s="128" customFormat="1" ht="37.5">
      <c r="A94" s="443">
        <v>78</v>
      </c>
      <c r="B94" s="444" t="s">
        <v>3080</v>
      </c>
      <c r="C94" s="445" t="s">
        <v>55</v>
      </c>
      <c r="D94" s="444" t="s">
        <v>3081</v>
      </c>
      <c r="E94" s="446">
        <v>12</v>
      </c>
      <c r="F94" s="447"/>
      <c r="G94" s="448">
        <f t="shared" si="3"/>
        <v>0</v>
      </c>
      <c r="H94" s="450"/>
      <c r="I94" s="444"/>
      <c r="J94" s="450"/>
      <c r="K94" s="444" t="s">
        <v>2918</v>
      </c>
      <c r="L94" s="450" t="s">
        <v>2919</v>
      </c>
      <c r="M94" s="444" t="s">
        <v>2942</v>
      </c>
      <c r="N94" s="450"/>
      <c r="O94" s="450"/>
      <c r="P94" s="450" t="s">
        <v>2921</v>
      </c>
      <c r="Q94" s="451" t="s">
        <v>374</v>
      </c>
      <c r="R94" s="451" t="s">
        <v>2943</v>
      </c>
      <c r="S94" s="452">
        <v>45541</v>
      </c>
      <c r="T94" s="452"/>
      <c r="U94" s="453"/>
      <c r="V94" s="454"/>
      <c r="W94" s="455" t="s">
        <v>406</v>
      </c>
      <c r="X94" s="455">
        <v>45544</v>
      </c>
      <c r="Y94" s="456" t="s">
        <v>377</v>
      </c>
      <c r="Z94" s="457"/>
      <c r="AA94" s="453"/>
    </row>
    <row r="95" spans="1:27" s="128" customFormat="1" ht="37.5">
      <c r="A95" s="443">
        <v>79</v>
      </c>
      <c r="B95" s="444" t="s">
        <v>3082</v>
      </c>
      <c r="C95" s="445" t="s">
        <v>55</v>
      </c>
      <c r="D95" s="444" t="s">
        <v>3083</v>
      </c>
      <c r="E95" s="446">
        <v>12</v>
      </c>
      <c r="F95" s="447"/>
      <c r="G95" s="448">
        <f t="shared" si="3"/>
        <v>0</v>
      </c>
      <c r="H95" s="450"/>
      <c r="I95" s="444"/>
      <c r="J95" s="450"/>
      <c r="K95" s="444" t="s">
        <v>2918</v>
      </c>
      <c r="L95" s="450" t="s">
        <v>2919</v>
      </c>
      <c r="M95" s="444" t="s">
        <v>2966</v>
      </c>
      <c r="N95" s="450"/>
      <c r="O95" s="450"/>
      <c r="P95" s="450" t="s">
        <v>2921</v>
      </c>
      <c r="Q95" s="451" t="s">
        <v>374</v>
      </c>
      <c r="R95" s="451" t="s">
        <v>2967</v>
      </c>
      <c r="S95" s="452">
        <v>45541</v>
      </c>
      <c r="T95" s="452"/>
      <c r="U95" s="453"/>
      <c r="V95" s="454"/>
      <c r="W95" s="455" t="s">
        <v>406</v>
      </c>
      <c r="X95" s="455">
        <v>45538</v>
      </c>
      <c r="Y95" s="456" t="s">
        <v>377</v>
      </c>
      <c r="Z95" s="457"/>
      <c r="AA95" s="453"/>
    </row>
    <row r="96" spans="1:27" s="128" customFormat="1" ht="37.5">
      <c r="A96" s="443">
        <v>80</v>
      </c>
      <c r="B96" s="444" t="s">
        <v>3084</v>
      </c>
      <c r="C96" s="445" t="s">
        <v>55</v>
      </c>
      <c r="D96" s="444" t="s">
        <v>3085</v>
      </c>
      <c r="E96" s="446">
        <v>12</v>
      </c>
      <c r="F96" s="447"/>
      <c r="G96" s="448">
        <f t="shared" si="3"/>
        <v>0</v>
      </c>
      <c r="H96" s="450"/>
      <c r="I96" s="444"/>
      <c r="J96" s="450"/>
      <c r="K96" s="444" t="s">
        <v>2918</v>
      </c>
      <c r="L96" s="450" t="s">
        <v>2919</v>
      </c>
      <c r="M96" s="444" t="s">
        <v>2942</v>
      </c>
      <c r="N96" s="450"/>
      <c r="O96" s="450"/>
      <c r="P96" s="450" t="s">
        <v>2921</v>
      </c>
      <c r="Q96" s="451" t="s">
        <v>374</v>
      </c>
      <c r="R96" s="451" t="s">
        <v>2943</v>
      </c>
      <c r="S96" s="452">
        <v>45541</v>
      </c>
      <c r="T96" s="452"/>
      <c r="U96" s="453"/>
      <c r="V96" s="454"/>
      <c r="W96" s="455" t="s">
        <v>406</v>
      </c>
      <c r="X96" s="455">
        <v>45544</v>
      </c>
      <c r="Y96" s="456" t="s">
        <v>377</v>
      </c>
      <c r="Z96" s="457"/>
      <c r="AA96" s="453"/>
    </row>
    <row r="97" spans="1:27" s="128" customFormat="1" ht="37.5">
      <c r="A97" s="443">
        <v>81</v>
      </c>
      <c r="B97" s="444" t="s">
        <v>3086</v>
      </c>
      <c r="C97" s="445" t="s">
        <v>55</v>
      </c>
      <c r="D97" s="444" t="s">
        <v>3087</v>
      </c>
      <c r="E97" s="446">
        <v>6</v>
      </c>
      <c r="F97" s="447"/>
      <c r="G97" s="448">
        <f t="shared" si="3"/>
        <v>0</v>
      </c>
      <c r="H97" s="450"/>
      <c r="I97" s="444"/>
      <c r="J97" s="450"/>
      <c r="K97" s="444" t="s">
        <v>2918</v>
      </c>
      <c r="L97" s="450" t="s">
        <v>2919</v>
      </c>
      <c r="M97" s="444" t="s">
        <v>2920</v>
      </c>
      <c r="N97" s="450"/>
      <c r="O97" s="450"/>
      <c r="P97" s="450" t="s">
        <v>2921</v>
      </c>
      <c r="Q97" s="451" t="s">
        <v>374</v>
      </c>
      <c r="R97" s="451" t="s">
        <v>2922</v>
      </c>
      <c r="S97" s="452">
        <v>45545</v>
      </c>
      <c r="T97" s="452"/>
      <c r="U97" s="453"/>
      <c r="V97" s="454"/>
      <c r="W97" s="455" t="s">
        <v>406</v>
      </c>
      <c r="X97" s="455">
        <v>45545</v>
      </c>
      <c r="Y97" s="456" t="s">
        <v>377</v>
      </c>
      <c r="Z97" s="457"/>
      <c r="AA97" s="453"/>
    </row>
    <row r="98" spans="1:27" s="128" customFormat="1" ht="37.5">
      <c r="A98" s="443">
        <v>82</v>
      </c>
      <c r="B98" s="444" t="s">
        <v>3088</v>
      </c>
      <c r="C98" s="445" t="s">
        <v>55</v>
      </c>
      <c r="D98" s="444" t="s">
        <v>3089</v>
      </c>
      <c r="E98" s="446">
        <v>3</v>
      </c>
      <c r="F98" s="447"/>
      <c r="G98" s="448">
        <f t="shared" si="3"/>
        <v>0</v>
      </c>
      <c r="H98" s="450"/>
      <c r="I98" s="444"/>
      <c r="J98" s="450"/>
      <c r="K98" s="444" t="s">
        <v>2918</v>
      </c>
      <c r="L98" s="450" t="s">
        <v>2919</v>
      </c>
      <c r="M98" s="444" t="s">
        <v>2920</v>
      </c>
      <c r="N98" s="450"/>
      <c r="O98" s="450"/>
      <c r="P98" s="450" t="s">
        <v>2921</v>
      </c>
      <c r="Q98" s="451" t="s">
        <v>374</v>
      </c>
      <c r="R98" s="451" t="s">
        <v>2922</v>
      </c>
      <c r="S98" s="452">
        <v>45545</v>
      </c>
      <c r="T98" s="452"/>
      <c r="U98" s="453"/>
      <c r="V98" s="454"/>
      <c r="W98" s="455" t="s">
        <v>406</v>
      </c>
      <c r="X98" s="455">
        <v>45545</v>
      </c>
      <c r="Y98" s="456" t="s">
        <v>377</v>
      </c>
      <c r="Z98" s="457"/>
      <c r="AA98" s="453"/>
    </row>
    <row r="99" spans="1:27" s="128" customFormat="1" ht="37.5">
      <c r="A99" s="443">
        <v>83</v>
      </c>
      <c r="B99" s="444" t="s">
        <v>3090</v>
      </c>
      <c r="C99" s="445" t="s">
        <v>55</v>
      </c>
      <c r="D99" s="444" t="s">
        <v>3091</v>
      </c>
      <c r="E99" s="446">
        <v>3</v>
      </c>
      <c r="F99" s="447"/>
      <c r="G99" s="448">
        <f t="shared" si="3"/>
        <v>0</v>
      </c>
      <c r="H99" s="450"/>
      <c r="I99" s="444"/>
      <c r="J99" s="450"/>
      <c r="K99" s="444" t="s">
        <v>2918</v>
      </c>
      <c r="L99" s="450" t="s">
        <v>2919</v>
      </c>
      <c r="M99" s="444" t="s">
        <v>2966</v>
      </c>
      <c r="N99" s="450"/>
      <c r="O99" s="450"/>
      <c r="P99" s="450" t="s">
        <v>2921</v>
      </c>
      <c r="Q99" s="451" t="s">
        <v>374</v>
      </c>
      <c r="R99" s="451" t="s">
        <v>2967</v>
      </c>
      <c r="S99" s="452">
        <v>45541</v>
      </c>
      <c r="T99" s="452"/>
      <c r="U99" s="453"/>
      <c r="V99" s="454"/>
      <c r="W99" s="455" t="s">
        <v>406</v>
      </c>
      <c r="X99" s="455">
        <v>45538</v>
      </c>
      <c r="Y99" s="456" t="s">
        <v>377</v>
      </c>
      <c r="Z99" s="457"/>
      <c r="AA99" s="453"/>
    </row>
    <row r="100" spans="1:27" s="128" customFormat="1" ht="37.5">
      <c r="A100" s="443">
        <v>84</v>
      </c>
      <c r="B100" s="444" t="s">
        <v>3092</v>
      </c>
      <c r="C100" s="445" t="s">
        <v>55</v>
      </c>
      <c r="D100" s="444" t="s">
        <v>3093</v>
      </c>
      <c r="E100" s="446">
        <v>3</v>
      </c>
      <c r="F100" s="447"/>
      <c r="G100" s="448">
        <f t="shared" si="3"/>
        <v>0</v>
      </c>
      <c r="H100" s="450"/>
      <c r="I100" s="444"/>
      <c r="J100" s="450"/>
      <c r="K100" s="444" t="s">
        <v>2918</v>
      </c>
      <c r="L100" s="450" t="s">
        <v>2919</v>
      </c>
      <c r="M100" s="444" t="s">
        <v>2966</v>
      </c>
      <c r="N100" s="450"/>
      <c r="O100" s="450"/>
      <c r="P100" s="450" t="s">
        <v>2921</v>
      </c>
      <c r="Q100" s="451" t="s">
        <v>374</v>
      </c>
      <c r="R100" s="451" t="s">
        <v>2967</v>
      </c>
      <c r="S100" s="452">
        <v>45541</v>
      </c>
      <c r="T100" s="452"/>
      <c r="U100" s="453"/>
      <c r="V100" s="454"/>
      <c r="W100" s="455" t="s">
        <v>406</v>
      </c>
      <c r="X100" s="455">
        <v>45538</v>
      </c>
      <c r="Y100" s="456" t="s">
        <v>377</v>
      </c>
      <c r="Z100" s="457"/>
      <c r="AA100" s="453"/>
    </row>
    <row r="101" spans="1:27" s="128" customFormat="1" ht="37.5">
      <c r="A101" s="443">
        <v>85</v>
      </c>
      <c r="B101" s="444" t="s">
        <v>3094</v>
      </c>
      <c r="C101" s="445" t="s">
        <v>55</v>
      </c>
      <c r="D101" s="444" t="s">
        <v>3095</v>
      </c>
      <c r="E101" s="446">
        <v>3</v>
      </c>
      <c r="F101" s="447"/>
      <c r="G101" s="448">
        <f t="shared" si="3"/>
        <v>0</v>
      </c>
      <c r="H101" s="450"/>
      <c r="I101" s="444"/>
      <c r="J101" s="450"/>
      <c r="K101" s="444" t="s">
        <v>2918</v>
      </c>
      <c r="L101" s="450" t="s">
        <v>2919</v>
      </c>
      <c r="M101" s="444" t="s">
        <v>2942</v>
      </c>
      <c r="N101" s="450"/>
      <c r="O101" s="450"/>
      <c r="P101" s="450" t="s">
        <v>2921</v>
      </c>
      <c r="Q101" s="451" t="s">
        <v>374</v>
      </c>
      <c r="R101" s="451" t="s">
        <v>2943</v>
      </c>
      <c r="S101" s="452">
        <v>45541</v>
      </c>
      <c r="T101" s="452"/>
      <c r="U101" s="453"/>
      <c r="V101" s="454"/>
      <c r="W101" s="455" t="s">
        <v>406</v>
      </c>
      <c r="X101" s="455">
        <v>45544</v>
      </c>
      <c r="Y101" s="456" t="s">
        <v>377</v>
      </c>
      <c r="Z101" s="457"/>
      <c r="AA101" s="453"/>
    </row>
    <row r="102" spans="1:27" s="128" customFormat="1" ht="37.5">
      <c r="A102" s="443">
        <v>86</v>
      </c>
      <c r="B102" s="444" t="s">
        <v>3096</v>
      </c>
      <c r="C102" s="445" t="s">
        <v>55</v>
      </c>
      <c r="D102" s="444" t="s">
        <v>3097</v>
      </c>
      <c r="E102" s="446">
        <v>3</v>
      </c>
      <c r="F102" s="447"/>
      <c r="G102" s="448">
        <f t="shared" si="3"/>
        <v>0</v>
      </c>
      <c r="H102" s="450"/>
      <c r="I102" s="444"/>
      <c r="J102" s="450"/>
      <c r="K102" s="444" t="s">
        <v>2918</v>
      </c>
      <c r="L102" s="450" t="s">
        <v>2919</v>
      </c>
      <c r="M102" s="444" t="s">
        <v>2942</v>
      </c>
      <c r="N102" s="450"/>
      <c r="O102" s="450"/>
      <c r="P102" s="450" t="s">
        <v>2921</v>
      </c>
      <c r="Q102" s="451" t="s">
        <v>374</v>
      </c>
      <c r="R102" s="451" t="s">
        <v>2943</v>
      </c>
      <c r="S102" s="452">
        <v>45541</v>
      </c>
      <c r="T102" s="452"/>
      <c r="U102" s="453"/>
      <c r="V102" s="454"/>
      <c r="W102" s="455" t="s">
        <v>406</v>
      </c>
      <c r="X102" s="455">
        <v>45544</v>
      </c>
      <c r="Y102" s="456" t="s">
        <v>377</v>
      </c>
      <c r="Z102" s="457"/>
      <c r="AA102" s="453"/>
    </row>
    <row r="103" spans="1:27" s="128" customFormat="1" ht="37.5">
      <c r="A103" s="443">
        <v>87</v>
      </c>
      <c r="B103" s="444" t="s">
        <v>3098</v>
      </c>
      <c r="C103" s="445" t="s">
        <v>55</v>
      </c>
      <c r="D103" s="444" t="s">
        <v>3099</v>
      </c>
      <c r="E103" s="446">
        <v>3</v>
      </c>
      <c r="F103" s="447"/>
      <c r="G103" s="448">
        <f t="shared" si="3"/>
        <v>0</v>
      </c>
      <c r="H103" s="450"/>
      <c r="I103" s="444"/>
      <c r="J103" s="450"/>
      <c r="K103" s="444" t="s">
        <v>2918</v>
      </c>
      <c r="L103" s="450" t="s">
        <v>2919</v>
      </c>
      <c r="M103" s="444" t="s">
        <v>2930</v>
      </c>
      <c r="N103" s="450"/>
      <c r="O103" s="450"/>
      <c r="P103" s="450" t="s">
        <v>2921</v>
      </c>
      <c r="Q103" s="451" t="s">
        <v>374</v>
      </c>
      <c r="R103" s="451" t="s">
        <v>2906</v>
      </c>
      <c r="S103" s="452">
        <v>45541</v>
      </c>
      <c r="T103" s="452"/>
      <c r="U103" s="453"/>
      <c r="V103" s="454"/>
      <c r="W103" s="455" t="s">
        <v>406</v>
      </c>
      <c r="X103" s="455">
        <v>45532</v>
      </c>
      <c r="Y103" s="456" t="s">
        <v>377</v>
      </c>
      <c r="Z103" s="457"/>
      <c r="AA103" s="453"/>
    </row>
    <row r="104" spans="1:27" s="128" customFormat="1" ht="37.5">
      <c r="A104" s="443">
        <v>88</v>
      </c>
      <c r="B104" s="444" t="s">
        <v>3100</v>
      </c>
      <c r="C104" s="445" t="s">
        <v>55</v>
      </c>
      <c r="D104" s="444" t="s">
        <v>3101</v>
      </c>
      <c r="E104" s="446">
        <v>6</v>
      </c>
      <c r="F104" s="447"/>
      <c r="G104" s="448">
        <f t="shared" si="3"/>
        <v>0</v>
      </c>
      <c r="H104" s="450"/>
      <c r="I104" s="444"/>
      <c r="J104" s="450"/>
      <c r="K104" s="444" t="s">
        <v>2918</v>
      </c>
      <c r="L104" s="450" t="s">
        <v>2919</v>
      </c>
      <c r="M104" s="444" t="s">
        <v>3102</v>
      </c>
      <c r="N104" s="450"/>
      <c r="O104" s="450"/>
      <c r="P104" s="450" t="s">
        <v>2921</v>
      </c>
      <c r="Q104" s="451" t="s">
        <v>374</v>
      </c>
      <c r="R104" s="451" t="s">
        <v>3103</v>
      </c>
      <c r="S104" s="452">
        <v>45541</v>
      </c>
      <c r="T104" s="452"/>
      <c r="U104" s="453"/>
      <c r="V104" s="454"/>
      <c r="W104" s="455" t="s">
        <v>406</v>
      </c>
      <c r="X104" s="455">
        <v>45545</v>
      </c>
      <c r="Y104" s="456" t="s">
        <v>377</v>
      </c>
      <c r="Z104" s="457"/>
      <c r="AA104" s="453"/>
    </row>
    <row r="105" spans="1:27" s="128" customFormat="1" ht="37.5">
      <c r="A105" s="443">
        <v>89</v>
      </c>
      <c r="B105" s="444" t="s">
        <v>3104</v>
      </c>
      <c r="C105" s="445" t="s">
        <v>55</v>
      </c>
      <c r="D105" s="444" t="s">
        <v>3105</v>
      </c>
      <c r="E105" s="446">
        <v>3</v>
      </c>
      <c r="F105" s="447"/>
      <c r="G105" s="448">
        <f t="shared" si="3"/>
        <v>0</v>
      </c>
      <c r="H105" s="450"/>
      <c r="I105" s="444"/>
      <c r="J105" s="450"/>
      <c r="K105" s="444" t="s">
        <v>2918</v>
      </c>
      <c r="L105" s="450" t="s">
        <v>2919</v>
      </c>
      <c r="M105" s="444" t="s">
        <v>2942</v>
      </c>
      <c r="N105" s="450"/>
      <c r="O105" s="450"/>
      <c r="P105" s="450" t="s">
        <v>2921</v>
      </c>
      <c r="Q105" s="451" t="s">
        <v>374</v>
      </c>
      <c r="R105" s="451" t="s">
        <v>2943</v>
      </c>
      <c r="S105" s="452">
        <v>45541</v>
      </c>
      <c r="T105" s="452"/>
      <c r="U105" s="453"/>
      <c r="V105" s="454"/>
      <c r="W105" s="455" t="s">
        <v>406</v>
      </c>
      <c r="X105" s="455">
        <v>45544</v>
      </c>
      <c r="Y105" s="456" t="s">
        <v>377</v>
      </c>
      <c r="Z105" s="457"/>
      <c r="AA105" s="453"/>
    </row>
    <row r="106" spans="1:27" s="128" customFormat="1" ht="37.5">
      <c r="A106" s="443">
        <v>90</v>
      </c>
      <c r="B106" s="444" t="s">
        <v>3106</v>
      </c>
      <c r="C106" s="445" t="s">
        <v>55</v>
      </c>
      <c r="D106" s="444" t="s">
        <v>3107</v>
      </c>
      <c r="E106" s="446">
        <v>3</v>
      </c>
      <c r="F106" s="447"/>
      <c r="G106" s="448">
        <f t="shared" si="3"/>
        <v>0</v>
      </c>
      <c r="H106" s="450"/>
      <c r="I106" s="444"/>
      <c r="J106" s="450"/>
      <c r="K106" s="444" t="s">
        <v>2918</v>
      </c>
      <c r="L106" s="450" t="s">
        <v>2919</v>
      </c>
      <c r="M106" s="444" t="s">
        <v>2966</v>
      </c>
      <c r="N106" s="450"/>
      <c r="O106" s="450"/>
      <c r="P106" s="450" t="s">
        <v>2921</v>
      </c>
      <c r="Q106" s="451" t="s">
        <v>374</v>
      </c>
      <c r="R106" s="451" t="s">
        <v>2967</v>
      </c>
      <c r="S106" s="452">
        <v>45541</v>
      </c>
      <c r="T106" s="452"/>
      <c r="U106" s="453"/>
      <c r="V106" s="454"/>
      <c r="W106" s="455" t="s">
        <v>406</v>
      </c>
      <c r="X106" s="455">
        <v>45538</v>
      </c>
      <c r="Y106" s="456" t="s">
        <v>377</v>
      </c>
      <c r="Z106" s="457"/>
      <c r="AA106" s="453"/>
    </row>
    <row r="107" spans="1:27" s="128" customFormat="1" ht="37.5">
      <c r="A107" s="443">
        <v>91</v>
      </c>
      <c r="B107" s="444" t="s">
        <v>3108</v>
      </c>
      <c r="C107" s="445" t="s">
        <v>55</v>
      </c>
      <c r="D107" s="444" t="s">
        <v>3109</v>
      </c>
      <c r="E107" s="446">
        <v>3</v>
      </c>
      <c r="F107" s="447"/>
      <c r="G107" s="448">
        <f t="shared" si="3"/>
        <v>0</v>
      </c>
      <c r="H107" s="450"/>
      <c r="I107" s="444"/>
      <c r="J107" s="450"/>
      <c r="K107" s="444" t="s">
        <v>2918</v>
      </c>
      <c r="L107" s="450" t="s">
        <v>2919</v>
      </c>
      <c r="M107" s="444" t="s">
        <v>2966</v>
      </c>
      <c r="N107" s="450"/>
      <c r="O107" s="450"/>
      <c r="P107" s="450" t="s">
        <v>2921</v>
      </c>
      <c r="Q107" s="451" t="s">
        <v>374</v>
      </c>
      <c r="R107" s="451" t="s">
        <v>2967</v>
      </c>
      <c r="S107" s="452">
        <v>45541</v>
      </c>
      <c r="T107" s="452"/>
      <c r="U107" s="453"/>
      <c r="V107" s="454"/>
      <c r="W107" s="455" t="s">
        <v>406</v>
      </c>
      <c r="X107" s="455">
        <v>45538</v>
      </c>
      <c r="Y107" s="456" t="s">
        <v>377</v>
      </c>
      <c r="Z107" s="457"/>
      <c r="AA107" s="453"/>
    </row>
    <row r="108" spans="1:27" s="128" customFormat="1" ht="37.5">
      <c r="A108" s="443">
        <v>92</v>
      </c>
      <c r="B108" s="444" t="s">
        <v>3110</v>
      </c>
      <c r="C108" s="445" t="s">
        <v>55</v>
      </c>
      <c r="D108" s="444" t="s">
        <v>3111</v>
      </c>
      <c r="E108" s="446">
        <v>3</v>
      </c>
      <c r="F108" s="447"/>
      <c r="G108" s="448">
        <f t="shared" si="3"/>
        <v>0</v>
      </c>
      <c r="H108" s="450"/>
      <c r="I108" s="444"/>
      <c r="J108" s="450"/>
      <c r="K108" s="444" t="s">
        <v>2918</v>
      </c>
      <c r="L108" s="450" t="s">
        <v>2919</v>
      </c>
      <c r="M108" s="444" t="s">
        <v>2920</v>
      </c>
      <c r="N108" s="450"/>
      <c r="O108" s="450"/>
      <c r="P108" s="450" t="s">
        <v>2921</v>
      </c>
      <c r="Q108" s="451" t="s">
        <v>374</v>
      </c>
      <c r="R108" s="451" t="s">
        <v>2922</v>
      </c>
      <c r="S108" s="452">
        <v>45545</v>
      </c>
      <c r="T108" s="452"/>
      <c r="U108" s="453"/>
      <c r="V108" s="454"/>
      <c r="W108" s="455" t="s">
        <v>406</v>
      </c>
      <c r="X108" s="455">
        <v>45545</v>
      </c>
      <c r="Y108" s="456" t="s">
        <v>377</v>
      </c>
      <c r="Z108" s="457"/>
      <c r="AA108" s="453"/>
    </row>
    <row r="109" spans="1:27" s="128" customFormat="1" ht="37.5">
      <c r="A109" s="443">
        <v>93</v>
      </c>
      <c r="B109" s="444" t="s">
        <v>3112</v>
      </c>
      <c r="C109" s="445" t="s">
        <v>55</v>
      </c>
      <c r="D109" s="444" t="s">
        <v>3113</v>
      </c>
      <c r="E109" s="446">
        <v>3</v>
      </c>
      <c r="F109" s="447"/>
      <c r="G109" s="448">
        <f t="shared" si="3"/>
        <v>0</v>
      </c>
      <c r="H109" s="450"/>
      <c r="I109" s="444"/>
      <c r="J109" s="450"/>
      <c r="K109" s="444" t="s">
        <v>2918</v>
      </c>
      <c r="L109" s="450" t="s">
        <v>2919</v>
      </c>
      <c r="M109" s="444" t="s">
        <v>2920</v>
      </c>
      <c r="N109" s="450"/>
      <c r="O109" s="450"/>
      <c r="P109" s="450" t="s">
        <v>2921</v>
      </c>
      <c r="Q109" s="451" t="s">
        <v>374</v>
      </c>
      <c r="R109" s="451" t="s">
        <v>2922</v>
      </c>
      <c r="S109" s="452">
        <v>45545</v>
      </c>
      <c r="T109" s="452"/>
      <c r="U109" s="453"/>
      <c r="V109" s="454"/>
      <c r="W109" s="455" t="s">
        <v>406</v>
      </c>
      <c r="X109" s="455">
        <v>45545</v>
      </c>
      <c r="Y109" s="456" t="s">
        <v>377</v>
      </c>
      <c r="Z109" s="457"/>
      <c r="AA109" s="453"/>
    </row>
    <row r="110" spans="1:27" s="128" customFormat="1" ht="37.5">
      <c r="A110" s="443">
        <v>94</v>
      </c>
      <c r="B110" s="444" t="s">
        <v>3114</v>
      </c>
      <c r="C110" s="445" t="s">
        <v>55</v>
      </c>
      <c r="D110" s="444" t="s">
        <v>3115</v>
      </c>
      <c r="E110" s="446">
        <v>3</v>
      </c>
      <c r="F110" s="447"/>
      <c r="G110" s="448">
        <f t="shared" si="3"/>
        <v>0</v>
      </c>
      <c r="H110" s="450"/>
      <c r="I110" s="444"/>
      <c r="J110" s="450"/>
      <c r="K110" s="444" t="s">
        <v>2918</v>
      </c>
      <c r="L110" s="450" t="s">
        <v>2919</v>
      </c>
      <c r="M110" s="444" t="s">
        <v>2966</v>
      </c>
      <c r="N110" s="450"/>
      <c r="O110" s="450"/>
      <c r="P110" s="450" t="s">
        <v>2921</v>
      </c>
      <c r="Q110" s="451" t="s">
        <v>374</v>
      </c>
      <c r="R110" s="451" t="s">
        <v>2967</v>
      </c>
      <c r="S110" s="452">
        <v>45541</v>
      </c>
      <c r="T110" s="452"/>
      <c r="U110" s="453"/>
      <c r="V110" s="454"/>
      <c r="W110" s="455" t="s">
        <v>406</v>
      </c>
      <c r="X110" s="455">
        <v>45538</v>
      </c>
      <c r="Y110" s="456" t="s">
        <v>377</v>
      </c>
      <c r="Z110" s="457"/>
      <c r="AA110" s="453"/>
    </row>
    <row r="111" spans="1:27" s="128" customFormat="1" ht="37.5">
      <c r="A111" s="443">
        <v>95</v>
      </c>
      <c r="B111" s="444" t="s">
        <v>3116</v>
      </c>
      <c r="C111" s="445" t="s">
        <v>55</v>
      </c>
      <c r="D111" s="444" t="s">
        <v>3117</v>
      </c>
      <c r="E111" s="446">
        <v>6</v>
      </c>
      <c r="F111" s="447"/>
      <c r="G111" s="448">
        <f t="shared" si="3"/>
        <v>0</v>
      </c>
      <c r="H111" s="450"/>
      <c r="I111" s="444"/>
      <c r="J111" s="450"/>
      <c r="K111" s="444" t="s">
        <v>2918</v>
      </c>
      <c r="L111" s="450" t="s">
        <v>2919</v>
      </c>
      <c r="M111" s="444" t="s">
        <v>2920</v>
      </c>
      <c r="N111" s="450"/>
      <c r="O111" s="450"/>
      <c r="P111" s="450" t="s">
        <v>2921</v>
      </c>
      <c r="Q111" s="451" t="s">
        <v>374</v>
      </c>
      <c r="R111" s="451" t="s">
        <v>2922</v>
      </c>
      <c r="S111" s="452">
        <v>45545</v>
      </c>
      <c r="T111" s="452"/>
      <c r="U111" s="453"/>
      <c r="V111" s="454"/>
      <c r="W111" s="455" t="s">
        <v>406</v>
      </c>
      <c r="X111" s="455">
        <v>45545</v>
      </c>
      <c r="Y111" s="456" t="s">
        <v>377</v>
      </c>
      <c r="Z111" s="457"/>
      <c r="AA111" s="453"/>
    </row>
    <row r="112" spans="1:27" s="128" customFormat="1" ht="37.5">
      <c r="A112" s="443">
        <v>96</v>
      </c>
      <c r="B112" s="444" t="s">
        <v>3118</v>
      </c>
      <c r="C112" s="445" t="s">
        <v>55</v>
      </c>
      <c r="D112" s="444" t="s">
        <v>3119</v>
      </c>
      <c r="E112" s="446">
        <v>3</v>
      </c>
      <c r="F112" s="447"/>
      <c r="G112" s="448">
        <f t="shared" si="3"/>
        <v>0</v>
      </c>
      <c r="H112" s="450"/>
      <c r="I112" s="444"/>
      <c r="J112" s="450"/>
      <c r="K112" s="444" t="s">
        <v>2918</v>
      </c>
      <c r="L112" s="450" t="s">
        <v>2919</v>
      </c>
      <c r="M112" s="444" t="s">
        <v>2966</v>
      </c>
      <c r="N112" s="450"/>
      <c r="O112" s="450"/>
      <c r="P112" s="450" t="s">
        <v>2921</v>
      </c>
      <c r="Q112" s="451" t="s">
        <v>374</v>
      </c>
      <c r="R112" s="451" t="s">
        <v>2967</v>
      </c>
      <c r="S112" s="452">
        <v>45541</v>
      </c>
      <c r="T112" s="452"/>
      <c r="U112" s="453"/>
      <c r="V112" s="454"/>
      <c r="W112" s="455" t="s">
        <v>406</v>
      </c>
      <c r="X112" s="455">
        <v>45538</v>
      </c>
      <c r="Y112" s="456" t="s">
        <v>377</v>
      </c>
      <c r="Z112" s="457"/>
      <c r="AA112" s="453"/>
    </row>
    <row r="113" spans="1:27" s="128" customFormat="1" ht="37.5">
      <c r="A113" s="443">
        <v>97</v>
      </c>
      <c r="B113" s="444" t="s">
        <v>3120</v>
      </c>
      <c r="C113" s="445" t="s">
        <v>55</v>
      </c>
      <c r="D113" s="444" t="s">
        <v>3121</v>
      </c>
      <c r="E113" s="446">
        <v>6</v>
      </c>
      <c r="F113" s="447"/>
      <c r="G113" s="448">
        <f t="shared" ref="G113:G144" si="4">E113*F113</f>
        <v>0</v>
      </c>
      <c r="H113" s="450"/>
      <c r="I113" s="444"/>
      <c r="J113" s="450"/>
      <c r="K113" s="444" t="s">
        <v>2918</v>
      </c>
      <c r="L113" s="450" t="s">
        <v>2919</v>
      </c>
      <c r="M113" s="444" t="s">
        <v>2920</v>
      </c>
      <c r="N113" s="450"/>
      <c r="O113" s="450"/>
      <c r="P113" s="450" t="s">
        <v>2921</v>
      </c>
      <c r="Q113" s="451" t="s">
        <v>374</v>
      </c>
      <c r="R113" s="451" t="s">
        <v>2922</v>
      </c>
      <c r="S113" s="452">
        <v>45545</v>
      </c>
      <c r="T113" s="452"/>
      <c r="U113" s="453"/>
      <c r="V113" s="454"/>
      <c r="W113" s="455" t="s">
        <v>406</v>
      </c>
      <c r="X113" s="455">
        <v>45545</v>
      </c>
      <c r="Y113" s="456" t="s">
        <v>377</v>
      </c>
      <c r="Z113" s="457"/>
      <c r="AA113" s="453"/>
    </row>
    <row r="114" spans="1:27" s="128" customFormat="1" ht="37.5">
      <c r="A114" s="443">
        <v>98</v>
      </c>
      <c r="B114" s="444" t="s">
        <v>3122</v>
      </c>
      <c r="C114" s="445" t="s">
        <v>55</v>
      </c>
      <c r="D114" s="444" t="s">
        <v>3123</v>
      </c>
      <c r="E114" s="446">
        <v>3</v>
      </c>
      <c r="F114" s="447"/>
      <c r="G114" s="448">
        <f t="shared" si="4"/>
        <v>0</v>
      </c>
      <c r="H114" s="450"/>
      <c r="I114" s="444"/>
      <c r="J114" s="450"/>
      <c r="K114" s="444" t="s">
        <v>2918</v>
      </c>
      <c r="L114" s="450" t="s">
        <v>2919</v>
      </c>
      <c r="M114" s="444" t="s">
        <v>2920</v>
      </c>
      <c r="N114" s="450"/>
      <c r="O114" s="450"/>
      <c r="P114" s="450" t="s">
        <v>2921</v>
      </c>
      <c r="Q114" s="451" t="s">
        <v>374</v>
      </c>
      <c r="R114" s="451" t="s">
        <v>2922</v>
      </c>
      <c r="S114" s="452">
        <v>45545</v>
      </c>
      <c r="T114" s="452"/>
      <c r="U114" s="453"/>
      <c r="V114" s="454"/>
      <c r="W114" s="455" t="s">
        <v>406</v>
      </c>
      <c r="X114" s="455">
        <v>45545</v>
      </c>
      <c r="Y114" s="456" t="s">
        <v>377</v>
      </c>
      <c r="Z114" s="457"/>
      <c r="AA114" s="453"/>
    </row>
    <row r="115" spans="1:27" s="128" customFormat="1" ht="37.5">
      <c r="A115" s="443">
        <v>99</v>
      </c>
      <c r="B115" s="444" t="s">
        <v>3124</v>
      </c>
      <c r="C115" s="445" t="s">
        <v>55</v>
      </c>
      <c r="D115" s="444" t="s">
        <v>3125</v>
      </c>
      <c r="E115" s="446">
        <v>3</v>
      </c>
      <c r="F115" s="447"/>
      <c r="G115" s="448">
        <f t="shared" si="4"/>
        <v>0</v>
      </c>
      <c r="H115" s="450"/>
      <c r="I115" s="444"/>
      <c r="J115" s="450"/>
      <c r="K115" s="444" t="s">
        <v>2918</v>
      </c>
      <c r="L115" s="450" t="s">
        <v>2919</v>
      </c>
      <c r="M115" s="444" t="s">
        <v>2920</v>
      </c>
      <c r="N115" s="450"/>
      <c r="O115" s="450"/>
      <c r="P115" s="450" t="s">
        <v>2921</v>
      </c>
      <c r="Q115" s="451" t="s">
        <v>374</v>
      </c>
      <c r="R115" s="451" t="s">
        <v>2922</v>
      </c>
      <c r="S115" s="452">
        <v>45545</v>
      </c>
      <c r="T115" s="452"/>
      <c r="U115" s="453"/>
      <c r="V115" s="454"/>
      <c r="W115" s="455" t="s">
        <v>406</v>
      </c>
      <c r="X115" s="455">
        <v>45545</v>
      </c>
      <c r="Y115" s="456" t="s">
        <v>377</v>
      </c>
      <c r="Z115" s="457"/>
      <c r="AA115" s="453"/>
    </row>
    <row r="116" spans="1:27" s="128" customFormat="1" ht="37.5">
      <c r="A116" s="443">
        <v>100</v>
      </c>
      <c r="B116" s="444" t="s">
        <v>3126</v>
      </c>
      <c r="C116" s="445" t="s">
        <v>55</v>
      </c>
      <c r="D116" s="444" t="s">
        <v>3127</v>
      </c>
      <c r="E116" s="446">
        <v>3</v>
      </c>
      <c r="F116" s="447"/>
      <c r="G116" s="448">
        <f t="shared" si="4"/>
        <v>0</v>
      </c>
      <c r="H116" s="450"/>
      <c r="I116" s="444"/>
      <c r="J116" s="450"/>
      <c r="K116" s="444" t="s">
        <v>2918</v>
      </c>
      <c r="L116" s="450" t="s">
        <v>2919</v>
      </c>
      <c r="M116" s="444" t="s">
        <v>2930</v>
      </c>
      <c r="N116" s="450"/>
      <c r="O116" s="450"/>
      <c r="P116" s="450" t="s">
        <v>2921</v>
      </c>
      <c r="Q116" s="451" t="s">
        <v>374</v>
      </c>
      <c r="R116" s="451" t="s">
        <v>2906</v>
      </c>
      <c r="S116" s="452">
        <v>45541</v>
      </c>
      <c r="T116" s="452"/>
      <c r="U116" s="453"/>
      <c r="V116" s="454"/>
      <c r="W116" s="455" t="s">
        <v>406</v>
      </c>
      <c r="X116" s="455">
        <v>45532</v>
      </c>
      <c r="Y116" s="456" t="s">
        <v>377</v>
      </c>
      <c r="Z116" s="457"/>
      <c r="AA116" s="453"/>
    </row>
    <row r="117" spans="1:27" s="128" customFormat="1" ht="37.5">
      <c r="A117" s="443">
        <v>101</v>
      </c>
      <c r="B117" s="444" t="s">
        <v>3128</v>
      </c>
      <c r="C117" s="445" t="s">
        <v>55</v>
      </c>
      <c r="D117" s="444" t="s">
        <v>3129</v>
      </c>
      <c r="E117" s="446">
        <v>3</v>
      </c>
      <c r="F117" s="447"/>
      <c r="G117" s="448">
        <f t="shared" si="4"/>
        <v>0</v>
      </c>
      <c r="H117" s="450"/>
      <c r="I117" s="444"/>
      <c r="J117" s="450"/>
      <c r="K117" s="444" t="s">
        <v>2918</v>
      </c>
      <c r="L117" s="450" t="s">
        <v>2919</v>
      </c>
      <c r="M117" s="444" t="s">
        <v>2966</v>
      </c>
      <c r="N117" s="450"/>
      <c r="O117" s="450"/>
      <c r="P117" s="450" t="s">
        <v>2921</v>
      </c>
      <c r="Q117" s="451" t="s">
        <v>374</v>
      </c>
      <c r="R117" s="451" t="s">
        <v>2967</v>
      </c>
      <c r="S117" s="452">
        <v>45541</v>
      </c>
      <c r="T117" s="452"/>
      <c r="U117" s="453"/>
      <c r="V117" s="454"/>
      <c r="W117" s="455" t="s">
        <v>406</v>
      </c>
      <c r="X117" s="455">
        <v>45538</v>
      </c>
      <c r="Y117" s="456" t="s">
        <v>377</v>
      </c>
      <c r="Z117" s="457"/>
      <c r="AA117" s="453"/>
    </row>
    <row r="118" spans="1:27" s="128" customFormat="1" ht="37.5">
      <c r="A118" s="443">
        <v>102</v>
      </c>
      <c r="B118" s="444" t="s">
        <v>3130</v>
      </c>
      <c r="C118" s="445" t="s">
        <v>55</v>
      </c>
      <c r="D118" s="444" t="s">
        <v>3131</v>
      </c>
      <c r="E118" s="446">
        <v>3</v>
      </c>
      <c r="F118" s="447"/>
      <c r="G118" s="448">
        <f t="shared" si="4"/>
        <v>0</v>
      </c>
      <c r="H118" s="450"/>
      <c r="I118" s="444"/>
      <c r="J118" s="450"/>
      <c r="K118" s="444" t="s">
        <v>2918</v>
      </c>
      <c r="L118" s="450" t="s">
        <v>2919</v>
      </c>
      <c r="M118" s="444" t="s">
        <v>2920</v>
      </c>
      <c r="N118" s="450"/>
      <c r="O118" s="450"/>
      <c r="P118" s="450" t="s">
        <v>2921</v>
      </c>
      <c r="Q118" s="451" t="s">
        <v>374</v>
      </c>
      <c r="R118" s="451" t="s">
        <v>2922</v>
      </c>
      <c r="S118" s="452">
        <v>45545</v>
      </c>
      <c r="T118" s="452"/>
      <c r="U118" s="453"/>
      <c r="V118" s="454"/>
      <c r="W118" s="455" t="s">
        <v>406</v>
      </c>
      <c r="X118" s="455">
        <v>45545</v>
      </c>
      <c r="Y118" s="456" t="s">
        <v>377</v>
      </c>
      <c r="Z118" s="457"/>
      <c r="AA118" s="453"/>
    </row>
    <row r="119" spans="1:27" s="128" customFormat="1" ht="37.5">
      <c r="A119" s="443">
        <v>103</v>
      </c>
      <c r="B119" s="444" t="s">
        <v>3132</v>
      </c>
      <c r="C119" s="445" t="s">
        <v>55</v>
      </c>
      <c r="D119" s="444" t="s">
        <v>3133</v>
      </c>
      <c r="E119" s="446">
        <v>3</v>
      </c>
      <c r="F119" s="447"/>
      <c r="G119" s="448">
        <f t="shared" si="4"/>
        <v>0</v>
      </c>
      <c r="H119" s="450"/>
      <c r="I119" s="444"/>
      <c r="J119" s="450"/>
      <c r="K119" s="444" t="s">
        <v>2918</v>
      </c>
      <c r="L119" s="450" t="s">
        <v>2919</v>
      </c>
      <c r="M119" s="444" t="s">
        <v>2920</v>
      </c>
      <c r="N119" s="450"/>
      <c r="O119" s="450"/>
      <c r="P119" s="450" t="s">
        <v>2921</v>
      </c>
      <c r="Q119" s="451" t="s">
        <v>374</v>
      </c>
      <c r="R119" s="451" t="s">
        <v>2922</v>
      </c>
      <c r="S119" s="452">
        <v>45545</v>
      </c>
      <c r="T119" s="452"/>
      <c r="U119" s="453"/>
      <c r="V119" s="454"/>
      <c r="W119" s="455" t="s">
        <v>406</v>
      </c>
      <c r="X119" s="455">
        <v>45545</v>
      </c>
      <c r="Y119" s="456" t="s">
        <v>377</v>
      </c>
      <c r="Z119" s="457"/>
      <c r="AA119" s="453"/>
    </row>
    <row r="120" spans="1:27" s="128" customFormat="1" ht="37.5">
      <c r="A120" s="443">
        <v>104</v>
      </c>
      <c r="B120" s="444" t="s">
        <v>3134</v>
      </c>
      <c r="C120" s="445" t="s">
        <v>55</v>
      </c>
      <c r="D120" s="444" t="s">
        <v>3135</v>
      </c>
      <c r="E120" s="446">
        <v>3</v>
      </c>
      <c r="F120" s="447"/>
      <c r="G120" s="448">
        <f t="shared" si="4"/>
        <v>0</v>
      </c>
      <c r="H120" s="450"/>
      <c r="I120" s="444"/>
      <c r="J120" s="450"/>
      <c r="K120" s="444" t="s">
        <v>2918</v>
      </c>
      <c r="L120" s="450" t="s">
        <v>2919</v>
      </c>
      <c r="M120" s="444" t="s">
        <v>2930</v>
      </c>
      <c r="N120" s="450"/>
      <c r="O120" s="450"/>
      <c r="P120" s="450" t="s">
        <v>2921</v>
      </c>
      <c r="Q120" s="451" t="s">
        <v>374</v>
      </c>
      <c r="R120" s="451" t="s">
        <v>2906</v>
      </c>
      <c r="S120" s="452">
        <v>45541</v>
      </c>
      <c r="T120" s="452"/>
      <c r="U120" s="453"/>
      <c r="V120" s="454"/>
      <c r="W120" s="455" t="s">
        <v>406</v>
      </c>
      <c r="X120" s="455">
        <v>45532</v>
      </c>
      <c r="Y120" s="456" t="s">
        <v>377</v>
      </c>
      <c r="Z120" s="457"/>
      <c r="AA120" s="453"/>
    </row>
    <row r="121" spans="1:27" s="128" customFormat="1" ht="37.5">
      <c r="A121" s="443">
        <v>105</v>
      </c>
      <c r="B121" s="444" t="s">
        <v>3136</v>
      </c>
      <c r="C121" s="445" t="s">
        <v>55</v>
      </c>
      <c r="D121" s="444" t="s">
        <v>3137</v>
      </c>
      <c r="E121" s="446">
        <v>6</v>
      </c>
      <c r="F121" s="447"/>
      <c r="G121" s="448">
        <f t="shared" si="4"/>
        <v>0</v>
      </c>
      <c r="H121" s="450"/>
      <c r="I121" s="444"/>
      <c r="J121" s="450"/>
      <c r="K121" s="444" t="s">
        <v>2918</v>
      </c>
      <c r="L121" s="450" t="s">
        <v>2919</v>
      </c>
      <c r="M121" s="444" t="s">
        <v>2930</v>
      </c>
      <c r="N121" s="450"/>
      <c r="O121" s="450"/>
      <c r="P121" s="450" t="s">
        <v>2921</v>
      </c>
      <c r="Q121" s="451" t="s">
        <v>374</v>
      </c>
      <c r="R121" s="451" t="s">
        <v>2906</v>
      </c>
      <c r="S121" s="452">
        <v>45541</v>
      </c>
      <c r="T121" s="452"/>
      <c r="U121" s="453"/>
      <c r="V121" s="454"/>
      <c r="W121" s="455" t="s">
        <v>406</v>
      </c>
      <c r="X121" s="455">
        <v>45532</v>
      </c>
      <c r="Y121" s="456" t="s">
        <v>377</v>
      </c>
      <c r="Z121" s="457"/>
      <c r="AA121" s="453"/>
    </row>
    <row r="122" spans="1:27" s="128" customFormat="1" ht="37.5">
      <c r="A122" s="443">
        <v>106</v>
      </c>
      <c r="B122" s="444" t="s">
        <v>3138</v>
      </c>
      <c r="C122" s="445" t="s">
        <v>55</v>
      </c>
      <c r="D122" s="444" t="s">
        <v>3139</v>
      </c>
      <c r="E122" s="446">
        <v>6</v>
      </c>
      <c r="F122" s="447"/>
      <c r="G122" s="448">
        <f t="shared" si="4"/>
        <v>0</v>
      </c>
      <c r="H122" s="450"/>
      <c r="I122" s="444"/>
      <c r="J122" s="450"/>
      <c r="K122" s="444" t="s">
        <v>2918</v>
      </c>
      <c r="L122" s="450" t="s">
        <v>2919</v>
      </c>
      <c r="M122" s="444" t="s">
        <v>2920</v>
      </c>
      <c r="N122" s="450"/>
      <c r="O122" s="450"/>
      <c r="P122" s="450" t="s">
        <v>2921</v>
      </c>
      <c r="Q122" s="451" t="s">
        <v>374</v>
      </c>
      <c r="R122" s="451" t="s">
        <v>2922</v>
      </c>
      <c r="S122" s="452">
        <v>45545</v>
      </c>
      <c r="T122" s="452"/>
      <c r="U122" s="453"/>
      <c r="V122" s="454"/>
      <c r="W122" s="455" t="s">
        <v>406</v>
      </c>
      <c r="X122" s="455">
        <v>45545</v>
      </c>
      <c r="Y122" s="456" t="s">
        <v>377</v>
      </c>
      <c r="Z122" s="457"/>
      <c r="AA122" s="453"/>
    </row>
    <row r="123" spans="1:27" s="128" customFormat="1" ht="37.5">
      <c r="A123" s="443">
        <v>107</v>
      </c>
      <c r="B123" s="444" t="s">
        <v>3140</v>
      </c>
      <c r="C123" s="445" t="s">
        <v>55</v>
      </c>
      <c r="D123" s="444" t="s">
        <v>3141</v>
      </c>
      <c r="E123" s="446">
        <v>3</v>
      </c>
      <c r="F123" s="447"/>
      <c r="G123" s="448">
        <f t="shared" si="4"/>
        <v>0</v>
      </c>
      <c r="H123" s="450"/>
      <c r="I123" s="444"/>
      <c r="J123" s="450"/>
      <c r="K123" s="444" t="s">
        <v>2918</v>
      </c>
      <c r="L123" s="450" t="s">
        <v>2919</v>
      </c>
      <c r="M123" s="444" t="s">
        <v>2966</v>
      </c>
      <c r="N123" s="450"/>
      <c r="O123" s="450"/>
      <c r="P123" s="450" t="s">
        <v>2921</v>
      </c>
      <c r="Q123" s="451" t="s">
        <v>374</v>
      </c>
      <c r="R123" s="451" t="s">
        <v>2967</v>
      </c>
      <c r="S123" s="452">
        <v>45541</v>
      </c>
      <c r="T123" s="452"/>
      <c r="U123" s="453"/>
      <c r="V123" s="454"/>
      <c r="W123" s="455" t="s">
        <v>406</v>
      </c>
      <c r="X123" s="455">
        <v>45538</v>
      </c>
      <c r="Y123" s="456" t="s">
        <v>377</v>
      </c>
      <c r="Z123" s="457"/>
      <c r="AA123" s="453"/>
    </row>
    <row r="124" spans="1:27" s="128" customFormat="1" ht="37.5">
      <c r="A124" s="443">
        <v>108</v>
      </c>
      <c r="B124" s="444" t="s">
        <v>3142</v>
      </c>
      <c r="C124" s="445" t="s">
        <v>55</v>
      </c>
      <c r="D124" s="444" t="s">
        <v>3143</v>
      </c>
      <c r="E124" s="446">
        <v>3</v>
      </c>
      <c r="F124" s="447"/>
      <c r="G124" s="448">
        <f t="shared" si="4"/>
        <v>0</v>
      </c>
      <c r="H124" s="450"/>
      <c r="I124" s="444"/>
      <c r="J124" s="450"/>
      <c r="K124" s="444" t="s">
        <v>2918</v>
      </c>
      <c r="L124" s="450" t="s">
        <v>2919</v>
      </c>
      <c r="M124" s="444" t="s">
        <v>2942</v>
      </c>
      <c r="N124" s="450"/>
      <c r="O124" s="450"/>
      <c r="P124" s="450" t="s">
        <v>2921</v>
      </c>
      <c r="Q124" s="451" t="s">
        <v>374</v>
      </c>
      <c r="R124" s="451" t="s">
        <v>2943</v>
      </c>
      <c r="S124" s="452">
        <v>45541</v>
      </c>
      <c r="T124" s="452"/>
      <c r="U124" s="453"/>
      <c r="V124" s="454"/>
      <c r="W124" s="455" t="s">
        <v>406</v>
      </c>
      <c r="X124" s="455">
        <v>45544</v>
      </c>
      <c r="Y124" s="456" t="s">
        <v>377</v>
      </c>
      <c r="Z124" s="457"/>
      <c r="AA124" s="453"/>
    </row>
    <row r="125" spans="1:27" s="128" customFormat="1" ht="37.5">
      <c r="A125" s="443">
        <v>109</v>
      </c>
      <c r="B125" s="444" t="s">
        <v>3144</v>
      </c>
      <c r="C125" s="445" t="s">
        <v>55</v>
      </c>
      <c r="D125" s="444" t="s">
        <v>3145</v>
      </c>
      <c r="E125" s="446">
        <v>6</v>
      </c>
      <c r="F125" s="447"/>
      <c r="G125" s="448">
        <f t="shared" si="4"/>
        <v>0</v>
      </c>
      <c r="H125" s="450"/>
      <c r="I125" s="444"/>
      <c r="J125" s="450"/>
      <c r="K125" s="444" t="s">
        <v>2918</v>
      </c>
      <c r="L125" s="450" t="s">
        <v>2919</v>
      </c>
      <c r="M125" s="444" t="s">
        <v>2930</v>
      </c>
      <c r="N125" s="450"/>
      <c r="O125" s="450"/>
      <c r="P125" s="450" t="s">
        <v>2921</v>
      </c>
      <c r="Q125" s="451" t="s">
        <v>374</v>
      </c>
      <c r="R125" s="451" t="s">
        <v>2906</v>
      </c>
      <c r="S125" s="452">
        <v>45541</v>
      </c>
      <c r="T125" s="452"/>
      <c r="U125" s="453"/>
      <c r="V125" s="454"/>
      <c r="W125" s="455" t="s">
        <v>406</v>
      </c>
      <c r="X125" s="455">
        <v>45532</v>
      </c>
      <c r="Y125" s="456" t="s">
        <v>377</v>
      </c>
      <c r="Z125" s="457"/>
      <c r="AA125" s="453"/>
    </row>
    <row r="126" spans="1:27" s="128" customFormat="1" ht="37.5">
      <c r="A126" s="443">
        <v>110</v>
      </c>
      <c r="B126" s="444" t="s">
        <v>3146</v>
      </c>
      <c r="C126" s="445" t="s">
        <v>55</v>
      </c>
      <c r="D126" s="444" t="s">
        <v>3147</v>
      </c>
      <c r="E126" s="446">
        <v>6</v>
      </c>
      <c r="F126" s="447"/>
      <c r="G126" s="448">
        <f t="shared" si="4"/>
        <v>0</v>
      </c>
      <c r="H126" s="450"/>
      <c r="I126" s="444"/>
      <c r="J126" s="450"/>
      <c r="K126" s="444" t="s">
        <v>2918</v>
      </c>
      <c r="L126" s="450" t="s">
        <v>2919</v>
      </c>
      <c r="M126" s="444" t="s">
        <v>2942</v>
      </c>
      <c r="N126" s="450"/>
      <c r="O126" s="450"/>
      <c r="P126" s="450" t="s">
        <v>2921</v>
      </c>
      <c r="Q126" s="451" t="s">
        <v>374</v>
      </c>
      <c r="R126" s="451" t="s">
        <v>2943</v>
      </c>
      <c r="S126" s="452">
        <v>45541</v>
      </c>
      <c r="T126" s="452"/>
      <c r="U126" s="453"/>
      <c r="V126" s="454"/>
      <c r="W126" s="455" t="s">
        <v>406</v>
      </c>
      <c r="X126" s="455">
        <v>45544</v>
      </c>
      <c r="Y126" s="456" t="s">
        <v>377</v>
      </c>
      <c r="Z126" s="457"/>
      <c r="AA126" s="453"/>
    </row>
    <row r="127" spans="1:27" s="128" customFormat="1" ht="37.5">
      <c r="A127" s="443">
        <v>111</v>
      </c>
      <c r="B127" s="444" t="s">
        <v>3148</v>
      </c>
      <c r="C127" s="445" t="s">
        <v>55</v>
      </c>
      <c r="D127" s="444" t="s">
        <v>3149</v>
      </c>
      <c r="E127" s="446">
        <v>12</v>
      </c>
      <c r="F127" s="447"/>
      <c r="G127" s="448">
        <f t="shared" si="4"/>
        <v>0</v>
      </c>
      <c r="H127" s="450"/>
      <c r="I127" s="444"/>
      <c r="J127" s="450"/>
      <c r="K127" s="444" t="s">
        <v>2918</v>
      </c>
      <c r="L127" s="450" t="s">
        <v>2919</v>
      </c>
      <c r="M127" s="444" t="s">
        <v>2966</v>
      </c>
      <c r="N127" s="450"/>
      <c r="O127" s="450"/>
      <c r="P127" s="450" t="s">
        <v>2921</v>
      </c>
      <c r="Q127" s="451" t="s">
        <v>374</v>
      </c>
      <c r="R127" s="451" t="s">
        <v>2967</v>
      </c>
      <c r="S127" s="452">
        <v>45541</v>
      </c>
      <c r="T127" s="452"/>
      <c r="U127" s="453"/>
      <c r="V127" s="454"/>
      <c r="W127" s="455" t="s">
        <v>406</v>
      </c>
      <c r="X127" s="455">
        <v>45538</v>
      </c>
      <c r="Y127" s="456" t="s">
        <v>377</v>
      </c>
      <c r="Z127" s="457"/>
      <c r="AA127" s="453"/>
    </row>
    <row r="128" spans="1:27" s="128" customFormat="1" ht="37.5">
      <c r="A128" s="443">
        <v>112</v>
      </c>
      <c r="B128" s="444" t="s">
        <v>3150</v>
      </c>
      <c r="C128" s="445" t="s">
        <v>55</v>
      </c>
      <c r="D128" s="444" t="s">
        <v>3151</v>
      </c>
      <c r="E128" s="446">
        <v>6</v>
      </c>
      <c r="F128" s="447"/>
      <c r="G128" s="448">
        <f t="shared" si="4"/>
        <v>0</v>
      </c>
      <c r="H128" s="450"/>
      <c r="I128" s="444"/>
      <c r="J128" s="450"/>
      <c r="K128" s="444" t="s">
        <v>2918</v>
      </c>
      <c r="L128" s="450" t="s">
        <v>2919</v>
      </c>
      <c r="M128" s="444" t="s">
        <v>3102</v>
      </c>
      <c r="N128" s="450"/>
      <c r="O128" s="450"/>
      <c r="P128" s="450" t="s">
        <v>2921</v>
      </c>
      <c r="Q128" s="451" t="s">
        <v>374</v>
      </c>
      <c r="R128" s="451" t="s">
        <v>3103</v>
      </c>
      <c r="S128" s="452">
        <v>45541</v>
      </c>
      <c r="T128" s="452"/>
      <c r="U128" s="453"/>
      <c r="V128" s="454"/>
      <c r="W128" s="455" t="s">
        <v>376</v>
      </c>
      <c r="X128" s="455">
        <v>45546</v>
      </c>
      <c r="Y128" s="456" t="s">
        <v>377</v>
      </c>
      <c r="Z128" s="457"/>
      <c r="AA128" s="453"/>
    </row>
    <row r="129" spans="1:27" s="128" customFormat="1" ht="37.5">
      <c r="A129" s="443">
        <v>113</v>
      </c>
      <c r="B129" s="444" t="s">
        <v>3152</v>
      </c>
      <c r="C129" s="445" t="s">
        <v>55</v>
      </c>
      <c r="D129" s="444" t="s">
        <v>3153</v>
      </c>
      <c r="E129" s="446">
        <v>3</v>
      </c>
      <c r="F129" s="447"/>
      <c r="G129" s="448">
        <f t="shared" si="4"/>
        <v>0</v>
      </c>
      <c r="H129" s="450"/>
      <c r="I129" s="444"/>
      <c r="J129" s="450"/>
      <c r="K129" s="444" t="s">
        <v>2918</v>
      </c>
      <c r="L129" s="450" t="s">
        <v>2919</v>
      </c>
      <c r="M129" s="444" t="s">
        <v>2966</v>
      </c>
      <c r="N129" s="450"/>
      <c r="O129" s="450"/>
      <c r="P129" s="450" t="s">
        <v>2921</v>
      </c>
      <c r="Q129" s="451" t="s">
        <v>374</v>
      </c>
      <c r="R129" s="451" t="s">
        <v>2967</v>
      </c>
      <c r="S129" s="452">
        <v>45541</v>
      </c>
      <c r="T129" s="452"/>
      <c r="U129" s="453"/>
      <c r="V129" s="454"/>
      <c r="W129" s="455" t="s">
        <v>406</v>
      </c>
      <c r="X129" s="455">
        <v>45538</v>
      </c>
      <c r="Y129" s="456" t="s">
        <v>377</v>
      </c>
      <c r="Z129" s="457"/>
      <c r="AA129" s="453"/>
    </row>
    <row r="130" spans="1:27" s="128" customFormat="1" ht="37.5">
      <c r="A130" s="443">
        <v>114</v>
      </c>
      <c r="B130" s="444" t="s">
        <v>3154</v>
      </c>
      <c r="C130" s="445" t="s">
        <v>55</v>
      </c>
      <c r="D130" s="444" t="s">
        <v>3155</v>
      </c>
      <c r="E130" s="446">
        <v>6</v>
      </c>
      <c r="F130" s="447"/>
      <c r="G130" s="448">
        <f t="shared" si="4"/>
        <v>0</v>
      </c>
      <c r="H130" s="450"/>
      <c r="I130" s="444"/>
      <c r="J130" s="450"/>
      <c r="K130" s="444" t="s">
        <v>2918</v>
      </c>
      <c r="L130" s="450" t="s">
        <v>2919</v>
      </c>
      <c r="M130" s="444" t="s">
        <v>2966</v>
      </c>
      <c r="N130" s="450"/>
      <c r="O130" s="450"/>
      <c r="P130" s="450" t="s">
        <v>2921</v>
      </c>
      <c r="Q130" s="451" t="s">
        <v>374</v>
      </c>
      <c r="R130" s="451" t="s">
        <v>2967</v>
      </c>
      <c r="S130" s="452">
        <v>45541</v>
      </c>
      <c r="T130" s="452"/>
      <c r="U130" s="453"/>
      <c r="V130" s="454"/>
      <c r="W130" s="455" t="s">
        <v>406</v>
      </c>
      <c r="X130" s="455">
        <v>45538</v>
      </c>
      <c r="Y130" s="456" t="s">
        <v>377</v>
      </c>
      <c r="Z130" s="457"/>
      <c r="AA130" s="453"/>
    </row>
    <row r="131" spans="1:27" s="128" customFormat="1" ht="37.5">
      <c r="A131" s="443">
        <v>115</v>
      </c>
      <c r="B131" s="444" t="s">
        <v>3156</v>
      </c>
      <c r="C131" s="445" t="s">
        <v>55</v>
      </c>
      <c r="D131" s="444" t="s">
        <v>3157</v>
      </c>
      <c r="E131" s="446">
        <v>3</v>
      </c>
      <c r="F131" s="447"/>
      <c r="G131" s="448">
        <f t="shared" si="4"/>
        <v>0</v>
      </c>
      <c r="H131" s="450"/>
      <c r="I131" s="444"/>
      <c r="J131" s="450"/>
      <c r="K131" s="444" t="s">
        <v>2918</v>
      </c>
      <c r="L131" s="450" t="s">
        <v>2919</v>
      </c>
      <c r="M131" s="444" t="s">
        <v>2920</v>
      </c>
      <c r="N131" s="450"/>
      <c r="O131" s="450"/>
      <c r="P131" s="450" t="s">
        <v>2921</v>
      </c>
      <c r="Q131" s="451" t="s">
        <v>374</v>
      </c>
      <c r="R131" s="451" t="s">
        <v>2922</v>
      </c>
      <c r="S131" s="452">
        <v>45545</v>
      </c>
      <c r="T131" s="452"/>
      <c r="U131" s="453"/>
      <c r="V131" s="454"/>
      <c r="W131" s="455" t="s">
        <v>406</v>
      </c>
      <c r="X131" s="455">
        <v>45545</v>
      </c>
      <c r="Y131" s="456" t="s">
        <v>377</v>
      </c>
      <c r="Z131" s="457"/>
      <c r="AA131" s="453"/>
    </row>
    <row r="132" spans="1:27" s="128" customFormat="1" ht="37.5">
      <c r="A132" s="443">
        <v>116</v>
      </c>
      <c r="B132" s="444" t="s">
        <v>3158</v>
      </c>
      <c r="C132" s="445" t="s">
        <v>55</v>
      </c>
      <c r="D132" s="444" t="s">
        <v>3159</v>
      </c>
      <c r="E132" s="446">
        <v>6</v>
      </c>
      <c r="F132" s="447"/>
      <c r="G132" s="448">
        <f t="shared" si="4"/>
        <v>0</v>
      </c>
      <c r="H132" s="450"/>
      <c r="I132" s="444"/>
      <c r="J132" s="450"/>
      <c r="K132" s="444" t="s">
        <v>2918</v>
      </c>
      <c r="L132" s="450" t="s">
        <v>2919</v>
      </c>
      <c r="M132" s="444" t="s">
        <v>2966</v>
      </c>
      <c r="N132" s="450"/>
      <c r="O132" s="450"/>
      <c r="P132" s="450" t="s">
        <v>2921</v>
      </c>
      <c r="Q132" s="451" t="s">
        <v>374</v>
      </c>
      <c r="R132" s="451" t="s">
        <v>2967</v>
      </c>
      <c r="S132" s="452">
        <v>45541</v>
      </c>
      <c r="T132" s="452"/>
      <c r="U132" s="453"/>
      <c r="V132" s="454"/>
      <c r="W132" s="455" t="s">
        <v>406</v>
      </c>
      <c r="X132" s="455">
        <v>45538</v>
      </c>
      <c r="Y132" s="456" t="s">
        <v>377</v>
      </c>
      <c r="Z132" s="457"/>
      <c r="AA132" s="453"/>
    </row>
    <row r="133" spans="1:27" s="128" customFormat="1" ht="37.5">
      <c r="A133" s="443">
        <v>117</v>
      </c>
      <c r="B133" s="444" t="s">
        <v>3160</v>
      </c>
      <c r="C133" s="445" t="s">
        <v>55</v>
      </c>
      <c r="D133" s="444" t="s">
        <v>3161</v>
      </c>
      <c r="E133" s="446">
        <v>6</v>
      </c>
      <c r="F133" s="447"/>
      <c r="G133" s="448">
        <f t="shared" si="4"/>
        <v>0</v>
      </c>
      <c r="H133" s="450"/>
      <c r="I133" s="444"/>
      <c r="J133" s="450"/>
      <c r="K133" s="444" t="s">
        <v>2918</v>
      </c>
      <c r="L133" s="450" t="s">
        <v>2919</v>
      </c>
      <c r="M133" s="444" t="s">
        <v>2930</v>
      </c>
      <c r="N133" s="450"/>
      <c r="O133" s="450"/>
      <c r="P133" s="450" t="s">
        <v>2921</v>
      </c>
      <c r="Q133" s="451" t="s">
        <v>374</v>
      </c>
      <c r="R133" s="451" t="s">
        <v>2906</v>
      </c>
      <c r="S133" s="452">
        <v>45541</v>
      </c>
      <c r="T133" s="452"/>
      <c r="U133" s="453"/>
      <c r="V133" s="454"/>
      <c r="W133" s="455" t="s">
        <v>406</v>
      </c>
      <c r="X133" s="455">
        <v>45532</v>
      </c>
      <c r="Y133" s="456" t="s">
        <v>377</v>
      </c>
      <c r="Z133" s="457"/>
      <c r="AA133" s="453"/>
    </row>
    <row r="134" spans="1:27" s="128" customFormat="1" ht="37.5">
      <c r="A134" s="443">
        <v>118</v>
      </c>
      <c r="B134" s="444" t="s">
        <v>3162</v>
      </c>
      <c r="C134" s="445" t="s">
        <v>55</v>
      </c>
      <c r="D134" s="444" t="s">
        <v>3163</v>
      </c>
      <c r="E134" s="446">
        <v>3</v>
      </c>
      <c r="F134" s="447"/>
      <c r="G134" s="448">
        <f t="shared" si="4"/>
        <v>0</v>
      </c>
      <c r="H134" s="450"/>
      <c r="I134" s="444"/>
      <c r="J134" s="450"/>
      <c r="K134" s="444" t="s">
        <v>2918</v>
      </c>
      <c r="L134" s="450" t="s">
        <v>2919</v>
      </c>
      <c r="M134" s="444" t="s">
        <v>2930</v>
      </c>
      <c r="N134" s="450"/>
      <c r="O134" s="450"/>
      <c r="P134" s="450" t="s">
        <v>2921</v>
      </c>
      <c r="Q134" s="451" t="s">
        <v>374</v>
      </c>
      <c r="R134" s="451" t="s">
        <v>2906</v>
      </c>
      <c r="S134" s="452">
        <v>45541</v>
      </c>
      <c r="T134" s="452"/>
      <c r="U134" s="453"/>
      <c r="V134" s="454"/>
      <c r="W134" s="455" t="s">
        <v>406</v>
      </c>
      <c r="X134" s="455">
        <v>45532</v>
      </c>
      <c r="Y134" s="456" t="s">
        <v>377</v>
      </c>
      <c r="Z134" s="457"/>
      <c r="AA134" s="453"/>
    </row>
    <row r="135" spans="1:27" s="128" customFormat="1" ht="37.5">
      <c r="A135" s="443">
        <v>119</v>
      </c>
      <c r="B135" s="444" t="s">
        <v>3164</v>
      </c>
      <c r="C135" s="445" t="s">
        <v>55</v>
      </c>
      <c r="D135" s="444" t="s">
        <v>3165</v>
      </c>
      <c r="E135" s="446">
        <v>3</v>
      </c>
      <c r="F135" s="447"/>
      <c r="G135" s="448">
        <f t="shared" si="4"/>
        <v>0</v>
      </c>
      <c r="H135" s="450"/>
      <c r="I135" s="444"/>
      <c r="J135" s="450"/>
      <c r="K135" s="444" t="s">
        <v>2918</v>
      </c>
      <c r="L135" s="450" t="s">
        <v>2919</v>
      </c>
      <c r="M135" s="444" t="s">
        <v>2920</v>
      </c>
      <c r="N135" s="450"/>
      <c r="O135" s="450"/>
      <c r="P135" s="450" t="s">
        <v>2921</v>
      </c>
      <c r="Q135" s="451" t="s">
        <v>374</v>
      </c>
      <c r="R135" s="451" t="s">
        <v>2922</v>
      </c>
      <c r="S135" s="452">
        <v>45545</v>
      </c>
      <c r="T135" s="452"/>
      <c r="U135" s="453"/>
      <c r="V135" s="454"/>
      <c r="W135" s="455" t="s">
        <v>406</v>
      </c>
      <c r="X135" s="455">
        <v>45545</v>
      </c>
      <c r="Y135" s="456" t="s">
        <v>377</v>
      </c>
      <c r="Z135" s="457"/>
      <c r="AA135" s="453"/>
    </row>
    <row r="136" spans="1:27" s="128" customFormat="1" ht="37.5">
      <c r="A136" s="443">
        <v>120</v>
      </c>
      <c r="B136" s="444" t="s">
        <v>3166</v>
      </c>
      <c r="C136" s="445" t="s">
        <v>55</v>
      </c>
      <c r="D136" s="444" t="s">
        <v>3167</v>
      </c>
      <c r="E136" s="446">
        <v>6</v>
      </c>
      <c r="F136" s="447"/>
      <c r="G136" s="448">
        <f t="shared" si="4"/>
        <v>0</v>
      </c>
      <c r="H136" s="450"/>
      <c r="I136" s="444"/>
      <c r="J136" s="450"/>
      <c r="K136" s="444" t="s">
        <v>2918</v>
      </c>
      <c r="L136" s="450" t="s">
        <v>2919</v>
      </c>
      <c r="M136" s="444" t="s">
        <v>2942</v>
      </c>
      <c r="N136" s="450"/>
      <c r="O136" s="450"/>
      <c r="P136" s="450" t="s">
        <v>2921</v>
      </c>
      <c r="Q136" s="451" t="s">
        <v>374</v>
      </c>
      <c r="R136" s="451" t="s">
        <v>2943</v>
      </c>
      <c r="S136" s="452">
        <v>45541</v>
      </c>
      <c r="T136" s="452"/>
      <c r="U136" s="453"/>
      <c r="V136" s="454"/>
      <c r="W136" s="455" t="s">
        <v>406</v>
      </c>
      <c r="X136" s="455">
        <v>45544</v>
      </c>
      <c r="Y136" s="456" t="s">
        <v>377</v>
      </c>
      <c r="Z136" s="457"/>
      <c r="AA136" s="453"/>
    </row>
    <row r="137" spans="1:27" s="128" customFormat="1" ht="37.5">
      <c r="A137" s="443">
        <v>121</v>
      </c>
      <c r="B137" s="444" t="s">
        <v>3168</v>
      </c>
      <c r="C137" s="445" t="s">
        <v>55</v>
      </c>
      <c r="D137" s="444" t="s">
        <v>3169</v>
      </c>
      <c r="E137" s="446">
        <v>3</v>
      </c>
      <c r="F137" s="447"/>
      <c r="G137" s="448">
        <f t="shared" si="4"/>
        <v>0</v>
      </c>
      <c r="H137" s="450"/>
      <c r="I137" s="444"/>
      <c r="J137" s="450"/>
      <c r="K137" s="444" t="s">
        <v>2918</v>
      </c>
      <c r="L137" s="450" t="s">
        <v>2919</v>
      </c>
      <c r="M137" s="444" t="s">
        <v>2920</v>
      </c>
      <c r="N137" s="450"/>
      <c r="O137" s="450"/>
      <c r="P137" s="450" t="s">
        <v>2921</v>
      </c>
      <c r="Q137" s="451" t="s">
        <v>374</v>
      </c>
      <c r="R137" s="451" t="s">
        <v>2922</v>
      </c>
      <c r="S137" s="452">
        <v>45555</v>
      </c>
      <c r="T137" s="452"/>
      <c r="U137" s="453"/>
      <c r="V137" s="454"/>
      <c r="W137" s="455" t="s">
        <v>406</v>
      </c>
      <c r="X137" s="455">
        <v>45552</v>
      </c>
      <c r="Y137" s="456" t="s">
        <v>377</v>
      </c>
      <c r="Z137" s="457"/>
      <c r="AA137" s="453"/>
    </row>
    <row r="138" spans="1:27" s="128" customFormat="1" ht="37.5">
      <c r="A138" s="443">
        <v>122</v>
      </c>
      <c r="B138" s="444" t="s">
        <v>3170</v>
      </c>
      <c r="C138" s="445" t="s">
        <v>55</v>
      </c>
      <c r="D138" s="444" t="s">
        <v>3171</v>
      </c>
      <c r="E138" s="446">
        <v>3</v>
      </c>
      <c r="F138" s="447"/>
      <c r="G138" s="448">
        <f t="shared" si="4"/>
        <v>0</v>
      </c>
      <c r="H138" s="450"/>
      <c r="I138" s="444"/>
      <c r="J138" s="450"/>
      <c r="K138" s="444" t="s">
        <v>2918</v>
      </c>
      <c r="L138" s="450" t="s">
        <v>2919</v>
      </c>
      <c r="M138" s="444" t="s">
        <v>2930</v>
      </c>
      <c r="N138" s="450"/>
      <c r="O138" s="450"/>
      <c r="P138" s="450" t="s">
        <v>2921</v>
      </c>
      <c r="Q138" s="451" t="s">
        <v>374</v>
      </c>
      <c r="R138" s="451" t="s">
        <v>2906</v>
      </c>
      <c r="S138" s="452">
        <v>45541</v>
      </c>
      <c r="T138" s="452"/>
      <c r="U138" s="453"/>
      <c r="V138" s="454"/>
      <c r="W138" s="455" t="s">
        <v>406</v>
      </c>
      <c r="X138" s="455">
        <v>45538</v>
      </c>
      <c r="Y138" s="456" t="s">
        <v>377</v>
      </c>
      <c r="Z138" s="457"/>
      <c r="AA138" s="453"/>
    </row>
    <row r="139" spans="1:27" s="128" customFormat="1" ht="37.5">
      <c r="A139" s="443">
        <v>123</v>
      </c>
      <c r="B139" s="444" t="s">
        <v>3172</v>
      </c>
      <c r="C139" s="445" t="s">
        <v>55</v>
      </c>
      <c r="D139" s="444" t="s">
        <v>3173</v>
      </c>
      <c r="E139" s="446">
        <v>3</v>
      </c>
      <c r="F139" s="447"/>
      <c r="G139" s="448">
        <f t="shared" si="4"/>
        <v>0</v>
      </c>
      <c r="H139" s="450"/>
      <c r="I139" s="444"/>
      <c r="J139" s="450"/>
      <c r="K139" s="444" t="s">
        <v>2918</v>
      </c>
      <c r="L139" s="450" t="s">
        <v>2919</v>
      </c>
      <c r="M139" s="444" t="s">
        <v>2920</v>
      </c>
      <c r="N139" s="450"/>
      <c r="O139" s="450"/>
      <c r="P139" s="450" t="s">
        <v>2921</v>
      </c>
      <c r="Q139" s="451" t="s">
        <v>374</v>
      </c>
      <c r="R139" s="451" t="s">
        <v>2922</v>
      </c>
      <c r="S139" s="452">
        <v>45545</v>
      </c>
      <c r="T139" s="452"/>
      <c r="U139" s="453"/>
      <c r="V139" s="454"/>
      <c r="W139" s="455" t="s">
        <v>406</v>
      </c>
      <c r="X139" s="455">
        <v>45545</v>
      </c>
      <c r="Y139" s="456" t="s">
        <v>377</v>
      </c>
      <c r="Z139" s="457"/>
      <c r="AA139" s="453"/>
    </row>
    <row r="140" spans="1:27" s="128" customFormat="1" ht="37.5">
      <c r="A140" s="443">
        <v>124</v>
      </c>
      <c r="B140" s="444" t="s">
        <v>3174</v>
      </c>
      <c r="C140" s="445" t="s">
        <v>55</v>
      </c>
      <c r="D140" s="444" t="s">
        <v>3175</v>
      </c>
      <c r="E140" s="446">
        <v>3</v>
      </c>
      <c r="F140" s="447"/>
      <c r="G140" s="448">
        <f t="shared" si="4"/>
        <v>0</v>
      </c>
      <c r="H140" s="450"/>
      <c r="I140" s="444"/>
      <c r="J140" s="450"/>
      <c r="K140" s="444" t="s">
        <v>2918</v>
      </c>
      <c r="L140" s="450" t="s">
        <v>2919</v>
      </c>
      <c r="M140" s="444" t="s">
        <v>2956</v>
      </c>
      <c r="N140" s="450"/>
      <c r="O140" s="450"/>
      <c r="P140" s="450" t="s">
        <v>2921</v>
      </c>
      <c r="Q140" s="451" t="s">
        <v>374</v>
      </c>
      <c r="R140" s="451" t="s">
        <v>2957</v>
      </c>
      <c r="S140" s="452">
        <v>45544</v>
      </c>
      <c r="T140" s="452"/>
      <c r="U140" s="453"/>
      <c r="V140" s="454"/>
      <c r="W140" s="455" t="s">
        <v>376</v>
      </c>
      <c r="X140" s="455">
        <v>45546</v>
      </c>
      <c r="Y140" s="456" t="s">
        <v>377</v>
      </c>
      <c r="Z140" s="457"/>
      <c r="AA140" s="453"/>
    </row>
    <row r="141" spans="1:27" s="128" customFormat="1" ht="37.5">
      <c r="A141" s="443">
        <v>125</v>
      </c>
      <c r="B141" s="444" t="s">
        <v>3176</v>
      </c>
      <c r="C141" s="445" t="s">
        <v>55</v>
      </c>
      <c r="D141" s="444" t="s">
        <v>3177</v>
      </c>
      <c r="E141" s="446">
        <v>3</v>
      </c>
      <c r="F141" s="447"/>
      <c r="G141" s="448">
        <f t="shared" si="4"/>
        <v>0</v>
      </c>
      <c r="H141" s="450"/>
      <c r="I141" s="444"/>
      <c r="J141" s="450"/>
      <c r="K141" s="444" t="s">
        <v>2918</v>
      </c>
      <c r="L141" s="450" t="s">
        <v>2919</v>
      </c>
      <c r="M141" s="444" t="s">
        <v>2920</v>
      </c>
      <c r="N141" s="450"/>
      <c r="O141" s="450"/>
      <c r="P141" s="450" t="s">
        <v>2921</v>
      </c>
      <c r="Q141" s="451" t="s">
        <v>374</v>
      </c>
      <c r="R141" s="451" t="s">
        <v>2922</v>
      </c>
      <c r="S141" s="452">
        <v>45545</v>
      </c>
      <c r="T141" s="452"/>
      <c r="U141" s="453"/>
      <c r="V141" s="454"/>
      <c r="W141" s="455" t="s">
        <v>406</v>
      </c>
      <c r="X141" s="455">
        <v>45545</v>
      </c>
      <c r="Y141" s="456" t="s">
        <v>377</v>
      </c>
      <c r="Z141" s="457"/>
      <c r="AA141" s="453"/>
    </row>
    <row r="142" spans="1:27" s="128" customFormat="1" ht="37.5">
      <c r="A142" s="443">
        <v>126</v>
      </c>
      <c r="B142" s="444" t="s">
        <v>3178</v>
      </c>
      <c r="C142" s="445" t="s">
        <v>55</v>
      </c>
      <c r="D142" s="444" t="s">
        <v>3179</v>
      </c>
      <c r="E142" s="446">
        <v>3</v>
      </c>
      <c r="F142" s="447"/>
      <c r="G142" s="448">
        <f t="shared" si="4"/>
        <v>0</v>
      </c>
      <c r="H142" s="450"/>
      <c r="I142" s="444"/>
      <c r="J142" s="450"/>
      <c r="K142" s="444" t="s">
        <v>2918</v>
      </c>
      <c r="L142" s="450" t="s">
        <v>2919</v>
      </c>
      <c r="M142" s="444" t="s">
        <v>2920</v>
      </c>
      <c r="N142" s="450"/>
      <c r="O142" s="450"/>
      <c r="P142" s="450" t="s">
        <v>2921</v>
      </c>
      <c r="Q142" s="451" t="s">
        <v>374</v>
      </c>
      <c r="R142" s="451" t="s">
        <v>2922</v>
      </c>
      <c r="S142" s="452">
        <v>45545</v>
      </c>
      <c r="T142" s="452"/>
      <c r="U142" s="453"/>
      <c r="V142" s="454"/>
      <c r="W142" s="455" t="s">
        <v>406</v>
      </c>
      <c r="X142" s="455">
        <v>45552</v>
      </c>
      <c r="Y142" s="456" t="s">
        <v>377</v>
      </c>
      <c r="Z142" s="457"/>
      <c r="AA142" s="453"/>
    </row>
    <row r="143" spans="1:27" s="128" customFormat="1" ht="37.5">
      <c r="A143" s="443">
        <v>127</v>
      </c>
      <c r="B143" s="444" t="s">
        <v>3180</v>
      </c>
      <c r="C143" s="445" t="s">
        <v>55</v>
      </c>
      <c r="D143" s="444" t="s">
        <v>3181</v>
      </c>
      <c r="E143" s="446">
        <v>3</v>
      </c>
      <c r="F143" s="447"/>
      <c r="G143" s="448">
        <f t="shared" si="4"/>
        <v>0</v>
      </c>
      <c r="H143" s="450"/>
      <c r="I143" s="444"/>
      <c r="J143" s="450"/>
      <c r="K143" s="444" t="s">
        <v>2918</v>
      </c>
      <c r="L143" s="450" t="s">
        <v>2919</v>
      </c>
      <c r="M143" s="444" t="s">
        <v>2966</v>
      </c>
      <c r="N143" s="450"/>
      <c r="O143" s="450"/>
      <c r="P143" s="450" t="s">
        <v>2921</v>
      </c>
      <c r="Q143" s="451" t="s">
        <v>374</v>
      </c>
      <c r="R143" s="451" t="s">
        <v>2967</v>
      </c>
      <c r="S143" s="452">
        <v>45541</v>
      </c>
      <c r="T143" s="452"/>
      <c r="U143" s="453"/>
      <c r="V143" s="454"/>
      <c r="W143" s="455" t="s">
        <v>406</v>
      </c>
      <c r="X143" s="455">
        <v>45538</v>
      </c>
      <c r="Y143" s="456" t="s">
        <v>377</v>
      </c>
      <c r="Z143" s="457"/>
      <c r="AA143" s="453"/>
    </row>
    <row r="144" spans="1:27" s="128" customFormat="1" ht="37.5">
      <c r="A144" s="443">
        <v>128</v>
      </c>
      <c r="B144" s="444" t="s">
        <v>3182</v>
      </c>
      <c r="C144" s="445" t="s">
        <v>55</v>
      </c>
      <c r="D144" s="444" t="s">
        <v>3183</v>
      </c>
      <c r="E144" s="446">
        <v>6</v>
      </c>
      <c r="F144" s="447"/>
      <c r="G144" s="448">
        <f t="shared" si="4"/>
        <v>0</v>
      </c>
      <c r="H144" s="450"/>
      <c r="I144" s="444"/>
      <c r="J144" s="450"/>
      <c r="K144" s="444" t="s">
        <v>2918</v>
      </c>
      <c r="L144" s="450" t="s">
        <v>2919</v>
      </c>
      <c r="M144" s="444" t="s">
        <v>2920</v>
      </c>
      <c r="N144" s="450"/>
      <c r="O144" s="450"/>
      <c r="P144" s="450" t="s">
        <v>2921</v>
      </c>
      <c r="Q144" s="451" t="s">
        <v>374</v>
      </c>
      <c r="R144" s="451" t="s">
        <v>2922</v>
      </c>
      <c r="S144" s="452">
        <v>45545</v>
      </c>
      <c r="T144" s="452"/>
      <c r="U144" s="453"/>
      <c r="V144" s="454"/>
      <c r="W144" s="455" t="s">
        <v>406</v>
      </c>
      <c r="X144" s="455">
        <v>45545</v>
      </c>
      <c r="Y144" s="456" t="s">
        <v>377</v>
      </c>
      <c r="Z144" s="457"/>
      <c r="AA144" s="453"/>
    </row>
    <row r="145" spans="1:27" s="128" customFormat="1" ht="37.5">
      <c r="A145" s="443">
        <v>129</v>
      </c>
      <c r="B145" s="444" t="s">
        <v>3184</v>
      </c>
      <c r="C145" s="445" t="s">
        <v>55</v>
      </c>
      <c r="D145" s="444" t="s">
        <v>3185</v>
      </c>
      <c r="E145" s="446">
        <v>6</v>
      </c>
      <c r="F145" s="447"/>
      <c r="G145" s="448">
        <f t="shared" ref="G145:G175" si="5">E145*F145</f>
        <v>0</v>
      </c>
      <c r="H145" s="450"/>
      <c r="I145" s="444"/>
      <c r="J145" s="450"/>
      <c r="K145" s="444" t="s">
        <v>2918</v>
      </c>
      <c r="L145" s="450" t="s">
        <v>2919</v>
      </c>
      <c r="M145" s="444" t="s">
        <v>2942</v>
      </c>
      <c r="N145" s="450"/>
      <c r="O145" s="450"/>
      <c r="P145" s="450" t="s">
        <v>2921</v>
      </c>
      <c r="Q145" s="451" t="s">
        <v>374</v>
      </c>
      <c r="R145" s="451" t="s">
        <v>2943</v>
      </c>
      <c r="S145" s="452">
        <v>45590</v>
      </c>
      <c r="T145" s="452"/>
      <c r="U145" s="453"/>
      <c r="V145" s="454"/>
      <c r="W145" s="455" t="s">
        <v>376</v>
      </c>
      <c r="X145" s="455">
        <v>45559</v>
      </c>
      <c r="Y145" s="456" t="s">
        <v>377</v>
      </c>
      <c r="Z145" s="457"/>
      <c r="AA145" s="453"/>
    </row>
    <row r="146" spans="1:27" s="128" customFormat="1" ht="37.5">
      <c r="A146" s="443">
        <v>130</v>
      </c>
      <c r="B146" s="444" t="s">
        <v>3186</v>
      </c>
      <c r="C146" s="445" t="s">
        <v>55</v>
      </c>
      <c r="D146" s="444" t="s">
        <v>3187</v>
      </c>
      <c r="E146" s="446">
        <v>6</v>
      </c>
      <c r="F146" s="447"/>
      <c r="G146" s="448">
        <f t="shared" si="5"/>
        <v>0</v>
      </c>
      <c r="H146" s="450"/>
      <c r="I146" s="444"/>
      <c r="J146" s="450"/>
      <c r="K146" s="444" t="s">
        <v>2918</v>
      </c>
      <c r="L146" s="450" t="s">
        <v>2919</v>
      </c>
      <c r="M146" s="444" t="s">
        <v>2942</v>
      </c>
      <c r="N146" s="450"/>
      <c r="O146" s="450"/>
      <c r="P146" s="450" t="s">
        <v>2921</v>
      </c>
      <c r="Q146" s="451" t="s">
        <v>374</v>
      </c>
      <c r="R146" s="451" t="s">
        <v>2943</v>
      </c>
      <c r="S146" s="452">
        <v>45590</v>
      </c>
      <c r="T146" s="452"/>
      <c r="U146" s="453"/>
      <c r="V146" s="454"/>
      <c r="W146" s="455" t="s">
        <v>376</v>
      </c>
      <c r="X146" s="455">
        <v>45558</v>
      </c>
      <c r="Y146" s="456" t="s">
        <v>377</v>
      </c>
      <c r="Z146" s="457"/>
      <c r="AA146" s="453"/>
    </row>
    <row r="147" spans="1:27" s="128" customFormat="1" ht="37.5">
      <c r="A147" s="443">
        <v>131</v>
      </c>
      <c r="B147" s="444" t="s">
        <v>3188</v>
      </c>
      <c r="C147" s="445" t="s">
        <v>55</v>
      </c>
      <c r="D147" s="444" t="s">
        <v>3189</v>
      </c>
      <c r="E147" s="446">
        <v>3</v>
      </c>
      <c r="F147" s="447"/>
      <c r="G147" s="448">
        <f t="shared" si="5"/>
        <v>0</v>
      </c>
      <c r="H147" s="450"/>
      <c r="I147" s="444"/>
      <c r="J147" s="450"/>
      <c r="K147" s="444" t="s">
        <v>2918</v>
      </c>
      <c r="L147" s="450" t="s">
        <v>2919</v>
      </c>
      <c r="M147" s="444" t="s">
        <v>3190</v>
      </c>
      <c r="N147" s="450"/>
      <c r="O147" s="450"/>
      <c r="P147" s="450" t="s">
        <v>2921</v>
      </c>
      <c r="Q147" s="451" t="s">
        <v>374</v>
      </c>
      <c r="R147" s="451" t="s">
        <v>3191</v>
      </c>
      <c r="S147" s="452">
        <v>45570</v>
      </c>
      <c r="T147" s="452"/>
      <c r="U147" s="453"/>
      <c r="V147" s="454"/>
      <c r="W147" s="455" t="s">
        <v>376</v>
      </c>
      <c r="X147" s="455">
        <v>45558</v>
      </c>
      <c r="Y147" s="456" t="s">
        <v>377</v>
      </c>
      <c r="Z147" s="457"/>
      <c r="AA147" s="453"/>
    </row>
    <row r="148" spans="1:27" s="128" customFormat="1" ht="37.5">
      <c r="A148" s="443">
        <v>132</v>
      </c>
      <c r="B148" s="444" t="s">
        <v>3192</v>
      </c>
      <c r="C148" s="445" t="s">
        <v>55</v>
      </c>
      <c r="D148" s="444" t="s">
        <v>3193</v>
      </c>
      <c r="E148" s="446">
        <v>3</v>
      </c>
      <c r="F148" s="447"/>
      <c r="G148" s="448">
        <f t="shared" si="5"/>
        <v>0</v>
      </c>
      <c r="H148" s="450"/>
      <c r="I148" s="444"/>
      <c r="J148" s="450"/>
      <c r="K148" s="444" t="s">
        <v>2918</v>
      </c>
      <c r="L148" s="450" t="s">
        <v>2919</v>
      </c>
      <c r="M148" s="444" t="s">
        <v>3190</v>
      </c>
      <c r="N148" s="450"/>
      <c r="O148" s="450"/>
      <c r="P148" s="450" t="s">
        <v>2921</v>
      </c>
      <c r="Q148" s="451" t="s">
        <v>374</v>
      </c>
      <c r="R148" s="451" t="s">
        <v>3191</v>
      </c>
      <c r="S148" s="452">
        <v>45570</v>
      </c>
      <c r="T148" s="452"/>
      <c r="U148" s="453"/>
      <c r="V148" s="454"/>
      <c r="W148" s="455" t="s">
        <v>376</v>
      </c>
      <c r="X148" s="455">
        <v>45558</v>
      </c>
      <c r="Y148" s="456" t="s">
        <v>377</v>
      </c>
      <c r="Z148" s="457"/>
      <c r="AA148" s="453"/>
    </row>
    <row r="149" spans="1:27" s="128" customFormat="1" ht="37.5">
      <c r="A149" s="443">
        <v>133</v>
      </c>
      <c r="B149" s="444" t="s">
        <v>3194</v>
      </c>
      <c r="C149" s="445" t="s">
        <v>55</v>
      </c>
      <c r="D149" s="444" t="s">
        <v>3195</v>
      </c>
      <c r="E149" s="446">
        <v>3</v>
      </c>
      <c r="F149" s="447"/>
      <c r="G149" s="448">
        <f t="shared" si="5"/>
        <v>0</v>
      </c>
      <c r="H149" s="450"/>
      <c r="I149" s="444"/>
      <c r="J149" s="450"/>
      <c r="K149" s="444" t="s">
        <v>2918</v>
      </c>
      <c r="L149" s="450" t="s">
        <v>2919</v>
      </c>
      <c r="M149" s="444" t="s">
        <v>2942</v>
      </c>
      <c r="N149" s="450"/>
      <c r="O149" s="450"/>
      <c r="P149" s="450" t="s">
        <v>2921</v>
      </c>
      <c r="Q149" s="451" t="s">
        <v>374</v>
      </c>
      <c r="R149" s="451" t="s">
        <v>2943</v>
      </c>
      <c r="S149" s="452">
        <v>45541</v>
      </c>
      <c r="T149" s="452"/>
      <c r="U149" s="453"/>
      <c r="V149" s="454"/>
      <c r="W149" s="455" t="s">
        <v>406</v>
      </c>
      <c r="X149" s="455">
        <v>45544</v>
      </c>
      <c r="Y149" s="456" t="s">
        <v>377</v>
      </c>
      <c r="Z149" s="457"/>
      <c r="AA149" s="453"/>
    </row>
    <row r="150" spans="1:27" s="128" customFormat="1" ht="37.5">
      <c r="A150" s="443">
        <v>134</v>
      </c>
      <c r="B150" s="444" t="s">
        <v>3196</v>
      </c>
      <c r="C150" s="445" t="s">
        <v>55</v>
      </c>
      <c r="D150" s="444" t="s">
        <v>3197</v>
      </c>
      <c r="E150" s="446">
        <v>6</v>
      </c>
      <c r="F150" s="447"/>
      <c r="G150" s="448">
        <f t="shared" si="5"/>
        <v>0</v>
      </c>
      <c r="H150" s="450"/>
      <c r="I150" s="444"/>
      <c r="J150" s="450"/>
      <c r="K150" s="444" t="s">
        <v>2918</v>
      </c>
      <c r="L150" s="450" t="s">
        <v>2919</v>
      </c>
      <c r="M150" s="444" t="s">
        <v>2930</v>
      </c>
      <c r="N150" s="450"/>
      <c r="O150" s="450"/>
      <c r="P150" s="450" t="s">
        <v>2921</v>
      </c>
      <c r="Q150" s="451" t="s">
        <v>374</v>
      </c>
      <c r="R150" s="451" t="s">
        <v>2906</v>
      </c>
      <c r="S150" s="452">
        <v>45541</v>
      </c>
      <c r="T150" s="452"/>
      <c r="U150" s="453"/>
      <c r="V150" s="454"/>
      <c r="W150" s="455" t="s">
        <v>406</v>
      </c>
      <c r="X150" s="455">
        <v>45532</v>
      </c>
      <c r="Y150" s="456" t="s">
        <v>377</v>
      </c>
      <c r="Z150" s="457"/>
      <c r="AA150" s="453"/>
    </row>
    <row r="151" spans="1:27" s="128" customFormat="1" ht="37.5">
      <c r="A151" s="443">
        <v>135</v>
      </c>
      <c r="B151" s="444" t="s">
        <v>3198</v>
      </c>
      <c r="C151" s="445" t="s">
        <v>55</v>
      </c>
      <c r="D151" s="444" t="s">
        <v>3199</v>
      </c>
      <c r="E151" s="446">
        <v>6</v>
      </c>
      <c r="F151" s="447"/>
      <c r="G151" s="448">
        <f t="shared" si="5"/>
        <v>0</v>
      </c>
      <c r="H151" s="450"/>
      <c r="I151" s="444"/>
      <c r="J151" s="450"/>
      <c r="K151" s="444" t="s">
        <v>2918</v>
      </c>
      <c r="L151" s="450" t="s">
        <v>2919</v>
      </c>
      <c r="M151" s="444" t="s">
        <v>2966</v>
      </c>
      <c r="N151" s="450"/>
      <c r="O151" s="450"/>
      <c r="P151" s="450" t="s">
        <v>2921</v>
      </c>
      <c r="Q151" s="451" t="s">
        <v>374</v>
      </c>
      <c r="R151" s="451" t="s">
        <v>2967</v>
      </c>
      <c r="S151" s="452">
        <v>45541</v>
      </c>
      <c r="T151" s="452"/>
      <c r="U151" s="453"/>
      <c r="V151" s="454"/>
      <c r="W151" s="455" t="s">
        <v>406</v>
      </c>
      <c r="X151" s="455">
        <v>45538</v>
      </c>
      <c r="Y151" s="456" t="s">
        <v>377</v>
      </c>
      <c r="Z151" s="457"/>
      <c r="AA151" s="453"/>
    </row>
    <row r="152" spans="1:27" s="128" customFormat="1" ht="37.5">
      <c r="A152" s="443">
        <v>136</v>
      </c>
      <c r="B152" s="444" t="s">
        <v>3200</v>
      </c>
      <c r="C152" s="445" t="s">
        <v>55</v>
      </c>
      <c r="D152" s="444" t="s">
        <v>3201</v>
      </c>
      <c r="E152" s="446">
        <v>3</v>
      </c>
      <c r="F152" s="447"/>
      <c r="G152" s="448">
        <f t="shared" si="5"/>
        <v>0</v>
      </c>
      <c r="H152" s="450"/>
      <c r="I152" s="444"/>
      <c r="J152" s="450"/>
      <c r="K152" s="444" t="s">
        <v>2918</v>
      </c>
      <c r="L152" s="450" t="s">
        <v>2919</v>
      </c>
      <c r="M152" s="444" t="s">
        <v>2927</v>
      </c>
      <c r="N152" s="450"/>
      <c r="O152" s="450"/>
      <c r="P152" s="450" t="s">
        <v>2921</v>
      </c>
      <c r="Q152" s="451" t="s">
        <v>374</v>
      </c>
      <c r="R152" s="451" t="s">
        <v>260</v>
      </c>
      <c r="S152" s="452">
        <v>45541</v>
      </c>
      <c r="T152" s="452"/>
      <c r="U152" s="453"/>
      <c r="V152" s="454"/>
      <c r="W152" s="455" t="s">
        <v>406</v>
      </c>
      <c r="X152" s="455">
        <v>45540</v>
      </c>
      <c r="Y152" s="456" t="s">
        <v>377</v>
      </c>
      <c r="Z152" s="457"/>
      <c r="AA152" s="453"/>
    </row>
    <row r="153" spans="1:27" s="128" customFormat="1" ht="37.5">
      <c r="A153" s="443">
        <v>137</v>
      </c>
      <c r="B153" s="444" t="s">
        <v>3202</v>
      </c>
      <c r="C153" s="445" t="s">
        <v>55</v>
      </c>
      <c r="D153" s="444" t="s">
        <v>3203</v>
      </c>
      <c r="E153" s="446">
        <v>3</v>
      </c>
      <c r="F153" s="447"/>
      <c r="G153" s="448">
        <f t="shared" si="5"/>
        <v>0</v>
      </c>
      <c r="H153" s="450"/>
      <c r="I153" s="444"/>
      <c r="J153" s="450"/>
      <c r="K153" s="444" t="s">
        <v>2918</v>
      </c>
      <c r="L153" s="450" t="s">
        <v>2919</v>
      </c>
      <c r="M153" s="444" t="s">
        <v>2927</v>
      </c>
      <c r="N153" s="450"/>
      <c r="O153" s="450"/>
      <c r="P153" s="450" t="s">
        <v>2921</v>
      </c>
      <c r="Q153" s="451" t="s">
        <v>374</v>
      </c>
      <c r="R153" s="451" t="s">
        <v>260</v>
      </c>
      <c r="S153" s="452">
        <v>45541</v>
      </c>
      <c r="T153" s="452"/>
      <c r="U153" s="453"/>
      <c r="V153" s="454"/>
      <c r="W153" s="455" t="s">
        <v>406</v>
      </c>
      <c r="X153" s="455">
        <v>45540</v>
      </c>
      <c r="Y153" s="456" t="s">
        <v>377</v>
      </c>
      <c r="Z153" s="457"/>
      <c r="AA153" s="453"/>
    </row>
    <row r="154" spans="1:27" s="128" customFormat="1" ht="37.5">
      <c r="A154" s="443">
        <v>138</v>
      </c>
      <c r="B154" s="444" t="s">
        <v>3204</v>
      </c>
      <c r="C154" s="445" t="s">
        <v>55</v>
      </c>
      <c r="D154" s="444" t="s">
        <v>3205</v>
      </c>
      <c r="E154" s="446">
        <v>3</v>
      </c>
      <c r="F154" s="447"/>
      <c r="G154" s="448">
        <f t="shared" si="5"/>
        <v>0</v>
      </c>
      <c r="H154" s="450"/>
      <c r="I154" s="444"/>
      <c r="J154" s="450"/>
      <c r="K154" s="444" t="s">
        <v>2918</v>
      </c>
      <c r="L154" s="450" t="s">
        <v>2919</v>
      </c>
      <c r="M154" s="444" t="s">
        <v>2927</v>
      </c>
      <c r="N154" s="450"/>
      <c r="O154" s="450"/>
      <c r="P154" s="450" t="s">
        <v>2921</v>
      </c>
      <c r="Q154" s="451" t="s">
        <v>374</v>
      </c>
      <c r="R154" s="451" t="s">
        <v>260</v>
      </c>
      <c r="S154" s="452">
        <v>45541</v>
      </c>
      <c r="T154" s="452"/>
      <c r="U154" s="453"/>
      <c r="V154" s="454"/>
      <c r="W154" s="455" t="s">
        <v>406</v>
      </c>
      <c r="X154" s="455">
        <v>45540</v>
      </c>
      <c r="Y154" s="456" t="s">
        <v>377</v>
      </c>
      <c r="Z154" s="457"/>
      <c r="AA154" s="453"/>
    </row>
    <row r="155" spans="1:27" s="128" customFormat="1" ht="37.5">
      <c r="A155" s="443">
        <v>139</v>
      </c>
      <c r="B155" s="444" t="s">
        <v>3206</v>
      </c>
      <c r="C155" s="445" t="s">
        <v>55</v>
      </c>
      <c r="D155" s="444" t="s">
        <v>3207</v>
      </c>
      <c r="E155" s="446">
        <v>3</v>
      </c>
      <c r="F155" s="447"/>
      <c r="G155" s="448">
        <f t="shared" si="5"/>
        <v>0</v>
      </c>
      <c r="H155" s="450"/>
      <c r="I155" s="444"/>
      <c r="J155" s="450"/>
      <c r="K155" s="444" t="s">
        <v>2918</v>
      </c>
      <c r="L155" s="450" t="s">
        <v>2919</v>
      </c>
      <c r="M155" s="444" t="s">
        <v>2927</v>
      </c>
      <c r="N155" s="450"/>
      <c r="O155" s="450"/>
      <c r="P155" s="450" t="s">
        <v>2921</v>
      </c>
      <c r="Q155" s="451" t="s">
        <v>374</v>
      </c>
      <c r="R155" s="451" t="s">
        <v>260</v>
      </c>
      <c r="S155" s="452">
        <v>45541</v>
      </c>
      <c r="T155" s="452"/>
      <c r="U155" s="453"/>
      <c r="V155" s="454"/>
      <c r="W155" s="455" t="s">
        <v>406</v>
      </c>
      <c r="X155" s="455">
        <v>45540</v>
      </c>
      <c r="Y155" s="456" t="s">
        <v>377</v>
      </c>
      <c r="Z155" s="457"/>
      <c r="AA155" s="453"/>
    </row>
    <row r="156" spans="1:27" s="128" customFormat="1" ht="37.5">
      <c r="A156" s="443">
        <v>140</v>
      </c>
      <c r="B156" s="444" t="s">
        <v>3208</v>
      </c>
      <c r="C156" s="445" t="s">
        <v>55</v>
      </c>
      <c r="D156" s="444" t="s">
        <v>3209</v>
      </c>
      <c r="E156" s="446">
        <v>3</v>
      </c>
      <c r="F156" s="447"/>
      <c r="G156" s="448">
        <f t="shared" si="5"/>
        <v>0</v>
      </c>
      <c r="H156" s="450"/>
      <c r="I156" s="444"/>
      <c r="J156" s="450"/>
      <c r="K156" s="444" t="s">
        <v>2918</v>
      </c>
      <c r="L156" s="450" t="s">
        <v>2919</v>
      </c>
      <c r="M156" s="444" t="s">
        <v>2927</v>
      </c>
      <c r="N156" s="450"/>
      <c r="O156" s="450"/>
      <c r="P156" s="450" t="s">
        <v>2921</v>
      </c>
      <c r="Q156" s="451" t="s">
        <v>374</v>
      </c>
      <c r="R156" s="451" t="s">
        <v>260</v>
      </c>
      <c r="S156" s="452">
        <v>45541</v>
      </c>
      <c r="T156" s="452"/>
      <c r="U156" s="453"/>
      <c r="V156" s="454"/>
      <c r="W156" s="455" t="s">
        <v>406</v>
      </c>
      <c r="X156" s="455">
        <v>45540</v>
      </c>
      <c r="Y156" s="456" t="s">
        <v>377</v>
      </c>
      <c r="Z156" s="457"/>
      <c r="AA156" s="453"/>
    </row>
    <row r="157" spans="1:27" s="128" customFormat="1" ht="37.5">
      <c r="A157" s="443">
        <v>141</v>
      </c>
      <c r="B157" s="444" t="s">
        <v>3210</v>
      </c>
      <c r="C157" s="445" t="s">
        <v>55</v>
      </c>
      <c r="D157" s="444" t="s">
        <v>3211</v>
      </c>
      <c r="E157" s="446">
        <v>3</v>
      </c>
      <c r="F157" s="447"/>
      <c r="G157" s="448">
        <f t="shared" si="5"/>
        <v>0</v>
      </c>
      <c r="H157" s="450"/>
      <c r="I157" s="444"/>
      <c r="J157" s="450"/>
      <c r="K157" s="444" t="s">
        <v>2918</v>
      </c>
      <c r="L157" s="450" t="s">
        <v>2919</v>
      </c>
      <c r="M157" s="444" t="s">
        <v>2927</v>
      </c>
      <c r="N157" s="450"/>
      <c r="O157" s="450"/>
      <c r="P157" s="450" t="s">
        <v>2921</v>
      </c>
      <c r="Q157" s="451" t="s">
        <v>374</v>
      </c>
      <c r="R157" s="451" t="s">
        <v>260</v>
      </c>
      <c r="S157" s="452">
        <v>45541</v>
      </c>
      <c r="T157" s="452"/>
      <c r="U157" s="453"/>
      <c r="V157" s="454"/>
      <c r="W157" s="455" t="s">
        <v>406</v>
      </c>
      <c r="X157" s="455">
        <v>45540</v>
      </c>
      <c r="Y157" s="456" t="s">
        <v>377</v>
      </c>
      <c r="Z157" s="457"/>
      <c r="AA157" s="453"/>
    </row>
    <row r="158" spans="1:27" s="128" customFormat="1" ht="37.5">
      <c r="A158" s="443">
        <v>142</v>
      </c>
      <c r="B158" s="444" t="s">
        <v>3212</v>
      </c>
      <c r="C158" s="445" t="s">
        <v>55</v>
      </c>
      <c r="D158" s="444" t="s">
        <v>3213</v>
      </c>
      <c r="E158" s="446">
        <v>3</v>
      </c>
      <c r="F158" s="447"/>
      <c r="G158" s="448">
        <f t="shared" si="5"/>
        <v>0</v>
      </c>
      <c r="H158" s="450"/>
      <c r="I158" s="444"/>
      <c r="J158" s="450"/>
      <c r="K158" s="444" t="s">
        <v>2918</v>
      </c>
      <c r="L158" s="450" t="s">
        <v>2919</v>
      </c>
      <c r="M158" s="444" t="s">
        <v>2930</v>
      </c>
      <c r="N158" s="450"/>
      <c r="O158" s="450"/>
      <c r="P158" s="450" t="s">
        <v>2921</v>
      </c>
      <c r="Q158" s="451" t="s">
        <v>374</v>
      </c>
      <c r="R158" s="451" t="s">
        <v>2906</v>
      </c>
      <c r="S158" s="452">
        <v>45541</v>
      </c>
      <c r="T158" s="452"/>
      <c r="U158" s="453"/>
      <c r="V158" s="454"/>
      <c r="W158" s="455" t="s">
        <v>406</v>
      </c>
      <c r="X158" s="455">
        <v>45532</v>
      </c>
      <c r="Y158" s="456" t="s">
        <v>377</v>
      </c>
      <c r="Z158" s="457"/>
      <c r="AA158" s="453"/>
    </row>
    <row r="159" spans="1:27" s="128" customFormat="1" ht="37.5">
      <c r="A159" s="443">
        <v>143</v>
      </c>
      <c r="B159" s="444" t="s">
        <v>3214</v>
      </c>
      <c r="C159" s="445" t="s">
        <v>55</v>
      </c>
      <c r="D159" s="444" t="s">
        <v>3215</v>
      </c>
      <c r="E159" s="446">
        <v>3</v>
      </c>
      <c r="F159" s="447"/>
      <c r="G159" s="448">
        <f t="shared" si="5"/>
        <v>0</v>
      </c>
      <c r="H159" s="450"/>
      <c r="I159" s="444"/>
      <c r="J159" s="450"/>
      <c r="K159" s="444" t="s">
        <v>2918</v>
      </c>
      <c r="L159" s="450" t="s">
        <v>2919</v>
      </c>
      <c r="M159" s="444" t="s">
        <v>2927</v>
      </c>
      <c r="N159" s="450"/>
      <c r="O159" s="450"/>
      <c r="P159" s="450" t="s">
        <v>2921</v>
      </c>
      <c r="Q159" s="451" t="s">
        <v>374</v>
      </c>
      <c r="R159" s="451" t="s">
        <v>260</v>
      </c>
      <c r="S159" s="452">
        <v>45541</v>
      </c>
      <c r="T159" s="452"/>
      <c r="U159" s="453"/>
      <c r="V159" s="454"/>
      <c r="W159" s="455" t="s">
        <v>406</v>
      </c>
      <c r="X159" s="455">
        <v>45540</v>
      </c>
      <c r="Y159" s="456" t="s">
        <v>377</v>
      </c>
      <c r="Z159" s="457"/>
      <c r="AA159" s="453"/>
    </row>
    <row r="160" spans="1:27" s="128" customFormat="1" ht="37.5">
      <c r="A160" s="443">
        <v>144</v>
      </c>
      <c r="B160" s="444" t="s">
        <v>3216</v>
      </c>
      <c r="C160" s="445" t="s">
        <v>55</v>
      </c>
      <c r="D160" s="444" t="s">
        <v>3217</v>
      </c>
      <c r="E160" s="446">
        <v>3</v>
      </c>
      <c r="F160" s="447"/>
      <c r="G160" s="448">
        <f t="shared" si="5"/>
        <v>0</v>
      </c>
      <c r="H160" s="450"/>
      <c r="I160" s="444"/>
      <c r="J160" s="450"/>
      <c r="K160" s="444" t="s">
        <v>2918</v>
      </c>
      <c r="L160" s="450" t="s">
        <v>2919</v>
      </c>
      <c r="M160" s="444" t="s">
        <v>2920</v>
      </c>
      <c r="N160" s="450"/>
      <c r="O160" s="450"/>
      <c r="P160" s="450" t="s">
        <v>2921</v>
      </c>
      <c r="Q160" s="451" t="s">
        <v>374</v>
      </c>
      <c r="R160" s="451" t="s">
        <v>2922</v>
      </c>
      <c r="S160" s="452">
        <v>45545</v>
      </c>
      <c r="T160" s="452"/>
      <c r="U160" s="453"/>
      <c r="V160" s="454"/>
      <c r="W160" s="455" t="s">
        <v>406</v>
      </c>
      <c r="X160" s="455">
        <v>45545</v>
      </c>
      <c r="Y160" s="456" t="s">
        <v>377</v>
      </c>
      <c r="Z160" s="457"/>
      <c r="AA160" s="453"/>
    </row>
    <row r="161" spans="1:27" s="128" customFormat="1" ht="37.5">
      <c r="A161" s="443">
        <v>145</v>
      </c>
      <c r="B161" s="444" t="s">
        <v>3218</v>
      </c>
      <c r="C161" s="445" t="s">
        <v>55</v>
      </c>
      <c r="D161" s="444" t="s">
        <v>3219</v>
      </c>
      <c r="E161" s="446">
        <v>3</v>
      </c>
      <c r="F161" s="447"/>
      <c r="G161" s="448">
        <f t="shared" si="5"/>
        <v>0</v>
      </c>
      <c r="H161" s="450"/>
      <c r="I161" s="444"/>
      <c r="J161" s="450"/>
      <c r="K161" s="444" t="s">
        <v>2918</v>
      </c>
      <c r="L161" s="450" t="s">
        <v>2919</v>
      </c>
      <c r="M161" s="444" t="s">
        <v>2930</v>
      </c>
      <c r="N161" s="450"/>
      <c r="O161" s="450"/>
      <c r="P161" s="450" t="s">
        <v>2921</v>
      </c>
      <c r="Q161" s="451" t="s">
        <v>374</v>
      </c>
      <c r="R161" s="451" t="s">
        <v>2906</v>
      </c>
      <c r="S161" s="452">
        <v>45541</v>
      </c>
      <c r="T161" s="452"/>
      <c r="U161" s="453"/>
      <c r="V161" s="454"/>
      <c r="W161" s="455" t="s">
        <v>406</v>
      </c>
      <c r="X161" s="455">
        <v>45532</v>
      </c>
      <c r="Y161" s="456" t="s">
        <v>377</v>
      </c>
      <c r="Z161" s="457"/>
      <c r="AA161" s="453"/>
    </row>
    <row r="162" spans="1:27" s="128" customFormat="1" ht="37.5">
      <c r="A162" s="443">
        <v>146</v>
      </c>
      <c r="B162" s="444" t="s">
        <v>3220</v>
      </c>
      <c r="C162" s="445" t="s">
        <v>55</v>
      </c>
      <c r="D162" s="444" t="s">
        <v>3221</v>
      </c>
      <c r="E162" s="446">
        <v>6</v>
      </c>
      <c r="F162" s="447"/>
      <c r="G162" s="448">
        <f t="shared" si="5"/>
        <v>0</v>
      </c>
      <c r="H162" s="450"/>
      <c r="I162" s="444"/>
      <c r="J162" s="450"/>
      <c r="K162" s="444" t="s">
        <v>2918</v>
      </c>
      <c r="L162" s="450" t="s">
        <v>2919</v>
      </c>
      <c r="M162" s="444" t="s">
        <v>2942</v>
      </c>
      <c r="N162" s="450"/>
      <c r="O162" s="450"/>
      <c r="P162" s="450" t="s">
        <v>2921</v>
      </c>
      <c r="Q162" s="451" t="s">
        <v>374</v>
      </c>
      <c r="R162" s="451" t="s">
        <v>2943</v>
      </c>
      <c r="S162" s="452">
        <v>45541</v>
      </c>
      <c r="T162" s="452"/>
      <c r="U162" s="453"/>
      <c r="V162" s="454"/>
      <c r="W162" s="455" t="s">
        <v>406</v>
      </c>
      <c r="X162" s="455">
        <v>45544</v>
      </c>
      <c r="Y162" s="456" t="s">
        <v>377</v>
      </c>
      <c r="Z162" s="457"/>
      <c r="AA162" s="453"/>
    </row>
    <row r="163" spans="1:27" s="128" customFormat="1" ht="37.5">
      <c r="A163" s="443">
        <v>147</v>
      </c>
      <c r="B163" s="444" t="s">
        <v>3222</v>
      </c>
      <c r="C163" s="445" t="s">
        <v>55</v>
      </c>
      <c r="D163" s="444" t="s">
        <v>3223</v>
      </c>
      <c r="E163" s="446">
        <v>3</v>
      </c>
      <c r="F163" s="447"/>
      <c r="G163" s="448">
        <f t="shared" si="5"/>
        <v>0</v>
      </c>
      <c r="H163" s="450"/>
      <c r="I163" s="444"/>
      <c r="J163" s="450"/>
      <c r="K163" s="444" t="s">
        <v>2918</v>
      </c>
      <c r="L163" s="450" t="s">
        <v>2919</v>
      </c>
      <c r="M163" s="444" t="s">
        <v>2956</v>
      </c>
      <c r="N163" s="450"/>
      <c r="O163" s="450"/>
      <c r="P163" s="450" t="s">
        <v>2921</v>
      </c>
      <c r="Q163" s="451" t="s">
        <v>374</v>
      </c>
      <c r="R163" s="451" t="s">
        <v>2957</v>
      </c>
      <c r="S163" s="452">
        <v>45544</v>
      </c>
      <c r="T163" s="452"/>
      <c r="U163" s="453"/>
      <c r="V163" s="454"/>
      <c r="W163" s="455" t="s">
        <v>376</v>
      </c>
      <c r="X163" s="455">
        <v>45548</v>
      </c>
      <c r="Y163" s="456" t="s">
        <v>377</v>
      </c>
      <c r="Z163" s="457"/>
      <c r="AA163" s="453"/>
    </row>
    <row r="164" spans="1:27" s="128" customFormat="1" ht="37.5">
      <c r="A164" s="443">
        <v>148</v>
      </c>
      <c r="B164" s="444" t="s">
        <v>3224</v>
      </c>
      <c r="C164" s="445" t="s">
        <v>55</v>
      </c>
      <c r="D164" s="444" t="s">
        <v>3225</v>
      </c>
      <c r="E164" s="446">
        <v>3</v>
      </c>
      <c r="F164" s="447"/>
      <c r="G164" s="448">
        <f t="shared" si="5"/>
        <v>0</v>
      </c>
      <c r="H164" s="450"/>
      <c r="I164" s="444"/>
      <c r="J164" s="450"/>
      <c r="K164" s="444" t="s">
        <v>2918</v>
      </c>
      <c r="L164" s="450" t="s">
        <v>2919</v>
      </c>
      <c r="M164" s="444" t="s">
        <v>2930</v>
      </c>
      <c r="N164" s="450"/>
      <c r="O164" s="450"/>
      <c r="P164" s="450" t="s">
        <v>2921</v>
      </c>
      <c r="Q164" s="451" t="s">
        <v>374</v>
      </c>
      <c r="R164" s="451" t="s">
        <v>2906</v>
      </c>
      <c r="S164" s="452">
        <v>45541</v>
      </c>
      <c r="T164" s="452"/>
      <c r="U164" s="453"/>
      <c r="V164" s="454"/>
      <c r="W164" s="455" t="s">
        <v>406</v>
      </c>
      <c r="X164" s="455">
        <v>45532</v>
      </c>
      <c r="Y164" s="456" t="s">
        <v>377</v>
      </c>
      <c r="Z164" s="457"/>
      <c r="AA164" s="453"/>
    </row>
    <row r="165" spans="1:27" s="441" customFormat="1" ht="37.5">
      <c r="A165" s="427">
        <v>149</v>
      </c>
      <c r="B165" s="428" t="s">
        <v>3226</v>
      </c>
      <c r="C165" s="429" t="s">
        <v>55</v>
      </c>
      <c r="D165" s="428" t="s">
        <v>3227</v>
      </c>
      <c r="E165" s="430">
        <v>6</v>
      </c>
      <c r="F165" s="431"/>
      <c r="G165" s="432">
        <f t="shared" si="5"/>
        <v>0</v>
      </c>
      <c r="H165" s="433"/>
      <c r="I165" s="428"/>
      <c r="J165" s="433"/>
      <c r="K165" s="428" t="s">
        <v>3228</v>
      </c>
      <c r="L165" s="433" t="s">
        <v>444</v>
      </c>
      <c r="M165" s="428" t="s">
        <v>444</v>
      </c>
      <c r="N165" s="433"/>
      <c r="O165" s="433"/>
      <c r="P165" s="433" t="s">
        <v>444</v>
      </c>
      <c r="Q165" s="434"/>
      <c r="R165" s="434" t="s">
        <v>3229</v>
      </c>
      <c r="S165" s="435"/>
      <c r="T165" s="435"/>
      <c r="U165" s="436"/>
      <c r="V165" s="437"/>
      <c r="W165" s="438"/>
      <c r="X165" s="438"/>
      <c r="Y165" s="439" t="s">
        <v>592</v>
      </c>
      <c r="Z165" s="440"/>
      <c r="AA165" s="436"/>
    </row>
    <row r="166" spans="1:27" s="128" customFormat="1" ht="37.5">
      <c r="A166" s="443">
        <v>150</v>
      </c>
      <c r="B166" s="444" t="s">
        <v>3230</v>
      </c>
      <c r="C166" s="445" t="s">
        <v>55</v>
      </c>
      <c r="D166" s="444" t="s">
        <v>3231</v>
      </c>
      <c r="E166" s="446">
        <v>6</v>
      </c>
      <c r="F166" s="447"/>
      <c r="G166" s="448">
        <f t="shared" si="5"/>
        <v>0</v>
      </c>
      <c r="H166" s="450"/>
      <c r="I166" s="444"/>
      <c r="J166" s="450"/>
      <c r="K166" s="444" t="s">
        <v>2918</v>
      </c>
      <c r="L166" s="450" t="s">
        <v>2919</v>
      </c>
      <c r="M166" s="444" t="s">
        <v>2942</v>
      </c>
      <c r="N166" s="450"/>
      <c r="O166" s="450"/>
      <c r="P166" s="450" t="s">
        <v>2921</v>
      </c>
      <c r="Q166" s="451" t="s">
        <v>374</v>
      </c>
      <c r="R166" s="451" t="s">
        <v>2943</v>
      </c>
      <c r="S166" s="452">
        <v>45541</v>
      </c>
      <c r="T166" s="452"/>
      <c r="U166" s="453"/>
      <c r="V166" s="454"/>
      <c r="W166" s="455" t="s">
        <v>406</v>
      </c>
      <c r="X166" s="455">
        <v>45544</v>
      </c>
      <c r="Y166" s="456" t="s">
        <v>377</v>
      </c>
      <c r="Z166" s="457"/>
      <c r="AA166" s="453"/>
    </row>
    <row r="167" spans="1:27" s="128" customFormat="1" ht="37.5">
      <c r="A167" s="443">
        <v>151</v>
      </c>
      <c r="B167" s="444" t="s">
        <v>3232</v>
      </c>
      <c r="C167" s="445" t="s">
        <v>55</v>
      </c>
      <c r="D167" s="444" t="s">
        <v>3233</v>
      </c>
      <c r="E167" s="446">
        <v>3</v>
      </c>
      <c r="F167" s="447"/>
      <c r="G167" s="448">
        <f t="shared" si="5"/>
        <v>0</v>
      </c>
      <c r="H167" s="450"/>
      <c r="I167" s="444"/>
      <c r="J167" s="450"/>
      <c r="K167" s="444" t="s">
        <v>2918</v>
      </c>
      <c r="L167" s="450" t="s">
        <v>2919</v>
      </c>
      <c r="M167" s="444" t="s">
        <v>2942</v>
      </c>
      <c r="N167" s="450"/>
      <c r="O167" s="450"/>
      <c r="P167" s="450" t="s">
        <v>2921</v>
      </c>
      <c r="Q167" s="451" t="s">
        <v>374</v>
      </c>
      <c r="R167" s="451" t="s">
        <v>2943</v>
      </c>
      <c r="S167" s="452">
        <v>45541</v>
      </c>
      <c r="T167" s="452"/>
      <c r="U167" s="453"/>
      <c r="V167" s="454"/>
      <c r="W167" s="455" t="s">
        <v>406</v>
      </c>
      <c r="X167" s="455">
        <v>45544</v>
      </c>
      <c r="Y167" s="456" t="s">
        <v>377</v>
      </c>
      <c r="Z167" s="457"/>
      <c r="AA167" s="453"/>
    </row>
    <row r="168" spans="1:27" s="128" customFormat="1" ht="37.5">
      <c r="A168" s="443">
        <v>152</v>
      </c>
      <c r="B168" s="444" t="s">
        <v>3234</v>
      </c>
      <c r="C168" s="445" t="s">
        <v>55</v>
      </c>
      <c r="D168" s="444" t="s">
        <v>3235</v>
      </c>
      <c r="E168" s="446">
        <v>3</v>
      </c>
      <c r="F168" s="447"/>
      <c r="G168" s="448">
        <f t="shared" si="5"/>
        <v>0</v>
      </c>
      <c r="H168" s="450"/>
      <c r="I168" s="444"/>
      <c r="J168" s="450"/>
      <c r="K168" s="444" t="s">
        <v>2918</v>
      </c>
      <c r="L168" s="450" t="s">
        <v>2919</v>
      </c>
      <c r="M168" s="444" t="s">
        <v>2966</v>
      </c>
      <c r="N168" s="450"/>
      <c r="O168" s="450"/>
      <c r="P168" s="450" t="s">
        <v>2921</v>
      </c>
      <c r="Q168" s="451" t="s">
        <v>374</v>
      </c>
      <c r="R168" s="451" t="s">
        <v>2967</v>
      </c>
      <c r="S168" s="452">
        <v>45541</v>
      </c>
      <c r="T168" s="452"/>
      <c r="U168" s="453"/>
      <c r="V168" s="454"/>
      <c r="W168" s="455" t="s">
        <v>406</v>
      </c>
      <c r="X168" s="455">
        <v>45538</v>
      </c>
      <c r="Y168" s="456" t="s">
        <v>377</v>
      </c>
      <c r="Z168" s="457"/>
      <c r="AA168" s="453"/>
    </row>
    <row r="169" spans="1:27" s="128" customFormat="1" ht="37.5">
      <c r="A169" s="443">
        <v>153</v>
      </c>
      <c r="B169" s="444" t="s">
        <v>3236</v>
      </c>
      <c r="C169" s="445" t="s">
        <v>55</v>
      </c>
      <c r="D169" s="444" t="s">
        <v>3237</v>
      </c>
      <c r="E169" s="446">
        <v>3</v>
      </c>
      <c r="F169" s="447"/>
      <c r="G169" s="448">
        <f t="shared" si="5"/>
        <v>0</v>
      </c>
      <c r="H169" s="450"/>
      <c r="I169" s="444"/>
      <c r="J169" s="450"/>
      <c r="K169" s="444" t="s">
        <v>2918</v>
      </c>
      <c r="L169" s="450" t="s">
        <v>2919</v>
      </c>
      <c r="M169" s="444" t="s">
        <v>2966</v>
      </c>
      <c r="N169" s="450"/>
      <c r="O169" s="450"/>
      <c r="P169" s="450" t="s">
        <v>2921</v>
      </c>
      <c r="Q169" s="451" t="s">
        <v>374</v>
      </c>
      <c r="R169" s="451" t="s">
        <v>2967</v>
      </c>
      <c r="S169" s="452">
        <v>45541</v>
      </c>
      <c r="T169" s="452"/>
      <c r="U169" s="453"/>
      <c r="V169" s="454"/>
      <c r="W169" s="455" t="s">
        <v>406</v>
      </c>
      <c r="X169" s="455">
        <v>45538</v>
      </c>
      <c r="Y169" s="456" t="s">
        <v>377</v>
      </c>
      <c r="Z169" s="457"/>
      <c r="AA169" s="453"/>
    </row>
    <row r="170" spans="1:27" s="128" customFormat="1" ht="37.5">
      <c r="A170" s="443">
        <v>154</v>
      </c>
      <c r="B170" s="444" t="s">
        <v>3238</v>
      </c>
      <c r="C170" s="445" t="s">
        <v>55</v>
      </c>
      <c r="D170" s="444" t="s">
        <v>3239</v>
      </c>
      <c r="E170" s="446">
        <v>3</v>
      </c>
      <c r="F170" s="447"/>
      <c r="G170" s="448">
        <f t="shared" si="5"/>
        <v>0</v>
      </c>
      <c r="H170" s="450"/>
      <c r="I170" s="444"/>
      <c r="J170" s="450"/>
      <c r="K170" s="444" t="s">
        <v>2918</v>
      </c>
      <c r="L170" s="450" t="s">
        <v>2919</v>
      </c>
      <c r="M170" s="444" t="s">
        <v>2966</v>
      </c>
      <c r="N170" s="450"/>
      <c r="O170" s="450"/>
      <c r="P170" s="450" t="s">
        <v>2921</v>
      </c>
      <c r="Q170" s="451" t="s">
        <v>374</v>
      </c>
      <c r="R170" s="451" t="s">
        <v>2967</v>
      </c>
      <c r="S170" s="452">
        <v>45541</v>
      </c>
      <c r="T170" s="452"/>
      <c r="U170" s="453"/>
      <c r="V170" s="454"/>
      <c r="W170" s="455" t="s">
        <v>406</v>
      </c>
      <c r="X170" s="455">
        <v>45538</v>
      </c>
      <c r="Y170" s="456" t="s">
        <v>377</v>
      </c>
      <c r="Z170" s="457"/>
      <c r="AA170" s="453"/>
    </row>
    <row r="171" spans="1:27" s="128" customFormat="1" ht="37.5">
      <c r="A171" s="443">
        <v>155</v>
      </c>
      <c r="B171" s="444" t="s">
        <v>3240</v>
      </c>
      <c r="C171" s="445" t="s">
        <v>55</v>
      </c>
      <c r="D171" s="444" t="s">
        <v>3241</v>
      </c>
      <c r="E171" s="446">
        <v>3</v>
      </c>
      <c r="F171" s="447"/>
      <c r="G171" s="448">
        <f t="shared" si="5"/>
        <v>0</v>
      </c>
      <c r="H171" s="450"/>
      <c r="I171" s="444"/>
      <c r="J171" s="450"/>
      <c r="K171" s="444" t="s">
        <v>2918</v>
      </c>
      <c r="L171" s="450" t="s">
        <v>2919</v>
      </c>
      <c r="M171" s="444" t="s">
        <v>2966</v>
      </c>
      <c r="N171" s="450"/>
      <c r="O171" s="450"/>
      <c r="P171" s="450" t="s">
        <v>2921</v>
      </c>
      <c r="Q171" s="451" t="s">
        <v>374</v>
      </c>
      <c r="R171" s="451" t="s">
        <v>2967</v>
      </c>
      <c r="S171" s="452">
        <v>45590</v>
      </c>
      <c r="T171" s="452"/>
      <c r="U171" s="453"/>
      <c r="V171" s="454"/>
      <c r="W171" s="455" t="s">
        <v>406</v>
      </c>
      <c r="X171" s="455">
        <v>45560</v>
      </c>
      <c r="Y171" s="456" t="s">
        <v>377</v>
      </c>
      <c r="Z171" s="457"/>
      <c r="AA171" s="453"/>
    </row>
    <row r="172" spans="1:27" s="128" customFormat="1" ht="37.5">
      <c r="A172" s="443">
        <v>156</v>
      </c>
      <c r="B172" s="444" t="s">
        <v>3242</v>
      </c>
      <c r="C172" s="445" t="s">
        <v>55</v>
      </c>
      <c r="D172" s="444" t="s">
        <v>3243</v>
      </c>
      <c r="E172" s="446">
        <v>6</v>
      </c>
      <c r="F172" s="447"/>
      <c r="G172" s="448">
        <f t="shared" si="5"/>
        <v>0</v>
      </c>
      <c r="H172" s="450"/>
      <c r="I172" s="444"/>
      <c r="J172" s="450"/>
      <c r="K172" s="444" t="s">
        <v>2918</v>
      </c>
      <c r="L172" s="450" t="s">
        <v>2919</v>
      </c>
      <c r="M172" s="444" t="s">
        <v>2966</v>
      </c>
      <c r="N172" s="450"/>
      <c r="O172" s="450"/>
      <c r="P172" s="450" t="s">
        <v>2921</v>
      </c>
      <c r="Q172" s="451" t="s">
        <v>374</v>
      </c>
      <c r="R172" s="451" t="s">
        <v>2967</v>
      </c>
      <c r="S172" s="452">
        <v>45541</v>
      </c>
      <c r="T172" s="452"/>
      <c r="U172" s="453"/>
      <c r="V172" s="454"/>
      <c r="W172" s="455" t="s">
        <v>406</v>
      </c>
      <c r="X172" s="455">
        <v>45538</v>
      </c>
      <c r="Y172" s="456" t="s">
        <v>377</v>
      </c>
      <c r="Z172" s="457"/>
      <c r="AA172" s="453"/>
    </row>
    <row r="173" spans="1:27" s="128" customFormat="1" ht="37.5">
      <c r="A173" s="443">
        <v>157</v>
      </c>
      <c r="B173" s="444" t="s">
        <v>3244</v>
      </c>
      <c r="C173" s="445" t="s">
        <v>55</v>
      </c>
      <c r="D173" s="444" t="s">
        <v>3245</v>
      </c>
      <c r="E173" s="446">
        <v>3</v>
      </c>
      <c r="F173" s="447"/>
      <c r="G173" s="448">
        <f t="shared" si="5"/>
        <v>0</v>
      </c>
      <c r="H173" s="450"/>
      <c r="I173" s="444"/>
      <c r="J173" s="450"/>
      <c r="K173" s="444" t="s">
        <v>2918</v>
      </c>
      <c r="L173" s="450" t="s">
        <v>2919</v>
      </c>
      <c r="M173" s="444" t="s">
        <v>2930</v>
      </c>
      <c r="N173" s="450"/>
      <c r="O173" s="450"/>
      <c r="P173" s="450" t="s">
        <v>2921</v>
      </c>
      <c r="Q173" s="451" t="s">
        <v>374</v>
      </c>
      <c r="R173" s="451" t="s">
        <v>2906</v>
      </c>
      <c r="S173" s="452">
        <v>45541</v>
      </c>
      <c r="T173" s="452"/>
      <c r="U173" s="453"/>
      <c r="V173" s="454"/>
      <c r="W173" s="455" t="s">
        <v>406</v>
      </c>
      <c r="X173" s="455">
        <v>45532</v>
      </c>
      <c r="Y173" s="456" t="s">
        <v>377</v>
      </c>
      <c r="Z173" s="457"/>
      <c r="AA173" s="453"/>
    </row>
    <row r="174" spans="1:27" s="128" customFormat="1" ht="37.5">
      <c r="A174" s="443">
        <v>158</v>
      </c>
      <c r="B174" s="444" t="s">
        <v>3246</v>
      </c>
      <c r="C174" s="445" t="s">
        <v>55</v>
      </c>
      <c r="D174" s="444" t="s">
        <v>3247</v>
      </c>
      <c r="E174" s="446">
        <v>3</v>
      </c>
      <c r="F174" s="447"/>
      <c r="G174" s="448">
        <f t="shared" si="5"/>
        <v>0</v>
      </c>
      <c r="H174" s="450"/>
      <c r="I174" s="444"/>
      <c r="J174" s="450"/>
      <c r="K174" s="444" t="s">
        <v>2918</v>
      </c>
      <c r="L174" s="450" t="s">
        <v>2919</v>
      </c>
      <c r="M174" s="444" t="s">
        <v>2930</v>
      </c>
      <c r="N174" s="450"/>
      <c r="O174" s="450"/>
      <c r="P174" s="450" t="s">
        <v>2921</v>
      </c>
      <c r="Q174" s="451" t="s">
        <v>374</v>
      </c>
      <c r="R174" s="451" t="s">
        <v>2906</v>
      </c>
      <c r="S174" s="452">
        <v>45541</v>
      </c>
      <c r="T174" s="452"/>
      <c r="U174" s="453"/>
      <c r="V174" s="454"/>
      <c r="W174" s="455" t="s">
        <v>406</v>
      </c>
      <c r="X174" s="455">
        <v>45532</v>
      </c>
      <c r="Y174" s="456" t="s">
        <v>377</v>
      </c>
      <c r="Z174" s="457"/>
      <c r="AA174" s="453"/>
    </row>
    <row r="175" spans="1:27" s="128" customFormat="1" ht="37.5">
      <c r="A175" s="458">
        <v>159</v>
      </c>
      <c r="B175" s="459" t="s">
        <v>3248</v>
      </c>
      <c r="C175" s="460" t="s">
        <v>55</v>
      </c>
      <c r="D175" s="459" t="s">
        <v>3249</v>
      </c>
      <c r="E175" s="461">
        <v>3</v>
      </c>
      <c r="F175" s="462"/>
      <c r="G175" s="463">
        <f t="shared" si="5"/>
        <v>0</v>
      </c>
      <c r="H175" s="465"/>
      <c r="I175" s="459"/>
      <c r="J175" s="465"/>
      <c r="K175" s="459" t="s">
        <v>2918</v>
      </c>
      <c r="L175" s="465" t="s">
        <v>2919</v>
      </c>
      <c r="M175" s="459" t="s">
        <v>2930</v>
      </c>
      <c r="N175" s="465"/>
      <c r="O175" s="465"/>
      <c r="P175" s="465" t="s">
        <v>2921</v>
      </c>
      <c r="Q175" s="466" t="s">
        <v>374</v>
      </c>
      <c r="R175" s="466" t="s">
        <v>2906</v>
      </c>
      <c r="S175" s="467">
        <v>45541</v>
      </c>
      <c r="T175" s="467"/>
      <c r="U175" s="468"/>
      <c r="V175" s="469"/>
      <c r="W175" s="455" t="s">
        <v>406</v>
      </c>
      <c r="X175" s="455">
        <v>45532</v>
      </c>
      <c r="Y175" s="471" t="s">
        <v>377</v>
      </c>
      <c r="Z175" s="472"/>
      <c r="AA175" s="453"/>
    </row>
    <row r="176" spans="1:27" s="128" customFormat="1" ht="37.5">
      <c r="A176" s="443">
        <v>160</v>
      </c>
      <c r="B176" s="444" t="s">
        <v>3250</v>
      </c>
      <c r="C176" s="445" t="s">
        <v>55</v>
      </c>
      <c r="D176" s="444" t="s">
        <v>3251</v>
      </c>
      <c r="E176" s="446">
        <v>3</v>
      </c>
      <c r="F176" s="447"/>
      <c r="G176" s="448">
        <f t="shared" ref="G176:G204" si="6">E176*F176</f>
        <v>0</v>
      </c>
      <c r="H176" s="450"/>
      <c r="I176" s="444"/>
      <c r="J176" s="450"/>
      <c r="K176" s="444" t="s">
        <v>3228</v>
      </c>
      <c r="L176" s="450" t="s">
        <v>385</v>
      </c>
      <c r="M176" s="444" t="s">
        <v>3252</v>
      </c>
      <c r="N176" s="450"/>
      <c r="O176" s="450"/>
      <c r="P176" s="450" t="s">
        <v>923</v>
      </c>
      <c r="Q176" s="451" t="s">
        <v>374</v>
      </c>
      <c r="R176" s="451" t="s">
        <v>2957</v>
      </c>
      <c r="S176" s="452">
        <v>45574</v>
      </c>
      <c r="T176" s="452"/>
      <c r="U176" s="453"/>
      <c r="V176" s="454"/>
      <c r="W176" s="455" t="s">
        <v>406</v>
      </c>
      <c r="X176" s="455">
        <v>45576</v>
      </c>
      <c r="Y176" s="456" t="s">
        <v>377</v>
      </c>
      <c r="Z176" s="457"/>
      <c r="AA176" s="453"/>
    </row>
    <row r="177" spans="1:27" s="128" customFormat="1" ht="37.5">
      <c r="A177" s="443">
        <v>161</v>
      </c>
      <c r="B177" s="444" t="s">
        <v>3253</v>
      </c>
      <c r="C177" s="445" t="s">
        <v>55</v>
      </c>
      <c r="D177" s="444" t="s">
        <v>3254</v>
      </c>
      <c r="E177" s="446">
        <v>3</v>
      </c>
      <c r="F177" s="447"/>
      <c r="G177" s="448">
        <f t="shared" si="6"/>
        <v>0</v>
      </c>
      <c r="H177" s="450"/>
      <c r="I177" s="444"/>
      <c r="J177" s="450"/>
      <c r="K177" s="444" t="s">
        <v>3228</v>
      </c>
      <c r="L177" s="450" t="s">
        <v>385</v>
      </c>
      <c r="M177" s="444" t="s">
        <v>3255</v>
      </c>
      <c r="N177" s="450"/>
      <c r="O177" s="450"/>
      <c r="P177" s="450" t="s">
        <v>923</v>
      </c>
      <c r="Q177" s="451" t="s">
        <v>374</v>
      </c>
      <c r="R177" s="451" t="s">
        <v>2906</v>
      </c>
      <c r="S177" s="452">
        <v>45569</v>
      </c>
      <c r="T177" s="452"/>
      <c r="U177" s="453"/>
      <c r="V177" s="454"/>
      <c r="W177" s="455" t="s">
        <v>406</v>
      </c>
      <c r="X177" s="455">
        <v>45566</v>
      </c>
      <c r="Y177" s="456" t="s">
        <v>377</v>
      </c>
      <c r="Z177" s="457"/>
      <c r="AA177" s="453"/>
    </row>
    <row r="178" spans="1:27" s="128" customFormat="1" ht="37.5">
      <c r="A178" s="443">
        <v>162</v>
      </c>
      <c r="B178" s="444" t="s">
        <v>3256</v>
      </c>
      <c r="C178" s="445" t="s">
        <v>55</v>
      </c>
      <c r="D178" s="444" t="s">
        <v>3257</v>
      </c>
      <c r="E178" s="446">
        <v>3</v>
      </c>
      <c r="F178" s="447"/>
      <c r="G178" s="448">
        <f t="shared" si="6"/>
        <v>0</v>
      </c>
      <c r="H178" s="450"/>
      <c r="I178" s="444"/>
      <c r="J178" s="450"/>
      <c r="K178" s="444" t="s">
        <v>3228</v>
      </c>
      <c r="L178" s="450" t="s">
        <v>385</v>
      </c>
      <c r="M178" s="444" t="s">
        <v>3255</v>
      </c>
      <c r="N178" s="450"/>
      <c r="O178" s="450"/>
      <c r="P178" s="450" t="s">
        <v>923</v>
      </c>
      <c r="Q178" s="451" t="s">
        <v>374</v>
      </c>
      <c r="R178" s="451" t="s">
        <v>2906</v>
      </c>
      <c r="S178" s="452">
        <v>45569</v>
      </c>
      <c r="T178" s="452"/>
      <c r="U178" s="453"/>
      <c r="V178" s="454"/>
      <c r="W178" s="455" t="s">
        <v>406</v>
      </c>
      <c r="X178" s="455">
        <v>45566</v>
      </c>
      <c r="Y178" s="456" t="s">
        <v>377</v>
      </c>
      <c r="Z178" s="457"/>
      <c r="AA178" s="453"/>
    </row>
    <row r="179" spans="1:27" s="128" customFormat="1" ht="37.5">
      <c r="A179" s="443">
        <v>163</v>
      </c>
      <c r="B179" s="444" t="s">
        <v>3258</v>
      </c>
      <c r="C179" s="445" t="s">
        <v>55</v>
      </c>
      <c r="D179" s="444" t="s">
        <v>3259</v>
      </c>
      <c r="E179" s="446">
        <v>6</v>
      </c>
      <c r="F179" s="447"/>
      <c r="G179" s="448">
        <f t="shared" si="6"/>
        <v>0</v>
      </c>
      <c r="H179" s="450"/>
      <c r="I179" s="444"/>
      <c r="J179" s="450"/>
      <c r="K179" s="444" t="s">
        <v>3228</v>
      </c>
      <c r="L179" s="450" t="s">
        <v>385</v>
      </c>
      <c r="M179" s="444" t="s">
        <v>3255</v>
      </c>
      <c r="N179" s="450"/>
      <c r="O179" s="450"/>
      <c r="P179" s="450" t="s">
        <v>923</v>
      </c>
      <c r="Q179" s="451" t="s">
        <v>374</v>
      </c>
      <c r="R179" s="451" t="s">
        <v>2906</v>
      </c>
      <c r="S179" s="452">
        <v>45569</v>
      </c>
      <c r="T179" s="452"/>
      <c r="U179" s="453"/>
      <c r="V179" s="454"/>
      <c r="W179" s="455" t="s">
        <v>406</v>
      </c>
      <c r="X179" s="455">
        <v>45569</v>
      </c>
      <c r="Y179" s="456" t="s">
        <v>377</v>
      </c>
      <c r="Z179" s="457"/>
      <c r="AA179" s="453"/>
    </row>
    <row r="180" spans="1:27" s="128" customFormat="1" ht="37.5">
      <c r="A180" s="443">
        <v>164</v>
      </c>
      <c r="B180" s="444" t="s">
        <v>3260</v>
      </c>
      <c r="C180" s="445" t="s">
        <v>55</v>
      </c>
      <c r="D180" s="444" t="s">
        <v>3261</v>
      </c>
      <c r="E180" s="446">
        <v>1</v>
      </c>
      <c r="F180" s="447"/>
      <c r="G180" s="448">
        <f t="shared" si="6"/>
        <v>0</v>
      </c>
      <c r="H180" s="450"/>
      <c r="I180" s="444"/>
      <c r="J180" s="450"/>
      <c r="K180" s="444" t="s">
        <v>3228</v>
      </c>
      <c r="L180" s="450" t="s">
        <v>385</v>
      </c>
      <c r="M180" s="444" t="s">
        <v>3255</v>
      </c>
      <c r="N180" s="450"/>
      <c r="O180" s="450"/>
      <c r="P180" s="450" t="s">
        <v>923</v>
      </c>
      <c r="Q180" s="451" t="s">
        <v>374</v>
      </c>
      <c r="R180" s="451" t="s">
        <v>2906</v>
      </c>
      <c r="S180" s="452">
        <v>45569</v>
      </c>
      <c r="T180" s="452" t="s">
        <v>611</v>
      </c>
      <c r="U180" s="453"/>
      <c r="V180" s="454"/>
      <c r="W180" s="455" t="s">
        <v>406</v>
      </c>
      <c r="X180" s="455">
        <v>45573</v>
      </c>
      <c r="Y180" s="456" t="s">
        <v>377</v>
      </c>
      <c r="Z180" s="457"/>
      <c r="AA180" s="453"/>
    </row>
    <row r="181" spans="1:27" s="128" customFormat="1" ht="37.5">
      <c r="A181" s="443">
        <v>165</v>
      </c>
      <c r="B181" s="444" t="s">
        <v>3262</v>
      </c>
      <c r="C181" s="445" t="s">
        <v>55</v>
      </c>
      <c r="D181" s="444" t="s">
        <v>3263</v>
      </c>
      <c r="E181" s="446">
        <v>1</v>
      </c>
      <c r="F181" s="447"/>
      <c r="G181" s="448">
        <f t="shared" si="6"/>
        <v>0</v>
      </c>
      <c r="H181" s="450"/>
      <c r="I181" s="444"/>
      <c r="J181" s="450"/>
      <c r="K181" s="444" t="s">
        <v>3228</v>
      </c>
      <c r="L181" s="450" t="s">
        <v>385</v>
      </c>
      <c r="M181" s="444" t="s">
        <v>3255</v>
      </c>
      <c r="N181" s="450"/>
      <c r="O181" s="450"/>
      <c r="P181" s="450" t="s">
        <v>923</v>
      </c>
      <c r="Q181" s="451" t="s">
        <v>374</v>
      </c>
      <c r="R181" s="451" t="s">
        <v>2906</v>
      </c>
      <c r="S181" s="452">
        <v>45569</v>
      </c>
      <c r="T181" s="452" t="s">
        <v>611</v>
      </c>
      <c r="U181" s="453"/>
      <c r="V181" s="454"/>
      <c r="W181" s="455" t="s">
        <v>406</v>
      </c>
      <c r="X181" s="455">
        <v>45573</v>
      </c>
      <c r="Y181" s="456" t="s">
        <v>377</v>
      </c>
      <c r="Z181" s="457"/>
      <c r="AA181" s="453"/>
    </row>
    <row r="182" spans="1:27" s="128" customFormat="1" ht="37.5">
      <c r="A182" s="443">
        <v>166</v>
      </c>
      <c r="B182" s="444" t="s">
        <v>3264</v>
      </c>
      <c r="C182" s="445" t="s">
        <v>55</v>
      </c>
      <c r="D182" s="444" t="s">
        <v>3265</v>
      </c>
      <c r="E182" s="446">
        <v>1</v>
      </c>
      <c r="F182" s="447"/>
      <c r="G182" s="448">
        <f t="shared" si="6"/>
        <v>0</v>
      </c>
      <c r="H182" s="450"/>
      <c r="I182" s="444"/>
      <c r="J182" s="450"/>
      <c r="K182" s="444" t="s">
        <v>3228</v>
      </c>
      <c r="L182" s="450" t="s">
        <v>385</v>
      </c>
      <c r="M182" s="444" t="s">
        <v>3255</v>
      </c>
      <c r="N182" s="450"/>
      <c r="O182" s="450"/>
      <c r="P182" s="450" t="s">
        <v>923</v>
      </c>
      <c r="Q182" s="451" t="s">
        <v>374</v>
      </c>
      <c r="R182" s="451" t="s">
        <v>2906</v>
      </c>
      <c r="S182" s="452">
        <v>45569</v>
      </c>
      <c r="T182" s="452" t="s">
        <v>611</v>
      </c>
      <c r="U182" s="453"/>
      <c r="V182" s="454"/>
      <c r="W182" s="455" t="s">
        <v>406</v>
      </c>
      <c r="X182" s="455">
        <v>45573</v>
      </c>
      <c r="Y182" s="456" t="s">
        <v>377</v>
      </c>
      <c r="Z182" s="457"/>
      <c r="AA182" s="453"/>
    </row>
    <row r="183" spans="1:27" s="128" customFormat="1" ht="37.5">
      <c r="A183" s="443">
        <v>167</v>
      </c>
      <c r="B183" s="444" t="s">
        <v>3266</v>
      </c>
      <c r="C183" s="445" t="s">
        <v>55</v>
      </c>
      <c r="D183" s="444" t="s">
        <v>3267</v>
      </c>
      <c r="E183" s="446">
        <v>3</v>
      </c>
      <c r="F183" s="447"/>
      <c r="G183" s="448">
        <f t="shared" si="6"/>
        <v>0</v>
      </c>
      <c r="H183" s="450"/>
      <c r="I183" s="444"/>
      <c r="J183" s="450"/>
      <c r="K183" s="444" t="s">
        <v>3228</v>
      </c>
      <c r="L183" s="450" t="s">
        <v>385</v>
      </c>
      <c r="M183" s="444" t="s">
        <v>3255</v>
      </c>
      <c r="N183" s="450"/>
      <c r="O183" s="450"/>
      <c r="P183" s="450" t="s">
        <v>923</v>
      </c>
      <c r="Q183" s="451" t="s">
        <v>374</v>
      </c>
      <c r="R183" s="451" t="s">
        <v>2906</v>
      </c>
      <c r="S183" s="452">
        <v>45569</v>
      </c>
      <c r="T183" s="452" t="s">
        <v>611</v>
      </c>
      <c r="U183" s="453"/>
      <c r="V183" s="454"/>
      <c r="W183" s="455" t="s">
        <v>406</v>
      </c>
      <c r="X183" s="455">
        <v>45573</v>
      </c>
      <c r="Y183" s="456" t="s">
        <v>377</v>
      </c>
      <c r="Z183" s="457"/>
      <c r="AA183" s="453"/>
    </row>
    <row r="184" spans="1:27" s="128" customFormat="1" ht="37.5">
      <c r="A184" s="443">
        <v>168</v>
      </c>
      <c r="B184" s="444" t="s">
        <v>3268</v>
      </c>
      <c r="C184" s="445" t="s">
        <v>55</v>
      </c>
      <c r="D184" s="444" t="s">
        <v>3269</v>
      </c>
      <c r="E184" s="446">
        <v>3</v>
      </c>
      <c r="F184" s="447"/>
      <c r="G184" s="448">
        <f t="shared" si="6"/>
        <v>0</v>
      </c>
      <c r="H184" s="450"/>
      <c r="I184" s="444"/>
      <c r="J184" s="450"/>
      <c r="K184" s="444" t="s">
        <v>3228</v>
      </c>
      <c r="L184" s="450" t="s">
        <v>385</v>
      </c>
      <c r="M184" s="444" t="s">
        <v>3270</v>
      </c>
      <c r="N184" s="450"/>
      <c r="O184" s="450"/>
      <c r="P184" s="450" t="s">
        <v>923</v>
      </c>
      <c r="Q184" s="451" t="s">
        <v>374</v>
      </c>
      <c r="R184" s="451" t="s">
        <v>2967</v>
      </c>
      <c r="S184" s="452">
        <v>45569</v>
      </c>
      <c r="T184" s="452"/>
      <c r="U184" s="453"/>
      <c r="V184" s="454"/>
      <c r="W184" s="455" t="s">
        <v>406</v>
      </c>
      <c r="X184" s="455">
        <v>45566</v>
      </c>
      <c r="Y184" s="456" t="s">
        <v>377</v>
      </c>
      <c r="Z184" s="457"/>
      <c r="AA184" s="453"/>
    </row>
    <row r="185" spans="1:27" s="128" customFormat="1" ht="37.5">
      <c r="A185" s="443">
        <v>169</v>
      </c>
      <c r="B185" s="444" t="s">
        <v>3271</v>
      </c>
      <c r="C185" s="445" t="s">
        <v>55</v>
      </c>
      <c r="D185" s="444" t="s">
        <v>3272</v>
      </c>
      <c r="E185" s="446">
        <v>1</v>
      </c>
      <c r="F185" s="447"/>
      <c r="G185" s="448">
        <f t="shared" si="6"/>
        <v>0</v>
      </c>
      <c r="H185" s="450"/>
      <c r="I185" s="444"/>
      <c r="J185" s="450"/>
      <c r="K185" s="444" t="s">
        <v>3228</v>
      </c>
      <c r="L185" s="450" t="s">
        <v>385</v>
      </c>
      <c r="M185" s="444" t="s">
        <v>3270</v>
      </c>
      <c r="N185" s="450"/>
      <c r="O185" s="450"/>
      <c r="P185" s="450" t="s">
        <v>923</v>
      </c>
      <c r="Q185" s="451" t="s">
        <v>374</v>
      </c>
      <c r="R185" s="451" t="s">
        <v>2967</v>
      </c>
      <c r="S185" s="452">
        <v>45569</v>
      </c>
      <c r="T185" s="452"/>
      <c r="U185" s="453"/>
      <c r="V185" s="454"/>
      <c r="W185" s="455" t="s">
        <v>406</v>
      </c>
      <c r="X185" s="455">
        <v>45544</v>
      </c>
      <c r="Y185" s="456" t="s">
        <v>377</v>
      </c>
      <c r="Z185" s="457"/>
      <c r="AA185" s="453"/>
    </row>
    <row r="186" spans="1:27" s="128" customFormat="1" ht="37.5">
      <c r="A186" s="443">
        <v>170</v>
      </c>
      <c r="B186" s="444" t="s">
        <v>3273</v>
      </c>
      <c r="C186" s="445" t="s">
        <v>55</v>
      </c>
      <c r="D186" s="444" t="s">
        <v>3274</v>
      </c>
      <c r="E186" s="446">
        <v>2</v>
      </c>
      <c r="F186" s="447"/>
      <c r="G186" s="448">
        <f t="shared" si="6"/>
        <v>0</v>
      </c>
      <c r="H186" s="450"/>
      <c r="I186" s="444"/>
      <c r="J186" s="450"/>
      <c r="K186" s="444" t="s">
        <v>3228</v>
      </c>
      <c r="L186" s="450" t="s">
        <v>385</v>
      </c>
      <c r="M186" s="444" t="s">
        <v>3275</v>
      </c>
      <c r="N186" s="450"/>
      <c r="O186" s="450"/>
      <c r="P186" s="450" t="s">
        <v>923</v>
      </c>
      <c r="Q186" s="451" t="s">
        <v>374</v>
      </c>
      <c r="R186" s="451" t="s">
        <v>260</v>
      </c>
      <c r="S186" s="452">
        <v>45569</v>
      </c>
      <c r="T186" s="452" t="s">
        <v>611</v>
      </c>
      <c r="U186" s="453"/>
      <c r="V186" s="454"/>
      <c r="W186" s="455" t="s">
        <v>406</v>
      </c>
      <c r="X186" s="455">
        <v>45573</v>
      </c>
      <c r="Y186" s="456" t="s">
        <v>377</v>
      </c>
      <c r="Z186" s="457"/>
      <c r="AA186" s="453"/>
    </row>
    <row r="187" spans="1:27" s="128" customFormat="1" ht="37.5">
      <c r="A187" s="443">
        <v>171</v>
      </c>
      <c r="B187" s="444" t="s">
        <v>3276</v>
      </c>
      <c r="C187" s="445" t="s">
        <v>55</v>
      </c>
      <c r="D187" s="444" t="s">
        <v>3277</v>
      </c>
      <c r="E187" s="446">
        <v>3</v>
      </c>
      <c r="F187" s="447"/>
      <c r="G187" s="448">
        <f t="shared" si="6"/>
        <v>0</v>
      </c>
      <c r="H187" s="450"/>
      <c r="I187" s="444"/>
      <c r="J187" s="450"/>
      <c r="K187" s="444" t="s">
        <v>3228</v>
      </c>
      <c r="L187" s="450" t="s">
        <v>385</v>
      </c>
      <c r="M187" s="444" t="s">
        <v>3275</v>
      </c>
      <c r="N187" s="450"/>
      <c r="O187" s="450"/>
      <c r="P187" s="450" t="s">
        <v>923</v>
      </c>
      <c r="Q187" s="451" t="s">
        <v>374</v>
      </c>
      <c r="R187" s="451" t="s">
        <v>260</v>
      </c>
      <c r="S187" s="452">
        <v>45569</v>
      </c>
      <c r="T187" s="452"/>
      <c r="U187" s="453"/>
      <c r="V187" s="454"/>
      <c r="W187" s="455" t="s">
        <v>406</v>
      </c>
      <c r="X187" s="455">
        <v>45566</v>
      </c>
      <c r="Y187" s="456" t="s">
        <v>377</v>
      </c>
      <c r="Z187" s="457"/>
      <c r="AA187" s="453"/>
    </row>
    <row r="188" spans="1:27" s="128" customFormat="1" ht="37.5">
      <c r="A188" s="443">
        <v>172</v>
      </c>
      <c r="B188" s="444" t="s">
        <v>3278</v>
      </c>
      <c r="C188" s="445" t="s">
        <v>55</v>
      </c>
      <c r="D188" s="444" t="s">
        <v>3279</v>
      </c>
      <c r="E188" s="446">
        <v>1</v>
      </c>
      <c r="F188" s="447"/>
      <c r="G188" s="448">
        <f t="shared" si="6"/>
        <v>0</v>
      </c>
      <c r="H188" s="450"/>
      <c r="I188" s="444"/>
      <c r="J188" s="450"/>
      <c r="K188" s="444" t="s">
        <v>3280</v>
      </c>
      <c r="L188" s="450" t="s">
        <v>385</v>
      </c>
      <c r="M188" s="444" t="s">
        <v>3281</v>
      </c>
      <c r="N188" s="450"/>
      <c r="O188" s="450"/>
      <c r="P188" s="450" t="s">
        <v>721</v>
      </c>
      <c r="Q188" s="451" t="s">
        <v>374</v>
      </c>
      <c r="R188" s="451" t="s">
        <v>3282</v>
      </c>
      <c r="S188" s="452">
        <v>45565</v>
      </c>
      <c r="T188" s="452"/>
      <c r="U188" s="453"/>
      <c r="V188" s="454"/>
      <c r="W188" s="455" t="s">
        <v>376</v>
      </c>
      <c r="X188" s="455">
        <v>45559</v>
      </c>
      <c r="Y188" s="456" t="s">
        <v>377</v>
      </c>
      <c r="Z188" s="457"/>
      <c r="AA188" s="453"/>
    </row>
    <row r="189" spans="1:27" s="441" customFormat="1" ht="37.5">
      <c r="A189" s="427">
        <v>173</v>
      </c>
      <c r="B189" s="428" t="s">
        <v>3283</v>
      </c>
      <c r="C189" s="429" t="s">
        <v>55</v>
      </c>
      <c r="D189" s="428" t="s">
        <v>3284</v>
      </c>
      <c r="E189" s="430">
        <v>4</v>
      </c>
      <c r="F189" s="431"/>
      <c r="G189" s="432">
        <f t="shared" si="6"/>
        <v>0</v>
      </c>
      <c r="H189" s="433"/>
      <c r="I189" s="428"/>
      <c r="J189" s="433"/>
      <c r="K189" s="428" t="s">
        <v>3228</v>
      </c>
      <c r="L189" s="433" t="s">
        <v>444</v>
      </c>
      <c r="M189" s="428" t="s">
        <v>444</v>
      </c>
      <c r="N189" s="433"/>
      <c r="O189" s="433"/>
      <c r="P189" s="433" t="s">
        <v>444</v>
      </c>
      <c r="Q189" s="434"/>
      <c r="R189" s="434" t="s">
        <v>3282</v>
      </c>
      <c r="S189" s="435">
        <v>45565</v>
      </c>
      <c r="T189" s="435"/>
      <c r="U189" s="436"/>
      <c r="V189" s="437"/>
      <c r="W189" s="438"/>
      <c r="X189" s="438"/>
      <c r="Y189" s="439" t="s">
        <v>592</v>
      </c>
      <c r="Z189" s="440"/>
      <c r="AA189" s="436"/>
    </row>
    <row r="190" spans="1:27" s="441" customFormat="1">
      <c r="A190" s="427">
        <v>174</v>
      </c>
      <c r="B190" s="428" t="s">
        <v>3285</v>
      </c>
      <c r="C190" s="429" t="s">
        <v>55</v>
      </c>
      <c r="D190" s="428" t="s">
        <v>3286</v>
      </c>
      <c r="E190" s="430">
        <v>2</v>
      </c>
      <c r="F190" s="431"/>
      <c r="G190" s="432">
        <f t="shared" si="6"/>
        <v>0</v>
      </c>
      <c r="H190" s="433"/>
      <c r="I190" s="428"/>
      <c r="J190" s="433"/>
      <c r="K190" s="428"/>
      <c r="L190" s="433"/>
      <c r="M190" s="428"/>
      <c r="N190" s="433"/>
      <c r="O190" s="433"/>
      <c r="P190" s="433"/>
      <c r="Q190" s="434"/>
      <c r="R190" s="434" t="s">
        <v>3282</v>
      </c>
      <c r="S190" s="435">
        <v>45565</v>
      </c>
      <c r="T190" s="435"/>
      <c r="U190" s="436"/>
      <c r="V190" s="437"/>
      <c r="W190" s="438"/>
      <c r="X190" s="438"/>
      <c r="Y190" s="439" t="s">
        <v>592</v>
      </c>
      <c r="Z190" s="440"/>
      <c r="AA190" s="436"/>
    </row>
    <row r="191" spans="1:27" s="441" customFormat="1" ht="37.5">
      <c r="A191" s="427">
        <v>175</v>
      </c>
      <c r="B191" s="428" t="s">
        <v>3287</v>
      </c>
      <c r="C191" s="429" t="s">
        <v>55</v>
      </c>
      <c r="D191" s="428" t="s">
        <v>3288</v>
      </c>
      <c r="E191" s="430">
        <v>2</v>
      </c>
      <c r="F191" s="431"/>
      <c r="G191" s="432">
        <f t="shared" si="6"/>
        <v>0</v>
      </c>
      <c r="H191" s="433"/>
      <c r="I191" s="428"/>
      <c r="J191" s="433"/>
      <c r="K191" s="428" t="s">
        <v>3228</v>
      </c>
      <c r="L191" s="433" t="s">
        <v>444</v>
      </c>
      <c r="M191" s="428" t="s">
        <v>444</v>
      </c>
      <c r="N191" s="433"/>
      <c r="O191" s="433"/>
      <c r="P191" s="433" t="s">
        <v>444</v>
      </c>
      <c r="Q191" s="434"/>
      <c r="R191" s="434" t="s">
        <v>3282</v>
      </c>
      <c r="S191" s="435">
        <v>45565</v>
      </c>
      <c r="T191" s="435"/>
      <c r="U191" s="436"/>
      <c r="V191" s="437"/>
      <c r="W191" s="438"/>
      <c r="X191" s="438"/>
      <c r="Y191" s="439" t="s">
        <v>592</v>
      </c>
      <c r="Z191" s="440"/>
      <c r="AA191" s="436"/>
    </row>
    <row r="192" spans="1:27" s="441" customFormat="1">
      <c r="A192" s="427">
        <v>176</v>
      </c>
      <c r="B192" s="428" t="s">
        <v>3289</v>
      </c>
      <c r="C192" s="429" t="s">
        <v>55</v>
      </c>
      <c r="D192" s="428" t="s">
        <v>3290</v>
      </c>
      <c r="E192" s="430">
        <v>2</v>
      </c>
      <c r="F192" s="431"/>
      <c r="G192" s="432">
        <f t="shared" si="6"/>
        <v>0</v>
      </c>
      <c r="H192" s="433"/>
      <c r="I192" s="428"/>
      <c r="J192" s="433"/>
      <c r="K192" s="428"/>
      <c r="L192" s="433"/>
      <c r="M192" s="428"/>
      <c r="N192" s="433"/>
      <c r="O192" s="433"/>
      <c r="P192" s="433"/>
      <c r="Q192" s="434"/>
      <c r="R192" s="434" t="s">
        <v>3282</v>
      </c>
      <c r="S192" s="435">
        <v>45565</v>
      </c>
      <c r="T192" s="435"/>
      <c r="U192" s="436"/>
      <c r="V192" s="437"/>
      <c r="W192" s="438"/>
      <c r="X192" s="438"/>
      <c r="Y192" s="439" t="s">
        <v>592</v>
      </c>
      <c r="Z192" s="440"/>
      <c r="AA192" s="436"/>
    </row>
    <row r="193" spans="1:27" s="441" customFormat="1">
      <c r="A193" s="427">
        <v>177</v>
      </c>
      <c r="B193" s="428" t="s">
        <v>3291</v>
      </c>
      <c r="C193" s="429" t="s">
        <v>55</v>
      </c>
      <c r="D193" s="428" t="s">
        <v>3292</v>
      </c>
      <c r="E193" s="430">
        <v>4</v>
      </c>
      <c r="F193" s="431"/>
      <c r="G193" s="432">
        <f t="shared" si="6"/>
        <v>0</v>
      </c>
      <c r="H193" s="433"/>
      <c r="I193" s="428"/>
      <c r="J193" s="433"/>
      <c r="K193" s="428"/>
      <c r="L193" s="433"/>
      <c r="M193" s="428"/>
      <c r="N193" s="433"/>
      <c r="O193" s="433"/>
      <c r="P193" s="433"/>
      <c r="Q193" s="434"/>
      <c r="R193" s="434" t="s">
        <v>3282</v>
      </c>
      <c r="S193" s="435">
        <v>45565</v>
      </c>
      <c r="T193" s="435"/>
      <c r="U193" s="436"/>
      <c r="V193" s="437"/>
      <c r="W193" s="438"/>
      <c r="X193" s="438"/>
      <c r="Y193" s="439" t="s">
        <v>592</v>
      </c>
      <c r="Z193" s="440"/>
      <c r="AA193" s="436"/>
    </row>
    <row r="194" spans="1:27" s="441" customFormat="1">
      <c r="A194" s="427">
        <v>178</v>
      </c>
      <c r="B194" s="428" t="s">
        <v>3293</v>
      </c>
      <c r="C194" s="429" t="s">
        <v>55</v>
      </c>
      <c r="D194" s="428" t="s">
        <v>3294</v>
      </c>
      <c r="E194" s="430">
        <v>2</v>
      </c>
      <c r="F194" s="431"/>
      <c r="G194" s="432">
        <f t="shared" si="6"/>
        <v>0</v>
      </c>
      <c r="H194" s="433"/>
      <c r="I194" s="428"/>
      <c r="J194" s="433"/>
      <c r="K194" s="428"/>
      <c r="L194" s="433"/>
      <c r="M194" s="428"/>
      <c r="N194" s="433"/>
      <c r="O194" s="433"/>
      <c r="P194" s="433"/>
      <c r="Q194" s="434"/>
      <c r="R194" s="434" t="s">
        <v>3282</v>
      </c>
      <c r="S194" s="435">
        <v>45565</v>
      </c>
      <c r="T194" s="435"/>
      <c r="U194" s="436"/>
      <c r="V194" s="437"/>
      <c r="W194" s="438"/>
      <c r="X194" s="438"/>
      <c r="Y194" s="439" t="s">
        <v>592</v>
      </c>
      <c r="Z194" s="440"/>
      <c r="AA194" s="436"/>
    </row>
    <row r="195" spans="1:27" s="128" customFormat="1" ht="37.5">
      <c r="A195" s="443">
        <v>179</v>
      </c>
      <c r="B195" s="444" t="s">
        <v>3295</v>
      </c>
      <c r="C195" s="445" t="s">
        <v>55</v>
      </c>
      <c r="D195" s="444" t="s">
        <v>3296</v>
      </c>
      <c r="E195" s="446">
        <v>4</v>
      </c>
      <c r="F195" s="447"/>
      <c r="G195" s="448">
        <f t="shared" si="6"/>
        <v>0</v>
      </c>
      <c r="H195" s="450"/>
      <c r="I195" s="444"/>
      <c r="J195" s="450"/>
      <c r="K195" s="444" t="s">
        <v>3228</v>
      </c>
      <c r="L195" s="450" t="s">
        <v>385</v>
      </c>
      <c r="M195" s="444" t="s">
        <v>3270</v>
      </c>
      <c r="N195" s="450"/>
      <c r="O195" s="450"/>
      <c r="P195" s="450" t="s">
        <v>923</v>
      </c>
      <c r="Q195" s="451" t="s">
        <v>374</v>
      </c>
      <c r="R195" s="451" t="s">
        <v>2967</v>
      </c>
      <c r="S195" s="452">
        <v>45569</v>
      </c>
      <c r="T195" s="452"/>
      <c r="U195" s="453"/>
      <c r="V195" s="454"/>
      <c r="W195" s="455" t="s">
        <v>406</v>
      </c>
      <c r="X195" s="455">
        <v>45566</v>
      </c>
      <c r="Y195" s="456" t="s">
        <v>377</v>
      </c>
      <c r="Z195" s="457"/>
      <c r="AA195" s="453"/>
    </row>
    <row r="196" spans="1:27" s="441" customFormat="1" ht="37.5">
      <c r="A196" s="477">
        <v>180</v>
      </c>
      <c r="B196" s="478" t="s">
        <v>3297</v>
      </c>
      <c r="C196" s="479" t="s">
        <v>55</v>
      </c>
      <c r="D196" s="478" t="s">
        <v>3298</v>
      </c>
      <c r="E196" s="480">
        <v>1</v>
      </c>
      <c r="F196" s="481"/>
      <c r="G196" s="482">
        <f t="shared" si="6"/>
        <v>0</v>
      </c>
      <c r="H196" s="483"/>
      <c r="I196" s="478"/>
      <c r="J196" s="483"/>
      <c r="K196" s="478" t="s">
        <v>3228</v>
      </c>
      <c r="L196" s="483" t="s">
        <v>385</v>
      </c>
      <c r="M196" s="478" t="s">
        <v>3252</v>
      </c>
      <c r="N196" s="483"/>
      <c r="O196" s="483"/>
      <c r="P196" s="483" t="s">
        <v>923</v>
      </c>
      <c r="Q196" s="484" t="s">
        <v>611</v>
      </c>
      <c r="R196" s="484" t="s">
        <v>2957</v>
      </c>
      <c r="S196" s="485">
        <v>45574</v>
      </c>
      <c r="T196" s="485"/>
      <c r="U196" s="486"/>
      <c r="V196" s="487"/>
      <c r="W196" s="488" t="s">
        <v>406</v>
      </c>
      <c r="X196" s="488">
        <v>45573</v>
      </c>
      <c r="Y196" s="489" t="s">
        <v>592</v>
      </c>
      <c r="Z196" s="490"/>
      <c r="AA196" s="486"/>
    </row>
    <row r="197" spans="1:27" s="441" customFormat="1">
      <c r="A197" s="427">
        <v>181</v>
      </c>
      <c r="B197" s="428" t="s">
        <v>3299</v>
      </c>
      <c r="C197" s="429" t="s">
        <v>55</v>
      </c>
      <c r="D197" s="428" t="s">
        <v>2902</v>
      </c>
      <c r="E197" s="430">
        <v>2</v>
      </c>
      <c r="F197" s="431"/>
      <c r="G197" s="432">
        <f t="shared" ref="G197:G203" si="7">E197*F197</f>
        <v>0</v>
      </c>
      <c r="H197" s="433"/>
      <c r="I197" s="428"/>
      <c r="J197" s="433"/>
      <c r="K197" s="428"/>
      <c r="L197" s="433"/>
      <c r="M197" s="428"/>
      <c r="N197" s="433"/>
      <c r="O197" s="433"/>
      <c r="P197" s="433"/>
      <c r="Q197" s="434"/>
      <c r="R197" s="434"/>
      <c r="S197" s="435"/>
      <c r="T197" s="435"/>
      <c r="U197" s="436"/>
      <c r="V197" s="437"/>
      <c r="W197" s="438"/>
      <c r="X197" s="438"/>
      <c r="Y197" s="439" t="s">
        <v>592</v>
      </c>
      <c r="Z197" s="440"/>
      <c r="AA197" s="436"/>
    </row>
    <row r="198" spans="1:27" s="441" customFormat="1">
      <c r="A198" s="427">
        <v>182</v>
      </c>
      <c r="B198" s="428" t="s">
        <v>2897</v>
      </c>
      <c r="C198" s="429" t="s">
        <v>55</v>
      </c>
      <c r="D198" s="428" t="s">
        <v>2898</v>
      </c>
      <c r="E198" s="430">
        <v>2</v>
      </c>
      <c r="F198" s="431"/>
      <c r="G198" s="432">
        <f t="shared" si="7"/>
        <v>0</v>
      </c>
      <c r="H198" s="433"/>
      <c r="I198" s="428"/>
      <c r="J198" s="433"/>
      <c r="K198" s="428"/>
      <c r="L198" s="433"/>
      <c r="M198" s="428"/>
      <c r="N198" s="433"/>
      <c r="O198" s="433"/>
      <c r="P198" s="433"/>
      <c r="Q198" s="434"/>
      <c r="R198" s="434"/>
      <c r="S198" s="435"/>
      <c r="T198" s="435"/>
      <c r="U198" s="436"/>
      <c r="V198" s="437"/>
      <c r="W198" s="438"/>
      <c r="X198" s="438"/>
      <c r="Y198" s="439" t="s">
        <v>592</v>
      </c>
      <c r="Z198" s="440"/>
      <c r="AA198" s="436"/>
    </row>
    <row r="199" spans="1:27" s="128" customFormat="1" ht="37.5">
      <c r="A199" s="405">
        <v>183</v>
      </c>
      <c r="B199" s="407" t="s">
        <v>2897</v>
      </c>
      <c r="C199" s="406" t="s">
        <v>55</v>
      </c>
      <c r="D199" s="407" t="s">
        <v>2898</v>
      </c>
      <c r="E199" s="408">
        <v>6</v>
      </c>
      <c r="F199" s="409"/>
      <c r="G199" s="410">
        <f t="shared" si="7"/>
        <v>0</v>
      </c>
      <c r="H199" s="412"/>
      <c r="I199" s="407"/>
      <c r="J199" s="412"/>
      <c r="K199" s="407" t="s">
        <v>3300</v>
      </c>
      <c r="L199" s="412" t="s">
        <v>444</v>
      </c>
      <c r="M199" s="407" t="s">
        <v>444</v>
      </c>
      <c r="N199" s="412"/>
      <c r="O199" s="412"/>
      <c r="P199" s="412" t="s">
        <v>444</v>
      </c>
      <c r="Q199" s="413" t="s">
        <v>1514</v>
      </c>
      <c r="R199" s="413" t="s">
        <v>260</v>
      </c>
      <c r="S199" s="414"/>
      <c r="T199" s="414"/>
      <c r="U199" s="415"/>
      <c r="V199" s="416"/>
      <c r="W199" s="417"/>
      <c r="X199" s="417"/>
      <c r="Y199" s="418" t="s">
        <v>377</v>
      </c>
      <c r="Z199" s="419"/>
      <c r="AA199" s="415"/>
    </row>
    <row r="200" spans="1:27" s="128" customFormat="1" ht="37.5">
      <c r="A200" s="405">
        <v>184</v>
      </c>
      <c r="B200" s="407" t="s">
        <v>3299</v>
      </c>
      <c r="C200" s="406" t="s">
        <v>55</v>
      </c>
      <c r="D200" s="407" t="s">
        <v>2902</v>
      </c>
      <c r="E200" s="408">
        <v>6</v>
      </c>
      <c r="F200" s="409"/>
      <c r="G200" s="410">
        <f t="shared" si="7"/>
        <v>0</v>
      </c>
      <c r="H200" s="412"/>
      <c r="I200" s="407"/>
      <c r="J200" s="412"/>
      <c r="K200" s="407" t="s">
        <v>3300</v>
      </c>
      <c r="L200" s="412" t="s">
        <v>444</v>
      </c>
      <c r="M200" s="407" t="s">
        <v>444</v>
      </c>
      <c r="N200" s="412"/>
      <c r="O200" s="412"/>
      <c r="P200" s="412" t="s">
        <v>444</v>
      </c>
      <c r="Q200" s="413" t="s">
        <v>1514</v>
      </c>
      <c r="R200" s="413" t="s">
        <v>2906</v>
      </c>
      <c r="S200" s="414"/>
      <c r="T200" s="414"/>
      <c r="U200" s="415"/>
      <c r="V200" s="416"/>
      <c r="W200" s="417"/>
      <c r="X200" s="417"/>
      <c r="Y200" s="418" t="s">
        <v>377</v>
      </c>
      <c r="Z200" s="419"/>
      <c r="AA200" s="415"/>
    </row>
    <row r="201" spans="1:27" s="128" customFormat="1" ht="37.5">
      <c r="A201" s="405">
        <v>185</v>
      </c>
      <c r="B201" s="407" t="s">
        <v>3301</v>
      </c>
      <c r="C201" s="406" t="s">
        <v>55</v>
      </c>
      <c r="D201" s="407" t="s">
        <v>3302</v>
      </c>
      <c r="E201" s="408">
        <v>7</v>
      </c>
      <c r="F201" s="409"/>
      <c r="G201" s="410">
        <f t="shared" si="7"/>
        <v>0</v>
      </c>
      <c r="H201" s="412"/>
      <c r="I201" s="407"/>
      <c r="J201" s="412"/>
      <c r="K201" s="407" t="s">
        <v>3303</v>
      </c>
      <c r="L201" s="412" t="s">
        <v>444</v>
      </c>
      <c r="M201" s="407" t="s">
        <v>444</v>
      </c>
      <c r="N201" s="412"/>
      <c r="O201" s="412"/>
      <c r="P201" s="412" t="s">
        <v>444</v>
      </c>
      <c r="Q201" s="413" t="s">
        <v>1514</v>
      </c>
      <c r="R201" s="413" t="s">
        <v>2906</v>
      </c>
      <c r="S201" s="414"/>
      <c r="T201" s="414"/>
      <c r="U201" s="415"/>
      <c r="V201" s="416"/>
      <c r="W201" s="417"/>
      <c r="X201" s="417"/>
      <c r="Y201" s="418" t="s">
        <v>377</v>
      </c>
      <c r="Z201" s="496"/>
      <c r="AA201" s="415"/>
    </row>
    <row r="202" spans="1:27" s="128" customFormat="1" ht="37.5">
      <c r="A202" s="443">
        <v>186</v>
      </c>
      <c r="B202" s="444" t="s">
        <v>3304</v>
      </c>
      <c r="C202" s="445" t="s">
        <v>55</v>
      </c>
      <c r="D202" s="444" t="s">
        <v>3305</v>
      </c>
      <c r="E202" s="446">
        <v>3</v>
      </c>
      <c r="F202" s="447"/>
      <c r="G202" s="448">
        <f t="shared" si="7"/>
        <v>0</v>
      </c>
      <c r="H202" s="450"/>
      <c r="I202" s="444"/>
      <c r="J202" s="450"/>
      <c r="K202" s="444" t="s">
        <v>3303</v>
      </c>
      <c r="L202" s="450" t="s">
        <v>444</v>
      </c>
      <c r="M202" s="444" t="s">
        <v>444</v>
      </c>
      <c r="N202" s="450"/>
      <c r="O202" s="450"/>
      <c r="P202" s="450" t="s">
        <v>444</v>
      </c>
      <c r="Q202" s="451" t="s">
        <v>374</v>
      </c>
      <c r="R202" s="451" t="s">
        <v>236</v>
      </c>
      <c r="S202" s="452"/>
      <c r="T202" s="452" t="s">
        <v>481</v>
      </c>
      <c r="U202" s="453"/>
      <c r="V202" s="454"/>
      <c r="W202" s="455" t="s">
        <v>406</v>
      </c>
      <c r="X202" s="455">
        <v>45610</v>
      </c>
      <c r="Y202" s="456" t="s">
        <v>377</v>
      </c>
      <c r="Z202" s="498"/>
      <c r="AA202" s="453"/>
    </row>
    <row r="203" spans="1:27" s="128" customFormat="1" ht="37.5">
      <c r="A203" s="405">
        <v>187</v>
      </c>
      <c r="B203" s="407" t="s">
        <v>3306</v>
      </c>
      <c r="C203" s="406" t="s">
        <v>55</v>
      </c>
      <c r="D203" s="407" t="s">
        <v>3307</v>
      </c>
      <c r="E203" s="408">
        <v>12</v>
      </c>
      <c r="F203" s="409"/>
      <c r="G203" s="410">
        <f t="shared" si="7"/>
        <v>0</v>
      </c>
      <c r="H203" s="412"/>
      <c r="I203" s="407"/>
      <c r="J203" s="412"/>
      <c r="K203" s="407" t="s">
        <v>3308</v>
      </c>
      <c r="L203" s="412" t="s">
        <v>444</v>
      </c>
      <c r="M203" s="407" t="s">
        <v>444</v>
      </c>
      <c r="N203" s="412"/>
      <c r="O203" s="412"/>
      <c r="P203" s="412" t="s">
        <v>444</v>
      </c>
      <c r="Q203" s="413" t="s">
        <v>1514</v>
      </c>
      <c r="R203" s="413" t="s">
        <v>260</v>
      </c>
      <c r="S203" s="414"/>
      <c r="T203" s="414"/>
      <c r="U203" s="415"/>
      <c r="V203" s="416"/>
      <c r="W203" s="417"/>
      <c r="X203" s="417"/>
      <c r="Y203" s="418" t="s">
        <v>377</v>
      </c>
      <c r="Z203" s="496"/>
      <c r="AA203" s="415"/>
    </row>
    <row r="204" spans="1:27">
      <c r="A204" s="389"/>
      <c r="B204" s="390" t="s">
        <v>716</v>
      </c>
      <c r="C204" s="391"/>
      <c r="D204" s="392"/>
      <c r="E204" s="393"/>
      <c r="F204" s="394"/>
      <c r="G204" s="395">
        <f t="shared" si="6"/>
        <v>0</v>
      </c>
      <c r="H204" s="420"/>
      <c r="I204" s="392"/>
      <c r="J204" s="420"/>
      <c r="K204" s="392"/>
      <c r="L204" s="397"/>
      <c r="M204" s="392"/>
      <c r="N204" s="397"/>
      <c r="O204" s="397"/>
      <c r="P204" s="397"/>
      <c r="Q204" s="398"/>
      <c r="R204" s="398"/>
      <c r="S204" s="399"/>
      <c r="T204" s="399"/>
      <c r="U204" s="400"/>
      <c r="V204" s="401"/>
      <c r="W204" s="402"/>
      <c r="X204" s="402"/>
      <c r="Y204" s="403"/>
      <c r="Z204" s="404"/>
      <c r="AA204" s="493"/>
    </row>
    <row r="205" spans="1:27" s="128" customFormat="1" ht="37.5">
      <c r="A205" s="443">
        <v>1</v>
      </c>
      <c r="B205" s="444" t="s">
        <v>3309</v>
      </c>
      <c r="C205" s="445" t="s">
        <v>58</v>
      </c>
      <c r="D205" s="444" t="s">
        <v>3310</v>
      </c>
      <c r="E205" s="446">
        <v>1</v>
      </c>
      <c r="F205" s="447"/>
      <c r="G205" s="448">
        <f t="shared" ref="G205:G236" si="8">E205*F205</f>
        <v>0</v>
      </c>
      <c r="H205" s="450"/>
      <c r="I205" s="444"/>
      <c r="J205" s="450"/>
      <c r="K205" s="444" t="s">
        <v>3311</v>
      </c>
      <c r="L205" s="450" t="s">
        <v>1173</v>
      </c>
      <c r="M205" s="444" t="s">
        <v>3312</v>
      </c>
      <c r="N205" s="450"/>
      <c r="O205" s="450"/>
      <c r="P205" s="450" t="s">
        <v>547</v>
      </c>
      <c r="Q205" s="451" t="s">
        <v>374</v>
      </c>
      <c r="R205" s="451" t="s">
        <v>3313</v>
      </c>
      <c r="S205" s="452">
        <v>45590</v>
      </c>
      <c r="T205" s="452" t="s">
        <v>3314</v>
      </c>
      <c r="U205" s="453"/>
      <c r="V205" s="454"/>
      <c r="W205" s="455" t="s">
        <v>406</v>
      </c>
      <c r="X205" s="455">
        <v>45574</v>
      </c>
      <c r="Y205" s="456" t="s">
        <v>377</v>
      </c>
      <c r="Z205" s="457"/>
      <c r="AA205" s="453"/>
    </row>
    <row r="206" spans="1:27" s="128" customFormat="1" ht="37.5">
      <c r="A206" s="443">
        <v>2</v>
      </c>
      <c r="B206" s="444" t="s">
        <v>3315</v>
      </c>
      <c r="C206" s="445" t="s">
        <v>58</v>
      </c>
      <c r="D206" s="444" t="s">
        <v>3316</v>
      </c>
      <c r="E206" s="446">
        <v>1</v>
      </c>
      <c r="F206" s="447"/>
      <c r="G206" s="448">
        <f t="shared" si="8"/>
        <v>0</v>
      </c>
      <c r="H206" s="450"/>
      <c r="I206" s="444"/>
      <c r="J206" s="450"/>
      <c r="K206" s="444" t="s">
        <v>3311</v>
      </c>
      <c r="L206" s="450" t="s">
        <v>1173</v>
      </c>
      <c r="M206" s="444" t="s">
        <v>3312</v>
      </c>
      <c r="N206" s="450"/>
      <c r="O206" s="450"/>
      <c r="P206" s="450" t="s">
        <v>547</v>
      </c>
      <c r="Q206" s="451" t="s">
        <v>374</v>
      </c>
      <c r="R206" s="451" t="s">
        <v>3313</v>
      </c>
      <c r="S206" s="452">
        <v>45590</v>
      </c>
      <c r="T206" s="452" t="s">
        <v>3314</v>
      </c>
      <c r="U206" s="453"/>
      <c r="V206" s="454"/>
      <c r="W206" s="455" t="s">
        <v>406</v>
      </c>
      <c r="X206" s="455">
        <v>45574</v>
      </c>
      <c r="Y206" s="456" t="s">
        <v>377</v>
      </c>
      <c r="Z206" s="457"/>
      <c r="AA206" s="453"/>
    </row>
    <row r="207" spans="1:27" s="128" customFormat="1" ht="37.5">
      <c r="A207" s="443">
        <v>3</v>
      </c>
      <c r="B207" s="444" t="s">
        <v>3317</v>
      </c>
      <c r="C207" s="445" t="s">
        <v>58</v>
      </c>
      <c r="D207" s="444" t="s">
        <v>3318</v>
      </c>
      <c r="E207" s="446">
        <v>1</v>
      </c>
      <c r="F207" s="447"/>
      <c r="G207" s="448">
        <f t="shared" si="8"/>
        <v>0</v>
      </c>
      <c r="H207" s="450"/>
      <c r="I207" s="444"/>
      <c r="J207" s="450"/>
      <c r="K207" s="444" t="s">
        <v>3311</v>
      </c>
      <c r="L207" s="450" t="s">
        <v>1173</v>
      </c>
      <c r="M207" s="444" t="s">
        <v>3319</v>
      </c>
      <c r="N207" s="450"/>
      <c r="O207" s="450"/>
      <c r="P207" s="450" t="s">
        <v>547</v>
      </c>
      <c r="Q207" s="451" t="s">
        <v>374</v>
      </c>
      <c r="R207" s="451" t="s">
        <v>3320</v>
      </c>
      <c r="S207" s="452">
        <v>45558</v>
      </c>
      <c r="T207" s="452"/>
      <c r="U207" s="453"/>
      <c r="V207" s="454"/>
      <c r="W207" s="455" t="s">
        <v>376</v>
      </c>
      <c r="X207" s="455">
        <v>45559</v>
      </c>
      <c r="Y207" s="456" t="s">
        <v>377</v>
      </c>
      <c r="Z207" s="457"/>
      <c r="AA207" s="453"/>
    </row>
    <row r="208" spans="1:27" s="128" customFormat="1" ht="37.5">
      <c r="A208" s="443">
        <v>4</v>
      </c>
      <c r="B208" s="444" t="s">
        <v>3321</v>
      </c>
      <c r="C208" s="445" t="s">
        <v>58</v>
      </c>
      <c r="D208" s="444" t="s">
        <v>3322</v>
      </c>
      <c r="E208" s="446">
        <v>1</v>
      </c>
      <c r="F208" s="447"/>
      <c r="G208" s="448">
        <f t="shared" si="8"/>
        <v>0</v>
      </c>
      <c r="H208" s="450"/>
      <c r="I208" s="444"/>
      <c r="J208" s="450"/>
      <c r="K208" s="444" t="s">
        <v>3311</v>
      </c>
      <c r="L208" s="450" t="s">
        <v>1173</v>
      </c>
      <c r="M208" s="444" t="s">
        <v>3323</v>
      </c>
      <c r="N208" s="450"/>
      <c r="O208" s="450"/>
      <c r="P208" s="450" t="s">
        <v>547</v>
      </c>
      <c r="Q208" s="451" t="s">
        <v>374</v>
      </c>
      <c r="R208" s="451" t="s">
        <v>3324</v>
      </c>
      <c r="S208" s="452">
        <v>45590</v>
      </c>
      <c r="T208" s="452"/>
      <c r="U208" s="453"/>
      <c r="V208" s="454"/>
      <c r="W208" s="455" t="s">
        <v>376</v>
      </c>
      <c r="X208" s="455">
        <v>45559</v>
      </c>
      <c r="Y208" s="456" t="s">
        <v>377</v>
      </c>
      <c r="Z208" s="457"/>
      <c r="AA208" s="453"/>
    </row>
    <row r="209" spans="1:27" s="128" customFormat="1" ht="37.5">
      <c r="A209" s="443">
        <v>5</v>
      </c>
      <c r="B209" s="444" t="s">
        <v>3325</v>
      </c>
      <c r="C209" s="445" t="s">
        <v>58</v>
      </c>
      <c r="D209" s="444" t="s">
        <v>3326</v>
      </c>
      <c r="E209" s="446">
        <v>1</v>
      </c>
      <c r="F209" s="447"/>
      <c r="G209" s="448">
        <f t="shared" si="8"/>
        <v>0</v>
      </c>
      <c r="H209" s="450"/>
      <c r="I209" s="444"/>
      <c r="J209" s="450"/>
      <c r="K209" s="444" t="s">
        <v>3311</v>
      </c>
      <c r="L209" s="450" t="s">
        <v>1173</v>
      </c>
      <c r="M209" s="444" t="s">
        <v>3319</v>
      </c>
      <c r="N209" s="450"/>
      <c r="O209" s="450"/>
      <c r="P209" s="450" t="s">
        <v>547</v>
      </c>
      <c r="Q209" s="451" t="s">
        <v>374</v>
      </c>
      <c r="R209" s="451" t="s">
        <v>3320</v>
      </c>
      <c r="S209" s="452">
        <v>45558</v>
      </c>
      <c r="T209" s="452"/>
      <c r="U209" s="453"/>
      <c r="V209" s="454"/>
      <c r="W209" s="455" t="s">
        <v>376</v>
      </c>
      <c r="X209" s="455">
        <v>45559</v>
      </c>
      <c r="Y209" s="456" t="s">
        <v>377</v>
      </c>
      <c r="Z209" s="457"/>
      <c r="AA209" s="453"/>
    </row>
    <row r="210" spans="1:27" s="128" customFormat="1" ht="37.5">
      <c r="A210" s="443">
        <v>6</v>
      </c>
      <c r="B210" s="444" t="s">
        <v>3327</v>
      </c>
      <c r="C210" s="445" t="s">
        <v>58</v>
      </c>
      <c r="D210" s="444" t="s">
        <v>3328</v>
      </c>
      <c r="E210" s="446">
        <v>1</v>
      </c>
      <c r="F210" s="447"/>
      <c r="G210" s="448">
        <f t="shared" si="8"/>
        <v>0</v>
      </c>
      <c r="H210" s="450"/>
      <c r="I210" s="444"/>
      <c r="J210" s="450"/>
      <c r="K210" s="444" t="s">
        <v>3311</v>
      </c>
      <c r="L210" s="450" t="s">
        <v>1173</v>
      </c>
      <c r="M210" s="444" t="s">
        <v>3329</v>
      </c>
      <c r="N210" s="450"/>
      <c r="O210" s="450"/>
      <c r="P210" s="450" t="s">
        <v>547</v>
      </c>
      <c r="Q210" s="451" t="s">
        <v>374</v>
      </c>
      <c r="R210" s="451" t="s">
        <v>2967</v>
      </c>
      <c r="S210" s="452">
        <v>45558</v>
      </c>
      <c r="T210" s="452"/>
      <c r="U210" s="453"/>
      <c r="V210" s="454"/>
      <c r="W210" s="455" t="s">
        <v>406</v>
      </c>
      <c r="X210" s="455">
        <v>45553</v>
      </c>
      <c r="Y210" s="456" t="s">
        <v>377</v>
      </c>
      <c r="Z210" s="457"/>
      <c r="AA210" s="453"/>
    </row>
    <row r="211" spans="1:27" s="128" customFormat="1" ht="37.5">
      <c r="A211" s="443">
        <v>7</v>
      </c>
      <c r="B211" s="444" t="s">
        <v>3330</v>
      </c>
      <c r="C211" s="445" t="s">
        <v>58</v>
      </c>
      <c r="D211" s="444" t="s">
        <v>3331</v>
      </c>
      <c r="E211" s="446">
        <v>1</v>
      </c>
      <c r="F211" s="447"/>
      <c r="G211" s="448">
        <f t="shared" si="8"/>
        <v>0</v>
      </c>
      <c r="H211" s="450"/>
      <c r="I211" s="444"/>
      <c r="J211" s="450"/>
      <c r="K211" s="444" t="s">
        <v>3311</v>
      </c>
      <c r="L211" s="450" t="s">
        <v>1173</v>
      </c>
      <c r="M211" s="444" t="s">
        <v>3319</v>
      </c>
      <c r="N211" s="450"/>
      <c r="O211" s="450"/>
      <c r="P211" s="450" t="s">
        <v>547</v>
      </c>
      <c r="Q211" s="451" t="s">
        <v>374</v>
      </c>
      <c r="R211" s="451" t="s">
        <v>3320</v>
      </c>
      <c r="S211" s="452">
        <v>45558</v>
      </c>
      <c r="T211" s="452"/>
      <c r="U211" s="453"/>
      <c r="V211" s="454"/>
      <c r="W211" s="455" t="s">
        <v>376</v>
      </c>
      <c r="X211" s="455">
        <v>45559</v>
      </c>
      <c r="Y211" s="456" t="s">
        <v>377</v>
      </c>
      <c r="Z211" s="457"/>
      <c r="AA211" s="453"/>
    </row>
    <row r="212" spans="1:27" s="128" customFormat="1" ht="37.5">
      <c r="A212" s="443">
        <v>8</v>
      </c>
      <c r="B212" s="444" t="s">
        <v>3332</v>
      </c>
      <c r="C212" s="445" t="s">
        <v>58</v>
      </c>
      <c r="D212" s="444" t="s">
        <v>3333</v>
      </c>
      <c r="E212" s="446">
        <v>1</v>
      </c>
      <c r="F212" s="447"/>
      <c r="G212" s="448">
        <f t="shared" si="8"/>
        <v>0</v>
      </c>
      <c r="H212" s="450"/>
      <c r="I212" s="444"/>
      <c r="J212" s="450"/>
      <c r="K212" s="444" t="s">
        <v>3311</v>
      </c>
      <c r="L212" s="450" t="s">
        <v>1173</v>
      </c>
      <c r="M212" s="444" t="s">
        <v>3312</v>
      </c>
      <c r="N212" s="450"/>
      <c r="O212" s="450"/>
      <c r="P212" s="450" t="s">
        <v>547</v>
      </c>
      <c r="Q212" s="451" t="s">
        <v>374</v>
      </c>
      <c r="R212" s="451" t="s">
        <v>3313</v>
      </c>
      <c r="S212" s="452">
        <v>45558</v>
      </c>
      <c r="T212" s="452"/>
      <c r="U212" s="453"/>
      <c r="V212" s="454"/>
      <c r="W212" s="455" t="s">
        <v>406</v>
      </c>
      <c r="X212" s="455">
        <v>45554</v>
      </c>
      <c r="Y212" s="456" t="s">
        <v>377</v>
      </c>
      <c r="Z212" s="457"/>
      <c r="AA212" s="453"/>
    </row>
    <row r="213" spans="1:27" s="128" customFormat="1" ht="37.5">
      <c r="A213" s="443">
        <v>9</v>
      </c>
      <c r="B213" s="444" t="s">
        <v>3334</v>
      </c>
      <c r="C213" s="445" t="s">
        <v>58</v>
      </c>
      <c r="D213" s="444" t="s">
        <v>3335</v>
      </c>
      <c r="E213" s="446">
        <v>1</v>
      </c>
      <c r="F213" s="447"/>
      <c r="G213" s="448">
        <f t="shared" si="8"/>
        <v>0</v>
      </c>
      <c r="H213" s="450"/>
      <c r="I213" s="444"/>
      <c r="J213" s="450"/>
      <c r="K213" s="444" t="s">
        <v>3311</v>
      </c>
      <c r="L213" s="450" t="s">
        <v>1173</v>
      </c>
      <c r="M213" s="444" t="s">
        <v>3312</v>
      </c>
      <c r="N213" s="450"/>
      <c r="O213" s="450"/>
      <c r="P213" s="450" t="s">
        <v>547</v>
      </c>
      <c r="Q213" s="451" t="s">
        <v>374</v>
      </c>
      <c r="R213" s="451" t="s">
        <v>3313</v>
      </c>
      <c r="S213" s="452">
        <v>45558</v>
      </c>
      <c r="T213" s="452"/>
      <c r="U213" s="453"/>
      <c r="V213" s="454"/>
      <c r="W213" s="455" t="s">
        <v>376</v>
      </c>
      <c r="X213" s="455">
        <v>45559</v>
      </c>
      <c r="Y213" s="456" t="s">
        <v>377</v>
      </c>
      <c r="Z213" s="457"/>
      <c r="AA213" s="453"/>
    </row>
    <row r="214" spans="1:27" s="128" customFormat="1" ht="37.5">
      <c r="A214" s="443">
        <v>10</v>
      </c>
      <c r="B214" s="444" t="s">
        <v>3336</v>
      </c>
      <c r="C214" s="445" t="s">
        <v>58</v>
      </c>
      <c r="D214" s="444" t="s">
        <v>3337</v>
      </c>
      <c r="E214" s="446">
        <v>1</v>
      </c>
      <c r="F214" s="447"/>
      <c r="G214" s="448">
        <f t="shared" si="8"/>
        <v>0</v>
      </c>
      <c r="H214" s="450"/>
      <c r="I214" s="444"/>
      <c r="J214" s="450"/>
      <c r="K214" s="444" t="s">
        <v>3311</v>
      </c>
      <c r="L214" s="450" t="s">
        <v>1173</v>
      </c>
      <c r="M214" s="444" t="s">
        <v>3319</v>
      </c>
      <c r="N214" s="450"/>
      <c r="O214" s="450"/>
      <c r="P214" s="450" t="s">
        <v>547</v>
      </c>
      <c r="Q214" s="451" t="s">
        <v>374</v>
      </c>
      <c r="R214" s="451" t="s">
        <v>3320</v>
      </c>
      <c r="S214" s="452">
        <v>45558</v>
      </c>
      <c r="T214" s="452"/>
      <c r="U214" s="453"/>
      <c r="V214" s="454"/>
      <c r="W214" s="455" t="s">
        <v>376</v>
      </c>
      <c r="X214" s="455">
        <v>45559</v>
      </c>
      <c r="Y214" s="456" t="s">
        <v>377</v>
      </c>
      <c r="Z214" s="457"/>
      <c r="AA214" s="453"/>
    </row>
    <row r="215" spans="1:27" s="128" customFormat="1" ht="37.5">
      <c r="A215" s="443">
        <v>11</v>
      </c>
      <c r="B215" s="444" t="s">
        <v>3338</v>
      </c>
      <c r="C215" s="445" t="s">
        <v>58</v>
      </c>
      <c r="D215" s="444" t="s">
        <v>3339</v>
      </c>
      <c r="E215" s="446">
        <v>1</v>
      </c>
      <c r="F215" s="447"/>
      <c r="G215" s="448">
        <f t="shared" si="8"/>
        <v>0</v>
      </c>
      <c r="H215" s="450"/>
      <c r="I215" s="444"/>
      <c r="J215" s="450"/>
      <c r="K215" s="444" t="s">
        <v>3311</v>
      </c>
      <c r="L215" s="450" t="s">
        <v>1173</v>
      </c>
      <c r="M215" s="444" t="s">
        <v>3329</v>
      </c>
      <c r="N215" s="450"/>
      <c r="O215" s="450"/>
      <c r="P215" s="450" t="s">
        <v>547</v>
      </c>
      <c r="Q215" s="451" t="s">
        <v>374</v>
      </c>
      <c r="R215" s="451" t="s">
        <v>2967</v>
      </c>
      <c r="S215" s="452">
        <v>45558</v>
      </c>
      <c r="T215" s="452"/>
      <c r="U215" s="453"/>
      <c r="V215" s="454"/>
      <c r="W215" s="455" t="s">
        <v>406</v>
      </c>
      <c r="X215" s="455">
        <v>45553</v>
      </c>
      <c r="Y215" s="456" t="s">
        <v>377</v>
      </c>
      <c r="Z215" s="457"/>
      <c r="AA215" s="453"/>
    </row>
    <row r="216" spans="1:27" s="128" customFormat="1" ht="37.5">
      <c r="A216" s="443">
        <v>12</v>
      </c>
      <c r="B216" s="444" t="s">
        <v>3340</v>
      </c>
      <c r="C216" s="445" t="s">
        <v>58</v>
      </c>
      <c r="D216" s="444" t="s">
        <v>3341</v>
      </c>
      <c r="E216" s="446">
        <v>2</v>
      </c>
      <c r="F216" s="447"/>
      <c r="G216" s="448">
        <f t="shared" si="8"/>
        <v>0</v>
      </c>
      <c r="H216" s="450"/>
      <c r="I216" s="444"/>
      <c r="J216" s="450"/>
      <c r="K216" s="444" t="s">
        <v>3311</v>
      </c>
      <c r="L216" s="450" t="s">
        <v>1173</v>
      </c>
      <c r="M216" s="444" t="s">
        <v>3329</v>
      </c>
      <c r="N216" s="450"/>
      <c r="O216" s="450"/>
      <c r="P216" s="450" t="s">
        <v>547</v>
      </c>
      <c r="Q216" s="451" t="s">
        <v>374</v>
      </c>
      <c r="R216" s="451" t="s">
        <v>2967</v>
      </c>
      <c r="S216" s="452">
        <v>45558</v>
      </c>
      <c r="T216" s="452"/>
      <c r="U216" s="453"/>
      <c r="V216" s="454"/>
      <c r="W216" s="455" t="s">
        <v>406</v>
      </c>
      <c r="X216" s="455">
        <v>45553</v>
      </c>
      <c r="Y216" s="456" t="s">
        <v>377</v>
      </c>
      <c r="Z216" s="457"/>
      <c r="AA216" s="453"/>
    </row>
    <row r="217" spans="1:27" s="128" customFormat="1" ht="37.5">
      <c r="A217" s="443">
        <v>13</v>
      </c>
      <c r="B217" s="444" t="s">
        <v>3342</v>
      </c>
      <c r="C217" s="445" t="s">
        <v>58</v>
      </c>
      <c r="D217" s="444" t="s">
        <v>3343</v>
      </c>
      <c r="E217" s="446">
        <v>1</v>
      </c>
      <c r="F217" s="447"/>
      <c r="G217" s="448">
        <f t="shared" si="8"/>
        <v>0</v>
      </c>
      <c r="H217" s="450"/>
      <c r="I217" s="444"/>
      <c r="J217" s="450"/>
      <c r="K217" s="444" t="s">
        <v>3311</v>
      </c>
      <c r="L217" s="450" t="s">
        <v>1173</v>
      </c>
      <c r="M217" s="444" t="s">
        <v>3323</v>
      </c>
      <c r="N217" s="450"/>
      <c r="O217" s="450"/>
      <c r="P217" s="450" t="s">
        <v>547</v>
      </c>
      <c r="Q217" s="451" t="s">
        <v>374</v>
      </c>
      <c r="R217" s="451" t="s">
        <v>3324</v>
      </c>
      <c r="S217" s="452">
        <v>45590</v>
      </c>
      <c r="T217" s="452"/>
      <c r="U217" s="453"/>
      <c r="V217" s="454"/>
      <c r="W217" s="455" t="s">
        <v>376</v>
      </c>
      <c r="X217" s="455">
        <v>45559</v>
      </c>
      <c r="Y217" s="456" t="s">
        <v>377</v>
      </c>
      <c r="Z217" s="457"/>
      <c r="AA217" s="453"/>
    </row>
    <row r="218" spans="1:27" s="128" customFormat="1" ht="37.5">
      <c r="A218" s="443">
        <v>14</v>
      </c>
      <c r="B218" s="444" t="s">
        <v>3344</v>
      </c>
      <c r="C218" s="445" t="s">
        <v>58</v>
      </c>
      <c r="D218" s="444" t="s">
        <v>3345</v>
      </c>
      <c r="E218" s="446">
        <v>2</v>
      </c>
      <c r="F218" s="447"/>
      <c r="G218" s="448">
        <f t="shared" si="8"/>
        <v>0</v>
      </c>
      <c r="H218" s="450"/>
      <c r="I218" s="444"/>
      <c r="J218" s="450"/>
      <c r="K218" s="444" t="s">
        <v>3311</v>
      </c>
      <c r="L218" s="450" t="s">
        <v>1173</v>
      </c>
      <c r="M218" s="444" t="s">
        <v>3346</v>
      </c>
      <c r="N218" s="450"/>
      <c r="O218" s="450"/>
      <c r="P218" s="450" t="s">
        <v>547</v>
      </c>
      <c r="Q218" s="451" t="s">
        <v>374</v>
      </c>
      <c r="R218" s="451" t="s">
        <v>2906</v>
      </c>
      <c r="S218" s="452">
        <v>45558</v>
      </c>
      <c r="T218" s="452"/>
      <c r="U218" s="453"/>
      <c r="V218" s="454"/>
      <c r="W218" s="455" t="s">
        <v>376</v>
      </c>
      <c r="X218" s="455">
        <v>45558</v>
      </c>
      <c r="Y218" s="456" t="s">
        <v>377</v>
      </c>
      <c r="Z218" s="457"/>
      <c r="AA218" s="453"/>
    </row>
    <row r="219" spans="1:27" s="128" customFormat="1" ht="37.5">
      <c r="A219" s="443">
        <v>15</v>
      </c>
      <c r="B219" s="444" t="s">
        <v>3347</v>
      </c>
      <c r="C219" s="445" t="s">
        <v>58</v>
      </c>
      <c r="D219" s="444" t="s">
        <v>3348</v>
      </c>
      <c r="E219" s="446">
        <v>1</v>
      </c>
      <c r="F219" s="447"/>
      <c r="G219" s="448">
        <f t="shared" si="8"/>
        <v>0</v>
      </c>
      <c r="H219" s="450"/>
      <c r="I219" s="444"/>
      <c r="J219" s="450"/>
      <c r="K219" s="444" t="s">
        <v>3311</v>
      </c>
      <c r="L219" s="450" t="s">
        <v>1173</v>
      </c>
      <c r="M219" s="444" t="s">
        <v>3312</v>
      </c>
      <c r="N219" s="450"/>
      <c r="O219" s="450"/>
      <c r="P219" s="450" t="s">
        <v>547</v>
      </c>
      <c r="Q219" s="451" t="s">
        <v>374</v>
      </c>
      <c r="R219" s="451" t="s">
        <v>3313</v>
      </c>
      <c r="S219" s="452">
        <v>45558</v>
      </c>
      <c r="T219" s="452"/>
      <c r="U219" s="453"/>
      <c r="V219" s="454"/>
      <c r="W219" s="455" t="s">
        <v>406</v>
      </c>
      <c r="X219" s="455">
        <v>45554</v>
      </c>
      <c r="Y219" s="456" t="s">
        <v>377</v>
      </c>
      <c r="Z219" s="457"/>
      <c r="AA219" s="453"/>
    </row>
    <row r="220" spans="1:27" s="128" customFormat="1" ht="37.5">
      <c r="A220" s="443">
        <v>16</v>
      </c>
      <c r="B220" s="444" t="s">
        <v>3349</v>
      </c>
      <c r="C220" s="445" t="s">
        <v>58</v>
      </c>
      <c r="D220" s="444" t="s">
        <v>3350</v>
      </c>
      <c r="E220" s="446">
        <v>1</v>
      </c>
      <c r="F220" s="447"/>
      <c r="G220" s="448">
        <f t="shared" si="8"/>
        <v>0</v>
      </c>
      <c r="H220" s="450"/>
      <c r="I220" s="444"/>
      <c r="J220" s="450"/>
      <c r="K220" s="444" t="s">
        <v>3311</v>
      </c>
      <c r="L220" s="450" t="s">
        <v>1173</v>
      </c>
      <c r="M220" s="444" t="s">
        <v>3351</v>
      </c>
      <c r="N220" s="450"/>
      <c r="O220" s="450"/>
      <c r="P220" s="450" t="s">
        <v>547</v>
      </c>
      <c r="Q220" s="451" t="s">
        <v>374</v>
      </c>
      <c r="R220" s="451" t="s">
        <v>3352</v>
      </c>
      <c r="S220" s="452">
        <v>45558</v>
      </c>
      <c r="T220" s="452"/>
      <c r="U220" s="453"/>
      <c r="V220" s="454"/>
      <c r="W220" s="455" t="s">
        <v>376</v>
      </c>
      <c r="X220" s="455">
        <v>45548</v>
      </c>
      <c r="Y220" s="456" t="s">
        <v>377</v>
      </c>
      <c r="Z220" s="457"/>
      <c r="AA220" s="453"/>
    </row>
    <row r="221" spans="1:27" s="128" customFormat="1" ht="37.5">
      <c r="A221" s="443">
        <v>17</v>
      </c>
      <c r="B221" s="444" t="s">
        <v>3353</v>
      </c>
      <c r="C221" s="445" t="s">
        <v>58</v>
      </c>
      <c r="D221" s="444" t="s">
        <v>3354</v>
      </c>
      <c r="E221" s="446">
        <v>1</v>
      </c>
      <c r="F221" s="447"/>
      <c r="G221" s="448">
        <f t="shared" si="8"/>
        <v>0</v>
      </c>
      <c r="H221" s="450"/>
      <c r="I221" s="444"/>
      <c r="J221" s="450"/>
      <c r="K221" s="444" t="s">
        <v>3311</v>
      </c>
      <c r="L221" s="450" t="s">
        <v>1173</v>
      </c>
      <c r="M221" s="444" t="s">
        <v>3346</v>
      </c>
      <c r="N221" s="450"/>
      <c r="O221" s="450"/>
      <c r="P221" s="450" t="s">
        <v>547</v>
      </c>
      <c r="Q221" s="451" t="s">
        <v>374</v>
      </c>
      <c r="R221" s="451" t="s">
        <v>2906</v>
      </c>
      <c r="S221" s="452">
        <v>45558</v>
      </c>
      <c r="T221" s="452"/>
      <c r="U221" s="453"/>
      <c r="V221" s="454"/>
      <c r="W221" s="455" t="s">
        <v>376</v>
      </c>
      <c r="X221" s="455">
        <v>45558</v>
      </c>
      <c r="Y221" s="456" t="s">
        <v>377</v>
      </c>
      <c r="Z221" s="457"/>
      <c r="AA221" s="453"/>
    </row>
    <row r="222" spans="1:27" s="128" customFormat="1" ht="37.5">
      <c r="A222" s="443">
        <v>18</v>
      </c>
      <c r="B222" s="444" t="s">
        <v>3355</v>
      </c>
      <c r="C222" s="445" t="s">
        <v>58</v>
      </c>
      <c r="D222" s="444" t="s">
        <v>3356</v>
      </c>
      <c r="E222" s="446">
        <v>1</v>
      </c>
      <c r="F222" s="447"/>
      <c r="G222" s="448">
        <f t="shared" si="8"/>
        <v>0</v>
      </c>
      <c r="H222" s="450"/>
      <c r="I222" s="444"/>
      <c r="J222" s="450"/>
      <c r="K222" s="444" t="s">
        <v>3357</v>
      </c>
      <c r="L222" s="450" t="s">
        <v>895</v>
      </c>
      <c r="M222" s="444" t="s">
        <v>3358</v>
      </c>
      <c r="N222" s="450"/>
      <c r="O222" s="450"/>
      <c r="P222" s="450" t="s">
        <v>2839</v>
      </c>
      <c r="Q222" s="451" t="s">
        <v>374</v>
      </c>
      <c r="R222" s="451" t="s">
        <v>3324</v>
      </c>
      <c r="S222" s="452">
        <v>45590</v>
      </c>
      <c r="T222" s="452"/>
      <c r="U222" s="453"/>
      <c r="V222" s="454"/>
      <c r="W222" s="455" t="s">
        <v>376</v>
      </c>
      <c r="X222" s="455">
        <v>45559</v>
      </c>
      <c r="Y222" s="456" t="s">
        <v>377</v>
      </c>
      <c r="Z222" s="457"/>
      <c r="AA222" s="453"/>
    </row>
    <row r="223" spans="1:27" s="441" customFormat="1" ht="37.5">
      <c r="A223" s="427">
        <v>19</v>
      </c>
      <c r="B223" s="428" t="s">
        <v>3359</v>
      </c>
      <c r="C223" s="429" t="s">
        <v>58</v>
      </c>
      <c r="D223" s="428" t="s">
        <v>3360</v>
      </c>
      <c r="E223" s="430">
        <v>1</v>
      </c>
      <c r="F223" s="431"/>
      <c r="G223" s="432">
        <f t="shared" si="8"/>
        <v>0</v>
      </c>
      <c r="H223" s="433"/>
      <c r="I223" s="428"/>
      <c r="J223" s="433"/>
      <c r="K223" s="428" t="s">
        <v>3361</v>
      </c>
      <c r="L223" s="433" t="s">
        <v>385</v>
      </c>
      <c r="M223" s="428" t="s">
        <v>3362</v>
      </c>
      <c r="N223" s="433"/>
      <c r="O223" s="433"/>
      <c r="P223" s="433" t="s">
        <v>1890</v>
      </c>
      <c r="Q223" s="434" t="s">
        <v>611</v>
      </c>
      <c r="R223" s="434" t="s">
        <v>3363</v>
      </c>
      <c r="S223" s="435" t="s">
        <v>405</v>
      </c>
      <c r="T223" s="435"/>
      <c r="U223" s="436"/>
      <c r="V223" s="437"/>
      <c r="W223" s="438"/>
      <c r="X223" s="438"/>
      <c r="Y223" s="439" t="s">
        <v>592</v>
      </c>
      <c r="Z223" s="440"/>
      <c r="AA223" s="436"/>
    </row>
    <row r="224" spans="1:27" s="128" customFormat="1" ht="37.5">
      <c r="A224" s="443">
        <v>20</v>
      </c>
      <c r="B224" s="444" t="s">
        <v>3364</v>
      </c>
      <c r="C224" s="445" t="s">
        <v>58</v>
      </c>
      <c r="D224" s="444" t="s">
        <v>3365</v>
      </c>
      <c r="E224" s="446">
        <v>1</v>
      </c>
      <c r="F224" s="447"/>
      <c r="G224" s="448">
        <f t="shared" si="8"/>
        <v>0</v>
      </c>
      <c r="H224" s="450"/>
      <c r="I224" s="444"/>
      <c r="J224" s="450"/>
      <c r="K224" s="444" t="s">
        <v>3361</v>
      </c>
      <c r="L224" s="450" t="s">
        <v>385</v>
      </c>
      <c r="M224" s="444" t="s">
        <v>3366</v>
      </c>
      <c r="N224" s="450"/>
      <c r="O224" s="450"/>
      <c r="P224" s="450" t="s">
        <v>670</v>
      </c>
      <c r="Q224" s="451" t="s">
        <v>374</v>
      </c>
      <c r="R224" s="451" t="s">
        <v>2922</v>
      </c>
      <c r="S224" s="452">
        <v>45558</v>
      </c>
      <c r="T224" s="452"/>
      <c r="U224" s="453"/>
      <c r="V224" s="454"/>
      <c r="W224" s="455" t="s">
        <v>406</v>
      </c>
      <c r="X224" s="455">
        <v>45567</v>
      </c>
      <c r="Y224" s="456" t="s">
        <v>377</v>
      </c>
      <c r="Z224" s="457" t="s">
        <v>3367</v>
      </c>
      <c r="AA224" s="453"/>
    </row>
    <row r="225" spans="1:27" s="128" customFormat="1" ht="37.5">
      <c r="A225" s="443">
        <v>21</v>
      </c>
      <c r="B225" s="444" t="s">
        <v>3368</v>
      </c>
      <c r="C225" s="445" t="s">
        <v>58</v>
      </c>
      <c r="D225" s="444" t="s">
        <v>3369</v>
      </c>
      <c r="E225" s="446">
        <v>1</v>
      </c>
      <c r="F225" s="447"/>
      <c r="G225" s="448">
        <f t="shared" si="8"/>
        <v>0</v>
      </c>
      <c r="H225" s="450"/>
      <c r="I225" s="444"/>
      <c r="J225" s="450"/>
      <c r="K225" s="444" t="s">
        <v>3361</v>
      </c>
      <c r="L225" s="450" t="s">
        <v>385</v>
      </c>
      <c r="M225" s="444" t="s">
        <v>3366</v>
      </c>
      <c r="N225" s="450"/>
      <c r="O225" s="450"/>
      <c r="P225" s="450" t="s">
        <v>670</v>
      </c>
      <c r="Q225" s="451" t="s">
        <v>374</v>
      </c>
      <c r="R225" s="451" t="s">
        <v>2922</v>
      </c>
      <c r="S225" s="452">
        <v>45558</v>
      </c>
      <c r="T225" s="452"/>
      <c r="U225" s="453"/>
      <c r="V225" s="454"/>
      <c r="W225" s="455" t="s">
        <v>406</v>
      </c>
      <c r="X225" s="455">
        <v>45567</v>
      </c>
      <c r="Y225" s="456" t="s">
        <v>377</v>
      </c>
      <c r="Z225" s="457" t="s">
        <v>3367</v>
      </c>
      <c r="AA225" s="453"/>
    </row>
    <row r="226" spans="1:27" s="128" customFormat="1" ht="37.5">
      <c r="A226" s="443">
        <v>22</v>
      </c>
      <c r="B226" s="444" t="s">
        <v>3370</v>
      </c>
      <c r="C226" s="445" t="s">
        <v>58</v>
      </c>
      <c r="D226" s="444" t="s">
        <v>3371</v>
      </c>
      <c r="E226" s="446">
        <v>1</v>
      </c>
      <c r="F226" s="447"/>
      <c r="G226" s="448">
        <f t="shared" si="8"/>
        <v>0</v>
      </c>
      <c r="H226" s="450"/>
      <c r="I226" s="444"/>
      <c r="J226" s="450"/>
      <c r="K226" s="444" t="s">
        <v>3311</v>
      </c>
      <c r="L226" s="450" t="s">
        <v>1173</v>
      </c>
      <c r="M226" s="444" t="s">
        <v>3312</v>
      </c>
      <c r="N226" s="450"/>
      <c r="O226" s="450"/>
      <c r="P226" s="450" t="s">
        <v>547</v>
      </c>
      <c r="Q226" s="451" t="s">
        <v>374</v>
      </c>
      <c r="R226" s="451" t="s">
        <v>3313</v>
      </c>
      <c r="S226" s="452">
        <v>45558</v>
      </c>
      <c r="T226" s="452"/>
      <c r="U226" s="453"/>
      <c r="V226" s="454"/>
      <c r="W226" s="455" t="s">
        <v>376</v>
      </c>
      <c r="X226" s="455">
        <v>45559</v>
      </c>
      <c r="Y226" s="456" t="s">
        <v>377</v>
      </c>
      <c r="Z226" s="457"/>
      <c r="AA226" s="453"/>
    </row>
    <row r="227" spans="1:27" s="128" customFormat="1" ht="37.5">
      <c r="A227" s="443">
        <v>23</v>
      </c>
      <c r="B227" s="444" t="s">
        <v>3372</v>
      </c>
      <c r="C227" s="445" t="s">
        <v>58</v>
      </c>
      <c r="D227" s="444" t="s">
        <v>3373</v>
      </c>
      <c r="E227" s="446">
        <v>1</v>
      </c>
      <c r="F227" s="447"/>
      <c r="G227" s="448">
        <f t="shared" si="8"/>
        <v>0</v>
      </c>
      <c r="H227" s="450"/>
      <c r="I227" s="444"/>
      <c r="J227" s="450"/>
      <c r="K227" s="444" t="s">
        <v>3311</v>
      </c>
      <c r="L227" s="450" t="s">
        <v>1173</v>
      </c>
      <c r="M227" s="444" t="s">
        <v>3312</v>
      </c>
      <c r="N227" s="450"/>
      <c r="O227" s="450"/>
      <c r="P227" s="450" t="s">
        <v>547</v>
      </c>
      <c r="Q227" s="451" t="s">
        <v>374</v>
      </c>
      <c r="R227" s="451" t="s">
        <v>3313</v>
      </c>
      <c r="S227" s="452">
        <v>45558</v>
      </c>
      <c r="T227" s="452"/>
      <c r="U227" s="453"/>
      <c r="V227" s="454"/>
      <c r="W227" s="455" t="s">
        <v>376</v>
      </c>
      <c r="X227" s="455">
        <v>45559</v>
      </c>
      <c r="Y227" s="456" t="s">
        <v>377</v>
      </c>
      <c r="Z227" s="457"/>
      <c r="AA227" s="453"/>
    </row>
    <row r="228" spans="1:27" s="128" customFormat="1" ht="37.5">
      <c r="A228" s="443">
        <v>24</v>
      </c>
      <c r="B228" s="444" t="s">
        <v>3374</v>
      </c>
      <c r="C228" s="445" t="s">
        <v>58</v>
      </c>
      <c r="D228" s="444" t="s">
        <v>3375</v>
      </c>
      <c r="E228" s="446">
        <v>1</v>
      </c>
      <c r="F228" s="447"/>
      <c r="G228" s="448">
        <f t="shared" si="8"/>
        <v>0</v>
      </c>
      <c r="H228" s="450"/>
      <c r="I228" s="444"/>
      <c r="J228" s="450"/>
      <c r="K228" s="444" t="s">
        <v>3311</v>
      </c>
      <c r="L228" s="450" t="s">
        <v>1173</v>
      </c>
      <c r="M228" s="444" t="s">
        <v>3319</v>
      </c>
      <c r="N228" s="450"/>
      <c r="O228" s="450"/>
      <c r="P228" s="450" t="s">
        <v>547</v>
      </c>
      <c r="Q228" s="451" t="s">
        <v>374</v>
      </c>
      <c r="R228" s="451" t="s">
        <v>3320</v>
      </c>
      <c r="S228" s="452">
        <v>45558</v>
      </c>
      <c r="T228" s="452"/>
      <c r="U228" s="453"/>
      <c r="V228" s="454"/>
      <c r="W228" s="455" t="s">
        <v>406</v>
      </c>
      <c r="X228" s="455">
        <v>45561</v>
      </c>
      <c r="Y228" s="456" t="s">
        <v>377</v>
      </c>
      <c r="Z228" s="457"/>
      <c r="AA228" s="453"/>
    </row>
    <row r="229" spans="1:27" s="128" customFormat="1" ht="37.5">
      <c r="A229" s="443">
        <v>25</v>
      </c>
      <c r="B229" s="444" t="s">
        <v>3376</v>
      </c>
      <c r="C229" s="445" t="s">
        <v>58</v>
      </c>
      <c r="D229" s="444" t="s">
        <v>3377</v>
      </c>
      <c r="E229" s="446">
        <v>2</v>
      </c>
      <c r="F229" s="447"/>
      <c r="G229" s="448">
        <f t="shared" si="8"/>
        <v>0</v>
      </c>
      <c r="H229" s="450"/>
      <c r="I229" s="444"/>
      <c r="J229" s="450"/>
      <c r="K229" s="444" t="s">
        <v>3311</v>
      </c>
      <c r="L229" s="450" t="s">
        <v>1173</v>
      </c>
      <c r="M229" s="444" t="s">
        <v>3346</v>
      </c>
      <c r="N229" s="450"/>
      <c r="O229" s="450"/>
      <c r="P229" s="450" t="s">
        <v>547</v>
      </c>
      <c r="Q229" s="451" t="s">
        <v>374</v>
      </c>
      <c r="R229" s="451" t="s">
        <v>2906</v>
      </c>
      <c r="S229" s="452">
        <v>45558</v>
      </c>
      <c r="T229" s="452"/>
      <c r="U229" s="453"/>
      <c r="V229" s="454"/>
      <c r="W229" s="455" t="s">
        <v>376</v>
      </c>
      <c r="X229" s="455">
        <v>45548</v>
      </c>
      <c r="Y229" s="456" t="s">
        <v>377</v>
      </c>
      <c r="Z229" s="457"/>
      <c r="AA229" s="453"/>
    </row>
    <row r="230" spans="1:27" s="128" customFormat="1" ht="37.5">
      <c r="A230" s="443">
        <v>26</v>
      </c>
      <c r="B230" s="444" t="s">
        <v>3378</v>
      </c>
      <c r="C230" s="445" t="s">
        <v>58</v>
      </c>
      <c r="D230" s="444" t="s">
        <v>3379</v>
      </c>
      <c r="E230" s="446">
        <v>1</v>
      </c>
      <c r="F230" s="447"/>
      <c r="G230" s="448">
        <f t="shared" si="8"/>
        <v>0</v>
      </c>
      <c r="H230" s="450"/>
      <c r="I230" s="444"/>
      <c r="J230" s="450"/>
      <c r="K230" s="444" t="s">
        <v>3311</v>
      </c>
      <c r="L230" s="450" t="s">
        <v>1173</v>
      </c>
      <c r="M230" s="444" t="s">
        <v>3312</v>
      </c>
      <c r="N230" s="450"/>
      <c r="O230" s="450"/>
      <c r="P230" s="450" t="s">
        <v>547</v>
      </c>
      <c r="Q230" s="451" t="s">
        <v>374</v>
      </c>
      <c r="R230" s="451" t="s">
        <v>3313</v>
      </c>
      <c r="S230" s="452">
        <v>45558</v>
      </c>
      <c r="T230" s="452"/>
      <c r="U230" s="453"/>
      <c r="V230" s="454"/>
      <c r="W230" s="455" t="s">
        <v>406</v>
      </c>
      <c r="X230" s="455">
        <v>45554</v>
      </c>
      <c r="Y230" s="456" t="s">
        <v>377</v>
      </c>
      <c r="Z230" s="457"/>
      <c r="AA230" s="453"/>
    </row>
    <row r="231" spans="1:27" s="128" customFormat="1" ht="37.5">
      <c r="A231" s="443">
        <v>27</v>
      </c>
      <c r="B231" s="444" t="s">
        <v>3380</v>
      </c>
      <c r="C231" s="445" t="s">
        <v>58</v>
      </c>
      <c r="D231" s="444" t="s">
        <v>3381</v>
      </c>
      <c r="E231" s="446">
        <v>1</v>
      </c>
      <c r="F231" s="447"/>
      <c r="G231" s="448">
        <f t="shared" si="8"/>
        <v>0</v>
      </c>
      <c r="H231" s="450"/>
      <c r="I231" s="444"/>
      <c r="J231" s="450"/>
      <c r="K231" s="444" t="s">
        <v>3311</v>
      </c>
      <c r="L231" s="450" t="s">
        <v>1173</v>
      </c>
      <c r="M231" s="444" t="s">
        <v>3312</v>
      </c>
      <c r="N231" s="450"/>
      <c r="O231" s="450"/>
      <c r="P231" s="450" t="s">
        <v>547</v>
      </c>
      <c r="Q231" s="451" t="s">
        <v>374</v>
      </c>
      <c r="R231" s="451" t="s">
        <v>3313</v>
      </c>
      <c r="S231" s="452">
        <v>45558</v>
      </c>
      <c r="T231" s="452"/>
      <c r="U231" s="453"/>
      <c r="V231" s="454"/>
      <c r="W231" s="455" t="s">
        <v>406</v>
      </c>
      <c r="X231" s="455">
        <v>45554</v>
      </c>
      <c r="Y231" s="456" t="s">
        <v>377</v>
      </c>
      <c r="Z231" s="457"/>
      <c r="AA231" s="453"/>
    </row>
    <row r="232" spans="1:27" s="128" customFormat="1" ht="37.5">
      <c r="A232" s="443">
        <v>28</v>
      </c>
      <c r="B232" s="444" t="s">
        <v>3382</v>
      </c>
      <c r="C232" s="445" t="s">
        <v>58</v>
      </c>
      <c r="D232" s="444" t="s">
        <v>3383</v>
      </c>
      <c r="E232" s="446">
        <v>1</v>
      </c>
      <c r="F232" s="447"/>
      <c r="G232" s="448">
        <f t="shared" si="8"/>
        <v>0</v>
      </c>
      <c r="H232" s="450"/>
      <c r="I232" s="444"/>
      <c r="J232" s="450"/>
      <c r="K232" s="444" t="s">
        <v>3311</v>
      </c>
      <c r="L232" s="450" t="s">
        <v>1173</v>
      </c>
      <c r="M232" s="444" t="s">
        <v>3346</v>
      </c>
      <c r="N232" s="450"/>
      <c r="O232" s="450"/>
      <c r="P232" s="450" t="s">
        <v>547</v>
      </c>
      <c r="Q232" s="451" t="s">
        <v>374</v>
      </c>
      <c r="R232" s="451" t="s">
        <v>2906</v>
      </c>
      <c r="S232" s="452">
        <v>45558</v>
      </c>
      <c r="T232" s="452"/>
      <c r="U232" s="453"/>
      <c r="V232" s="454"/>
      <c r="W232" s="455" t="s">
        <v>376</v>
      </c>
      <c r="X232" s="455">
        <v>45548</v>
      </c>
      <c r="Y232" s="456" t="s">
        <v>377</v>
      </c>
      <c r="Z232" s="457"/>
      <c r="AA232" s="453"/>
    </row>
    <row r="233" spans="1:27" s="128" customFormat="1" ht="37.5">
      <c r="A233" s="443">
        <v>29</v>
      </c>
      <c r="B233" s="444" t="s">
        <v>3384</v>
      </c>
      <c r="C233" s="445" t="s">
        <v>58</v>
      </c>
      <c r="D233" s="444" t="s">
        <v>3385</v>
      </c>
      <c r="E233" s="446">
        <v>1</v>
      </c>
      <c r="F233" s="447"/>
      <c r="G233" s="448">
        <f t="shared" si="8"/>
        <v>0</v>
      </c>
      <c r="H233" s="450"/>
      <c r="I233" s="444"/>
      <c r="J233" s="450"/>
      <c r="K233" s="444" t="s">
        <v>3311</v>
      </c>
      <c r="L233" s="450" t="s">
        <v>1173</v>
      </c>
      <c r="M233" s="444" t="s">
        <v>3386</v>
      </c>
      <c r="N233" s="450"/>
      <c r="O233" s="450"/>
      <c r="P233" s="450" t="s">
        <v>547</v>
      </c>
      <c r="Q233" s="451" t="s">
        <v>374</v>
      </c>
      <c r="R233" s="451" t="s">
        <v>2957</v>
      </c>
      <c r="S233" s="452">
        <v>45560</v>
      </c>
      <c r="T233" s="452"/>
      <c r="U233" s="453"/>
      <c r="V233" s="454"/>
      <c r="W233" s="452" t="s">
        <v>406</v>
      </c>
      <c r="X233" s="455">
        <v>45541</v>
      </c>
      <c r="Y233" s="456" t="s">
        <v>377</v>
      </c>
      <c r="Z233" s="457"/>
      <c r="AA233" s="453"/>
    </row>
    <row r="234" spans="1:27" s="128" customFormat="1" ht="37.5">
      <c r="A234" s="443">
        <v>30</v>
      </c>
      <c r="B234" s="444" t="s">
        <v>3387</v>
      </c>
      <c r="C234" s="445" t="s">
        <v>58</v>
      </c>
      <c r="D234" s="444" t="s">
        <v>3388</v>
      </c>
      <c r="E234" s="446">
        <v>1</v>
      </c>
      <c r="F234" s="447"/>
      <c r="G234" s="448">
        <f t="shared" si="8"/>
        <v>0</v>
      </c>
      <c r="H234" s="450"/>
      <c r="I234" s="444"/>
      <c r="J234" s="450"/>
      <c r="K234" s="444" t="s">
        <v>3311</v>
      </c>
      <c r="L234" s="450" t="s">
        <v>1173</v>
      </c>
      <c r="M234" s="444" t="s">
        <v>3386</v>
      </c>
      <c r="N234" s="450"/>
      <c r="O234" s="450"/>
      <c r="P234" s="450" t="s">
        <v>547</v>
      </c>
      <c r="Q234" s="451" t="s">
        <v>374</v>
      </c>
      <c r="R234" s="451" t="s">
        <v>2957</v>
      </c>
      <c r="S234" s="452">
        <v>45560</v>
      </c>
      <c r="T234" s="452"/>
      <c r="U234" s="453"/>
      <c r="V234" s="454"/>
      <c r="W234" s="455" t="s">
        <v>376</v>
      </c>
      <c r="X234" s="455">
        <v>45559</v>
      </c>
      <c r="Y234" s="456" t="s">
        <v>377</v>
      </c>
      <c r="Z234" s="457"/>
      <c r="AA234" s="453"/>
    </row>
    <row r="235" spans="1:27" s="128" customFormat="1" ht="37.5">
      <c r="A235" s="443">
        <v>31</v>
      </c>
      <c r="B235" s="444" t="s">
        <v>3389</v>
      </c>
      <c r="C235" s="445" t="s">
        <v>58</v>
      </c>
      <c r="D235" s="444" t="s">
        <v>3390</v>
      </c>
      <c r="E235" s="446">
        <v>1</v>
      </c>
      <c r="F235" s="447"/>
      <c r="G235" s="448">
        <f t="shared" si="8"/>
        <v>0</v>
      </c>
      <c r="H235" s="450"/>
      <c r="I235" s="444"/>
      <c r="J235" s="450"/>
      <c r="K235" s="444" t="s">
        <v>3311</v>
      </c>
      <c r="L235" s="450" t="s">
        <v>1173</v>
      </c>
      <c r="M235" s="444" t="s">
        <v>3346</v>
      </c>
      <c r="N235" s="450"/>
      <c r="O235" s="450"/>
      <c r="P235" s="450" t="s">
        <v>547</v>
      </c>
      <c r="Q235" s="451" t="s">
        <v>374</v>
      </c>
      <c r="R235" s="451" t="s">
        <v>2906</v>
      </c>
      <c r="S235" s="452">
        <v>45558</v>
      </c>
      <c r="T235" s="452"/>
      <c r="U235" s="453"/>
      <c r="V235" s="454"/>
      <c r="W235" s="455" t="s">
        <v>406</v>
      </c>
      <c r="X235" s="455">
        <v>45566</v>
      </c>
      <c r="Y235" s="456" t="s">
        <v>377</v>
      </c>
      <c r="Z235" s="457"/>
      <c r="AA235" s="453"/>
    </row>
    <row r="236" spans="1:27" s="128" customFormat="1" ht="37.5">
      <c r="A236" s="443">
        <v>32</v>
      </c>
      <c r="B236" s="444" t="s">
        <v>3391</v>
      </c>
      <c r="C236" s="445" t="s">
        <v>58</v>
      </c>
      <c r="D236" s="444" t="s">
        <v>3392</v>
      </c>
      <c r="E236" s="446">
        <v>1</v>
      </c>
      <c r="F236" s="447"/>
      <c r="G236" s="448">
        <f t="shared" si="8"/>
        <v>0</v>
      </c>
      <c r="H236" s="450"/>
      <c r="I236" s="444"/>
      <c r="J236" s="450"/>
      <c r="K236" s="444" t="s">
        <v>3311</v>
      </c>
      <c r="L236" s="450" t="s">
        <v>1173</v>
      </c>
      <c r="M236" s="444" t="s">
        <v>3346</v>
      </c>
      <c r="N236" s="450"/>
      <c r="O236" s="450"/>
      <c r="P236" s="450" t="s">
        <v>547</v>
      </c>
      <c r="Q236" s="451" t="s">
        <v>374</v>
      </c>
      <c r="R236" s="451" t="s">
        <v>2906</v>
      </c>
      <c r="S236" s="452">
        <v>45558</v>
      </c>
      <c r="T236" s="452"/>
      <c r="U236" s="453"/>
      <c r="V236" s="454"/>
      <c r="W236" s="455" t="s">
        <v>406</v>
      </c>
      <c r="X236" s="455">
        <v>45561</v>
      </c>
      <c r="Y236" s="456" t="s">
        <v>377</v>
      </c>
      <c r="Z236" s="457"/>
      <c r="AA236" s="453"/>
    </row>
    <row r="237" spans="1:27" s="128" customFormat="1" ht="37.5">
      <c r="A237" s="443">
        <v>33</v>
      </c>
      <c r="B237" s="444" t="s">
        <v>3393</v>
      </c>
      <c r="C237" s="445" t="s">
        <v>58</v>
      </c>
      <c r="D237" s="444" t="s">
        <v>3394</v>
      </c>
      <c r="E237" s="446">
        <v>1</v>
      </c>
      <c r="F237" s="447"/>
      <c r="G237" s="448">
        <f t="shared" ref="G237:G268" si="9">E237*F237</f>
        <v>0</v>
      </c>
      <c r="H237" s="450"/>
      <c r="I237" s="444"/>
      <c r="J237" s="450"/>
      <c r="K237" s="444" t="s">
        <v>3311</v>
      </c>
      <c r="L237" s="450" t="s">
        <v>1173</v>
      </c>
      <c r="M237" s="444" t="s">
        <v>3346</v>
      </c>
      <c r="N237" s="450"/>
      <c r="O237" s="450"/>
      <c r="P237" s="450" t="s">
        <v>547</v>
      </c>
      <c r="Q237" s="451" t="s">
        <v>374</v>
      </c>
      <c r="R237" s="451" t="s">
        <v>2906</v>
      </c>
      <c r="S237" s="452">
        <v>45558</v>
      </c>
      <c r="T237" s="452"/>
      <c r="U237" s="453"/>
      <c r="V237" s="454"/>
      <c r="W237" s="455" t="s">
        <v>406</v>
      </c>
      <c r="X237" s="455">
        <v>45561</v>
      </c>
      <c r="Y237" s="456" t="s">
        <v>377</v>
      </c>
      <c r="Z237" s="457"/>
      <c r="AA237" s="453"/>
    </row>
    <row r="238" spans="1:27" s="128" customFormat="1" ht="37.5">
      <c r="A238" s="443">
        <v>34</v>
      </c>
      <c r="B238" s="444" t="s">
        <v>3395</v>
      </c>
      <c r="C238" s="445" t="s">
        <v>58</v>
      </c>
      <c r="D238" s="444" t="s">
        <v>3396</v>
      </c>
      <c r="E238" s="446">
        <v>1</v>
      </c>
      <c r="F238" s="447"/>
      <c r="G238" s="448">
        <f t="shared" si="9"/>
        <v>0</v>
      </c>
      <c r="H238" s="450"/>
      <c r="I238" s="444"/>
      <c r="J238" s="450"/>
      <c r="K238" s="444" t="s">
        <v>3311</v>
      </c>
      <c r="L238" s="450" t="s">
        <v>1173</v>
      </c>
      <c r="M238" s="444" t="s">
        <v>3386</v>
      </c>
      <c r="N238" s="450"/>
      <c r="O238" s="450"/>
      <c r="P238" s="450" t="s">
        <v>547</v>
      </c>
      <c r="Q238" s="451" t="s">
        <v>374</v>
      </c>
      <c r="R238" s="451" t="s">
        <v>2957</v>
      </c>
      <c r="S238" s="452">
        <v>45560</v>
      </c>
      <c r="T238" s="452"/>
      <c r="U238" s="453"/>
      <c r="V238" s="454"/>
      <c r="W238" s="455" t="s">
        <v>376</v>
      </c>
      <c r="X238" s="455">
        <v>45559</v>
      </c>
      <c r="Y238" s="456" t="s">
        <v>377</v>
      </c>
      <c r="Z238" s="457"/>
      <c r="AA238" s="453"/>
    </row>
    <row r="239" spans="1:27" s="128" customFormat="1" ht="37.5">
      <c r="A239" s="443">
        <v>35</v>
      </c>
      <c r="B239" s="444" t="s">
        <v>3397</v>
      </c>
      <c r="C239" s="445" t="s">
        <v>58</v>
      </c>
      <c r="D239" s="444" t="s">
        <v>3398</v>
      </c>
      <c r="E239" s="446">
        <v>1</v>
      </c>
      <c r="F239" s="447"/>
      <c r="G239" s="448">
        <f t="shared" si="9"/>
        <v>0</v>
      </c>
      <c r="H239" s="450"/>
      <c r="I239" s="444"/>
      <c r="J239" s="450"/>
      <c r="K239" s="444" t="s">
        <v>3311</v>
      </c>
      <c r="L239" s="450" t="s">
        <v>1173</v>
      </c>
      <c r="M239" s="444" t="s">
        <v>3312</v>
      </c>
      <c r="N239" s="450"/>
      <c r="O239" s="450"/>
      <c r="P239" s="450" t="s">
        <v>547</v>
      </c>
      <c r="Q239" s="451" t="s">
        <v>374</v>
      </c>
      <c r="R239" s="451" t="s">
        <v>3313</v>
      </c>
      <c r="S239" s="452">
        <v>45558</v>
      </c>
      <c r="T239" s="452"/>
      <c r="U239" s="453"/>
      <c r="V239" s="454"/>
      <c r="W239" s="455" t="s">
        <v>376</v>
      </c>
      <c r="X239" s="455">
        <v>45559</v>
      </c>
      <c r="Y239" s="456" t="s">
        <v>377</v>
      </c>
      <c r="Z239" s="457"/>
      <c r="AA239" s="453"/>
    </row>
    <row r="240" spans="1:27" s="128" customFormat="1" ht="37.5">
      <c r="A240" s="443">
        <v>36</v>
      </c>
      <c r="B240" s="444" t="s">
        <v>3399</v>
      </c>
      <c r="C240" s="445" t="s">
        <v>58</v>
      </c>
      <c r="D240" s="444" t="s">
        <v>3400</v>
      </c>
      <c r="E240" s="446">
        <v>1</v>
      </c>
      <c r="F240" s="447"/>
      <c r="G240" s="448">
        <f t="shared" si="9"/>
        <v>0</v>
      </c>
      <c r="H240" s="450"/>
      <c r="I240" s="444"/>
      <c r="J240" s="450"/>
      <c r="K240" s="444" t="s">
        <v>3311</v>
      </c>
      <c r="L240" s="450" t="s">
        <v>1173</v>
      </c>
      <c r="M240" s="444" t="s">
        <v>3319</v>
      </c>
      <c r="N240" s="450"/>
      <c r="O240" s="450"/>
      <c r="P240" s="450" t="s">
        <v>547</v>
      </c>
      <c r="Q240" s="451" t="s">
        <v>374</v>
      </c>
      <c r="R240" s="451" t="s">
        <v>3320</v>
      </c>
      <c r="S240" s="452">
        <v>45558</v>
      </c>
      <c r="T240" s="452"/>
      <c r="U240" s="453"/>
      <c r="V240" s="454"/>
      <c r="W240" s="455" t="s">
        <v>406</v>
      </c>
      <c r="X240" s="455">
        <v>45568</v>
      </c>
      <c r="Y240" s="456" t="s">
        <v>377</v>
      </c>
      <c r="Z240" s="457"/>
      <c r="AA240" s="453"/>
    </row>
    <row r="241" spans="1:27" s="128" customFormat="1" ht="37.5">
      <c r="A241" s="443">
        <v>37</v>
      </c>
      <c r="B241" s="444" t="s">
        <v>3401</v>
      </c>
      <c r="C241" s="445" t="s">
        <v>58</v>
      </c>
      <c r="D241" s="444" t="s">
        <v>3402</v>
      </c>
      <c r="E241" s="446">
        <v>1</v>
      </c>
      <c r="F241" s="447"/>
      <c r="G241" s="448">
        <f t="shared" si="9"/>
        <v>0</v>
      </c>
      <c r="H241" s="450"/>
      <c r="I241" s="444"/>
      <c r="J241" s="450"/>
      <c r="K241" s="444" t="s">
        <v>3311</v>
      </c>
      <c r="L241" s="450" t="s">
        <v>1173</v>
      </c>
      <c r="M241" s="444" t="s">
        <v>3323</v>
      </c>
      <c r="N241" s="450"/>
      <c r="O241" s="450"/>
      <c r="P241" s="450" t="s">
        <v>547</v>
      </c>
      <c r="Q241" s="451" t="s">
        <v>374</v>
      </c>
      <c r="R241" s="451" t="s">
        <v>3324</v>
      </c>
      <c r="S241" s="452">
        <v>45558</v>
      </c>
      <c r="T241" s="452"/>
      <c r="U241" s="453"/>
      <c r="V241" s="454"/>
      <c r="W241" s="455" t="s">
        <v>376</v>
      </c>
      <c r="X241" s="455">
        <v>45548</v>
      </c>
      <c r="Y241" s="456" t="s">
        <v>377</v>
      </c>
      <c r="Z241" s="457"/>
      <c r="AA241" s="453"/>
    </row>
    <row r="242" spans="1:27" s="128" customFormat="1" ht="37.5">
      <c r="A242" s="443">
        <v>38</v>
      </c>
      <c r="B242" s="444" t="s">
        <v>3403</v>
      </c>
      <c r="C242" s="445" t="s">
        <v>58</v>
      </c>
      <c r="D242" s="444" t="s">
        <v>3404</v>
      </c>
      <c r="E242" s="446">
        <v>1</v>
      </c>
      <c r="F242" s="447"/>
      <c r="G242" s="448">
        <f t="shared" si="9"/>
        <v>0</v>
      </c>
      <c r="H242" s="450"/>
      <c r="I242" s="444"/>
      <c r="J242" s="450"/>
      <c r="K242" s="444" t="s">
        <v>3311</v>
      </c>
      <c r="L242" s="450" t="s">
        <v>1173</v>
      </c>
      <c r="M242" s="444" t="s">
        <v>3312</v>
      </c>
      <c r="N242" s="450"/>
      <c r="O242" s="450"/>
      <c r="P242" s="450" t="s">
        <v>547</v>
      </c>
      <c r="Q242" s="451" t="s">
        <v>374</v>
      </c>
      <c r="R242" s="451" t="s">
        <v>3313</v>
      </c>
      <c r="S242" s="452">
        <v>45558</v>
      </c>
      <c r="T242" s="452"/>
      <c r="U242" s="453"/>
      <c r="V242" s="454"/>
      <c r="W242" s="455" t="s">
        <v>406</v>
      </c>
      <c r="X242" s="455">
        <v>45554</v>
      </c>
      <c r="Y242" s="456" t="s">
        <v>377</v>
      </c>
      <c r="Z242" s="457"/>
      <c r="AA242" s="453"/>
    </row>
    <row r="243" spans="1:27" s="128" customFormat="1" ht="37.5">
      <c r="A243" s="443">
        <v>39</v>
      </c>
      <c r="B243" s="444" t="s">
        <v>3405</v>
      </c>
      <c r="C243" s="445" t="s">
        <v>58</v>
      </c>
      <c r="D243" s="444" t="s">
        <v>3406</v>
      </c>
      <c r="E243" s="446">
        <v>1</v>
      </c>
      <c r="F243" s="447"/>
      <c r="G243" s="448">
        <f t="shared" si="9"/>
        <v>0</v>
      </c>
      <c r="H243" s="450"/>
      <c r="I243" s="444"/>
      <c r="J243" s="450"/>
      <c r="K243" s="444" t="s">
        <v>3311</v>
      </c>
      <c r="L243" s="450" t="s">
        <v>1173</v>
      </c>
      <c r="M243" s="444" t="s">
        <v>3312</v>
      </c>
      <c r="N243" s="450"/>
      <c r="O243" s="450"/>
      <c r="P243" s="450" t="s">
        <v>547</v>
      </c>
      <c r="Q243" s="451" t="s">
        <v>374</v>
      </c>
      <c r="R243" s="451" t="s">
        <v>3313</v>
      </c>
      <c r="S243" s="452">
        <v>45558</v>
      </c>
      <c r="T243" s="452"/>
      <c r="U243" s="453"/>
      <c r="V243" s="454"/>
      <c r="W243" s="455" t="s">
        <v>406</v>
      </c>
      <c r="X243" s="455">
        <v>45554</v>
      </c>
      <c r="Y243" s="456" t="s">
        <v>377</v>
      </c>
      <c r="Z243" s="457"/>
      <c r="AA243" s="453"/>
    </row>
    <row r="244" spans="1:27" s="128" customFormat="1" ht="37.5">
      <c r="A244" s="443">
        <v>40</v>
      </c>
      <c r="B244" s="444" t="s">
        <v>3407</v>
      </c>
      <c r="C244" s="445" t="s">
        <v>58</v>
      </c>
      <c r="D244" s="444" t="s">
        <v>3408</v>
      </c>
      <c r="E244" s="446">
        <v>1</v>
      </c>
      <c r="F244" s="447"/>
      <c r="G244" s="448">
        <f t="shared" si="9"/>
        <v>0</v>
      </c>
      <c r="H244" s="450"/>
      <c r="I244" s="444"/>
      <c r="J244" s="450"/>
      <c r="K244" s="444" t="s">
        <v>3311</v>
      </c>
      <c r="L244" s="450" t="s">
        <v>1173</v>
      </c>
      <c r="M244" s="444" t="s">
        <v>3312</v>
      </c>
      <c r="N244" s="450"/>
      <c r="O244" s="450"/>
      <c r="P244" s="450" t="s">
        <v>547</v>
      </c>
      <c r="Q244" s="451" t="s">
        <v>374</v>
      </c>
      <c r="R244" s="451" t="s">
        <v>3313</v>
      </c>
      <c r="S244" s="452">
        <v>45558</v>
      </c>
      <c r="T244" s="452"/>
      <c r="U244" s="453"/>
      <c r="V244" s="454"/>
      <c r="W244" s="455" t="s">
        <v>406</v>
      </c>
      <c r="X244" s="455">
        <v>45554</v>
      </c>
      <c r="Y244" s="456" t="s">
        <v>377</v>
      </c>
      <c r="Z244" s="457"/>
      <c r="AA244" s="453"/>
    </row>
    <row r="245" spans="1:27" s="128" customFormat="1" ht="37.5">
      <c r="A245" s="443">
        <v>41</v>
      </c>
      <c r="B245" s="444" t="s">
        <v>3409</v>
      </c>
      <c r="C245" s="445" t="s">
        <v>58</v>
      </c>
      <c r="D245" s="444" t="s">
        <v>3410</v>
      </c>
      <c r="E245" s="446">
        <v>1</v>
      </c>
      <c r="F245" s="447"/>
      <c r="G245" s="448">
        <f t="shared" si="9"/>
        <v>0</v>
      </c>
      <c r="H245" s="450"/>
      <c r="I245" s="444"/>
      <c r="J245" s="450"/>
      <c r="K245" s="444" t="s">
        <v>3311</v>
      </c>
      <c r="L245" s="450" t="s">
        <v>1173</v>
      </c>
      <c r="M245" s="444" t="s">
        <v>3386</v>
      </c>
      <c r="N245" s="450"/>
      <c r="O245" s="450"/>
      <c r="P245" s="450" t="s">
        <v>547</v>
      </c>
      <c r="Q245" s="451" t="s">
        <v>374</v>
      </c>
      <c r="R245" s="451" t="s">
        <v>2957</v>
      </c>
      <c r="S245" s="452">
        <v>45560</v>
      </c>
      <c r="T245" s="452"/>
      <c r="U245" s="453"/>
      <c r="V245" s="454"/>
      <c r="W245" s="455" t="s">
        <v>376</v>
      </c>
      <c r="X245" s="455">
        <v>45559</v>
      </c>
      <c r="Y245" s="456" t="s">
        <v>377</v>
      </c>
      <c r="Z245" s="457"/>
      <c r="AA245" s="453"/>
    </row>
    <row r="246" spans="1:27" s="128" customFormat="1" ht="37.5">
      <c r="A246" s="443">
        <v>42</v>
      </c>
      <c r="B246" s="444" t="s">
        <v>3411</v>
      </c>
      <c r="C246" s="445" t="s">
        <v>58</v>
      </c>
      <c r="D246" s="444" t="s">
        <v>3412</v>
      </c>
      <c r="E246" s="446">
        <v>1</v>
      </c>
      <c r="F246" s="447"/>
      <c r="G246" s="448">
        <f t="shared" si="9"/>
        <v>0</v>
      </c>
      <c r="H246" s="450"/>
      <c r="I246" s="444"/>
      <c r="J246" s="450"/>
      <c r="K246" s="444" t="s">
        <v>3311</v>
      </c>
      <c r="L246" s="450" t="s">
        <v>1173</v>
      </c>
      <c r="M246" s="444" t="s">
        <v>3312</v>
      </c>
      <c r="N246" s="450"/>
      <c r="O246" s="450"/>
      <c r="P246" s="450" t="s">
        <v>547</v>
      </c>
      <c r="Q246" s="451" t="s">
        <v>374</v>
      </c>
      <c r="R246" s="451" t="s">
        <v>3313</v>
      </c>
      <c r="S246" s="452">
        <v>45558</v>
      </c>
      <c r="T246" s="452"/>
      <c r="U246" s="453"/>
      <c r="V246" s="454"/>
      <c r="W246" s="455" t="s">
        <v>406</v>
      </c>
      <c r="X246" s="455">
        <v>45554</v>
      </c>
      <c r="Y246" s="456" t="s">
        <v>377</v>
      </c>
      <c r="Z246" s="457"/>
      <c r="AA246" s="453"/>
    </row>
    <row r="247" spans="1:27" s="128" customFormat="1" ht="37.5">
      <c r="A247" s="443">
        <v>43</v>
      </c>
      <c r="B247" s="444" t="s">
        <v>3413</v>
      </c>
      <c r="C247" s="445" t="s">
        <v>58</v>
      </c>
      <c r="D247" s="444" t="s">
        <v>3414</v>
      </c>
      <c r="E247" s="446">
        <v>1</v>
      </c>
      <c r="F247" s="447"/>
      <c r="G247" s="448">
        <f t="shared" si="9"/>
        <v>0</v>
      </c>
      <c r="H247" s="450"/>
      <c r="I247" s="444"/>
      <c r="J247" s="450"/>
      <c r="K247" s="444" t="s">
        <v>3311</v>
      </c>
      <c r="L247" s="450" t="s">
        <v>1173</v>
      </c>
      <c r="M247" s="444" t="s">
        <v>3312</v>
      </c>
      <c r="N247" s="450"/>
      <c r="O247" s="450"/>
      <c r="P247" s="450" t="s">
        <v>547</v>
      </c>
      <c r="Q247" s="451" t="s">
        <v>374</v>
      </c>
      <c r="R247" s="451" t="s">
        <v>3313</v>
      </c>
      <c r="S247" s="452">
        <v>45558</v>
      </c>
      <c r="T247" s="452"/>
      <c r="U247" s="453"/>
      <c r="V247" s="454"/>
      <c r="W247" s="455" t="s">
        <v>406</v>
      </c>
      <c r="X247" s="455">
        <v>45554</v>
      </c>
      <c r="Y247" s="456" t="s">
        <v>377</v>
      </c>
      <c r="Z247" s="457"/>
      <c r="AA247" s="453"/>
    </row>
    <row r="248" spans="1:27" s="128" customFormat="1" ht="37.5">
      <c r="A248" s="443">
        <v>44</v>
      </c>
      <c r="B248" s="444" t="s">
        <v>3415</v>
      </c>
      <c r="C248" s="445" t="s">
        <v>58</v>
      </c>
      <c r="D248" s="444" t="s">
        <v>3416</v>
      </c>
      <c r="E248" s="446">
        <v>1</v>
      </c>
      <c r="F248" s="447"/>
      <c r="G248" s="448">
        <f t="shared" si="9"/>
        <v>0</v>
      </c>
      <c r="H248" s="450"/>
      <c r="I248" s="444"/>
      <c r="J248" s="450"/>
      <c r="K248" s="444" t="s">
        <v>3311</v>
      </c>
      <c r="L248" s="450" t="s">
        <v>1173</v>
      </c>
      <c r="M248" s="444" t="s">
        <v>3312</v>
      </c>
      <c r="N248" s="450"/>
      <c r="O248" s="450"/>
      <c r="P248" s="450" t="s">
        <v>547</v>
      </c>
      <c r="Q248" s="451" t="s">
        <v>374</v>
      </c>
      <c r="R248" s="451" t="s">
        <v>3313</v>
      </c>
      <c r="S248" s="452">
        <v>45558</v>
      </c>
      <c r="T248" s="452"/>
      <c r="U248" s="453"/>
      <c r="V248" s="454"/>
      <c r="W248" s="455" t="s">
        <v>406</v>
      </c>
      <c r="X248" s="455">
        <v>45554</v>
      </c>
      <c r="Y248" s="456" t="s">
        <v>377</v>
      </c>
      <c r="Z248" s="457"/>
      <c r="AA248" s="453"/>
    </row>
    <row r="249" spans="1:27" s="128" customFormat="1" ht="37.5">
      <c r="A249" s="443">
        <v>45</v>
      </c>
      <c r="B249" s="444" t="s">
        <v>3417</v>
      </c>
      <c r="C249" s="445" t="s">
        <v>58</v>
      </c>
      <c r="D249" s="444" t="s">
        <v>3418</v>
      </c>
      <c r="E249" s="446">
        <v>1</v>
      </c>
      <c r="F249" s="447"/>
      <c r="G249" s="448">
        <f t="shared" si="9"/>
        <v>0</v>
      </c>
      <c r="H249" s="450"/>
      <c r="I249" s="444"/>
      <c r="J249" s="450"/>
      <c r="K249" s="444" t="s">
        <v>3311</v>
      </c>
      <c r="L249" s="450" t="s">
        <v>1173</v>
      </c>
      <c r="M249" s="444" t="s">
        <v>3323</v>
      </c>
      <c r="N249" s="450"/>
      <c r="O249" s="450"/>
      <c r="P249" s="450" t="s">
        <v>547</v>
      </c>
      <c r="Q249" s="451" t="s">
        <v>374</v>
      </c>
      <c r="R249" s="451" t="s">
        <v>3324</v>
      </c>
      <c r="S249" s="452">
        <v>45558</v>
      </c>
      <c r="T249" s="452"/>
      <c r="U249" s="453"/>
      <c r="V249" s="454"/>
      <c r="W249" s="455" t="s">
        <v>376</v>
      </c>
      <c r="X249" s="455">
        <v>45559</v>
      </c>
      <c r="Y249" s="456" t="s">
        <v>377</v>
      </c>
      <c r="Z249" s="457"/>
      <c r="AA249" s="453"/>
    </row>
    <row r="250" spans="1:27" s="128" customFormat="1" ht="37.5">
      <c r="A250" s="443">
        <v>46</v>
      </c>
      <c r="B250" s="444" t="s">
        <v>3419</v>
      </c>
      <c r="C250" s="445" t="s">
        <v>58</v>
      </c>
      <c r="D250" s="444" t="s">
        <v>3420</v>
      </c>
      <c r="E250" s="446">
        <v>4</v>
      </c>
      <c r="F250" s="447"/>
      <c r="G250" s="448">
        <f t="shared" si="9"/>
        <v>0</v>
      </c>
      <c r="H250" s="450"/>
      <c r="I250" s="444"/>
      <c r="J250" s="450"/>
      <c r="K250" s="444" t="s">
        <v>3311</v>
      </c>
      <c r="L250" s="450" t="s">
        <v>1173</v>
      </c>
      <c r="M250" s="444" t="s">
        <v>3329</v>
      </c>
      <c r="N250" s="450"/>
      <c r="O250" s="450"/>
      <c r="P250" s="450" t="s">
        <v>547</v>
      </c>
      <c r="Q250" s="451" t="s">
        <v>374</v>
      </c>
      <c r="R250" s="451" t="s">
        <v>2967</v>
      </c>
      <c r="S250" s="452">
        <v>45590</v>
      </c>
      <c r="T250" s="452"/>
      <c r="U250" s="453"/>
      <c r="V250" s="454"/>
      <c r="W250" s="452" t="s">
        <v>406</v>
      </c>
      <c r="X250" s="455">
        <v>45541</v>
      </c>
      <c r="Y250" s="456" t="s">
        <v>377</v>
      </c>
      <c r="Z250" s="457"/>
      <c r="AA250" s="453"/>
    </row>
    <row r="251" spans="1:27" s="128" customFormat="1" ht="37.5">
      <c r="A251" s="443">
        <v>47</v>
      </c>
      <c r="B251" s="444" t="s">
        <v>3421</v>
      </c>
      <c r="C251" s="445" t="s">
        <v>58</v>
      </c>
      <c r="D251" s="444" t="s">
        <v>3422</v>
      </c>
      <c r="E251" s="446">
        <v>2</v>
      </c>
      <c r="F251" s="447"/>
      <c r="G251" s="448">
        <f t="shared" si="9"/>
        <v>0</v>
      </c>
      <c r="H251" s="450"/>
      <c r="I251" s="444"/>
      <c r="J251" s="450"/>
      <c r="K251" s="444" t="s">
        <v>3311</v>
      </c>
      <c r="L251" s="450" t="s">
        <v>1173</v>
      </c>
      <c r="M251" s="444" t="s">
        <v>3323</v>
      </c>
      <c r="N251" s="450"/>
      <c r="O251" s="450"/>
      <c r="P251" s="450" t="s">
        <v>547</v>
      </c>
      <c r="Q251" s="451" t="s">
        <v>374</v>
      </c>
      <c r="R251" s="451" t="s">
        <v>3324</v>
      </c>
      <c r="S251" s="452">
        <v>45558</v>
      </c>
      <c r="T251" s="452"/>
      <c r="U251" s="453"/>
      <c r="V251" s="454"/>
      <c r="W251" s="455" t="s">
        <v>376</v>
      </c>
      <c r="X251" s="455">
        <v>45559</v>
      </c>
      <c r="Y251" s="456" t="s">
        <v>377</v>
      </c>
      <c r="Z251" s="457"/>
      <c r="AA251" s="453"/>
    </row>
    <row r="252" spans="1:27" s="128" customFormat="1" ht="37.5">
      <c r="A252" s="443">
        <v>48</v>
      </c>
      <c r="B252" s="444" t="s">
        <v>3423</v>
      </c>
      <c r="C252" s="445" t="s">
        <v>58</v>
      </c>
      <c r="D252" s="444" t="s">
        <v>3424</v>
      </c>
      <c r="E252" s="446">
        <v>1</v>
      </c>
      <c r="F252" s="447"/>
      <c r="G252" s="448">
        <f t="shared" si="9"/>
        <v>0</v>
      </c>
      <c r="H252" s="450"/>
      <c r="I252" s="444"/>
      <c r="J252" s="450"/>
      <c r="K252" s="444" t="s">
        <v>3311</v>
      </c>
      <c r="L252" s="450" t="s">
        <v>1173</v>
      </c>
      <c r="M252" s="444" t="s">
        <v>3312</v>
      </c>
      <c r="N252" s="450"/>
      <c r="O252" s="450"/>
      <c r="P252" s="450" t="s">
        <v>547</v>
      </c>
      <c r="Q252" s="451" t="s">
        <v>374</v>
      </c>
      <c r="R252" s="451" t="s">
        <v>3313</v>
      </c>
      <c r="S252" s="452">
        <v>45558</v>
      </c>
      <c r="T252" s="452"/>
      <c r="U252" s="453"/>
      <c r="V252" s="454"/>
      <c r="W252" s="455" t="s">
        <v>406</v>
      </c>
      <c r="X252" s="455">
        <v>45554</v>
      </c>
      <c r="Y252" s="456" t="s">
        <v>377</v>
      </c>
      <c r="Z252" s="457"/>
      <c r="AA252" s="453"/>
    </row>
    <row r="253" spans="1:27" s="128" customFormat="1" ht="37.5">
      <c r="A253" s="443">
        <v>49</v>
      </c>
      <c r="B253" s="444" t="s">
        <v>3425</v>
      </c>
      <c r="C253" s="445" t="s">
        <v>58</v>
      </c>
      <c r="D253" s="444" t="s">
        <v>3426</v>
      </c>
      <c r="E253" s="446">
        <v>1</v>
      </c>
      <c r="F253" s="447"/>
      <c r="G253" s="448">
        <f t="shared" si="9"/>
        <v>0</v>
      </c>
      <c r="H253" s="450"/>
      <c r="I253" s="444"/>
      <c r="J253" s="450"/>
      <c r="K253" s="444" t="s">
        <v>3311</v>
      </c>
      <c r="L253" s="450" t="s">
        <v>1173</v>
      </c>
      <c r="M253" s="444" t="s">
        <v>3319</v>
      </c>
      <c r="N253" s="450"/>
      <c r="O253" s="450"/>
      <c r="P253" s="450" t="s">
        <v>547</v>
      </c>
      <c r="Q253" s="451" t="s">
        <v>374</v>
      </c>
      <c r="R253" s="451" t="s">
        <v>3320</v>
      </c>
      <c r="S253" s="452">
        <v>45558</v>
      </c>
      <c r="T253" s="452"/>
      <c r="U253" s="453"/>
      <c r="V253" s="454"/>
      <c r="W253" s="455" t="s">
        <v>376</v>
      </c>
      <c r="X253" s="455">
        <v>45559</v>
      </c>
      <c r="Y253" s="456" t="s">
        <v>377</v>
      </c>
      <c r="Z253" s="457"/>
      <c r="AA253" s="453"/>
    </row>
    <row r="254" spans="1:27" s="128" customFormat="1" ht="37.5">
      <c r="A254" s="443">
        <v>50</v>
      </c>
      <c r="B254" s="444" t="s">
        <v>3427</v>
      </c>
      <c r="C254" s="445" t="s">
        <v>58</v>
      </c>
      <c r="D254" s="444" t="s">
        <v>3428</v>
      </c>
      <c r="E254" s="446">
        <v>2</v>
      </c>
      <c r="F254" s="447"/>
      <c r="G254" s="448">
        <f t="shared" si="9"/>
        <v>0</v>
      </c>
      <c r="H254" s="450"/>
      <c r="I254" s="444"/>
      <c r="J254" s="450"/>
      <c r="K254" s="444" t="s">
        <v>3311</v>
      </c>
      <c r="L254" s="450" t="s">
        <v>1173</v>
      </c>
      <c r="M254" s="444" t="s">
        <v>3323</v>
      </c>
      <c r="N254" s="450"/>
      <c r="O254" s="450"/>
      <c r="P254" s="450" t="s">
        <v>547</v>
      </c>
      <c r="Q254" s="451" t="s">
        <v>374</v>
      </c>
      <c r="R254" s="451" t="s">
        <v>3324</v>
      </c>
      <c r="S254" s="452">
        <v>45558</v>
      </c>
      <c r="T254" s="452"/>
      <c r="U254" s="453"/>
      <c r="V254" s="454"/>
      <c r="W254" s="455" t="s">
        <v>376</v>
      </c>
      <c r="X254" s="455">
        <v>45559</v>
      </c>
      <c r="Y254" s="456" t="s">
        <v>377</v>
      </c>
      <c r="Z254" s="457"/>
      <c r="AA254" s="453"/>
    </row>
    <row r="255" spans="1:27" s="128" customFormat="1" ht="37.5">
      <c r="A255" s="443">
        <v>51</v>
      </c>
      <c r="B255" s="444" t="s">
        <v>3429</v>
      </c>
      <c r="C255" s="445" t="s">
        <v>58</v>
      </c>
      <c r="D255" s="444" t="s">
        <v>3430</v>
      </c>
      <c r="E255" s="446">
        <v>2</v>
      </c>
      <c r="F255" s="447"/>
      <c r="G255" s="448">
        <f t="shared" si="9"/>
        <v>0</v>
      </c>
      <c r="H255" s="450"/>
      <c r="I255" s="444"/>
      <c r="J255" s="450"/>
      <c r="K255" s="444" t="s">
        <v>3311</v>
      </c>
      <c r="L255" s="450" t="s">
        <v>1173</v>
      </c>
      <c r="M255" s="444" t="s">
        <v>3346</v>
      </c>
      <c r="N255" s="450"/>
      <c r="O255" s="450"/>
      <c r="P255" s="450" t="s">
        <v>547</v>
      </c>
      <c r="Q255" s="451" t="s">
        <v>374</v>
      </c>
      <c r="R255" s="451" t="s">
        <v>2906</v>
      </c>
      <c r="S255" s="452">
        <v>45558</v>
      </c>
      <c r="T255" s="452"/>
      <c r="U255" s="453"/>
      <c r="V255" s="454"/>
      <c r="W255" s="455" t="s">
        <v>406</v>
      </c>
      <c r="X255" s="455">
        <v>45553</v>
      </c>
      <c r="Y255" s="456" t="s">
        <v>377</v>
      </c>
      <c r="Z255" s="457"/>
      <c r="AA255" s="453"/>
    </row>
    <row r="256" spans="1:27" s="128" customFormat="1" ht="37.5">
      <c r="A256" s="443">
        <v>52</v>
      </c>
      <c r="B256" s="444" t="s">
        <v>3431</v>
      </c>
      <c r="C256" s="445" t="s">
        <v>58</v>
      </c>
      <c r="D256" s="444" t="s">
        <v>3432</v>
      </c>
      <c r="E256" s="446">
        <v>1</v>
      </c>
      <c r="F256" s="447"/>
      <c r="G256" s="448">
        <f t="shared" si="9"/>
        <v>0</v>
      </c>
      <c r="H256" s="450"/>
      <c r="I256" s="444"/>
      <c r="J256" s="450"/>
      <c r="K256" s="444" t="s">
        <v>3311</v>
      </c>
      <c r="L256" s="450" t="s">
        <v>1173</v>
      </c>
      <c r="M256" s="444" t="s">
        <v>3323</v>
      </c>
      <c r="N256" s="450"/>
      <c r="O256" s="450"/>
      <c r="P256" s="450" t="s">
        <v>547</v>
      </c>
      <c r="Q256" s="451" t="s">
        <v>374</v>
      </c>
      <c r="R256" s="451" t="s">
        <v>3324</v>
      </c>
      <c r="S256" s="452">
        <v>45558</v>
      </c>
      <c r="T256" s="452"/>
      <c r="U256" s="453"/>
      <c r="V256" s="454"/>
      <c r="W256" s="455" t="s">
        <v>376</v>
      </c>
      <c r="X256" s="455">
        <v>45548</v>
      </c>
      <c r="Y256" s="456" t="s">
        <v>377</v>
      </c>
      <c r="Z256" s="457"/>
      <c r="AA256" s="453"/>
    </row>
    <row r="257" spans="1:27" s="128" customFormat="1" ht="37.5">
      <c r="A257" s="443">
        <v>53</v>
      </c>
      <c r="B257" s="444" t="s">
        <v>3433</v>
      </c>
      <c r="C257" s="445" t="s">
        <v>58</v>
      </c>
      <c r="D257" s="444" t="s">
        <v>3434</v>
      </c>
      <c r="E257" s="446">
        <v>1</v>
      </c>
      <c r="F257" s="447"/>
      <c r="G257" s="448">
        <f t="shared" si="9"/>
        <v>0</v>
      </c>
      <c r="H257" s="450"/>
      <c r="I257" s="444"/>
      <c r="J257" s="450"/>
      <c r="K257" s="444" t="s">
        <v>3311</v>
      </c>
      <c r="L257" s="450" t="s">
        <v>1173</v>
      </c>
      <c r="M257" s="444" t="s">
        <v>3323</v>
      </c>
      <c r="N257" s="450"/>
      <c r="O257" s="450"/>
      <c r="P257" s="450" t="s">
        <v>547</v>
      </c>
      <c r="Q257" s="451" t="s">
        <v>374</v>
      </c>
      <c r="R257" s="451" t="s">
        <v>3324</v>
      </c>
      <c r="S257" s="452">
        <v>45558</v>
      </c>
      <c r="T257" s="452"/>
      <c r="U257" s="453"/>
      <c r="V257" s="454"/>
      <c r="W257" s="455" t="s">
        <v>376</v>
      </c>
      <c r="X257" s="455">
        <v>45548</v>
      </c>
      <c r="Y257" s="456" t="s">
        <v>377</v>
      </c>
      <c r="Z257" s="457"/>
      <c r="AA257" s="453"/>
    </row>
    <row r="258" spans="1:27" s="128" customFormat="1" ht="37.5">
      <c r="A258" s="443">
        <v>54</v>
      </c>
      <c r="B258" s="444" t="s">
        <v>3435</v>
      </c>
      <c r="C258" s="445" t="s">
        <v>58</v>
      </c>
      <c r="D258" s="444" t="s">
        <v>3436</v>
      </c>
      <c r="E258" s="446">
        <v>1</v>
      </c>
      <c r="F258" s="447"/>
      <c r="G258" s="448">
        <f t="shared" si="9"/>
        <v>0</v>
      </c>
      <c r="H258" s="450"/>
      <c r="I258" s="444"/>
      <c r="J258" s="450"/>
      <c r="K258" s="444" t="s">
        <v>3311</v>
      </c>
      <c r="L258" s="450" t="s">
        <v>1173</v>
      </c>
      <c r="M258" s="444" t="s">
        <v>3323</v>
      </c>
      <c r="N258" s="450"/>
      <c r="O258" s="450"/>
      <c r="P258" s="450" t="s">
        <v>547</v>
      </c>
      <c r="Q258" s="451" t="s">
        <v>374</v>
      </c>
      <c r="R258" s="451" t="s">
        <v>3324</v>
      </c>
      <c r="S258" s="452">
        <v>45558</v>
      </c>
      <c r="T258" s="452"/>
      <c r="U258" s="453"/>
      <c r="V258" s="454"/>
      <c r="W258" s="455" t="s">
        <v>376</v>
      </c>
      <c r="X258" s="455">
        <v>45548</v>
      </c>
      <c r="Y258" s="456" t="s">
        <v>377</v>
      </c>
      <c r="Z258" s="457"/>
      <c r="AA258" s="453"/>
    </row>
    <row r="259" spans="1:27" s="128" customFormat="1" ht="37.5">
      <c r="A259" s="443">
        <v>55</v>
      </c>
      <c r="B259" s="444" t="s">
        <v>3437</v>
      </c>
      <c r="C259" s="445" t="s">
        <v>58</v>
      </c>
      <c r="D259" s="444" t="s">
        <v>3438</v>
      </c>
      <c r="E259" s="446">
        <v>1</v>
      </c>
      <c r="F259" s="447"/>
      <c r="G259" s="448">
        <f t="shared" si="9"/>
        <v>0</v>
      </c>
      <c r="H259" s="450"/>
      <c r="I259" s="444"/>
      <c r="J259" s="450"/>
      <c r="K259" s="444" t="s">
        <v>3311</v>
      </c>
      <c r="L259" s="450" t="s">
        <v>1173</v>
      </c>
      <c r="M259" s="444" t="s">
        <v>3312</v>
      </c>
      <c r="N259" s="450"/>
      <c r="O259" s="450"/>
      <c r="P259" s="450" t="s">
        <v>547</v>
      </c>
      <c r="Q259" s="451" t="s">
        <v>374</v>
      </c>
      <c r="R259" s="451" t="s">
        <v>3313</v>
      </c>
      <c r="S259" s="452">
        <v>45558</v>
      </c>
      <c r="T259" s="452"/>
      <c r="U259" s="453"/>
      <c r="V259" s="454"/>
      <c r="W259" s="455" t="s">
        <v>406</v>
      </c>
      <c r="X259" s="455">
        <v>45554</v>
      </c>
      <c r="Y259" s="456" t="s">
        <v>377</v>
      </c>
      <c r="Z259" s="457"/>
      <c r="AA259" s="453"/>
    </row>
    <row r="260" spans="1:27" s="128" customFormat="1" ht="37.5">
      <c r="A260" s="443">
        <v>56</v>
      </c>
      <c r="B260" s="444" t="s">
        <v>3439</v>
      </c>
      <c r="C260" s="445" t="s">
        <v>58</v>
      </c>
      <c r="D260" s="444" t="s">
        <v>3440</v>
      </c>
      <c r="E260" s="446">
        <v>1</v>
      </c>
      <c r="F260" s="447"/>
      <c r="G260" s="448">
        <f t="shared" si="9"/>
        <v>0</v>
      </c>
      <c r="H260" s="450"/>
      <c r="I260" s="444"/>
      <c r="J260" s="450"/>
      <c r="K260" s="444" t="s">
        <v>3311</v>
      </c>
      <c r="L260" s="450" t="s">
        <v>1173</v>
      </c>
      <c r="M260" s="444" t="s">
        <v>3312</v>
      </c>
      <c r="N260" s="450"/>
      <c r="O260" s="450"/>
      <c r="P260" s="450" t="s">
        <v>547</v>
      </c>
      <c r="Q260" s="451" t="s">
        <v>374</v>
      </c>
      <c r="R260" s="451" t="s">
        <v>3313</v>
      </c>
      <c r="S260" s="452">
        <v>45558</v>
      </c>
      <c r="T260" s="452"/>
      <c r="U260" s="453"/>
      <c r="V260" s="454"/>
      <c r="W260" s="455" t="s">
        <v>406</v>
      </c>
      <c r="X260" s="455">
        <v>45554</v>
      </c>
      <c r="Y260" s="456" t="s">
        <v>377</v>
      </c>
      <c r="Z260" s="457"/>
      <c r="AA260" s="453"/>
    </row>
    <row r="261" spans="1:27" s="128" customFormat="1" ht="37.5">
      <c r="A261" s="443">
        <v>57</v>
      </c>
      <c r="B261" s="444" t="s">
        <v>3441</v>
      </c>
      <c r="C261" s="445" t="s">
        <v>58</v>
      </c>
      <c r="D261" s="444" t="s">
        <v>3442</v>
      </c>
      <c r="E261" s="446">
        <v>1</v>
      </c>
      <c r="F261" s="447"/>
      <c r="G261" s="448">
        <f t="shared" si="9"/>
        <v>0</v>
      </c>
      <c r="H261" s="450"/>
      <c r="I261" s="444"/>
      <c r="J261" s="450"/>
      <c r="K261" s="444" t="s">
        <v>3311</v>
      </c>
      <c r="L261" s="450" t="s">
        <v>1173</v>
      </c>
      <c r="M261" s="444" t="s">
        <v>3323</v>
      </c>
      <c r="N261" s="450"/>
      <c r="O261" s="450"/>
      <c r="P261" s="450" t="s">
        <v>547</v>
      </c>
      <c r="Q261" s="451" t="s">
        <v>374</v>
      </c>
      <c r="R261" s="451" t="s">
        <v>3324</v>
      </c>
      <c r="S261" s="452">
        <v>45558</v>
      </c>
      <c r="T261" s="452"/>
      <c r="U261" s="453"/>
      <c r="V261" s="454"/>
      <c r="W261" s="455" t="s">
        <v>406</v>
      </c>
      <c r="X261" s="455">
        <v>45558</v>
      </c>
      <c r="Y261" s="456" t="s">
        <v>377</v>
      </c>
      <c r="Z261" s="457"/>
      <c r="AA261" s="453"/>
    </row>
    <row r="262" spans="1:27" s="128" customFormat="1" ht="37.5">
      <c r="A262" s="443">
        <v>58</v>
      </c>
      <c r="B262" s="444" t="s">
        <v>3443</v>
      </c>
      <c r="C262" s="445" t="s">
        <v>58</v>
      </c>
      <c r="D262" s="444" t="s">
        <v>3444</v>
      </c>
      <c r="E262" s="446">
        <v>1</v>
      </c>
      <c r="F262" s="447"/>
      <c r="G262" s="448">
        <f t="shared" si="9"/>
        <v>0</v>
      </c>
      <c r="H262" s="450"/>
      <c r="I262" s="444"/>
      <c r="J262" s="450"/>
      <c r="K262" s="444" t="s">
        <v>3311</v>
      </c>
      <c r="L262" s="450" t="s">
        <v>1173</v>
      </c>
      <c r="M262" s="444" t="s">
        <v>3346</v>
      </c>
      <c r="N262" s="450"/>
      <c r="O262" s="450"/>
      <c r="P262" s="450" t="s">
        <v>547</v>
      </c>
      <c r="Q262" s="451" t="s">
        <v>374</v>
      </c>
      <c r="R262" s="451" t="s">
        <v>2906</v>
      </c>
      <c r="S262" s="452">
        <v>45558</v>
      </c>
      <c r="T262" s="452"/>
      <c r="U262" s="453"/>
      <c r="V262" s="454"/>
      <c r="W262" s="455" t="s">
        <v>376</v>
      </c>
      <c r="X262" s="455">
        <v>45548</v>
      </c>
      <c r="Y262" s="456" t="s">
        <v>377</v>
      </c>
      <c r="Z262" s="457"/>
      <c r="AA262" s="453"/>
    </row>
    <row r="263" spans="1:27" s="128" customFormat="1" ht="37.5">
      <c r="A263" s="443">
        <v>59</v>
      </c>
      <c r="B263" s="444" t="s">
        <v>3445</v>
      </c>
      <c r="C263" s="445" t="s">
        <v>58</v>
      </c>
      <c r="D263" s="444" t="s">
        <v>3446</v>
      </c>
      <c r="E263" s="446">
        <v>1</v>
      </c>
      <c r="F263" s="447"/>
      <c r="G263" s="448">
        <f t="shared" si="9"/>
        <v>0</v>
      </c>
      <c r="H263" s="450"/>
      <c r="I263" s="444"/>
      <c r="J263" s="450"/>
      <c r="K263" s="444" t="s">
        <v>3311</v>
      </c>
      <c r="L263" s="450" t="s">
        <v>1173</v>
      </c>
      <c r="M263" s="444" t="s">
        <v>3312</v>
      </c>
      <c r="N263" s="450"/>
      <c r="O263" s="450"/>
      <c r="P263" s="450" t="s">
        <v>547</v>
      </c>
      <c r="Q263" s="451" t="s">
        <v>374</v>
      </c>
      <c r="R263" s="451" t="s">
        <v>3313</v>
      </c>
      <c r="S263" s="452">
        <v>45558</v>
      </c>
      <c r="T263" s="452"/>
      <c r="U263" s="453"/>
      <c r="V263" s="454"/>
      <c r="W263" s="455" t="s">
        <v>406</v>
      </c>
      <c r="X263" s="455">
        <v>45554</v>
      </c>
      <c r="Y263" s="456" t="s">
        <v>377</v>
      </c>
      <c r="Z263" s="457"/>
      <c r="AA263" s="453"/>
    </row>
    <row r="264" spans="1:27" s="128" customFormat="1" ht="37.5">
      <c r="A264" s="443">
        <v>60</v>
      </c>
      <c r="B264" s="444" t="s">
        <v>3447</v>
      </c>
      <c r="C264" s="445" t="s">
        <v>58</v>
      </c>
      <c r="D264" s="444" t="s">
        <v>3448</v>
      </c>
      <c r="E264" s="446">
        <v>1</v>
      </c>
      <c r="F264" s="447"/>
      <c r="G264" s="448">
        <f t="shared" si="9"/>
        <v>0</v>
      </c>
      <c r="H264" s="450"/>
      <c r="I264" s="444"/>
      <c r="J264" s="450"/>
      <c r="K264" s="444" t="s">
        <v>3311</v>
      </c>
      <c r="L264" s="450" t="s">
        <v>1173</v>
      </c>
      <c r="M264" s="444" t="s">
        <v>3323</v>
      </c>
      <c r="N264" s="450"/>
      <c r="O264" s="450"/>
      <c r="P264" s="450" t="s">
        <v>547</v>
      </c>
      <c r="Q264" s="451" t="s">
        <v>374</v>
      </c>
      <c r="R264" s="451" t="s">
        <v>3324</v>
      </c>
      <c r="S264" s="452">
        <v>45558</v>
      </c>
      <c r="T264" s="452"/>
      <c r="U264" s="453"/>
      <c r="V264" s="454"/>
      <c r="W264" s="455" t="s">
        <v>376</v>
      </c>
      <c r="X264" s="455">
        <v>45548</v>
      </c>
      <c r="Y264" s="456" t="s">
        <v>377</v>
      </c>
      <c r="Z264" s="457"/>
      <c r="AA264" s="453"/>
    </row>
    <row r="265" spans="1:27" s="128" customFormat="1" ht="37.5">
      <c r="A265" s="443">
        <v>61</v>
      </c>
      <c r="B265" s="444" t="s">
        <v>3449</v>
      </c>
      <c r="C265" s="445" t="s">
        <v>58</v>
      </c>
      <c r="D265" s="444" t="s">
        <v>3450</v>
      </c>
      <c r="E265" s="446">
        <v>1</v>
      </c>
      <c r="F265" s="447"/>
      <c r="G265" s="448">
        <f t="shared" si="9"/>
        <v>0</v>
      </c>
      <c r="H265" s="450"/>
      <c r="I265" s="444"/>
      <c r="J265" s="450"/>
      <c r="K265" s="444" t="s">
        <v>3311</v>
      </c>
      <c r="L265" s="450" t="s">
        <v>1173</v>
      </c>
      <c r="M265" s="444" t="s">
        <v>3323</v>
      </c>
      <c r="N265" s="450"/>
      <c r="O265" s="450"/>
      <c r="P265" s="450" t="s">
        <v>547</v>
      </c>
      <c r="Q265" s="451" t="s">
        <v>374</v>
      </c>
      <c r="R265" s="451" t="s">
        <v>3324</v>
      </c>
      <c r="S265" s="452">
        <v>45558</v>
      </c>
      <c r="T265" s="452"/>
      <c r="U265" s="453"/>
      <c r="V265" s="454"/>
      <c r="W265" s="455" t="s">
        <v>376</v>
      </c>
      <c r="X265" s="455">
        <v>45548</v>
      </c>
      <c r="Y265" s="456" t="s">
        <v>377</v>
      </c>
      <c r="Z265" s="457"/>
      <c r="AA265" s="453"/>
    </row>
    <row r="266" spans="1:27" s="128" customFormat="1" ht="37.5">
      <c r="A266" s="443">
        <v>62</v>
      </c>
      <c r="B266" s="444" t="s">
        <v>3451</v>
      </c>
      <c r="C266" s="445" t="s">
        <v>58</v>
      </c>
      <c r="D266" s="444" t="s">
        <v>3452</v>
      </c>
      <c r="E266" s="446">
        <v>1</v>
      </c>
      <c r="F266" s="447"/>
      <c r="G266" s="448">
        <f t="shared" si="9"/>
        <v>0</v>
      </c>
      <c r="H266" s="450"/>
      <c r="I266" s="444"/>
      <c r="J266" s="450"/>
      <c r="K266" s="444" t="s">
        <v>3311</v>
      </c>
      <c r="L266" s="450" t="s">
        <v>1173</v>
      </c>
      <c r="M266" s="444" t="s">
        <v>3453</v>
      </c>
      <c r="N266" s="450"/>
      <c r="O266" s="450"/>
      <c r="P266" s="450" t="s">
        <v>547</v>
      </c>
      <c r="Q266" s="451" t="s">
        <v>374</v>
      </c>
      <c r="R266" s="451" t="s">
        <v>3454</v>
      </c>
      <c r="S266" s="452">
        <v>45558</v>
      </c>
      <c r="T266" s="452"/>
      <c r="U266" s="453"/>
      <c r="V266" s="454"/>
      <c r="W266" s="455" t="s">
        <v>406</v>
      </c>
      <c r="X266" s="455">
        <v>45554</v>
      </c>
      <c r="Y266" s="456" t="s">
        <v>377</v>
      </c>
      <c r="Z266" s="457"/>
      <c r="AA266" s="453"/>
    </row>
    <row r="267" spans="1:27" s="128" customFormat="1" ht="37.5">
      <c r="A267" s="443">
        <v>63</v>
      </c>
      <c r="B267" s="444" t="s">
        <v>3455</v>
      </c>
      <c r="C267" s="445" t="s">
        <v>58</v>
      </c>
      <c r="D267" s="444" t="s">
        <v>3456</v>
      </c>
      <c r="E267" s="446">
        <v>1</v>
      </c>
      <c r="F267" s="447"/>
      <c r="G267" s="448">
        <f t="shared" si="9"/>
        <v>0</v>
      </c>
      <c r="H267" s="450"/>
      <c r="I267" s="444"/>
      <c r="J267" s="450"/>
      <c r="K267" s="444" t="s">
        <v>3311</v>
      </c>
      <c r="L267" s="450" t="s">
        <v>1173</v>
      </c>
      <c r="M267" s="444" t="s">
        <v>3319</v>
      </c>
      <c r="N267" s="450"/>
      <c r="O267" s="450"/>
      <c r="P267" s="450" t="s">
        <v>547</v>
      </c>
      <c r="Q267" s="451" t="s">
        <v>374</v>
      </c>
      <c r="R267" s="451" t="s">
        <v>3320</v>
      </c>
      <c r="S267" s="452">
        <v>45590</v>
      </c>
      <c r="T267" s="452"/>
      <c r="U267" s="453"/>
      <c r="V267" s="454"/>
      <c r="W267" s="455" t="s">
        <v>406</v>
      </c>
      <c r="X267" s="455">
        <v>45568</v>
      </c>
      <c r="Y267" s="456" t="s">
        <v>377</v>
      </c>
      <c r="Z267" s="457"/>
      <c r="AA267" s="453"/>
    </row>
    <row r="268" spans="1:27" s="128" customFormat="1" ht="37.5">
      <c r="A268" s="443">
        <v>64</v>
      </c>
      <c r="B268" s="444" t="s">
        <v>3457</v>
      </c>
      <c r="C268" s="445" t="s">
        <v>58</v>
      </c>
      <c r="D268" s="444" t="s">
        <v>3458</v>
      </c>
      <c r="E268" s="446">
        <v>2</v>
      </c>
      <c r="F268" s="447"/>
      <c r="G268" s="448">
        <f t="shared" si="9"/>
        <v>0</v>
      </c>
      <c r="H268" s="450"/>
      <c r="I268" s="444"/>
      <c r="J268" s="450"/>
      <c r="K268" s="444" t="s">
        <v>3311</v>
      </c>
      <c r="L268" s="450" t="s">
        <v>1173</v>
      </c>
      <c r="M268" s="444" t="s">
        <v>3312</v>
      </c>
      <c r="N268" s="450"/>
      <c r="O268" s="450"/>
      <c r="P268" s="450" t="s">
        <v>547</v>
      </c>
      <c r="Q268" s="451" t="s">
        <v>374</v>
      </c>
      <c r="R268" s="451" t="s">
        <v>3313</v>
      </c>
      <c r="S268" s="452">
        <v>45558</v>
      </c>
      <c r="T268" s="452"/>
      <c r="U268" s="453"/>
      <c r="V268" s="454"/>
      <c r="W268" s="455" t="s">
        <v>406</v>
      </c>
      <c r="X268" s="455">
        <v>45554</v>
      </c>
      <c r="Y268" s="456" t="s">
        <v>377</v>
      </c>
      <c r="Z268" s="457"/>
      <c r="AA268" s="453"/>
    </row>
    <row r="269" spans="1:27" s="128" customFormat="1" ht="37.5">
      <c r="A269" s="443">
        <v>65</v>
      </c>
      <c r="B269" s="444" t="s">
        <v>3459</v>
      </c>
      <c r="C269" s="445" t="s">
        <v>58</v>
      </c>
      <c r="D269" s="444" t="s">
        <v>3460</v>
      </c>
      <c r="E269" s="446">
        <v>1</v>
      </c>
      <c r="F269" s="447"/>
      <c r="G269" s="448">
        <f t="shared" ref="G269:G300" si="10">E269*F269</f>
        <v>0</v>
      </c>
      <c r="H269" s="450"/>
      <c r="I269" s="444"/>
      <c r="J269" s="450"/>
      <c r="K269" s="444" t="s">
        <v>3311</v>
      </c>
      <c r="L269" s="450" t="s">
        <v>1173</v>
      </c>
      <c r="M269" s="444" t="s">
        <v>3312</v>
      </c>
      <c r="N269" s="450"/>
      <c r="O269" s="450"/>
      <c r="P269" s="450" t="s">
        <v>547</v>
      </c>
      <c r="Q269" s="451" t="s">
        <v>374</v>
      </c>
      <c r="R269" s="451" t="s">
        <v>3313</v>
      </c>
      <c r="S269" s="452">
        <v>45558</v>
      </c>
      <c r="T269" s="452"/>
      <c r="U269" s="453"/>
      <c r="V269" s="454"/>
      <c r="W269" s="455" t="s">
        <v>406</v>
      </c>
      <c r="X269" s="455">
        <v>45554</v>
      </c>
      <c r="Y269" s="456" t="s">
        <v>377</v>
      </c>
      <c r="Z269" s="457"/>
      <c r="AA269" s="453"/>
    </row>
    <row r="270" spans="1:27" s="128" customFormat="1" ht="37.5">
      <c r="A270" s="443">
        <v>66</v>
      </c>
      <c r="B270" s="444" t="s">
        <v>3461</v>
      </c>
      <c r="C270" s="445" t="s">
        <v>58</v>
      </c>
      <c r="D270" s="444" t="s">
        <v>3462</v>
      </c>
      <c r="E270" s="446">
        <v>1</v>
      </c>
      <c r="F270" s="447"/>
      <c r="G270" s="448">
        <f t="shared" si="10"/>
        <v>0</v>
      </c>
      <c r="H270" s="450"/>
      <c r="I270" s="444"/>
      <c r="J270" s="450"/>
      <c r="K270" s="444" t="s">
        <v>3311</v>
      </c>
      <c r="L270" s="450" t="s">
        <v>1173</v>
      </c>
      <c r="M270" s="444" t="s">
        <v>3319</v>
      </c>
      <c r="N270" s="450"/>
      <c r="O270" s="450"/>
      <c r="P270" s="450" t="s">
        <v>547</v>
      </c>
      <c r="Q270" s="451" t="s">
        <v>374</v>
      </c>
      <c r="R270" s="451" t="s">
        <v>3320</v>
      </c>
      <c r="S270" s="452">
        <v>45558</v>
      </c>
      <c r="T270" s="452"/>
      <c r="U270" s="453"/>
      <c r="V270" s="454"/>
      <c r="W270" s="455" t="s">
        <v>406</v>
      </c>
      <c r="X270" s="455">
        <v>45561</v>
      </c>
      <c r="Y270" s="456" t="s">
        <v>377</v>
      </c>
      <c r="Z270" s="457"/>
      <c r="AA270" s="453"/>
    </row>
    <row r="271" spans="1:27" s="128" customFormat="1" ht="37.5">
      <c r="A271" s="443">
        <v>67</v>
      </c>
      <c r="B271" s="444" t="s">
        <v>3463</v>
      </c>
      <c r="C271" s="445" t="s">
        <v>58</v>
      </c>
      <c r="D271" s="444" t="s">
        <v>3464</v>
      </c>
      <c r="E271" s="446">
        <v>2</v>
      </c>
      <c r="F271" s="447"/>
      <c r="G271" s="448">
        <f t="shared" si="10"/>
        <v>0</v>
      </c>
      <c r="H271" s="450"/>
      <c r="I271" s="444"/>
      <c r="J271" s="450"/>
      <c r="K271" s="444" t="s">
        <v>3311</v>
      </c>
      <c r="L271" s="450" t="s">
        <v>1173</v>
      </c>
      <c r="M271" s="444" t="s">
        <v>3329</v>
      </c>
      <c r="N271" s="450"/>
      <c r="O271" s="450"/>
      <c r="P271" s="450" t="s">
        <v>547</v>
      </c>
      <c r="Q271" s="451" t="s">
        <v>374</v>
      </c>
      <c r="R271" s="451" t="s">
        <v>2967</v>
      </c>
      <c r="S271" s="452">
        <v>45558</v>
      </c>
      <c r="T271" s="452"/>
      <c r="U271" s="453"/>
      <c r="V271" s="454"/>
      <c r="W271" s="455" t="s">
        <v>406</v>
      </c>
      <c r="X271" s="455">
        <v>45553</v>
      </c>
      <c r="Y271" s="456" t="s">
        <v>377</v>
      </c>
      <c r="Z271" s="457"/>
      <c r="AA271" s="453"/>
    </row>
    <row r="272" spans="1:27" s="128" customFormat="1" ht="37.5">
      <c r="A272" s="443">
        <v>68</v>
      </c>
      <c r="B272" s="444" t="s">
        <v>3465</v>
      </c>
      <c r="C272" s="445" t="s">
        <v>58</v>
      </c>
      <c r="D272" s="444" t="s">
        <v>3466</v>
      </c>
      <c r="E272" s="446">
        <v>1</v>
      </c>
      <c r="F272" s="447"/>
      <c r="G272" s="448">
        <f t="shared" si="10"/>
        <v>0</v>
      </c>
      <c r="H272" s="450"/>
      <c r="I272" s="444"/>
      <c r="J272" s="450"/>
      <c r="K272" s="444" t="s">
        <v>3311</v>
      </c>
      <c r="L272" s="450" t="s">
        <v>1173</v>
      </c>
      <c r="M272" s="444" t="s">
        <v>3312</v>
      </c>
      <c r="N272" s="450"/>
      <c r="O272" s="450"/>
      <c r="P272" s="450" t="s">
        <v>547</v>
      </c>
      <c r="Q272" s="451" t="s">
        <v>374</v>
      </c>
      <c r="R272" s="451" t="s">
        <v>3313</v>
      </c>
      <c r="S272" s="452">
        <v>45558</v>
      </c>
      <c r="T272" s="452"/>
      <c r="U272" s="453"/>
      <c r="V272" s="454"/>
      <c r="W272" s="455" t="s">
        <v>406</v>
      </c>
      <c r="X272" s="455">
        <v>45554</v>
      </c>
      <c r="Y272" s="456" t="s">
        <v>377</v>
      </c>
      <c r="Z272" s="457"/>
      <c r="AA272" s="453"/>
    </row>
    <row r="273" spans="1:27" s="128" customFormat="1" ht="37.5">
      <c r="A273" s="443">
        <v>69</v>
      </c>
      <c r="B273" s="444" t="s">
        <v>3467</v>
      </c>
      <c r="C273" s="445" t="s">
        <v>58</v>
      </c>
      <c r="D273" s="444" t="s">
        <v>3468</v>
      </c>
      <c r="E273" s="446">
        <v>1</v>
      </c>
      <c r="F273" s="447"/>
      <c r="G273" s="448">
        <f t="shared" si="10"/>
        <v>0</v>
      </c>
      <c r="H273" s="450"/>
      <c r="I273" s="444"/>
      <c r="J273" s="450"/>
      <c r="K273" s="444" t="s">
        <v>3311</v>
      </c>
      <c r="L273" s="450" t="s">
        <v>1173</v>
      </c>
      <c r="M273" s="444" t="s">
        <v>3323</v>
      </c>
      <c r="N273" s="450"/>
      <c r="O273" s="450"/>
      <c r="P273" s="450" t="s">
        <v>547</v>
      </c>
      <c r="Q273" s="451" t="s">
        <v>374</v>
      </c>
      <c r="R273" s="451" t="s">
        <v>3324</v>
      </c>
      <c r="S273" s="452">
        <v>45558</v>
      </c>
      <c r="T273" s="452"/>
      <c r="U273" s="453"/>
      <c r="V273" s="454"/>
      <c r="W273" s="455" t="s">
        <v>376</v>
      </c>
      <c r="X273" s="455">
        <v>45548</v>
      </c>
      <c r="Y273" s="456" t="s">
        <v>377</v>
      </c>
      <c r="Z273" s="457"/>
      <c r="AA273" s="453"/>
    </row>
    <row r="274" spans="1:27" s="128" customFormat="1" ht="37.5">
      <c r="A274" s="443">
        <v>70</v>
      </c>
      <c r="B274" s="444" t="s">
        <v>3469</v>
      </c>
      <c r="C274" s="445" t="s">
        <v>58</v>
      </c>
      <c r="D274" s="444" t="s">
        <v>3470</v>
      </c>
      <c r="E274" s="446">
        <v>1</v>
      </c>
      <c r="F274" s="447"/>
      <c r="G274" s="448">
        <f t="shared" si="10"/>
        <v>0</v>
      </c>
      <c r="H274" s="450"/>
      <c r="I274" s="444"/>
      <c r="J274" s="450"/>
      <c r="K274" s="444" t="s">
        <v>3311</v>
      </c>
      <c r="L274" s="450" t="s">
        <v>1173</v>
      </c>
      <c r="M274" s="444" t="s">
        <v>3386</v>
      </c>
      <c r="N274" s="450"/>
      <c r="O274" s="450"/>
      <c r="P274" s="450" t="s">
        <v>547</v>
      </c>
      <c r="Q274" s="451" t="s">
        <v>374</v>
      </c>
      <c r="R274" s="451" t="s">
        <v>2957</v>
      </c>
      <c r="S274" s="452">
        <v>45560</v>
      </c>
      <c r="T274" s="452"/>
      <c r="U274" s="453"/>
      <c r="V274" s="454"/>
      <c r="W274" s="455" t="s">
        <v>376</v>
      </c>
      <c r="X274" s="455">
        <v>45559</v>
      </c>
      <c r="Y274" s="456" t="s">
        <v>377</v>
      </c>
      <c r="Z274" s="457"/>
      <c r="AA274" s="453"/>
    </row>
    <row r="275" spans="1:27" s="128" customFormat="1" ht="37.5">
      <c r="A275" s="443">
        <v>71</v>
      </c>
      <c r="B275" s="444" t="s">
        <v>3471</v>
      </c>
      <c r="C275" s="445" t="s">
        <v>58</v>
      </c>
      <c r="D275" s="444" t="s">
        <v>3472</v>
      </c>
      <c r="E275" s="446">
        <v>1</v>
      </c>
      <c r="F275" s="447"/>
      <c r="G275" s="448">
        <f t="shared" si="10"/>
        <v>0</v>
      </c>
      <c r="H275" s="450"/>
      <c r="I275" s="444"/>
      <c r="J275" s="450"/>
      <c r="K275" s="444" t="s">
        <v>3311</v>
      </c>
      <c r="L275" s="450" t="s">
        <v>1173</v>
      </c>
      <c r="M275" s="444" t="s">
        <v>3386</v>
      </c>
      <c r="N275" s="450"/>
      <c r="O275" s="450"/>
      <c r="P275" s="450" t="s">
        <v>547</v>
      </c>
      <c r="Q275" s="451" t="s">
        <v>374</v>
      </c>
      <c r="R275" s="451" t="s">
        <v>2957</v>
      </c>
      <c r="S275" s="452">
        <v>45560</v>
      </c>
      <c r="T275" s="452"/>
      <c r="U275" s="453"/>
      <c r="V275" s="454"/>
      <c r="W275" s="455" t="s">
        <v>376</v>
      </c>
      <c r="X275" s="455">
        <v>45559</v>
      </c>
      <c r="Y275" s="456" t="s">
        <v>377</v>
      </c>
      <c r="Z275" s="457"/>
      <c r="AA275" s="453"/>
    </row>
    <row r="276" spans="1:27" s="128" customFormat="1" ht="37.5">
      <c r="A276" s="443">
        <v>72</v>
      </c>
      <c r="B276" s="444" t="s">
        <v>3473</v>
      </c>
      <c r="C276" s="445" t="s">
        <v>58</v>
      </c>
      <c r="D276" s="444" t="s">
        <v>3474</v>
      </c>
      <c r="E276" s="446">
        <v>1</v>
      </c>
      <c r="F276" s="447"/>
      <c r="G276" s="448">
        <f t="shared" si="10"/>
        <v>0</v>
      </c>
      <c r="H276" s="450"/>
      <c r="I276" s="444"/>
      <c r="J276" s="450"/>
      <c r="K276" s="444" t="s">
        <v>3311</v>
      </c>
      <c r="L276" s="450" t="s">
        <v>1173</v>
      </c>
      <c r="M276" s="444" t="s">
        <v>3329</v>
      </c>
      <c r="N276" s="450"/>
      <c r="O276" s="450"/>
      <c r="P276" s="450" t="s">
        <v>547</v>
      </c>
      <c r="Q276" s="451" t="s">
        <v>374</v>
      </c>
      <c r="R276" s="451" t="s">
        <v>2967</v>
      </c>
      <c r="S276" s="452">
        <v>45558</v>
      </c>
      <c r="T276" s="452"/>
      <c r="U276" s="453"/>
      <c r="V276" s="454"/>
      <c r="W276" s="455" t="s">
        <v>406</v>
      </c>
      <c r="X276" s="455">
        <v>45553</v>
      </c>
      <c r="Y276" s="456" t="s">
        <v>377</v>
      </c>
      <c r="Z276" s="457"/>
      <c r="AA276" s="453"/>
    </row>
    <row r="277" spans="1:27" s="128" customFormat="1" ht="37.5">
      <c r="A277" s="443">
        <v>73</v>
      </c>
      <c r="B277" s="444" t="s">
        <v>3475</v>
      </c>
      <c r="C277" s="445" t="s">
        <v>58</v>
      </c>
      <c r="D277" s="444" t="s">
        <v>3476</v>
      </c>
      <c r="E277" s="446">
        <v>1</v>
      </c>
      <c r="F277" s="447"/>
      <c r="G277" s="448">
        <f t="shared" si="10"/>
        <v>0</v>
      </c>
      <c r="H277" s="450"/>
      <c r="I277" s="444"/>
      <c r="J277" s="450"/>
      <c r="K277" s="444" t="s">
        <v>3311</v>
      </c>
      <c r="L277" s="450" t="s">
        <v>1173</v>
      </c>
      <c r="M277" s="444" t="s">
        <v>3346</v>
      </c>
      <c r="N277" s="450"/>
      <c r="O277" s="450"/>
      <c r="P277" s="450" t="s">
        <v>547</v>
      </c>
      <c r="Q277" s="451" t="s">
        <v>374</v>
      </c>
      <c r="R277" s="451" t="s">
        <v>2906</v>
      </c>
      <c r="S277" s="452">
        <v>45558</v>
      </c>
      <c r="T277" s="452"/>
      <c r="U277" s="453"/>
      <c r="V277" s="454"/>
      <c r="W277" s="455" t="s">
        <v>376</v>
      </c>
      <c r="X277" s="455">
        <v>45548</v>
      </c>
      <c r="Y277" s="456" t="s">
        <v>377</v>
      </c>
      <c r="Z277" s="457"/>
      <c r="AA277" s="453"/>
    </row>
    <row r="278" spans="1:27" s="128" customFormat="1" ht="37.5">
      <c r="A278" s="443">
        <v>74</v>
      </c>
      <c r="B278" s="444" t="s">
        <v>3477</v>
      </c>
      <c r="C278" s="445" t="s">
        <v>58</v>
      </c>
      <c r="D278" s="444" t="s">
        <v>3478</v>
      </c>
      <c r="E278" s="446">
        <v>1</v>
      </c>
      <c r="F278" s="447"/>
      <c r="G278" s="448">
        <f t="shared" si="10"/>
        <v>0</v>
      </c>
      <c r="H278" s="450"/>
      <c r="I278" s="444"/>
      <c r="J278" s="450"/>
      <c r="K278" s="444" t="s">
        <v>3311</v>
      </c>
      <c r="L278" s="450" t="s">
        <v>1173</v>
      </c>
      <c r="M278" s="444" t="s">
        <v>3312</v>
      </c>
      <c r="N278" s="450"/>
      <c r="O278" s="450"/>
      <c r="P278" s="450" t="s">
        <v>547</v>
      </c>
      <c r="Q278" s="451" t="s">
        <v>374</v>
      </c>
      <c r="R278" s="451" t="s">
        <v>3313</v>
      </c>
      <c r="S278" s="452">
        <v>45558</v>
      </c>
      <c r="T278" s="452"/>
      <c r="U278" s="453"/>
      <c r="V278" s="454"/>
      <c r="W278" s="455" t="s">
        <v>406</v>
      </c>
      <c r="X278" s="455">
        <v>45554</v>
      </c>
      <c r="Y278" s="456" t="s">
        <v>377</v>
      </c>
      <c r="Z278" s="457"/>
      <c r="AA278" s="453"/>
    </row>
    <row r="279" spans="1:27" s="128" customFormat="1" ht="37.5">
      <c r="A279" s="443">
        <v>75</v>
      </c>
      <c r="B279" s="444" t="s">
        <v>3479</v>
      </c>
      <c r="C279" s="445" t="s">
        <v>58</v>
      </c>
      <c r="D279" s="444" t="s">
        <v>3480</v>
      </c>
      <c r="E279" s="446">
        <v>1</v>
      </c>
      <c r="F279" s="447"/>
      <c r="G279" s="448">
        <f t="shared" si="10"/>
        <v>0</v>
      </c>
      <c r="H279" s="450"/>
      <c r="I279" s="444"/>
      <c r="J279" s="450"/>
      <c r="K279" s="444" t="s">
        <v>3311</v>
      </c>
      <c r="L279" s="450" t="s">
        <v>1173</v>
      </c>
      <c r="M279" s="444" t="s">
        <v>3312</v>
      </c>
      <c r="N279" s="450"/>
      <c r="O279" s="450"/>
      <c r="P279" s="450" t="s">
        <v>547</v>
      </c>
      <c r="Q279" s="451" t="s">
        <v>374</v>
      </c>
      <c r="R279" s="451" t="s">
        <v>3313</v>
      </c>
      <c r="S279" s="452">
        <v>45558</v>
      </c>
      <c r="T279" s="452"/>
      <c r="U279" s="453"/>
      <c r="V279" s="454"/>
      <c r="W279" s="455" t="s">
        <v>406</v>
      </c>
      <c r="X279" s="455">
        <v>45554</v>
      </c>
      <c r="Y279" s="456" t="s">
        <v>377</v>
      </c>
      <c r="Z279" s="457"/>
      <c r="AA279" s="453"/>
    </row>
    <row r="280" spans="1:27" s="128" customFormat="1" ht="37.5">
      <c r="A280" s="443">
        <v>76</v>
      </c>
      <c r="B280" s="444" t="s">
        <v>3481</v>
      </c>
      <c r="C280" s="445" t="s">
        <v>58</v>
      </c>
      <c r="D280" s="444" t="s">
        <v>3482</v>
      </c>
      <c r="E280" s="446">
        <v>1</v>
      </c>
      <c r="F280" s="447"/>
      <c r="G280" s="448">
        <f t="shared" si="10"/>
        <v>0</v>
      </c>
      <c r="H280" s="450"/>
      <c r="I280" s="444"/>
      <c r="J280" s="450"/>
      <c r="K280" s="444" t="s">
        <v>3311</v>
      </c>
      <c r="L280" s="450" t="s">
        <v>1173</v>
      </c>
      <c r="M280" s="444" t="s">
        <v>3386</v>
      </c>
      <c r="N280" s="450"/>
      <c r="O280" s="450"/>
      <c r="P280" s="450" t="s">
        <v>547</v>
      </c>
      <c r="Q280" s="451" t="s">
        <v>374</v>
      </c>
      <c r="R280" s="451" t="s">
        <v>2957</v>
      </c>
      <c r="S280" s="452">
        <v>45560</v>
      </c>
      <c r="T280" s="452"/>
      <c r="U280" s="453"/>
      <c r="V280" s="454"/>
      <c r="W280" s="455" t="s">
        <v>376</v>
      </c>
      <c r="X280" s="455">
        <v>45559</v>
      </c>
      <c r="Y280" s="456" t="s">
        <v>377</v>
      </c>
      <c r="Z280" s="457"/>
      <c r="AA280" s="453"/>
    </row>
    <row r="281" spans="1:27" s="128" customFormat="1" ht="37.5">
      <c r="A281" s="443">
        <v>77</v>
      </c>
      <c r="B281" s="444" t="s">
        <v>3483</v>
      </c>
      <c r="C281" s="445" t="s">
        <v>58</v>
      </c>
      <c r="D281" s="444" t="s">
        <v>3484</v>
      </c>
      <c r="E281" s="446">
        <v>1</v>
      </c>
      <c r="F281" s="447"/>
      <c r="G281" s="448">
        <f t="shared" si="10"/>
        <v>0</v>
      </c>
      <c r="H281" s="450"/>
      <c r="I281" s="444"/>
      <c r="J281" s="450"/>
      <c r="K281" s="444" t="s">
        <v>3311</v>
      </c>
      <c r="L281" s="450" t="s">
        <v>1173</v>
      </c>
      <c r="M281" s="444" t="s">
        <v>3386</v>
      </c>
      <c r="N281" s="450"/>
      <c r="O281" s="450"/>
      <c r="P281" s="450" t="s">
        <v>547</v>
      </c>
      <c r="Q281" s="451" t="s">
        <v>374</v>
      </c>
      <c r="R281" s="451" t="s">
        <v>2957</v>
      </c>
      <c r="S281" s="452">
        <v>45560</v>
      </c>
      <c r="T281" s="452"/>
      <c r="U281" s="453"/>
      <c r="V281" s="454"/>
      <c r="W281" s="455" t="s">
        <v>376</v>
      </c>
      <c r="X281" s="455">
        <v>45559</v>
      </c>
      <c r="Y281" s="456" t="s">
        <v>377</v>
      </c>
      <c r="Z281" s="457"/>
      <c r="AA281" s="453"/>
    </row>
    <row r="282" spans="1:27" s="128" customFormat="1" ht="37.5">
      <c r="A282" s="443">
        <v>78</v>
      </c>
      <c r="B282" s="444" t="s">
        <v>3485</v>
      </c>
      <c r="C282" s="445" t="s">
        <v>58</v>
      </c>
      <c r="D282" s="444" t="s">
        <v>3486</v>
      </c>
      <c r="E282" s="446">
        <v>1</v>
      </c>
      <c r="F282" s="447"/>
      <c r="G282" s="448">
        <f t="shared" si="10"/>
        <v>0</v>
      </c>
      <c r="H282" s="450"/>
      <c r="I282" s="444"/>
      <c r="J282" s="450"/>
      <c r="K282" s="444" t="s">
        <v>3311</v>
      </c>
      <c r="L282" s="450" t="s">
        <v>1173</v>
      </c>
      <c r="M282" s="444" t="s">
        <v>3312</v>
      </c>
      <c r="N282" s="450"/>
      <c r="O282" s="450"/>
      <c r="P282" s="450" t="s">
        <v>547</v>
      </c>
      <c r="Q282" s="451" t="s">
        <v>374</v>
      </c>
      <c r="R282" s="451" t="s">
        <v>3313</v>
      </c>
      <c r="S282" s="452">
        <v>45558</v>
      </c>
      <c r="T282" s="452"/>
      <c r="U282" s="453"/>
      <c r="V282" s="454"/>
      <c r="W282" s="455" t="s">
        <v>406</v>
      </c>
      <c r="X282" s="455">
        <v>45554</v>
      </c>
      <c r="Y282" s="456" t="s">
        <v>377</v>
      </c>
      <c r="Z282" s="457"/>
      <c r="AA282" s="453"/>
    </row>
    <row r="283" spans="1:27" s="128" customFormat="1" ht="37.5">
      <c r="A283" s="443">
        <v>79</v>
      </c>
      <c r="B283" s="444" t="s">
        <v>3487</v>
      </c>
      <c r="C283" s="445" t="s">
        <v>58</v>
      </c>
      <c r="D283" s="444" t="s">
        <v>3488</v>
      </c>
      <c r="E283" s="446">
        <v>1</v>
      </c>
      <c r="F283" s="447"/>
      <c r="G283" s="448">
        <f t="shared" si="10"/>
        <v>0</v>
      </c>
      <c r="H283" s="450"/>
      <c r="I283" s="444"/>
      <c r="J283" s="450"/>
      <c r="K283" s="444" t="s">
        <v>3311</v>
      </c>
      <c r="L283" s="450" t="s">
        <v>1173</v>
      </c>
      <c r="M283" s="444" t="s">
        <v>3312</v>
      </c>
      <c r="N283" s="450"/>
      <c r="O283" s="450"/>
      <c r="P283" s="450" t="s">
        <v>547</v>
      </c>
      <c r="Q283" s="451" t="s">
        <v>374</v>
      </c>
      <c r="R283" s="451" t="s">
        <v>3313</v>
      </c>
      <c r="S283" s="452">
        <v>45558</v>
      </c>
      <c r="T283" s="452"/>
      <c r="U283" s="453"/>
      <c r="V283" s="454"/>
      <c r="W283" s="455" t="s">
        <v>406</v>
      </c>
      <c r="X283" s="455">
        <v>45554</v>
      </c>
      <c r="Y283" s="456" t="s">
        <v>377</v>
      </c>
      <c r="Z283" s="457"/>
      <c r="AA283" s="453"/>
    </row>
    <row r="284" spans="1:27" s="128" customFormat="1" ht="37.5">
      <c r="A284" s="443">
        <v>80</v>
      </c>
      <c r="B284" s="444" t="s">
        <v>3489</v>
      </c>
      <c r="C284" s="445" t="s">
        <v>58</v>
      </c>
      <c r="D284" s="444" t="s">
        <v>3490</v>
      </c>
      <c r="E284" s="446">
        <v>1</v>
      </c>
      <c r="F284" s="447"/>
      <c r="G284" s="448">
        <f t="shared" si="10"/>
        <v>0</v>
      </c>
      <c r="H284" s="450"/>
      <c r="I284" s="444"/>
      <c r="J284" s="450"/>
      <c r="K284" s="444" t="s">
        <v>3311</v>
      </c>
      <c r="L284" s="450" t="s">
        <v>1173</v>
      </c>
      <c r="M284" s="444" t="s">
        <v>3329</v>
      </c>
      <c r="N284" s="450"/>
      <c r="O284" s="450"/>
      <c r="P284" s="450" t="s">
        <v>547</v>
      </c>
      <c r="Q284" s="451" t="s">
        <v>374</v>
      </c>
      <c r="R284" s="451" t="s">
        <v>2967</v>
      </c>
      <c r="S284" s="452">
        <v>45558</v>
      </c>
      <c r="T284" s="452"/>
      <c r="U284" s="453"/>
      <c r="V284" s="454"/>
      <c r="W284" s="455" t="s">
        <v>406</v>
      </c>
      <c r="X284" s="455">
        <v>45541</v>
      </c>
      <c r="Y284" s="456" t="s">
        <v>377</v>
      </c>
      <c r="Z284" s="457"/>
      <c r="AA284" s="453"/>
    </row>
    <row r="285" spans="1:27" s="128" customFormat="1" ht="37.5">
      <c r="A285" s="443">
        <v>81</v>
      </c>
      <c r="B285" s="444" t="s">
        <v>3491</v>
      </c>
      <c r="C285" s="445" t="s">
        <v>58</v>
      </c>
      <c r="D285" s="444" t="s">
        <v>3492</v>
      </c>
      <c r="E285" s="446">
        <v>1</v>
      </c>
      <c r="F285" s="447"/>
      <c r="G285" s="448">
        <f t="shared" si="10"/>
        <v>0</v>
      </c>
      <c r="H285" s="450"/>
      <c r="I285" s="444"/>
      <c r="J285" s="450"/>
      <c r="K285" s="444" t="s">
        <v>3311</v>
      </c>
      <c r="L285" s="450" t="s">
        <v>1173</v>
      </c>
      <c r="M285" s="444" t="s">
        <v>3346</v>
      </c>
      <c r="N285" s="450"/>
      <c r="O285" s="450"/>
      <c r="P285" s="450" t="s">
        <v>547</v>
      </c>
      <c r="Q285" s="451" t="s">
        <v>374</v>
      </c>
      <c r="R285" s="451" t="s">
        <v>2906</v>
      </c>
      <c r="S285" s="452">
        <v>45558</v>
      </c>
      <c r="T285" s="452"/>
      <c r="U285" s="453"/>
      <c r="V285" s="454"/>
      <c r="W285" s="455" t="s">
        <v>376</v>
      </c>
      <c r="X285" s="455">
        <v>45548</v>
      </c>
      <c r="Y285" s="456" t="s">
        <v>377</v>
      </c>
      <c r="Z285" s="457"/>
      <c r="AA285" s="453"/>
    </row>
    <row r="286" spans="1:27" s="128" customFormat="1" ht="37.5">
      <c r="A286" s="443">
        <v>82</v>
      </c>
      <c r="B286" s="444" t="s">
        <v>3493</v>
      </c>
      <c r="C286" s="445" t="s">
        <v>58</v>
      </c>
      <c r="D286" s="444" t="s">
        <v>3494</v>
      </c>
      <c r="E286" s="446">
        <v>1</v>
      </c>
      <c r="F286" s="447"/>
      <c r="G286" s="448">
        <f t="shared" si="10"/>
        <v>0</v>
      </c>
      <c r="H286" s="450"/>
      <c r="I286" s="444"/>
      <c r="J286" s="450"/>
      <c r="K286" s="444" t="s">
        <v>3311</v>
      </c>
      <c r="L286" s="450" t="s">
        <v>1173</v>
      </c>
      <c r="M286" s="444" t="s">
        <v>3329</v>
      </c>
      <c r="N286" s="450"/>
      <c r="O286" s="450"/>
      <c r="P286" s="450" t="s">
        <v>547</v>
      </c>
      <c r="Q286" s="451" t="s">
        <v>374</v>
      </c>
      <c r="R286" s="451" t="s">
        <v>2967</v>
      </c>
      <c r="S286" s="452">
        <v>45558</v>
      </c>
      <c r="T286" s="452"/>
      <c r="U286" s="453"/>
      <c r="V286" s="454"/>
      <c r="W286" s="455" t="s">
        <v>406</v>
      </c>
      <c r="X286" s="455">
        <v>45553</v>
      </c>
      <c r="Y286" s="456" t="s">
        <v>377</v>
      </c>
      <c r="Z286" s="457"/>
      <c r="AA286" s="453"/>
    </row>
    <row r="287" spans="1:27" s="441" customFormat="1">
      <c r="A287" s="427">
        <v>83</v>
      </c>
      <c r="B287" s="428" t="s">
        <v>3495</v>
      </c>
      <c r="C287" s="429" t="s">
        <v>58</v>
      </c>
      <c r="D287" s="428" t="s">
        <v>3496</v>
      </c>
      <c r="E287" s="430">
        <v>1</v>
      </c>
      <c r="F287" s="431"/>
      <c r="G287" s="432">
        <f t="shared" si="10"/>
        <v>0</v>
      </c>
      <c r="H287" s="433"/>
      <c r="I287" s="428"/>
      <c r="J287" s="433"/>
      <c r="K287" s="428"/>
      <c r="L287" s="433"/>
      <c r="M287" s="428"/>
      <c r="N287" s="433"/>
      <c r="O287" s="433"/>
      <c r="P287" s="433"/>
      <c r="Q287" s="434"/>
      <c r="R287" s="434" t="s">
        <v>2957</v>
      </c>
      <c r="S287" s="435"/>
      <c r="T287" s="435"/>
      <c r="U287" s="436"/>
      <c r="V287" s="437"/>
      <c r="W287" s="438"/>
      <c r="X287" s="438"/>
      <c r="Y287" s="439" t="s">
        <v>592</v>
      </c>
      <c r="Z287" s="440"/>
      <c r="AA287" s="436"/>
    </row>
    <row r="288" spans="1:27" s="441" customFormat="1">
      <c r="A288" s="427">
        <v>84</v>
      </c>
      <c r="B288" s="428" t="s">
        <v>3497</v>
      </c>
      <c r="C288" s="429" t="s">
        <v>58</v>
      </c>
      <c r="D288" s="428" t="s">
        <v>3498</v>
      </c>
      <c r="E288" s="430">
        <v>1</v>
      </c>
      <c r="F288" s="431"/>
      <c r="G288" s="432">
        <f t="shared" si="10"/>
        <v>0</v>
      </c>
      <c r="H288" s="433"/>
      <c r="I288" s="428"/>
      <c r="J288" s="433"/>
      <c r="K288" s="428"/>
      <c r="L288" s="433"/>
      <c r="M288" s="428"/>
      <c r="N288" s="433"/>
      <c r="O288" s="433"/>
      <c r="P288" s="433"/>
      <c r="Q288" s="434"/>
      <c r="R288" s="434" t="s">
        <v>2957</v>
      </c>
      <c r="S288" s="435"/>
      <c r="T288" s="435"/>
      <c r="U288" s="436"/>
      <c r="V288" s="437"/>
      <c r="W288" s="438"/>
      <c r="X288" s="438"/>
      <c r="Y288" s="439" t="s">
        <v>592</v>
      </c>
      <c r="Z288" s="440"/>
      <c r="AA288" s="436"/>
    </row>
    <row r="289" spans="1:27" s="128" customFormat="1" ht="37.5">
      <c r="A289" s="443">
        <v>85</v>
      </c>
      <c r="B289" s="444" t="s">
        <v>3499</v>
      </c>
      <c r="C289" s="445" t="s">
        <v>58</v>
      </c>
      <c r="D289" s="444" t="s">
        <v>3500</v>
      </c>
      <c r="E289" s="446">
        <v>1</v>
      </c>
      <c r="F289" s="447"/>
      <c r="G289" s="448">
        <f t="shared" si="10"/>
        <v>0</v>
      </c>
      <c r="H289" s="450"/>
      <c r="I289" s="444"/>
      <c r="J289" s="450"/>
      <c r="K289" s="444" t="s">
        <v>3311</v>
      </c>
      <c r="L289" s="450" t="s">
        <v>1173</v>
      </c>
      <c r="M289" s="444" t="s">
        <v>3312</v>
      </c>
      <c r="N289" s="450"/>
      <c r="O289" s="450"/>
      <c r="P289" s="450" t="s">
        <v>547</v>
      </c>
      <c r="Q289" s="451" t="s">
        <v>374</v>
      </c>
      <c r="R289" s="451" t="s">
        <v>3313</v>
      </c>
      <c r="S289" s="452">
        <v>45558</v>
      </c>
      <c r="T289" s="452"/>
      <c r="U289" s="453"/>
      <c r="V289" s="454"/>
      <c r="W289" s="455" t="s">
        <v>406</v>
      </c>
      <c r="X289" s="455">
        <v>45554</v>
      </c>
      <c r="Y289" s="456" t="s">
        <v>377</v>
      </c>
      <c r="Z289" s="457"/>
      <c r="AA289" s="453"/>
    </row>
    <row r="290" spans="1:27" s="128" customFormat="1" ht="37.5">
      <c r="A290" s="443">
        <v>86</v>
      </c>
      <c r="B290" s="444" t="s">
        <v>3501</v>
      </c>
      <c r="C290" s="445" t="s">
        <v>58</v>
      </c>
      <c r="D290" s="444" t="s">
        <v>3502</v>
      </c>
      <c r="E290" s="446">
        <v>1</v>
      </c>
      <c r="F290" s="447"/>
      <c r="G290" s="448">
        <f t="shared" si="10"/>
        <v>0</v>
      </c>
      <c r="H290" s="450"/>
      <c r="I290" s="444"/>
      <c r="J290" s="450"/>
      <c r="K290" s="444" t="s">
        <v>3311</v>
      </c>
      <c r="L290" s="450" t="s">
        <v>1173</v>
      </c>
      <c r="M290" s="444" t="s">
        <v>3386</v>
      </c>
      <c r="N290" s="450"/>
      <c r="O290" s="450"/>
      <c r="P290" s="450" t="s">
        <v>547</v>
      </c>
      <c r="Q290" s="451" t="s">
        <v>374</v>
      </c>
      <c r="R290" s="451" t="s">
        <v>2957</v>
      </c>
      <c r="S290" s="452">
        <v>45560</v>
      </c>
      <c r="T290" s="452"/>
      <c r="U290" s="453"/>
      <c r="V290" s="454"/>
      <c r="W290" s="455" t="s">
        <v>376</v>
      </c>
      <c r="X290" s="455">
        <v>45559</v>
      </c>
      <c r="Y290" s="456" t="s">
        <v>377</v>
      </c>
      <c r="Z290" s="457"/>
      <c r="AA290" s="453"/>
    </row>
    <row r="291" spans="1:27" s="128" customFormat="1" ht="37.5">
      <c r="A291" s="443">
        <v>87</v>
      </c>
      <c r="B291" s="444" t="s">
        <v>3503</v>
      </c>
      <c r="C291" s="445" t="s">
        <v>58</v>
      </c>
      <c r="D291" s="444" t="s">
        <v>3504</v>
      </c>
      <c r="E291" s="446">
        <v>2</v>
      </c>
      <c r="F291" s="447"/>
      <c r="G291" s="448">
        <f t="shared" si="10"/>
        <v>0</v>
      </c>
      <c r="H291" s="450"/>
      <c r="I291" s="444"/>
      <c r="J291" s="450"/>
      <c r="K291" s="444" t="s">
        <v>3311</v>
      </c>
      <c r="L291" s="450" t="s">
        <v>1173</v>
      </c>
      <c r="M291" s="444" t="s">
        <v>3319</v>
      </c>
      <c r="N291" s="450"/>
      <c r="O291" s="450"/>
      <c r="P291" s="450" t="s">
        <v>547</v>
      </c>
      <c r="Q291" s="451" t="s">
        <v>374</v>
      </c>
      <c r="R291" s="451" t="s">
        <v>3320</v>
      </c>
      <c r="S291" s="452">
        <v>45558</v>
      </c>
      <c r="T291" s="452"/>
      <c r="U291" s="453"/>
      <c r="V291" s="454"/>
      <c r="W291" s="455" t="s">
        <v>406</v>
      </c>
      <c r="X291" s="455">
        <v>45561</v>
      </c>
      <c r="Y291" s="456" t="s">
        <v>377</v>
      </c>
      <c r="Z291" s="457"/>
      <c r="AA291" s="453"/>
    </row>
    <row r="292" spans="1:27" s="128" customFormat="1" ht="37.5">
      <c r="A292" s="443">
        <v>88</v>
      </c>
      <c r="B292" s="444" t="s">
        <v>3505</v>
      </c>
      <c r="C292" s="445" t="s">
        <v>58</v>
      </c>
      <c r="D292" s="444" t="s">
        <v>3506</v>
      </c>
      <c r="E292" s="446">
        <v>1</v>
      </c>
      <c r="F292" s="447"/>
      <c r="G292" s="448">
        <f t="shared" si="10"/>
        <v>0</v>
      </c>
      <c r="H292" s="450"/>
      <c r="I292" s="444"/>
      <c r="J292" s="450"/>
      <c r="K292" s="444" t="s">
        <v>3311</v>
      </c>
      <c r="L292" s="450" t="s">
        <v>1173</v>
      </c>
      <c r="M292" s="444" t="s">
        <v>3507</v>
      </c>
      <c r="N292" s="450"/>
      <c r="O292" s="450"/>
      <c r="P292" s="450" t="s">
        <v>547</v>
      </c>
      <c r="Q292" s="451" t="s">
        <v>374</v>
      </c>
      <c r="R292" s="451" t="s">
        <v>3508</v>
      </c>
      <c r="S292" s="452">
        <v>45558</v>
      </c>
      <c r="T292" s="452"/>
      <c r="U292" s="453"/>
      <c r="V292" s="454"/>
      <c r="W292" s="455" t="s">
        <v>376</v>
      </c>
      <c r="X292" s="455">
        <v>45559</v>
      </c>
      <c r="Y292" s="456" t="s">
        <v>377</v>
      </c>
      <c r="Z292" s="457"/>
      <c r="AA292" s="453"/>
    </row>
    <row r="293" spans="1:27" s="128" customFormat="1" ht="37.5">
      <c r="A293" s="443">
        <v>89</v>
      </c>
      <c r="B293" s="444" t="s">
        <v>3509</v>
      </c>
      <c r="C293" s="445" t="s">
        <v>58</v>
      </c>
      <c r="D293" s="444" t="s">
        <v>3510</v>
      </c>
      <c r="E293" s="446">
        <v>8</v>
      </c>
      <c r="F293" s="447"/>
      <c r="G293" s="448">
        <f t="shared" si="10"/>
        <v>0</v>
      </c>
      <c r="H293" s="450"/>
      <c r="I293" s="444"/>
      <c r="J293" s="450"/>
      <c r="K293" s="444" t="s">
        <v>3311</v>
      </c>
      <c r="L293" s="450" t="s">
        <v>1173</v>
      </c>
      <c r="M293" s="444" t="s">
        <v>3312</v>
      </c>
      <c r="N293" s="450"/>
      <c r="O293" s="450"/>
      <c r="P293" s="450" t="s">
        <v>547</v>
      </c>
      <c r="Q293" s="451" t="s">
        <v>374</v>
      </c>
      <c r="R293" s="451" t="s">
        <v>3313</v>
      </c>
      <c r="S293" s="452">
        <v>45558</v>
      </c>
      <c r="T293" s="452"/>
      <c r="U293" s="453"/>
      <c r="V293" s="454"/>
      <c r="W293" s="455" t="s">
        <v>406</v>
      </c>
      <c r="X293" s="455">
        <v>45554</v>
      </c>
      <c r="Y293" s="456" t="s">
        <v>377</v>
      </c>
      <c r="Z293" s="457"/>
      <c r="AA293" s="453"/>
    </row>
    <row r="294" spans="1:27" s="128" customFormat="1" ht="37.5">
      <c r="A294" s="443">
        <v>90</v>
      </c>
      <c r="B294" s="444" t="s">
        <v>3511</v>
      </c>
      <c r="C294" s="445" t="s">
        <v>58</v>
      </c>
      <c r="D294" s="444" t="s">
        <v>3512</v>
      </c>
      <c r="E294" s="446">
        <v>1</v>
      </c>
      <c r="F294" s="447"/>
      <c r="G294" s="448">
        <f t="shared" si="10"/>
        <v>0</v>
      </c>
      <c r="H294" s="450"/>
      <c r="I294" s="444"/>
      <c r="J294" s="450"/>
      <c r="K294" s="444" t="s">
        <v>3311</v>
      </c>
      <c r="L294" s="450" t="s">
        <v>1173</v>
      </c>
      <c r="M294" s="444" t="s">
        <v>3513</v>
      </c>
      <c r="N294" s="450"/>
      <c r="O294" s="450"/>
      <c r="P294" s="450" t="s">
        <v>547</v>
      </c>
      <c r="Q294" s="451" t="s">
        <v>374</v>
      </c>
      <c r="R294" s="451" t="s">
        <v>3103</v>
      </c>
      <c r="S294" s="452">
        <v>45558</v>
      </c>
      <c r="T294" s="452"/>
      <c r="U294" s="453"/>
      <c r="V294" s="454"/>
      <c r="W294" s="455" t="s">
        <v>406</v>
      </c>
      <c r="X294" s="455">
        <v>45561</v>
      </c>
      <c r="Y294" s="456" t="s">
        <v>377</v>
      </c>
      <c r="Z294" s="457"/>
      <c r="AA294" s="453"/>
    </row>
    <row r="295" spans="1:27" s="128" customFormat="1" ht="37.5">
      <c r="A295" s="443">
        <v>91</v>
      </c>
      <c r="B295" s="444" t="s">
        <v>3514</v>
      </c>
      <c r="C295" s="445" t="s">
        <v>58</v>
      </c>
      <c r="D295" s="444" t="s">
        <v>3515</v>
      </c>
      <c r="E295" s="446">
        <v>1</v>
      </c>
      <c r="F295" s="447"/>
      <c r="G295" s="448">
        <f t="shared" si="10"/>
        <v>0</v>
      </c>
      <c r="H295" s="450"/>
      <c r="I295" s="444"/>
      <c r="J295" s="450"/>
      <c r="K295" s="444" t="s">
        <v>3311</v>
      </c>
      <c r="L295" s="450" t="s">
        <v>1173</v>
      </c>
      <c r="M295" s="444" t="s">
        <v>3513</v>
      </c>
      <c r="N295" s="450"/>
      <c r="O295" s="450"/>
      <c r="P295" s="450" t="s">
        <v>547</v>
      </c>
      <c r="Q295" s="451" t="s">
        <v>374</v>
      </c>
      <c r="R295" s="451" t="s">
        <v>3103</v>
      </c>
      <c r="S295" s="452">
        <v>45558</v>
      </c>
      <c r="T295" s="452"/>
      <c r="U295" s="453"/>
      <c r="V295" s="454"/>
      <c r="W295" s="455" t="s">
        <v>406</v>
      </c>
      <c r="X295" s="455">
        <v>45561</v>
      </c>
      <c r="Y295" s="456" t="s">
        <v>377</v>
      </c>
      <c r="Z295" s="457"/>
      <c r="AA295" s="453"/>
    </row>
    <row r="296" spans="1:27" s="128" customFormat="1" ht="37.5">
      <c r="A296" s="443">
        <v>92</v>
      </c>
      <c r="B296" s="444" t="s">
        <v>3516</v>
      </c>
      <c r="C296" s="445" t="s">
        <v>58</v>
      </c>
      <c r="D296" s="444" t="s">
        <v>3517</v>
      </c>
      <c r="E296" s="446">
        <v>1</v>
      </c>
      <c r="F296" s="447"/>
      <c r="G296" s="448">
        <f t="shared" si="10"/>
        <v>0</v>
      </c>
      <c r="H296" s="450"/>
      <c r="I296" s="444"/>
      <c r="J296" s="450"/>
      <c r="K296" s="444" t="s">
        <v>3311</v>
      </c>
      <c r="L296" s="450" t="s">
        <v>1173</v>
      </c>
      <c r="M296" s="444" t="s">
        <v>3312</v>
      </c>
      <c r="N296" s="450"/>
      <c r="O296" s="450"/>
      <c r="P296" s="450" t="s">
        <v>547</v>
      </c>
      <c r="Q296" s="451" t="s">
        <v>374</v>
      </c>
      <c r="R296" s="451" t="s">
        <v>3313</v>
      </c>
      <c r="S296" s="452">
        <v>45558</v>
      </c>
      <c r="T296" s="452"/>
      <c r="U296" s="453"/>
      <c r="V296" s="454"/>
      <c r="W296" s="455" t="s">
        <v>406</v>
      </c>
      <c r="X296" s="455">
        <v>45554</v>
      </c>
      <c r="Y296" s="456" t="s">
        <v>377</v>
      </c>
      <c r="Z296" s="457"/>
      <c r="AA296" s="453"/>
    </row>
    <row r="297" spans="1:27" s="128" customFormat="1" ht="37.5">
      <c r="A297" s="443">
        <v>93</v>
      </c>
      <c r="B297" s="444" t="s">
        <v>3518</v>
      </c>
      <c r="C297" s="445" t="s">
        <v>58</v>
      </c>
      <c r="D297" s="444" t="s">
        <v>3519</v>
      </c>
      <c r="E297" s="446">
        <v>1</v>
      </c>
      <c r="F297" s="447"/>
      <c r="G297" s="448">
        <f t="shared" si="10"/>
        <v>0</v>
      </c>
      <c r="H297" s="450"/>
      <c r="I297" s="444"/>
      <c r="J297" s="450"/>
      <c r="K297" s="444" t="s">
        <v>3311</v>
      </c>
      <c r="L297" s="450" t="s">
        <v>1173</v>
      </c>
      <c r="M297" s="444" t="s">
        <v>3312</v>
      </c>
      <c r="N297" s="450"/>
      <c r="O297" s="450"/>
      <c r="P297" s="450" t="s">
        <v>547</v>
      </c>
      <c r="Q297" s="451" t="s">
        <v>374</v>
      </c>
      <c r="R297" s="451" t="s">
        <v>3313</v>
      </c>
      <c r="S297" s="452">
        <v>45558</v>
      </c>
      <c r="T297" s="452"/>
      <c r="U297" s="453"/>
      <c r="V297" s="454"/>
      <c r="W297" s="455" t="s">
        <v>406</v>
      </c>
      <c r="X297" s="455">
        <v>45554</v>
      </c>
      <c r="Y297" s="456" t="s">
        <v>377</v>
      </c>
      <c r="Z297" s="457"/>
      <c r="AA297" s="453"/>
    </row>
    <row r="298" spans="1:27" s="128" customFormat="1" ht="37.5">
      <c r="A298" s="443">
        <v>94</v>
      </c>
      <c r="B298" s="444" t="s">
        <v>3520</v>
      </c>
      <c r="C298" s="445" t="s">
        <v>58</v>
      </c>
      <c r="D298" s="444" t="s">
        <v>3521</v>
      </c>
      <c r="E298" s="446">
        <v>1</v>
      </c>
      <c r="F298" s="447"/>
      <c r="G298" s="448">
        <f t="shared" si="10"/>
        <v>0</v>
      </c>
      <c r="H298" s="450"/>
      <c r="I298" s="444"/>
      <c r="J298" s="450"/>
      <c r="K298" s="444" t="s">
        <v>3311</v>
      </c>
      <c r="L298" s="450" t="s">
        <v>1173</v>
      </c>
      <c r="M298" s="444" t="s">
        <v>3329</v>
      </c>
      <c r="N298" s="450"/>
      <c r="O298" s="450"/>
      <c r="P298" s="450" t="s">
        <v>547</v>
      </c>
      <c r="Q298" s="451" t="s">
        <v>374</v>
      </c>
      <c r="R298" s="451" t="s">
        <v>2967</v>
      </c>
      <c r="S298" s="452">
        <v>45558</v>
      </c>
      <c r="T298" s="452"/>
      <c r="U298" s="453"/>
      <c r="V298" s="454"/>
      <c r="W298" s="455" t="s">
        <v>406</v>
      </c>
      <c r="X298" s="455">
        <v>45553</v>
      </c>
      <c r="Y298" s="456" t="s">
        <v>377</v>
      </c>
      <c r="Z298" s="457"/>
      <c r="AA298" s="453"/>
    </row>
    <row r="299" spans="1:27" s="128" customFormat="1" ht="37.5">
      <c r="A299" s="443">
        <v>95</v>
      </c>
      <c r="B299" s="444" t="s">
        <v>3522</v>
      </c>
      <c r="C299" s="445" t="s">
        <v>58</v>
      </c>
      <c r="D299" s="444" t="s">
        <v>3523</v>
      </c>
      <c r="E299" s="446">
        <v>1</v>
      </c>
      <c r="F299" s="447"/>
      <c r="G299" s="448">
        <f t="shared" si="10"/>
        <v>0</v>
      </c>
      <c r="H299" s="450"/>
      <c r="I299" s="444"/>
      <c r="J299" s="450"/>
      <c r="K299" s="444" t="s">
        <v>3311</v>
      </c>
      <c r="L299" s="450" t="s">
        <v>1173</v>
      </c>
      <c r="M299" s="444" t="s">
        <v>3312</v>
      </c>
      <c r="N299" s="450"/>
      <c r="O299" s="450"/>
      <c r="P299" s="450" t="s">
        <v>547</v>
      </c>
      <c r="Q299" s="451" t="s">
        <v>374</v>
      </c>
      <c r="R299" s="451" t="s">
        <v>3313</v>
      </c>
      <c r="S299" s="452">
        <v>45558</v>
      </c>
      <c r="T299" s="452"/>
      <c r="U299" s="453"/>
      <c r="V299" s="454"/>
      <c r="W299" s="455" t="s">
        <v>406</v>
      </c>
      <c r="X299" s="455">
        <v>45554</v>
      </c>
      <c r="Y299" s="456" t="s">
        <v>377</v>
      </c>
      <c r="Z299" s="457"/>
      <c r="AA299" s="453"/>
    </row>
    <row r="300" spans="1:27" s="128" customFormat="1" ht="37.5">
      <c r="A300" s="443">
        <v>96</v>
      </c>
      <c r="B300" s="444" t="s">
        <v>3524</v>
      </c>
      <c r="C300" s="445" t="s">
        <v>58</v>
      </c>
      <c r="D300" s="444" t="s">
        <v>3525</v>
      </c>
      <c r="E300" s="446">
        <v>2</v>
      </c>
      <c r="F300" s="447"/>
      <c r="G300" s="448">
        <f t="shared" si="10"/>
        <v>0</v>
      </c>
      <c r="H300" s="450"/>
      <c r="I300" s="444"/>
      <c r="J300" s="450"/>
      <c r="K300" s="444" t="s">
        <v>3311</v>
      </c>
      <c r="L300" s="450" t="s">
        <v>1173</v>
      </c>
      <c r="M300" s="444" t="s">
        <v>3312</v>
      </c>
      <c r="N300" s="450"/>
      <c r="O300" s="450"/>
      <c r="P300" s="450" t="s">
        <v>547</v>
      </c>
      <c r="Q300" s="451" t="s">
        <v>374</v>
      </c>
      <c r="R300" s="451" t="s">
        <v>3313</v>
      </c>
      <c r="S300" s="452">
        <v>45558</v>
      </c>
      <c r="T300" s="452"/>
      <c r="U300" s="453"/>
      <c r="V300" s="454"/>
      <c r="W300" s="455" t="s">
        <v>406</v>
      </c>
      <c r="X300" s="455">
        <v>45554</v>
      </c>
      <c r="Y300" s="456" t="s">
        <v>377</v>
      </c>
      <c r="Z300" s="457"/>
      <c r="AA300" s="453"/>
    </row>
    <row r="301" spans="1:27" s="128" customFormat="1" ht="37.5">
      <c r="A301" s="443">
        <v>97</v>
      </c>
      <c r="B301" s="444" t="s">
        <v>3526</v>
      </c>
      <c r="C301" s="445" t="s">
        <v>58</v>
      </c>
      <c r="D301" s="444" t="s">
        <v>3527</v>
      </c>
      <c r="E301" s="446">
        <v>2</v>
      </c>
      <c r="F301" s="447"/>
      <c r="G301" s="448">
        <f t="shared" ref="G301:G311" si="11">E301*F301</f>
        <v>0</v>
      </c>
      <c r="H301" s="450"/>
      <c r="I301" s="444"/>
      <c r="J301" s="450"/>
      <c r="K301" s="444" t="s">
        <v>3311</v>
      </c>
      <c r="L301" s="450" t="s">
        <v>1173</v>
      </c>
      <c r="M301" s="444" t="s">
        <v>3329</v>
      </c>
      <c r="N301" s="450"/>
      <c r="O301" s="450"/>
      <c r="P301" s="450" t="s">
        <v>547</v>
      </c>
      <c r="Q301" s="451" t="s">
        <v>374</v>
      </c>
      <c r="R301" s="451" t="s">
        <v>2967</v>
      </c>
      <c r="S301" s="452">
        <v>45558</v>
      </c>
      <c r="T301" s="452"/>
      <c r="U301" s="453"/>
      <c r="V301" s="454"/>
      <c r="W301" s="455" t="s">
        <v>406</v>
      </c>
      <c r="X301" s="455">
        <v>45553</v>
      </c>
      <c r="Y301" s="456" t="s">
        <v>377</v>
      </c>
      <c r="Z301" s="457"/>
      <c r="AA301" s="453"/>
    </row>
    <row r="302" spans="1:27" s="128" customFormat="1" ht="37.5">
      <c r="A302" s="443">
        <v>98</v>
      </c>
      <c r="B302" s="444" t="s">
        <v>3528</v>
      </c>
      <c r="C302" s="445" t="s">
        <v>58</v>
      </c>
      <c r="D302" s="444" t="s">
        <v>3529</v>
      </c>
      <c r="E302" s="446">
        <v>1</v>
      </c>
      <c r="F302" s="447"/>
      <c r="G302" s="448">
        <f t="shared" si="11"/>
        <v>0</v>
      </c>
      <c r="H302" s="450"/>
      <c r="I302" s="444"/>
      <c r="J302" s="450"/>
      <c r="K302" s="444" t="s">
        <v>3311</v>
      </c>
      <c r="L302" s="450" t="s">
        <v>1173</v>
      </c>
      <c r="M302" s="444" t="s">
        <v>3386</v>
      </c>
      <c r="N302" s="450"/>
      <c r="O302" s="450"/>
      <c r="P302" s="450" t="s">
        <v>547</v>
      </c>
      <c r="Q302" s="451" t="s">
        <v>374</v>
      </c>
      <c r="R302" s="451" t="s">
        <v>2957</v>
      </c>
      <c r="S302" s="452">
        <v>45560</v>
      </c>
      <c r="T302" s="452"/>
      <c r="U302" s="453"/>
      <c r="V302" s="454"/>
      <c r="W302" s="455" t="s">
        <v>376</v>
      </c>
      <c r="X302" s="455">
        <v>45559</v>
      </c>
      <c r="Y302" s="456" t="s">
        <v>377</v>
      </c>
      <c r="Z302" s="457"/>
      <c r="AA302" s="453"/>
    </row>
    <row r="303" spans="1:27" s="128" customFormat="1" ht="37.5">
      <c r="A303" s="443">
        <v>99</v>
      </c>
      <c r="B303" s="444" t="s">
        <v>3530</v>
      </c>
      <c r="C303" s="445" t="s">
        <v>58</v>
      </c>
      <c r="D303" s="444" t="s">
        <v>3531</v>
      </c>
      <c r="E303" s="446">
        <v>1</v>
      </c>
      <c r="F303" s="447"/>
      <c r="G303" s="448">
        <f t="shared" si="11"/>
        <v>0</v>
      </c>
      <c r="H303" s="450"/>
      <c r="I303" s="444"/>
      <c r="J303" s="450"/>
      <c r="K303" s="444" t="s">
        <v>3311</v>
      </c>
      <c r="L303" s="450" t="s">
        <v>1173</v>
      </c>
      <c r="M303" s="444" t="s">
        <v>3319</v>
      </c>
      <c r="N303" s="450"/>
      <c r="O303" s="450"/>
      <c r="P303" s="450" t="s">
        <v>547</v>
      </c>
      <c r="Q303" s="451" t="s">
        <v>374</v>
      </c>
      <c r="R303" s="451" t="s">
        <v>3320</v>
      </c>
      <c r="S303" s="452">
        <v>45558</v>
      </c>
      <c r="T303" s="452"/>
      <c r="U303" s="453"/>
      <c r="V303" s="454"/>
      <c r="W303" s="455" t="s">
        <v>406</v>
      </c>
      <c r="X303" s="455">
        <v>45561</v>
      </c>
      <c r="Y303" s="456" t="s">
        <v>377</v>
      </c>
      <c r="Z303" s="457"/>
      <c r="AA303" s="453"/>
    </row>
    <row r="304" spans="1:27" s="128" customFormat="1" ht="37.5">
      <c r="A304" s="443">
        <v>100</v>
      </c>
      <c r="B304" s="444" t="s">
        <v>3532</v>
      </c>
      <c r="C304" s="445" t="s">
        <v>58</v>
      </c>
      <c r="D304" s="444" t="s">
        <v>3533</v>
      </c>
      <c r="E304" s="446">
        <v>1</v>
      </c>
      <c r="F304" s="447"/>
      <c r="G304" s="448">
        <f t="shared" si="11"/>
        <v>0</v>
      </c>
      <c r="H304" s="450"/>
      <c r="I304" s="444"/>
      <c r="J304" s="450"/>
      <c r="K304" s="444" t="s">
        <v>3311</v>
      </c>
      <c r="L304" s="450" t="s">
        <v>1173</v>
      </c>
      <c r="M304" s="444" t="s">
        <v>3319</v>
      </c>
      <c r="N304" s="450"/>
      <c r="O304" s="450"/>
      <c r="P304" s="450" t="s">
        <v>547</v>
      </c>
      <c r="Q304" s="451" t="s">
        <v>374</v>
      </c>
      <c r="R304" s="451" t="s">
        <v>3320</v>
      </c>
      <c r="S304" s="452">
        <v>45558</v>
      </c>
      <c r="T304" s="452"/>
      <c r="U304" s="453"/>
      <c r="V304" s="454"/>
      <c r="W304" s="455" t="s">
        <v>406</v>
      </c>
      <c r="X304" s="455">
        <v>45561</v>
      </c>
      <c r="Y304" s="456" t="s">
        <v>377</v>
      </c>
      <c r="Z304" s="457"/>
      <c r="AA304" s="453"/>
    </row>
    <row r="305" spans="1:27" s="128" customFormat="1" ht="37.5">
      <c r="A305" s="443">
        <v>101</v>
      </c>
      <c r="B305" s="444" t="s">
        <v>3534</v>
      </c>
      <c r="C305" s="445" t="s">
        <v>58</v>
      </c>
      <c r="D305" s="444" t="s">
        <v>3535</v>
      </c>
      <c r="E305" s="446">
        <v>1</v>
      </c>
      <c r="F305" s="447"/>
      <c r="G305" s="448">
        <f t="shared" si="11"/>
        <v>0</v>
      </c>
      <c r="H305" s="450"/>
      <c r="I305" s="444"/>
      <c r="J305" s="450"/>
      <c r="K305" s="444" t="s">
        <v>3311</v>
      </c>
      <c r="L305" s="450" t="s">
        <v>1173</v>
      </c>
      <c r="M305" s="444" t="s">
        <v>3319</v>
      </c>
      <c r="N305" s="450"/>
      <c r="O305" s="450"/>
      <c r="P305" s="450" t="s">
        <v>547</v>
      </c>
      <c r="Q305" s="451" t="s">
        <v>374</v>
      </c>
      <c r="R305" s="451" t="s">
        <v>3320</v>
      </c>
      <c r="S305" s="452">
        <v>45558</v>
      </c>
      <c r="T305" s="452"/>
      <c r="U305" s="453"/>
      <c r="V305" s="454"/>
      <c r="W305" s="455" t="s">
        <v>376</v>
      </c>
      <c r="X305" s="455">
        <v>45559</v>
      </c>
      <c r="Y305" s="456" t="s">
        <v>377</v>
      </c>
      <c r="Z305" s="457"/>
      <c r="AA305" s="453"/>
    </row>
    <row r="306" spans="1:27" s="128" customFormat="1" ht="37.5">
      <c r="A306" s="443">
        <v>102</v>
      </c>
      <c r="B306" s="444" t="s">
        <v>3536</v>
      </c>
      <c r="C306" s="445" t="s">
        <v>58</v>
      </c>
      <c r="D306" s="444" t="s">
        <v>3537</v>
      </c>
      <c r="E306" s="446">
        <v>1</v>
      </c>
      <c r="F306" s="447"/>
      <c r="G306" s="448">
        <f t="shared" si="11"/>
        <v>0</v>
      </c>
      <c r="H306" s="450"/>
      <c r="I306" s="444"/>
      <c r="J306" s="450"/>
      <c r="K306" s="444" t="s">
        <v>3311</v>
      </c>
      <c r="L306" s="450" t="s">
        <v>1173</v>
      </c>
      <c r="M306" s="444" t="s">
        <v>3319</v>
      </c>
      <c r="N306" s="450"/>
      <c r="O306" s="450"/>
      <c r="P306" s="450" t="s">
        <v>547</v>
      </c>
      <c r="Q306" s="451" t="s">
        <v>374</v>
      </c>
      <c r="R306" s="451" t="s">
        <v>3320</v>
      </c>
      <c r="S306" s="452">
        <v>45558</v>
      </c>
      <c r="T306" s="452"/>
      <c r="U306" s="453"/>
      <c r="V306" s="454"/>
      <c r="W306" s="455" t="s">
        <v>376</v>
      </c>
      <c r="X306" s="455">
        <v>45559</v>
      </c>
      <c r="Y306" s="456" t="s">
        <v>377</v>
      </c>
      <c r="Z306" s="457"/>
      <c r="AA306" s="453"/>
    </row>
    <row r="307" spans="1:27" s="128" customFormat="1" ht="37.5">
      <c r="A307" s="443">
        <v>103</v>
      </c>
      <c r="B307" s="444" t="s">
        <v>3538</v>
      </c>
      <c r="C307" s="445" t="s">
        <v>58</v>
      </c>
      <c r="D307" s="444" t="s">
        <v>3539</v>
      </c>
      <c r="E307" s="446">
        <v>1</v>
      </c>
      <c r="F307" s="447"/>
      <c r="G307" s="448">
        <f t="shared" si="11"/>
        <v>0</v>
      </c>
      <c r="H307" s="450"/>
      <c r="I307" s="444"/>
      <c r="J307" s="450"/>
      <c r="K307" s="444" t="s">
        <v>3311</v>
      </c>
      <c r="L307" s="450" t="s">
        <v>1173</v>
      </c>
      <c r="M307" s="444" t="s">
        <v>3319</v>
      </c>
      <c r="N307" s="450"/>
      <c r="O307" s="450"/>
      <c r="P307" s="450" t="s">
        <v>547</v>
      </c>
      <c r="Q307" s="451" t="s">
        <v>374</v>
      </c>
      <c r="R307" s="451" t="s">
        <v>3320</v>
      </c>
      <c r="S307" s="452">
        <v>45558</v>
      </c>
      <c r="T307" s="452"/>
      <c r="U307" s="453"/>
      <c r="V307" s="454"/>
      <c r="W307" s="455" t="s">
        <v>376</v>
      </c>
      <c r="X307" s="455">
        <v>45559</v>
      </c>
      <c r="Y307" s="456" t="s">
        <v>377</v>
      </c>
      <c r="Z307" s="457"/>
      <c r="AA307" s="453"/>
    </row>
    <row r="308" spans="1:27" s="128" customFormat="1" ht="37.5">
      <c r="A308" s="443">
        <v>104</v>
      </c>
      <c r="B308" s="444" t="s">
        <v>3540</v>
      </c>
      <c r="C308" s="445" t="s">
        <v>58</v>
      </c>
      <c r="D308" s="444" t="s">
        <v>3541</v>
      </c>
      <c r="E308" s="446">
        <v>2</v>
      </c>
      <c r="F308" s="447"/>
      <c r="G308" s="448">
        <f t="shared" si="11"/>
        <v>0</v>
      </c>
      <c r="H308" s="450"/>
      <c r="I308" s="444"/>
      <c r="J308" s="450"/>
      <c r="K308" s="444" t="s">
        <v>3311</v>
      </c>
      <c r="L308" s="450" t="s">
        <v>1173</v>
      </c>
      <c r="M308" s="444" t="s">
        <v>3319</v>
      </c>
      <c r="N308" s="450"/>
      <c r="O308" s="450"/>
      <c r="P308" s="450" t="s">
        <v>547</v>
      </c>
      <c r="Q308" s="451" t="s">
        <v>374</v>
      </c>
      <c r="R308" s="451" t="s">
        <v>3320</v>
      </c>
      <c r="S308" s="452">
        <v>45558</v>
      </c>
      <c r="T308" s="452"/>
      <c r="U308" s="453"/>
      <c r="V308" s="454"/>
      <c r="W308" s="455" t="s">
        <v>376</v>
      </c>
      <c r="X308" s="455">
        <v>45559</v>
      </c>
      <c r="Y308" s="456" t="s">
        <v>377</v>
      </c>
      <c r="Z308" s="457"/>
      <c r="AA308" s="453"/>
    </row>
    <row r="309" spans="1:27" s="441" customFormat="1">
      <c r="A309" s="427">
        <v>105</v>
      </c>
      <c r="B309" s="428" t="s">
        <v>3542</v>
      </c>
      <c r="C309" s="429" t="s">
        <v>58</v>
      </c>
      <c r="D309" s="428" t="s">
        <v>3543</v>
      </c>
      <c r="E309" s="430">
        <v>1</v>
      </c>
      <c r="F309" s="431"/>
      <c r="G309" s="432">
        <f t="shared" si="11"/>
        <v>0</v>
      </c>
      <c r="H309" s="433"/>
      <c r="I309" s="428"/>
      <c r="J309" s="433"/>
      <c r="K309" s="428"/>
      <c r="L309" s="433"/>
      <c r="M309" s="428"/>
      <c r="N309" s="433"/>
      <c r="O309" s="433"/>
      <c r="P309" s="433"/>
      <c r="Q309" s="434"/>
      <c r="R309" s="434" t="s">
        <v>3544</v>
      </c>
      <c r="S309" s="435"/>
      <c r="T309" s="435"/>
      <c r="U309" s="436"/>
      <c r="V309" s="437"/>
      <c r="W309" s="438"/>
      <c r="X309" s="438"/>
      <c r="Y309" s="439" t="s">
        <v>592</v>
      </c>
      <c r="Z309" s="440"/>
      <c r="AA309" s="436"/>
    </row>
    <row r="310" spans="1:27" s="128" customFormat="1" ht="37.5">
      <c r="A310" s="443">
        <v>106</v>
      </c>
      <c r="B310" s="444" t="s">
        <v>3545</v>
      </c>
      <c r="C310" s="445" t="s">
        <v>58</v>
      </c>
      <c r="D310" s="444" t="s">
        <v>3546</v>
      </c>
      <c r="E310" s="446">
        <v>1</v>
      </c>
      <c r="F310" s="447"/>
      <c r="G310" s="448">
        <f t="shared" si="11"/>
        <v>0</v>
      </c>
      <c r="H310" s="450"/>
      <c r="I310" s="444"/>
      <c r="J310" s="450"/>
      <c r="K310" s="444" t="s">
        <v>3311</v>
      </c>
      <c r="L310" s="450" t="s">
        <v>1173</v>
      </c>
      <c r="M310" s="444" t="s">
        <v>3319</v>
      </c>
      <c r="N310" s="450"/>
      <c r="O310" s="450"/>
      <c r="P310" s="450" t="s">
        <v>547</v>
      </c>
      <c r="Q310" s="451" t="s">
        <v>374</v>
      </c>
      <c r="R310" s="451" t="s">
        <v>3320</v>
      </c>
      <c r="S310" s="452">
        <v>45558</v>
      </c>
      <c r="T310" s="452"/>
      <c r="U310" s="453"/>
      <c r="V310" s="454"/>
      <c r="W310" s="455" t="s">
        <v>406</v>
      </c>
      <c r="X310" s="455">
        <v>45568</v>
      </c>
      <c r="Y310" s="456" t="s">
        <v>377</v>
      </c>
      <c r="Z310" s="457"/>
      <c r="AA310" s="453"/>
    </row>
    <row r="311" spans="1:27" s="128" customFormat="1" ht="37.5">
      <c r="A311" s="458">
        <v>107</v>
      </c>
      <c r="B311" s="459" t="s">
        <v>3547</v>
      </c>
      <c r="C311" s="460" t="s">
        <v>58</v>
      </c>
      <c r="D311" s="459" t="s">
        <v>3548</v>
      </c>
      <c r="E311" s="461">
        <v>1</v>
      </c>
      <c r="F311" s="462"/>
      <c r="G311" s="463">
        <f t="shared" si="11"/>
        <v>0</v>
      </c>
      <c r="H311" s="465"/>
      <c r="I311" s="459"/>
      <c r="J311" s="465"/>
      <c r="K311" s="459" t="s">
        <v>3311</v>
      </c>
      <c r="L311" s="465" t="s">
        <v>1173</v>
      </c>
      <c r="M311" s="459" t="s">
        <v>3319</v>
      </c>
      <c r="N311" s="465"/>
      <c r="O311" s="465"/>
      <c r="P311" s="465" t="s">
        <v>547</v>
      </c>
      <c r="Q311" s="466" t="s">
        <v>374</v>
      </c>
      <c r="R311" s="466" t="s">
        <v>3320</v>
      </c>
      <c r="S311" s="467">
        <v>45558</v>
      </c>
      <c r="T311" s="467"/>
      <c r="U311" s="468"/>
      <c r="V311" s="469"/>
      <c r="W311" s="470" t="s">
        <v>406</v>
      </c>
      <c r="X311" s="470">
        <v>45568</v>
      </c>
      <c r="Y311" s="471" t="s">
        <v>377</v>
      </c>
      <c r="Z311" s="472"/>
      <c r="AA311" s="453"/>
    </row>
    <row r="312" spans="1:27" s="128" customFormat="1" ht="37.5">
      <c r="A312" s="443">
        <v>108</v>
      </c>
      <c r="B312" s="444" t="s">
        <v>3549</v>
      </c>
      <c r="C312" s="445" t="s">
        <v>58</v>
      </c>
      <c r="D312" s="444" t="s">
        <v>3550</v>
      </c>
      <c r="E312" s="446">
        <v>1</v>
      </c>
      <c r="F312" s="447"/>
      <c r="G312" s="448">
        <f t="shared" ref="G312:G341" si="12">E312*F312</f>
        <v>0</v>
      </c>
      <c r="H312" s="450"/>
      <c r="I312" s="444"/>
      <c r="J312" s="450"/>
      <c r="K312" s="444" t="s">
        <v>3311</v>
      </c>
      <c r="L312" s="450" t="s">
        <v>1173</v>
      </c>
      <c r="M312" s="444" t="s">
        <v>3346</v>
      </c>
      <c r="N312" s="450"/>
      <c r="O312" s="450"/>
      <c r="P312" s="450" t="s">
        <v>547</v>
      </c>
      <c r="Q312" s="451" t="s">
        <v>374</v>
      </c>
      <c r="R312" s="451" t="s">
        <v>2906</v>
      </c>
      <c r="S312" s="452">
        <v>45548</v>
      </c>
      <c r="T312" s="452"/>
      <c r="U312" s="453"/>
      <c r="V312" s="454"/>
      <c r="W312" s="455" t="s">
        <v>406</v>
      </c>
      <c r="X312" s="455">
        <v>45561</v>
      </c>
      <c r="Y312" s="456" t="s">
        <v>377</v>
      </c>
      <c r="Z312" s="457"/>
      <c r="AA312" s="453"/>
    </row>
    <row r="313" spans="1:27" s="128" customFormat="1" ht="37.5">
      <c r="A313" s="443">
        <v>109</v>
      </c>
      <c r="B313" s="444" t="s">
        <v>3551</v>
      </c>
      <c r="C313" s="445" t="s">
        <v>58</v>
      </c>
      <c r="D313" s="444" t="s">
        <v>3552</v>
      </c>
      <c r="E313" s="446">
        <v>1</v>
      </c>
      <c r="F313" s="447"/>
      <c r="G313" s="448">
        <f t="shared" si="12"/>
        <v>0</v>
      </c>
      <c r="H313" s="450"/>
      <c r="I313" s="444"/>
      <c r="J313" s="450"/>
      <c r="K313" s="444" t="s">
        <v>3311</v>
      </c>
      <c r="L313" s="450" t="s">
        <v>1173</v>
      </c>
      <c r="M313" s="444" t="s">
        <v>3346</v>
      </c>
      <c r="N313" s="450"/>
      <c r="O313" s="450"/>
      <c r="P313" s="450" t="s">
        <v>547</v>
      </c>
      <c r="Q313" s="451" t="s">
        <v>374</v>
      </c>
      <c r="R313" s="451" t="s">
        <v>2906</v>
      </c>
      <c r="S313" s="452">
        <v>45548</v>
      </c>
      <c r="T313" s="452"/>
      <c r="U313" s="453"/>
      <c r="V313" s="454"/>
      <c r="W313" s="455" t="s">
        <v>406</v>
      </c>
      <c r="X313" s="455">
        <v>45561</v>
      </c>
      <c r="Y313" s="456" t="s">
        <v>377</v>
      </c>
      <c r="Z313" s="457"/>
      <c r="AA313" s="453"/>
    </row>
    <row r="314" spans="1:27" s="128" customFormat="1" ht="37.5">
      <c r="A314" s="443">
        <v>110</v>
      </c>
      <c r="B314" s="444" t="s">
        <v>3553</v>
      </c>
      <c r="C314" s="445" t="s">
        <v>58</v>
      </c>
      <c r="D314" s="444" t="s">
        <v>3554</v>
      </c>
      <c r="E314" s="446">
        <v>1</v>
      </c>
      <c r="F314" s="447"/>
      <c r="G314" s="448">
        <f t="shared" si="12"/>
        <v>0</v>
      </c>
      <c r="H314" s="450"/>
      <c r="I314" s="444"/>
      <c r="J314" s="450"/>
      <c r="K314" s="444" t="s">
        <v>3311</v>
      </c>
      <c r="L314" s="450" t="s">
        <v>1173</v>
      </c>
      <c r="M314" s="444" t="s">
        <v>3323</v>
      </c>
      <c r="N314" s="450"/>
      <c r="O314" s="450"/>
      <c r="P314" s="450" t="s">
        <v>547</v>
      </c>
      <c r="Q314" s="451" t="s">
        <v>374</v>
      </c>
      <c r="R314" s="451" t="s">
        <v>3324</v>
      </c>
      <c r="S314" s="452">
        <v>45548</v>
      </c>
      <c r="T314" s="452"/>
      <c r="U314" s="453"/>
      <c r="V314" s="454"/>
      <c r="W314" s="455" t="s">
        <v>376</v>
      </c>
      <c r="X314" s="455">
        <v>45548</v>
      </c>
      <c r="Y314" s="456" t="s">
        <v>377</v>
      </c>
      <c r="Z314" s="457"/>
      <c r="AA314" s="453"/>
    </row>
    <row r="315" spans="1:27" s="128" customFormat="1" ht="37.5">
      <c r="A315" s="443">
        <v>111</v>
      </c>
      <c r="B315" s="444" t="s">
        <v>3555</v>
      </c>
      <c r="C315" s="445" t="s">
        <v>58</v>
      </c>
      <c r="D315" s="444" t="s">
        <v>3556</v>
      </c>
      <c r="E315" s="446">
        <v>1</v>
      </c>
      <c r="F315" s="447"/>
      <c r="G315" s="448">
        <f t="shared" si="12"/>
        <v>0</v>
      </c>
      <c r="H315" s="450"/>
      <c r="I315" s="444"/>
      <c r="J315" s="450"/>
      <c r="K315" s="444" t="s">
        <v>3311</v>
      </c>
      <c r="L315" s="450" t="s">
        <v>1173</v>
      </c>
      <c r="M315" s="444" t="s">
        <v>3329</v>
      </c>
      <c r="N315" s="450"/>
      <c r="O315" s="450"/>
      <c r="P315" s="450" t="s">
        <v>547</v>
      </c>
      <c r="Q315" s="451" t="s">
        <v>374</v>
      </c>
      <c r="R315" s="451" t="s">
        <v>2967</v>
      </c>
      <c r="S315" s="452">
        <v>45548</v>
      </c>
      <c r="T315" s="452"/>
      <c r="U315" s="453"/>
      <c r="V315" s="454"/>
      <c r="W315" s="455" t="s">
        <v>406</v>
      </c>
      <c r="X315" s="455">
        <v>45553</v>
      </c>
      <c r="Y315" s="456" t="s">
        <v>377</v>
      </c>
      <c r="Z315" s="457"/>
      <c r="AA315" s="453"/>
    </row>
    <row r="316" spans="1:27" s="128" customFormat="1" ht="37.5">
      <c r="A316" s="405">
        <v>112</v>
      </c>
      <c r="B316" s="407" t="s">
        <v>3557</v>
      </c>
      <c r="C316" s="406" t="s">
        <v>58</v>
      </c>
      <c r="D316" s="407" t="s">
        <v>3558</v>
      </c>
      <c r="E316" s="408">
        <v>1</v>
      </c>
      <c r="F316" s="409"/>
      <c r="G316" s="410">
        <f t="shared" si="12"/>
        <v>0</v>
      </c>
      <c r="H316" s="412"/>
      <c r="I316" s="407"/>
      <c r="J316" s="412"/>
      <c r="K316" s="407" t="s">
        <v>3311</v>
      </c>
      <c r="L316" s="412" t="s">
        <v>1173</v>
      </c>
      <c r="M316" s="407" t="s">
        <v>3323</v>
      </c>
      <c r="N316" s="412"/>
      <c r="O316" s="412"/>
      <c r="P316" s="412" t="s">
        <v>547</v>
      </c>
      <c r="Q316" s="413" t="s">
        <v>726</v>
      </c>
      <c r="R316" s="413" t="s">
        <v>3324</v>
      </c>
      <c r="S316" s="414">
        <v>45590</v>
      </c>
      <c r="T316" s="414" t="s">
        <v>3559</v>
      </c>
      <c r="U316" s="415"/>
      <c r="V316" s="416"/>
      <c r="W316" s="417"/>
      <c r="X316" s="417"/>
      <c r="Y316" s="418" t="s">
        <v>377</v>
      </c>
      <c r="Z316" s="419"/>
      <c r="AA316" s="415"/>
    </row>
    <row r="317" spans="1:27" s="128" customFormat="1" ht="37.5">
      <c r="A317" s="443">
        <v>113</v>
      </c>
      <c r="B317" s="444" t="s">
        <v>3560</v>
      </c>
      <c r="C317" s="445" t="s">
        <v>58</v>
      </c>
      <c r="D317" s="444" t="s">
        <v>3561</v>
      </c>
      <c r="E317" s="446">
        <v>1</v>
      </c>
      <c r="F317" s="447"/>
      <c r="G317" s="448">
        <f t="shared" si="12"/>
        <v>0</v>
      </c>
      <c r="H317" s="450"/>
      <c r="I317" s="444"/>
      <c r="J317" s="450"/>
      <c r="K317" s="444" t="s">
        <v>3311</v>
      </c>
      <c r="L317" s="450" t="s">
        <v>1173</v>
      </c>
      <c r="M317" s="444" t="s">
        <v>3312</v>
      </c>
      <c r="N317" s="450"/>
      <c r="O317" s="450"/>
      <c r="P317" s="450" t="s">
        <v>547</v>
      </c>
      <c r="Q317" s="451" t="s">
        <v>374</v>
      </c>
      <c r="R317" s="451" t="s">
        <v>3313</v>
      </c>
      <c r="S317" s="452">
        <v>45548</v>
      </c>
      <c r="T317" s="452"/>
      <c r="U317" s="453"/>
      <c r="V317" s="454"/>
      <c r="W317" s="455" t="s">
        <v>376</v>
      </c>
      <c r="X317" s="455">
        <v>45548</v>
      </c>
      <c r="Y317" s="456" t="s">
        <v>377</v>
      </c>
      <c r="Z317" s="457"/>
      <c r="AA317" s="453"/>
    </row>
    <row r="318" spans="1:27" s="128" customFormat="1" ht="37.5">
      <c r="A318" s="443">
        <v>114</v>
      </c>
      <c r="B318" s="444" t="s">
        <v>3562</v>
      </c>
      <c r="C318" s="445" t="s">
        <v>58</v>
      </c>
      <c r="D318" s="444" t="s">
        <v>3563</v>
      </c>
      <c r="E318" s="446">
        <v>1</v>
      </c>
      <c r="F318" s="447"/>
      <c r="G318" s="448">
        <f t="shared" si="12"/>
        <v>0</v>
      </c>
      <c r="H318" s="450"/>
      <c r="I318" s="444"/>
      <c r="J318" s="450"/>
      <c r="K318" s="444" t="s">
        <v>3564</v>
      </c>
      <c r="L318" s="450" t="s">
        <v>1173</v>
      </c>
      <c r="M318" s="444" t="s">
        <v>3565</v>
      </c>
      <c r="N318" s="450"/>
      <c r="O318" s="450"/>
      <c r="P318" s="450" t="s">
        <v>547</v>
      </c>
      <c r="Q318" s="451" t="s">
        <v>374</v>
      </c>
      <c r="R318" s="451" t="s">
        <v>3313</v>
      </c>
      <c r="S318" s="452">
        <v>45548</v>
      </c>
      <c r="T318" s="452"/>
      <c r="U318" s="453"/>
      <c r="V318" s="454"/>
      <c r="W318" s="455" t="s">
        <v>376</v>
      </c>
      <c r="X318" s="455">
        <v>45547</v>
      </c>
      <c r="Y318" s="456" t="s">
        <v>377</v>
      </c>
      <c r="Z318" s="457"/>
      <c r="AA318" s="453"/>
    </row>
    <row r="319" spans="1:27" s="128" customFormat="1" ht="37.5">
      <c r="A319" s="443">
        <v>115</v>
      </c>
      <c r="B319" s="444" t="s">
        <v>3566</v>
      </c>
      <c r="C319" s="445" t="s">
        <v>58</v>
      </c>
      <c r="D319" s="444" t="s">
        <v>3567</v>
      </c>
      <c r="E319" s="446">
        <v>1</v>
      </c>
      <c r="F319" s="447"/>
      <c r="G319" s="448">
        <f t="shared" si="12"/>
        <v>0</v>
      </c>
      <c r="H319" s="450"/>
      <c r="I319" s="444"/>
      <c r="J319" s="450"/>
      <c r="K319" s="444" t="s">
        <v>3311</v>
      </c>
      <c r="L319" s="450" t="s">
        <v>1173</v>
      </c>
      <c r="M319" s="444" t="s">
        <v>3323</v>
      </c>
      <c r="N319" s="450"/>
      <c r="O319" s="450"/>
      <c r="P319" s="450" t="s">
        <v>547</v>
      </c>
      <c r="Q319" s="451" t="s">
        <v>374</v>
      </c>
      <c r="R319" s="451" t="s">
        <v>3324</v>
      </c>
      <c r="S319" s="452">
        <v>45548</v>
      </c>
      <c r="T319" s="452"/>
      <c r="U319" s="453"/>
      <c r="V319" s="454"/>
      <c r="W319" s="455" t="s">
        <v>376</v>
      </c>
      <c r="X319" s="455">
        <v>45548</v>
      </c>
      <c r="Y319" s="456" t="s">
        <v>377</v>
      </c>
      <c r="Z319" s="457"/>
      <c r="AA319" s="453"/>
    </row>
    <row r="320" spans="1:27" s="128" customFormat="1" ht="37.5">
      <c r="A320" s="443">
        <v>116</v>
      </c>
      <c r="B320" s="444" t="s">
        <v>3568</v>
      </c>
      <c r="C320" s="445" t="s">
        <v>58</v>
      </c>
      <c r="D320" s="444" t="s">
        <v>3569</v>
      </c>
      <c r="E320" s="446">
        <v>1</v>
      </c>
      <c r="F320" s="447"/>
      <c r="G320" s="448">
        <f t="shared" si="12"/>
        <v>0</v>
      </c>
      <c r="H320" s="450"/>
      <c r="I320" s="444"/>
      <c r="J320" s="450"/>
      <c r="K320" s="444" t="s">
        <v>3311</v>
      </c>
      <c r="L320" s="450" t="s">
        <v>1173</v>
      </c>
      <c r="M320" s="444" t="s">
        <v>3312</v>
      </c>
      <c r="N320" s="450"/>
      <c r="O320" s="450"/>
      <c r="P320" s="450" t="s">
        <v>547</v>
      </c>
      <c r="Q320" s="451" t="s">
        <v>374</v>
      </c>
      <c r="R320" s="451" t="s">
        <v>3313</v>
      </c>
      <c r="S320" s="452">
        <v>45548</v>
      </c>
      <c r="T320" s="452"/>
      <c r="U320" s="453"/>
      <c r="V320" s="454"/>
      <c r="W320" s="455" t="s">
        <v>376</v>
      </c>
      <c r="X320" s="455">
        <v>45548</v>
      </c>
      <c r="Y320" s="456" t="s">
        <v>377</v>
      </c>
      <c r="Z320" s="457"/>
      <c r="AA320" s="453"/>
    </row>
    <row r="321" spans="1:27" s="128" customFormat="1" ht="37.5">
      <c r="A321" s="443">
        <v>117</v>
      </c>
      <c r="B321" s="444" t="s">
        <v>3570</v>
      </c>
      <c r="C321" s="445" t="s">
        <v>58</v>
      </c>
      <c r="D321" s="444" t="s">
        <v>3571</v>
      </c>
      <c r="E321" s="446">
        <v>1</v>
      </c>
      <c r="F321" s="447"/>
      <c r="G321" s="448">
        <f t="shared" si="12"/>
        <v>0</v>
      </c>
      <c r="H321" s="450"/>
      <c r="I321" s="444"/>
      <c r="J321" s="450"/>
      <c r="K321" s="444" t="s">
        <v>3311</v>
      </c>
      <c r="L321" s="450" t="s">
        <v>1173</v>
      </c>
      <c r="M321" s="444" t="s">
        <v>3346</v>
      </c>
      <c r="N321" s="450"/>
      <c r="O321" s="450"/>
      <c r="P321" s="450" t="s">
        <v>547</v>
      </c>
      <c r="Q321" s="451" t="s">
        <v>374</v>
      </c>
      <c r="R321" s="451" t="s">
        <v>2906</v>
      </c>
      <c r="S321" s="452">
        <v>45548</v>
      </c>
      <c r="T321" s="452"/>
      <c r="U321" s="453"/>
      <c r="V321" s="454"/>
      <c r="W321" s="455" t="s">
        <v>406</v>
      </c>
      <c r="X321" s="455">
        <v>45554</v>
      </c>
      <c r="Y321" s="456" t="s">
        <v>377</v>
      </c>
      <c r="Z321" s="457"/>
      <c r="AA321" s="453"/>
    </row>
    <row r="322" spans="1:27" s="128" customFormat="1" ht="37.5">
      <c r="A322" s="443">
        <v>118</v>
      </c>
      <c r="B322" s="444" t="s">
        <v>3572</v>
      </c>
      <c r="C322" s="445" t="s">
        <v>58</v>
      </c>
      <c r="D322" s="444" t="s">
        <v>3573</v>
      </c>
      <c r="E322" s="446">
        <v>1</v>
      </c>
      <c r="F322" s="447"/>
      <c r="G322" s="448">
        <f t="shared" si="12"/>
        <v>0</v>
      </c>
      <c r="H322" s="450"/>
      <c r="I322" s="444"/>
      <c r="J322" s="450"/>
      <c r="K322" s="444" t="s">
        <v>3311</v>
      </c>
      <c r="L322" s="450" t="s">
        <v>1173</v>
      </c>
      <c r="M322" s="444" t="s">
        <v>3386</v>
      </c>
      <c r="N322" s="450"/>
      <c r="O322" s="450"/>
      <c r="P322" s="450" t="s">
        <v>547</v>
      </c>
      <c r="Q322" s="451" t="s">
        <v>374</v>
      </c>
      <c r="R322" s="451" t="s">
        <v>2957</v>
      </c>
      <c r="S322" s="452">
        <v>45552</v>
      </c>
      <c r="T322" s="452"/>
      <c r="U322" s="453"/>
      <c r="V322" s="454"/>
      <c r="W322" s="455" t="s">
        <v>376</v>
      </c>
      <c r="X322" s="455">
        <v>45548</v>
      </c>
      <c r="Y322" s="456" t="s">
        <v>377</v>
      </c>
      <c r="Z322" s="457"/>
      <c r="AA322" s="453"/>
    </row>
    <row r="323" spans="1:27" s="128" customFormat="1" ht="37.5">
      <c r="A323" s="443">
        <v>119</v>
      </c>
      <c r="B323" s="444" t="s">
        <v>3574</v>
      </c>
      <c r="C323" s="445" t="s">
        <v>58</v>
      </c>
      <c r="D323" s="444" t="s">
        <v>3575</v>
      </c>
      <c r="E323" s="446">
        <v>1</v>
      </c>
      <c r="F323" s="447"/>
      <c r="G323" s="448">
        <f t="shared" si="12"/>
        <v>0</v>
      </c>
      <c r="H323" s="450"/>
      <c r="I323" s="444"/>
      <c r="J323" s="450"/>
      <c r="K323" s="444" t="s">
        <v>3311</v>
      </c>
      <c r="L323" s="450" t="s">
        <v>1173</v>
      </c>
      <c r="M323" s="444" t="s">
        <v>3386</v>
      </c>
      <c r="N323" s="450"/>
      <c r="O323" s="450"/>
      <c r="P323" s="450" t="s">
        <v>547</v>
      </c>
      <c r="Q323" s="451" t="s">
        <v>374</v>
      </c>
      <c r="R323" s="451" t="s">
        <v>2957</v>
      </c>
      <c r="S323" s="452">
        <v>45552</v>
      </c>
      <c r="T323" s="452"/>
      <c r="U323" s="453"/>
      <c r="V323" s="454"/>
      <c r="W323" s="455" t="s">
        <v>376</v>
      </c>
      <c r="X323" s="455">
        <v>45548</v>
      </c>
      <c r="Y323" s="456" t="s">
        <v>377</v>
      </c>
      <c r="Z323" s="457"/>
      <c r="AA323" s="453"/>
    </row>
    <row r="324" spans="1:27" s="441" customFormat="1">
      <c r="A324" s="427">
        <v>120</v>
      </c>
      <c r="B324" s="428" t="s">
        <v>3576</v>
      </c>
      <c r="C324" s="429" t="s">
        <v>58</v>
      </c>
      <c r="D324" s="428" t="s">
        <v>3577</v>
      </c>
      <c r="E324" s="430">
        <v>1</v>
      </c>
      <c r="F324" s="431"/>
      <c r="G324" s="432">
        <f t="shared" si="12"/>
        <v>0</v>
      </c>
      <c r="H324" s="433"/>
      <c r="I324" s="428"/>
      <c r="J324" s="433"/>
      <c r="K324" s="428"/>
      <c r="L324" s="433"/>
      <c r="M324" s="428"/>
      <c r="N324" s="433"/>
      <c r="O324" s="433"/>
      <c r="P324" s="433"/>
      <c r="Q324" s="434"/>
      <c r="R324" s="434"/>
      <c r="S324" s="435"/>
      <c r="T324" s="435"/>
      <c r="U324" s="436"/>
      <c r="V324" s="437"/>
      <c r="W324" s="438"/>
      <c r="X324" s="438"/>
      <c r="Y324" s="439" t="s">
        <v>592</v>
      </c>
      <c r="Z324" s="440"/>
      <c r="AA324" s="436"/>
    </row>
    <row r="325" spans="1:27" s="128" customFormat="1" ht="37.5">
      <c r="A325" s="443">
        <v>121</v>
      </c>
      <c r="B325" s="444" t="s">
        <v>3578</v>
      </c>
      <c r="C325" s="445" t="s">
        <v>58</v>
      </c>
      <c r="D325" s="444" t="s">
        <v>3579</v>
      </c>
      <c r="E325" s="446">
        <v>1</v>
      </c>
      <c r="F325" s="447"/>
      <c r="G325" s="448">
        <f t="shared" si="12"/>
        <v>0</v>
      </c>
      <c r="H325" s="450"/>
      <c r="I325" s="444"/>
      <c r="J325" s="450"/>
      <c r="K325" s="444" t="s">
        <v>3311</v>
      </c>
      <c r="L325" s="450" t="s">
        <v>1173</v>
      </c>
      <c r="M325" s="444" t="s">
        <v>3329</v>
      </c>
      <c r="N325" s="450"/>
      <c r="O325" s="450"/>
      <c r="P325" s="450" t="s">
        <v>547</v>
      </c>
      <c r="Q325" s="451" t="s">
        <v>374</v>
      </c>
      <c r="R325" s="451" t="s">
        <v>2967</v>
      </c>
      <c r="S325" s="452">
        <v>45548</v>
      </c>
      <c r="T325" s="452"/>
      <c r="U325" s="453"/>
      <c r="V325" s="454"/>
      <c r="W325" s="455" t="s">
        <v>406</v>
      </c>
      <c r="X325" s="455">
        <v>45553</v>
      </c>
      <c r="Y325" s="456" t="s">
        <v>377</v>
      </c>
      <c r="Z325" s="457"/>
      <c r="AA325" s="453"/>
    </row>
    <row r="326" spans="1:27" s="128" customFormat="1" ht="37.5">
      <c r="A326" s="443">
        <v>122</v>
      </c>
      <c r="B326" s="444" t="s">
        <v>3580</v>
      </c>
      <c r="C326" s="445" t="s">
        <v>58</v>
      </c>
      <c r="D326" s="444" t="s">
        <v>3581</v>
      </c>
      <c r="E326" s="446">
        <v>1</v>
      </c>
      <c r="F326" s="447"/>
      <c r="G326" s="448">
        <f t="shared" si="12"/>
        <v>0</v>
      </c>
      <c r="H326" s="450"/>
      <c r="I326" s="444"/>
      <c r="J326" s="450"/>
      <c r="K326" s="444" t="s">
        <v>3311</v>
      </c>
      <c r="L326" s="450" t="s">
        <v>1173</v>
      </c>
      <c r="M326" s="444" t="s">
        <v>3329</v>
      </c>
      <c r="N326" s="450"/>
      <c r="O326" s="450"/>
      <c r="P326" s="450" t="s">
        <v>547</v>
      </c>
      <c r="Q326" s="451" t="s">
        <v>374</v>
      </c>
      <c r="R326" s="451" t="s">
        <v>2967</v>
      </c>
      <c r="S326" s="452">
        <v>45548</v>
      </c>
      <c r="T326" s="452"/>
      <c r="U326" s="453"/>
      <c r="V326" s="454"/>
      <c r="W326" s="455" t="s">
        <v>406</v>
      </c>
      <c r="X326" s="455">
        <v>45553</v>
      </c>
      <c r="Y326" s="456" t="s">
        <v>377</v>
      </c>
      <c r="Z326" s="457"/>
      <c r="AA326" s="453"/>
    </row>
    <row r="327" spans="1:27" s="128" customFormat="1" ht="37.5">
      <c r="A327" s="443">
        <v>123</v>
      </c>
      <c r="B327" s="444" t="s">
        <v>3582</v>
      </c>
      <c r="C327" s="445" t="s">
        <v>58</v>
      </c>
      <c r="D327" s="444" t="s">
        <v>3583</v>
      </c>
      <c r="E327" s="446">
        <v>2</v>
      </c>
      <c r="F327" s="447"/>
      <c r="G327" s="448">
        <f t="shared" si="12"/>
        <v>0</v>
      </c>
      <c r="H327" s="450"/>
      <c r="I327" s="444"/>
      <c r="J327" s="450"/>
      <c r="K327" s="444" t="s">
        <v>3311</v>
      </c>
      <c r="L327" s="450" t="s">
        <v>1173</v>
      </c>
      <c r="M327" s="444" t="s">
        <v>3329</v>
      </c>
      <c r="N327" s="450"/>
      <c r="O327" s="450"/>
      <c r="P327" s="450" t="s">
        <v>547</v>
      </c>
      <c r="Q327" s="451" t="s">
        <v>374</v>
      </c>
      <c r="R327" s="451" t="s">
        <v>2967</v>
      </c>
      <c r="S327" s="452">
        <v>45548</v>
      </c>
      <c r="T327" s="452"/>
      <c r="U327" s="453"/>
      <c r="V327" s="454"/>
      <c r="W327" s="455" t="s">
        <v>406</v>
      </c>
      <c r="X327" s="455">
        <v>45553</v>
      </c>
      <c r="Y327" s="456" t="s">
        <v>377</v>
      </c>
      <c r="Z327" s="457"/>
      <c r="AA327" s="453"/>
    </row>
    <row r="328" spans="1:27" s="128" customFormat="1" ht="37.5">
      <c r="A328" s="443">
        <v>124</v>
      </c>
      <c r="B328" s="444" t="s">
        <v>3584</v>
      </c>
      <c r="C328" s="445" t="s">
        <v>58</v>
      </c>
      <c r="D328" s="444" t="s">
        <v>3585</v>
      </c>
      <c r="E328" s="446">
        <v>1</v>
      </c>
      <c r="F328" s="447"/>
      <c r="G328" s="448">
        <f t="shared" si="12"/>
        <v>0</v>
      </c>
      <c r="H328" s="450"/>
      <c r="I328" s="444"/>
      <c r="J328" s="450"/>
      <c r="K328" s="444" t="s">
        <v>3311</v>
      </c>
      <c r="L328" s="450" t="s">
        <v>1173</v>
      </c>
      <c r="M328" s="444" t="s">
        <v>3346</v>
      </c>
      <c r="N328" s="450"/>
      <c r="O328" s="450"/>
      <c r="P328" s="450" t="s">
        <v>547</v>
      </c>
      <c r="Q328" s="451" t="s">
        <v>374</v>
      </c>
      <c r="R328" s="451" t="s">
        <v>2906</v>
      </c>
      <c r="S328" s="452">
        <v>45548</v>
      </c>
      <c r="T328" s="452"/>
      <c r="U328" s="453"/>
      <c r="V328" s="454"/>
      <c r="W328" s="455" t="s">
        <v>376</v>
      </c>
      <c r="X328" s="455">
        <v>45558</v>
      </c>
      <c r="Y328" s="456" t="s">
        <v>377</v>
      </c>
      <c r="Z328" s="457"/>
      <c r="AA328" s="453"/>
    </row>
    <row r="329" spans="1:27" s="128" customFormat="1" ht="37.5">
      <c r="A329" s="443">
        <v>125</v>
      </c>
      <c r="B329" s="444" t="s">
        <v>3586</v>
      </c>
      <c r="C329" s="445" t="s">
        <v>58</v>
      </c>
      <c r="D329" s="444" t="s">
        <v>3587</v>
      </c>
      <c r="E329" s="446">
        <v>1</v>
      </c>
      <c r="F329" s="447"/>
      <c r="G329" s="448">
        <f t="shared" si="12"/>
        <v>0</v>
      </c>
      <c r="H329" s="450"/>
      <c r="I329" s="444"/>
      <c r="J329" s="450"/>
      <c r="K329" s="444" t="s">
        <v>3311</v>
      </c>
      <c r="L329" s="450" t="s">
        <v>1173</v>
      </c>
      <c r="M329" s="444" t="s">
        <v>3346</v>
      </c>
      <c r="N329" s="450"/>
      <c r="O329" s="450"/>
      <c r="P329" s="450" t="s">
        <v>547</v>
      </c>
      <c r="Q329" s="451" t="s">
        <v>374</v>
      </c>
      <c r="R329" s="451" t="s">
        <v>2906</v>
      </c>
      <c r="S329" s="452">
        <v>45548</v>
      </c>
      <c r="T329" s="452"/>
      <c r="U329" s="453"/>
      <c r="V329" s="454"/>
      <c r="W329" s="455" t="s">
        <v>406</v>
      </c>
      <c r="X329" s="455">
        <v>45554</v>
      </c>
      <c r="Y329" s="456" t="s">
        <v>377</v>
      </c>
      <c r="Z329" s="457"/>
      <c r="AA329" s="453"/>
    </row>
    <row r="330" spans="1:27" s="128" customFormat="1" ht="37.5">
      <c r="A330" s="443">
        <v>126</v>
      </c>
      <c r="B330" s="444" t="s">
        <v>3588</v>
      </c>
      <c r="C330" s="445" t="s">
        <v>58</v>
      </c>
      <c r="D330" s="444" t="s">
        <v>3589</v>
      </c>
      <c r="E330" s="446">
        <v>1</v>
      </c>
      <c r="F330" s="447"/>
      <c r="G330" s="448">
        <f t="shared" si="12"/>
        <v>0</v>
      </c>
      <c r="H330" s="450"/>
      <c r="I330" s="444"/>
      <c r="J330" s="450"/>
      <c r="K330" s="444" t="s">
        <v>3311</v>
      </c>
      <c r="L330" s="450" t="s">
        <v>1173</v>
      </c>
      <c r="M330" s="444" t="s">
        <v>3346</v>
      </c>
      <c r="N330" s="450"/>
      <c r="O330" s="450"/>
      <c r="P330" s="450" t="s">
        <v>547</v>
      </c>
      <c r="Q330" s="451" t="s">
        <v>374</v>
      </c>
      <c r="R330" s="451" t="s">
        <v>2906</v>
      </c>
      <c r="S330" s="452">
        <v>45548</v>
      </c>
      <c r="T330" s="452"/>
      <c r="U330" s="453"/>
      <c r="V330" s="454"/>
      <c r="W330" s="455" t="s">
        <v>376</v>
      </c>
      <c r="X330" s="455">
        <v>45558</v>
      </c>
      <c r="Y330" s="456" t="s">
        <v>377</v>
      </c>
      <c r="Z330" s="457"/>
      <c r="AA330" s="453"/>
    </row>
    <row r="331" spans="1:27" s="128" customFormat="1" ht="37.5">
      <c r="A331" s="443">
        <v>127</v>
      </c>
      <c r="B331" s="444" t="s">
        <v>3590</v>
      </c>
      <c r="C331" s="445" t="s">
        <v>58</v>
      </c>
      <c r="D331" s="444" t="s">
        <v>3591</v>
      </c>
      <c r="E331" s="446">
        <v>1</v>
      </c>
      <c r="F331" s="447"/>
      <c r="G331" s="448">
        <f t="shared" si="12"/>
        <v>0</v>
      </c>
      <c r="H331" s="450"/>
      <c r="I331" s="444"/>
      <c r="J331" s="450"/>
      <c r="K331" s="444" t="s">
        <v>3311</v>
      </c>
      <c r="L331" s="450" t="s">
        <v>1173</v>
      </c>
      <c r="M331" s="444" t="s">
        <v>3351</v>
      </c>
      <c r="N331" s="450"/>
      <c r="O331" s="450"/>
      <c r="P331" s="450" t="s">
        <v>547</v>
      </c>
      <c r="Q331" s="451" t="s">
        <v>374</v>
      </c>
      <c r="R331" s="451" t="s">
        <v>3352</v>
      </c>
      <c r="S331" s="452">
        <v>45548</v>
      </c>
      <c r="T331" s="452"/>
      <c r="U331" s="453"/>
      <c r="V331" s="454"/>
      <c r="W331" s="455" t="s">
        <v>376</v>
      </c>
      <c r="X331" s="455">
        <v>45548</v>
      </c>
      <c r="Y331" s="456" t="s">
        <v>377</v>
      </c>
      <c r="Z331" s="457"/>
      <c r="AA331" s="453"/>
    </row>
    <row r="332" spans="1:27" s="128" customFormat="1" ht="37.5">
      <c r="A332" s="443">
        <v>128</v>
      </c>
      <c r="B332" s="444" t="s">
        <v>3592</v>
      </c>
      <c r="C332" s="445" t="s">
        <v>58</v>
      </c>
      <c r="D332" s="444" t="s">
        <v>3593</v>
      </c>
      <c r="E332" s="446">
        <v>1</v>
      </c>
      <c r="F332" s="447"/>
      <c r="G332" s="448">
        <f t="shared" si="12"/>
        <v>0</v>
      </c>
      <c r="H332" s="450"/>
      <c r="I332" s="444"/>
      <c r="J332" s="450"/>
      <c r="K332" s="444" t="s">
        <v>3311</v>
      </c>
      <c r="L332" s="450" t="s">
        <v>1173</v>
      </c>
      <c r="M332" s="444" t="s">
        <v>3594</v>
      </c>
      <c r="N332" s="450"/>
      <c r="O332" s="450"/>
      <c r="P332" s="450" t="s">
        <v>547</v>
      </c>
      <c r="Q332" s="451" t="s">
        <v>374</v>
      </c>
      <c r="R332" s="451" t="s">
        <v>2922</v>
      </c>
      <c r="S332" s="452">
        <v>45548</v>
      </c>
      <c r="T332" s="452"/>
      <c r="U332" s="453"/>
      <c r="V332" s="454"/>
      <c r="W332" s="455" t="s">
        <v>376</v>
      </c>
      <c r="X332" s="455">
        <v>45559</v>
      </c>
      <c r="Y332" s="456" t="s">
        <v>377</v>
      </c>
      <c r="Z332" s="457"/>
      <c r="AA332" s="453"/>
    </row>
    <row r="333" spans="1:27" s="128" customFormat="1" ht="37.5">
      <c r="A333" s="443">
        <v>129</v>
      </c>
      <c r="B333" s="444" t="s">
        <v>3595</v>
      </c>
      <c r="C333" s="445" t="s">
        <v>58</v>
      </c>
      <c r="D333" s="444" t="s">
        <v>3596</v>
      </c>
      <c r="E333" s="446">
        <v>1</v>
      </c>
      <c r="F333" s="447"/>
      <c r="G333" s="448">
        <f t="shared" si="12"/>
        <v>0</v>
      </c>
      <c r="H333" s="450"/>
      <c r="I333" s="444"/>
      <c r="J333" s="450"/>
      <c r="K333" s="444" t="s">
        <v>3311</v>
      </c>
      <c r="L333" s="450" t="s">
        <v>1173</v>
      </c>
      <c r="M333" s="444" t="s">
        <v>3346</v>
      </c>
      <c r="N333" s="450"/>
      <c r="O333" s="450"/>
      <c r="P333" s="450" t="s">
        <v>547</v>
      </c>
      <c r="Q333" s="451" t="s">
        <v>374</v>
      </c>
      <c r="R333" s="451" t="s">
        <v>2906</v>
      </c>
      <c r="S333" s="452">
        <v>45548</v>
      </c>
      <c r="T333" s="452"/>
      <c r="U333" s="453"/>
      <c r="V333" s="454"/>
      <c r="W333" s="455" t="s">
        <v>406</v>
      </c>
      <c r="X333" s="455">
        <v>45561</v>
      </c>
      <c r="Y333" s="456" t="s">
        <v>377</v>
      </c>
      <c r="Z333" s="457"/>
      <c r="AA333" s="453"/>
    </row>
    <row r="334" spans="1:27" s="128" customFormat="1" ht="37.5">
      <c r="A334" s="443">
        <v>130</v>
      </c>
      <c r="B334" s="444" t="s">
        <v>3597</v>
      </c>
      <c r="C334" s="445" t="s">
        <v>58</v>
      </c>
      <c r="D334" s="444" t="s">
        <v>3598</v>
      </c>
      <c r="E334" s="446">
        <v>1</v>
      </c>
      <c r="F334" s="447"/>
      <c r="G334" s="448">
        <f t="shared" ref="G334:G339" si="13">E334*F334</f>
        <v>0</v>
      </c>
      <c r="H334" s="450"/>
      <c r="I334" s="444"/>
      <c r="J334" s="450"/>
      <c r="K334" s="444" t="s">
        <v>3564</v>
      </c>
      <c r="L334" s="450" t="s">
        <v>1173</v>
      </c>
      <c r="M334" s="444" t="s">
        <v>3599</v>
      </c>
      <c r="N334" s="450"/>
      <c r="O334" s="450"/>
      <c r="P334" s="450" t="s">
        <v>547</v>
      </c>
      <c r="Q334" s="451" t="s">
        <v>374</v>
      </c>
      <c r="R334" s="451" t="s">
        <v>3600</v>
      </c>
      <c r="S334" s="452">
        <v>45590</v>
      </c>
      <c r="T334" s="452"/>
      <c r="U334" s="453"/>
      <c r="V334" s="454"/>
      <c r="W334" s="455" t="s">
        <v>406</v>
      </c>
      <c r="X334" s="455">
        <v>45582</v>
      </c>
      <c r="Y334" s="456" t="s">
        <v>377</v>
      </c>
      <c r="Z334" s="457"/>
      <c r="AA334" s="453"/>
    </row>
    <row r="335" spans="1:27" s="128" customFormat="1">
      <c r="A335" s="443">
        <v>131</v>
      </c>
      <c r="B335" s="444" t="s">
        <v>3601</v>
      </c>
      <c r="C335" s="445" t="s">
        <v>58</v>
      </c>
      <c r="D335" s="444" t="s">
        <v>3602</v>
      </c>
      <c r="E335" s="446">
        <v>1</v>
      </c>
      <c r="F335" s="447"/>
      <c r="G335" s="448">
        <f t="shared" si="13"/>
        <v>0</v>
      </c>
      <c r="H335" s="450"/>
      <c r="I335" s="444"/>
      <c r="J335" s="450"/>
      <c r="K335" s="444"/>
      <c r="L335" s="450"/>
      <c r="M335" s="444"/>
      <c r="N335" s="450"/>
      <c r="O335" s="450"/>
      <c r="P335" s="450"/>
      <c r="Q335" s="451" t="s">
        <v>374</v>
      </c>
      <c r="R335" s="451" t="s">
        <v>3603</v>
      </c>
      <c r="S335" s="452">
        <v>45570</v>
      </c>
      <c r="T335" s="452" t="s">
        <v>611</v>
      </c>
      <c r="U335" s="453"/>
      <c r="V335" s="454"/>
      <c r="W335" s="455" t="s">
        <v>406</v>
      </c>
      <c r="X335" s="455">
        <v>45570</v>
      </c>
      <c r="Y335" s="456" t="s">
        <v>377</v>
      </c>
      <c r="Z335" s="457"/>
      <c r="AA335" s="453"/>
    </row>
    <row r="336" spans="1:27" s="128" customFormat="1">
      <c r="A336" s="443">
        <v>132</v>
      </c>
      <c r="B336" s="444" t="s">
        <v>3604</v>
      </c>
      <c r="C336" s="445" t="s">
        <v>58</v>
      </c>
      <c r="D336" s="444" t="s">
        <v>3605</v>
      </c>
      <c r="E336" s="446">
        <v>1</v>
      </c>
      <c r="F336" s="447"/>
      <c r="G336" s="448">
        <f t="shared" si="13"/>
        <v>0</v>
      </c>
      <c r="H336" s="450"/>
      <c r="I336" s="444"/>
      <c r="J336" s="450"/>
      <c r="K336" s="444"/>
      <c r="L336" s="450"/>
      <c r="M336" s="444"/>
      <c r="N336" s="450"/>
      <c r="O336" s="450"/>
      <c r="P336" s="450"/>
      <c r="Q336" s="451" t="s">
        <v>374</v>
      </c>
      <c r="R336" s="451" t="s">
        <v>3603</v>
      </c>
      <c r="S336" s="452">
        <v>45570</v>
      </c>
      <c r="T336" s="452" t="s">
        <v>611</v>
      </c>
      <c r="U336" s="453"/>
      <c r="V336" s="454"/>
      <c r="W336" s="455" t="s">
        <v>406</v>
      </c>
      <c r="X336" s="455">
        <v>45570</v>
      </c>
      <c r="Y336" s="456" t="s">
        <v>377</v>
      </c>
      <c r="Z336" s="457"/>
      <c r="AA336" s="453"/>
    </row>
    <row r="337" spans="1:27" s="128" customFormat="1" ht="37.5">
      <c r="A337" s="443">
        <v>133</v>
      </c>
      <c r="B337" s="444" t="s">
        <v>3359</v>
      </c>
      <c r="C337" s="445" t="s">
        <v>58</v>
      </c>
      <c r="D337" s="444" t="s">
        <v>3360</v>
      </c>
      <c r="E337" s="446">
        <v>1</v>
      </c>
      <c r="F337" s="447"/>
      <c r="G337" s="448">
        <f t="shared" si="13"/>
        <v>0</v>
      </c>
      <c r="H337" s="450"/>
      <c r="I337" s="444"/>
      <c r="J337" s="450"/>
      <c r="K337" s="444" t="s">
        <v>3361</v>
      </c>
      <c r="L337" s="450" t="s">
        <v>385</v>
      </c>
      <c r="M337" s="444" t="s">
        <v>3362</v>
      </c>
      <c r="N337" s="450"/>
      <c r="O337" s="450"/>
      <c r="P337" s="450" t="s">
        <v>1890</v>
      </c>
      <c r="Q337" s="451" t="s">
        <v>374</v>
      </c>
      <c r="R337" s="451" t="s">
        <v>2922</v>
      </c>
      <c r="S337" s="452">
        <v>45583</v>
      </c>
      <c r="T337" s="452"/>
      <c r="U337" s="453"/>
      <c r="V337" s="454"/>
      <c r="W337" s="455" t="s">
        <v>406</v>
      </c>
      <c r="X337" s="455">
        <v>45576</v>
      </c>
      <c r="Y337" s="456" t="s">
        <v>377</v>
      </c>
      <c r="Z337" s="457"/>
      <c r="AA337" s="453"/>
    </row>
    <row r="338" spans="1:27" s="128" customFormat="1" ht="37.5">
      <c r="A338" s="443">
        <v>134</v>
      </c>
      <c r="B338" s="444" t="s">
        <v>3364</v>
      </c>
      <c r="C338" s="445" t="s">
        <v>58</v>
      </c>
      <c r="D338" s="444" t="s">
        <v>3365</v>
      </c>
      <c r="E338" s="446">
        <v>1</v>
      </c>
      <c r="F338" s="447"/>
      <c r="G338" s="448">
        <f t="shared" si="13"/>
        <v>0</v>
      </c>
      <c r="H338" s="450"/>
      <c r="I338" s="444"/>
      <c r="J338" s="450"/>
      <c r="K338" s="444" t="s">
        <v>3361</v>
      </c>
      <c r="L338" s="450" t="s">
        <v>385</v>
      </c>
      <c r="M338" s="444" t="s">
        <v>3366</v>
      </c>
      <c r="N338" s="450"/>
      <c r="O338" s="450"/>
      <c r="P338" s="450" t="s">
        <v>670</v>
      </c>
      <c r="Q338" s="451" t="s">
        <v>374</v>
      </c>
      <c r="R338" s="451" t="s">
        <v>2922</v>
      </c>
      <c r="S338" s="452">
        <v>45583</v>
      </c>
      <c r="T338" s="452"/>
      <c r="U338" s="453"/>
      <c r="V338" s="454"/>
      <c r="W338" s="455" t="s">
        <v>406</v>
      </c>
      <c r="X338" s="455">
        <v>45576</v>
      </c>
      <c r="Y338" s="456" t="s">
        <v>377</v>
      </c>
      <c r="Z338" s="457"/>
      <c r="AA338" s="453"/>
    </row>
    <row r="339" spans="1:27" s="128" customFormat="1" ht="37.5">
      <c r="A339" s="443">
        <v>135</v>
      </c>
      <c r="B339" s="444" t="s">
        <v>3368</v>
      </c>
      <c r="C339" s="445" t="s">
        <v>58</v>
      </c>
      <c r="D339" s="444" t="s">
        <v>3369</v>
      </c>
      <c r="E339" s="446">
        <v>1</v>
      </c>
      <c r="F339" s="447"/>
      <c r="G339" s="448">
        <f t="shared" si="13"/>
        <v>0</v>
      </c>
      <c r="H339" s="450"/>
      <c r="I339" s="444"/>
      <c r="J339" s="450"/>
      <c r="K339" s="444" t="s">
        <v>3361</v>
      </c>
      <c r="L339" s="450" t="s">
        <v>385</v>
      </c>
      <c r="M339" s="444" t="s">
        <v>3366</v>
      </c>
      <c r="N339" s="450"/>
      <c r="O339" s="450"/>
      <c r="P339" s="450" t="s">
        <v>670</v>
      </c>
      <c r="Q339" s="451" t="s">
        <v>374</v>
      </c>
      <c r="R339" s="451" t="s">
        <v>2922</v>
      </c>
      <c r="S339" s="452">
        <v>45583</v>
      </c>
      <c r="T339" s="452"/>
      <c r="U339" s="453"/>
      <c r="V339" s="454"/>
      <c r="W339" s="455" t="s">
        <v>406</v>
      </c>
      <c r="X339" s="455">
        <v>45576</v>
      </c>
      <c r="Y339" s="456" t="s">
        <v>377</v>
      </c>
      <c r="Z339" s="457"/>
      <c r="AA339" s="453"/>
    </row>
    <row r="340" spans="1:27" s="128" customFormat="1" ht="37.5">
      <c r="A340" s="443">
        <v>136</v>
      </c>
      <c r="B340" s="444" t="s">
        <v>3355</v>
      </c>
      <c r="C340" s="445" t="s">
        <v>58</v>
      </c>
      <c r="D340" s="444" t="s">
        <v>3356</v>
      </c>
      <c r="E340" s="446">
        <v>1</v>
      </c>
      <c r="F340" s="447"/>
      <c r="G340" s="448">
        <f>E340*F340</f>
        <v>0</v>
      </c>
      <c r="H340" s="450"/>
      <c r="I340" s="444"/>
      <c r="J340" s="450"/>
      <c r="K340" s="444" t="s">
        <v>3357</v>
      </c>
      <c r="L340" s="450" t="s">
        <v>895</v>
      </c>
      <c r="M340" s="444" t="s">
        <v>3358</v>
      </c>
      <c r="N340" s="450"/>
      <c r="O340" s="450"/>
      <c r="P340" s="450" t="s">
        <v>2839</v>
      </c>
      <c r="Q340" s="451" t="s">
        <v>374</v>
      </c>
      <c r="R340" s="451" t="s">
        <v>3324</v>
      </c>
      <c r="S340" s="452">
        <v>45588</v>
      </c>
      <c r="T340" s="452">
        <v>45589</v>
      </c>
      <c r="U340" s="453"/>
      <c r="V340" s="454"/>
      <c r="W340" s="455" t="s">
        <v>406</v>
      </c>
      <c r="X340" s="455">
        <v>45588</v>
      </c>
      <c r="Y340" s="456" t="s">
        <v>377</v>
      </c>
      <c r="Z340" s="457"/>
      <c r="AA340" s="453"/>
    </row>
    <row r="341" spans="1:27">
      <c r="A341" s="389"/>
      <c r="B341" s="390" t="s">
        <v>1012</v>
      </c>
      <c r="C341" s="391"/>
      <c r="D341" s="392"/>
      <c r="E341" s="393"/>
      <c r="F341" s="394"/>
      <c r="G341" s="395">
        <f t="shared" si="12"/>
        <v>0</v>
      </c>
      <c r="H341" s="420"/>
      <c r="I341" s="392"/>
      <c r="J341" s="420"/>
      <c r="K341" s="392"/>
      <c r="L341" s="397"/>
      <c r="M341" s="392"/>
      <c r="N341" s="397"/>
      <c r="O341" s="397"/>
      <c r="P341" s="397"/>
      <c r="Q341" s="398"/>
      <c r="R341" s="398"/>
      <c r="S341" s="399"/>
      <c r="T341" s="399"/>
      <c r="U341" s="400"/>
      <c r="V341" s="401"/>
      <c r="W341" s="402"/>
      <c r="X341" s="402"/>
      <c r="Y341" s="403"/>
      <c r="Z341" s="404"/>
      <c r="AA341" s="493"/>
    </row>
    <row r="342" spans="1:27" s="128" customFormat="1" ht="37.5">
      <c r="A342" s="443">
        <v>1</v>
      </c>
      <c r="B342" s="444" t="s">
        <v>3606</v>
      </c>
      <c r="C342" s="445" t="s">
        <v>60</v>
      </c>
      <c r="D342" s="444" t="s">
        <v>3607</v>
      </c>
      <c r="E342" s="446">
        <v>2</v>
      </c>
      <c r="F342" s="447"/>
      <c r="G342" s="448">
        <f t="shared" ref="G342:G373" si="14">E342*F342</f>
        <v>0</v>
      </c>
      <c r="H342" s="450"/>
      <c r="I342" s="444"/>
      <c r="J342" s="450"/>
      <c r="K342" s="444" t="s">
        <v>3608</v>
      </c>
      <c r="L342" s="450" t="s">
        <v>2919</v>
      </c>
      <c r="M342" s="444" t="s">
        <v>3609</v>
      </c>
      <c r="N342" s="450"/>
      <c r="O342" s="450"/>
      <c r="P342" s="450" t="s">
        <v>3610</v>
      </c>
      <c r="Q342" s="451" t="s">
        <v>374</v>
      </c>
      <c r="R342" s="451" t="s">
        <v>260</v>
      </c>
      <c r="S342" s="452">
        <v>45541</v>
      </c>
      <c r="T342" s="452"/>
      <c r="U342" s="453"/>
      <c r="V342" s="454"/>
      <c r="W342" s="455" t="s">
        <v>406</v>
      </c>
      <c r="X342" s="455">
        <v>45540</v>
      </c>
      <c r="Y342" s="456" t="s">
        <v>377</v>
      </c>
      <c r="Z342" s="457"/>
      <c r="AA342" s="453"/>
    </row>
    <row r="343" spans="1:27" s="128" customFormat="1" ht="37.5">
      <c r="A343" s="443">
        <v>2</v>
      </c>
      <c r="B343" s="444" t="s">
        <v>3611</v>
      </c>
      <c r="C343" s="445" t="s">
        <v>60</v>
      </c>
      <c r="D343" s="444" t="s">
        <v>3612</v>
      </c>
      <c r="E343" s="446">
        <v>1</v>
      </c>
      <c r="F343" s="447"/>
      <c r="G343" s="448">
        <f t="shared" si="14"/>
        <v>0</v>
      </c>
      <c r="H343" s="450"/>
      <c r="I343" s="444"/>
      <c r="J343" s="450"/>
      <c r="K343" s="444" t="s">
        <v>3608</v>
      </c>
      <c r="L343" s="450" t="s">
        <v>2919</v>
      </c>
      <c r="M343" s="444" t="s">
        <v>3609</v>
      </c>
      <c r="N343" s="450"/>
      <c r="O343" s="450"/>
      <c r="P343" s="450" t="s">
        <v>3610</v>
      </c>
      <c r="Q343" s="451" t="s">
        <v>374</v>
      </c>
      <c r="R343" s="451" t="s">
        <v>260</v>
      </c>
      <c r="S343" s="452">
        <v>45541</v>
      </c>
      <c r="T343" s="452"/>
      <c r="U343" s="453"/>
      <c r="V343" s="454"/>
      <c r="W343" s="455" t="s">
        <v>406</v>
      </c>
      <c r="X343" s="455">
        <v>45540</v>
      </c>
      <c r="Y343" s="456" t="s">
        <v>377</v>
      </c>
      <c r="Z343" s="457"/>
      <c r="AA343" s="453"/>
    </row>
    <row r="344" spans="1:27" s="128" customFormat="1" ht="37.5">
      <c r="A344" s="443">
        <v>3</v>
      </c>
      <c r="B344" s="444" t="s">
        <v>3613</v>
      </c>
      <c r="C344" s="445" t="s">
        <v>60</v>
      </c>
      <c r="D344" s="444" t="s">
        <v>3614</v>
      </c>
      <c r="E344" s="446">
        <v>1</v>
      </c>
      <c r="F344" s="447"/>
      <c r="G344" s="448">
        <f t="shared" si="14"/>
        <v>0</v>
      </c>
      <c r="H344" s="450"/>
      <c r="I344" s="444"/>
      <c r="J344" s="450"/>
      <c r="K344" s="444" t="s">
        <v>3608</v>
      </c>
      <c r="L344" s="450" t="s">
        <v>2919</v>
      </c>
      <c r="M344" s="444" t="s">
        <v>3615</v>
      </c>
      <c r="N344" s="450"/>
      <c r="O344" s="450"/>
      <c r="P344" s="450" t="s">
        <v>3610</v>
      </c>
      <c r="Q344" s="451" t="s">
        <v>374</v>
      </c>
      <c r="R344" s="451" t="s">
        <v>2967</v>
      </c>
      <c r="S344" s="452">
        <v>45541</v>
      </c>
      <c r="T344" s="452"/>
      <c r="U344" s="453"/>
      <c r="V344" s="454"/>
      <c r="W344" s="455" t="s">
        <v>406</v>
      </c>
      <c r="X344" s="455">
        <v>45538</v>
      </c>
      <c r="Y344" s="456" t="s">
        <v>377</v>
      </c>
      <c r="Z344" s="457"/>
      <c r="AA344" s="453"/>
    </row>
    <row r="345" spans="1:27" s="128" customFormat="1" ht="37.5">
      <c r="A345" s="443">
        <v>4</v>
      </c>
      <c r="B345" s="444" t="s">
        <v>3616</v>
      </c>
      <c r="C345" s="445" t="s">
        <v>60</v>
      </c>
      <c r="D345" s="444" t="s">
        <v>3617</v>
      </c>
      <c r="E345" s="446">
        <v>1</v>
      </c>
      <c r="F345" s="447"/>
      <c r="G345" s="448">
        <f t="shared" si="14"/>
        <v>0</v>
      </c>
      <c r="H345" s="450"/>
      <c r="I345" s="444"/>
      <c r="J345" s="450"/>
      <c r="K345" s="444" t="s">
        <v>3608</v>
      </c>
      <c r="L345" s="450" t="s">
        <v>2919</v>
      </c>
      <c r="M345" s="444" t="s">
        <v>3618</v>
      </c>
      <c r="N345" s="450"/>
      <c r="O345" s="450"/>
      <c r="P345" s="450" t="s">
        <v>3610</v>
      </c>
      <c r="Q345" s="451" t="s">
        <v>374</v>
      </c>
      <c r="R345" s="451" t="s">
        <v>2957</v>
      </c>
      <c r="S345" s="452">
        <v>45541</v>
      </c>
      <c r="T345" s="452"/>
      <c r="U345" s="453"/>
      <c r="V345" s="454"/>
      <c r="W345" s="455" t="s">
        <v>406</v>
      </c>
      <c r="X345" s="455">
        <v>45539</v>
      </c>
      <c r="Y345" s="456" t="s">
        <v>377</v>
      </c>
      <c r="Z345" s="457"/>
      <c r="AA345" s="453"/>
    </row>
    <row r="346" spans="1:27" s="128" customFormat="1" ht="37.5">
      <c r="A346" s="443">
        <v>5</v>
      </c>
      <c r="B346" s="444" t="s">
        <v>3619</v>
      </c>
      <c r="C346" s="445" t="s">
        <v>60</v>
      </c>
      <c r="D346" s="444" t="s">
        <v>3620</v>
      </c>
      <c r="E346" s="446">
        <v>2</v>
      </c>
      <c r="F346" s="447"/>
      <c r="G346" s="448">
        <f t="shared" si="14"/>
        <v>0</v>
      </c>
      <c r="H346" s="450"/>
      <c r="I346" s="444"/>
      <c r="J346" s="450"/>
      <c r="K346" s="444" t="s">
        <v>3608</v>
      </c>
      <c r="L346" s="450" t="s">
        <v>2919</v>
      </c>
      <c r="M346" s="444" t="s">
        <v>3609</v>
      </c>
      <c r="N346" s="450"/>
      <c r="O346" s="450"/>
      <c r="P346" s="450" t="s">
        <v>3610</v>
      </c>
      <c r="Q346" s="451" t="s">
        <v>374</v>
      </c>
      <c r="R346" s="451" t="s">
        <v>260</v>
      </c>
      <c r="S346" s="452">
        <v>45565</v>
      </c>
      <c r="T346" s="452"/>
      <c r="U346" s="453"/>
      <c r="V346" s="454"/>
      <c r="W346" s="455" t="s">
        <v>406</v>
      </c>
      <c r="X346" s="455">
        <v>45544</v>
      </c>
      <c r="Y346" s="456" t="s">
        <v>377</v>
      </c>
      <c r="Z346" s="457"/>
      <c r="AA346" s="453"/>
    </row>
    <row r="347" spans="1:27" s="128" customFormat="1" ht="37.5">
      <c r="A347" s="443">
        <v>6</v>
      </c>
      <c r="B347" s="444" t="s">
        <v>3621</v>
      </c>
      <c r="C347" s="445" t="s">
        <v>60</v>
      </c>
      <c r="D347" s="444" t="s">
        <v>3622</v>
      </c>
      <c r="E347" s="446">
        <v>4</v>
      </c>
      <c r="F347" s="447"/>
      <c r="G347" s="448">
        <f t="shared" si="14"/>
        <v>0</v>
      </c>
      <c r="H347" s="450"/>
      <c r="I347" s="444"/>
      <c r="J347" s="450"/>
      <c r="K347" s="444" t="s">
        <v>3623</v>
      </c>
      <c r="L347" s="450" t="s">
        <v>986</v>
      </c>
      <c r="M347" s="444" t="s">
        <v>3624</v>
      </c>
      <c r="N347" s="450"/>
      <c r="O347" s="450"/>
      <c r="P347" s="450" t="s">
        <v>3625</v>
      </c>
      <c r="Q347" s="451" t="s">
        <v>374</v>
      </c>
      <c r="R347" s="451" t="s">
        <v>2967</v>
      </c>
      <c r="S347" s="452">
        <v>45586</v>
      </c>
      <c r="T347" s="452"/>
      <c r="U347" s="453"/>
      <c r="V347" s="454"/>
      <c r="W347" s="455" t="s">
        <v>406</v>
      </c>
      <c r="X347" s="455">
        <v>45538</v>
      </c>
      <c r="Y347" s="456" t="s">
        <v>377</v>
      </c>
      <c r="Z347" s="457"/>
      <c r="AA347" s="453"/>
    </row>
    <row r="348" spans="1:27" s="128" customFormat="1" ht="37.5">
      <c r="A348" s="443">
        <v>7</v>
      </c>
      <c r="B348" s="444" t="s">
        <v>3626</v>
      </c>
      <c r="C348" s="445" t="s">
        <v>60</v>
      </c>
      <c r="D348" s="444" t="s">
        <v>3627</v>
      </c>
      <c r="E348" s="446">
        <v>1</v>
      </c>
      <c r="F348" s="447"/>
      <c r="G348" s="448">
        <f t="shared" si="14"/>
        <v>0</v>
      </c>
      <c r="H348" s="450"/>
      <c r="I348" s="444"/>
      <c r="J348" s="450"/>
      <c r="K348" s="444" t="s">
        <v>3608</v>
      </c>
      <c r="L348" s="450" t="s">
        <v>2919</v>
      </c>
      <c r="M348" s="444" t="s">
        <v>3618</v>
      </c>
      <c r="N348" s="450"/>
      <c r="O348" s="450"/>
      <c r="P348" s="450" t="s">
        <v>3610</v>
      </c>
      <c r="Q348" s="451" t="s">
        <v>374</v>
      </c>
      <c r="R348" s="451" t="s">
        <v>2957</v>
      </c>
      <c r="S348" s="452">
        <v>45541</v>
      </c>
      <c r="T348" s="452"/>
      <c r="U348" s="453"/>
      <c r="V348" s="454"/>
      <c r="W348" s="455" t="s">
        <v>406</v>
      </c>
      <c r="X348" s="455">
        <v>45539</v>
      </c>
      <c r="Y348" s="456" t="s">
        <v>377</v>
      </c>
      <c r="Z348" s="457"/>
      <c r="AA348" s="453"/>
    </row>
    <row r="349" spans="1:27" s="128" customFormat="1" ht="37.5">
      <c r="A349" s="443">
        <v>8</v>
      </c>
      <c r="B349" s="444" t="s">
        <v>3628</v>
      </c>
      <c r="C349" s="445" t="s">
        <v>60</v>
      </c>
      <c r="D349" s="444" t="s">
        <v>3629</v>
      </c>
      <c r="E349" s="446">
        <v>2</v>
      </c>
      <c r="F349" s="447"/>
      <c r="G349" s="448">
        <f t="shared" si="14"/>
        <v>0</v>
      </c>
      <c r="H349" s="450"/>
      <c r="I349" s="444"/>
      <c r="J349" s="450"/>
      <c r="K349" s="444" t="s">
        <v>3608</v>
      </c>
      <c r="L349" s="450" t="s">
        <v>2919</v>
      </c>
      <c r="M349" s="444" t="s">
        <v>3630</v>
      </c>
      <c r="N349" s="450"/>
      <c r="O349" s="450"/>
      <c r="P349" s="450" t="s">
        <v>3610</v>
      </c>
      <c r="Q349" s="451" t="s">
        <v>374</v>
      </c>
      <c r="R349" s="451" t="s">
        <v>3363</v>
      </c>
      <c r="S349" s="452">
        <v>45541</v>
      </c>
      <c r="T349" s="452"/>
      <c r="U349" s="453"/>
      <c r="V349" s="454"/>
      <c r="W349" s="455" t="s">
        <v>406</v>
      </c>
      <c r="X349" s="455">
        <v>45545</v>
      </c>
      <c r="Y349" s="456" t="s">
        <v>377</v>
      </c>
      <c r="Z349" s="457"/>
      <c r="AA349" s="453"/>
    </row>
    <row r="350" spans="1:27" s="128" customFormat="1" ht="37.5">
      <c r="A350" s="443">
        <v>9</v>
      </c>
      <c r="B350" s="444" t="s">
        <v>3631</v>
      </c>
      <c r="C350" s="445" t="s">
        <v>60</v>
      </c>
      <c r="D350" s="444" t="s">
        <v>3632</v>
      </c>
      <c r="E350" s="446">
        <v>1</v>
      </c>
      <c r="F350" s="447"/>
      <c r="G350" s="448">
        <f t="shared" si="14"/>
        <v>0</v>
      </c>
      <c r="H350" s="450"/>
      <c r="I350" s="444"/>
      <c r="J350" s="450"/>
      <c r="K350" s="444" t="s">
        <v>3608</v>
      </c>
      <c r="L350" s="450" t="s">
        <v>2919</v>
      </c>
      <c r="M350" s="444" t="s">
        <v>3630</v>
      </c>
      <c r="N350" s="450"/>
      <c r="O350" s="450"/>
      <c r="P350" s="450" t="s">
        <v>3610</v>
      </c>
      <c r="Q350" s="451" t="s">
        <v>374</v>
      </c>
      <c r="R350" s="451" t="s">
        <v>3363</v>
      </c>
      <c r="S350" s="452">
        <v>45541</v>
      </c>
      <c r="T350" s="452"/>
      <c r="U350" s="453"/>
      <c r="V350" s="454"/>
      <c r="W350" s="455" t="s">
        <v>406</v>
      </c>
      <c r="X350" s="455">
        <v>45541</v>
      </c>
      <c r="Y350" s="456" t="s">
        <v>377</v>
      </c>
      <c r="Z350" s="457"/>
      <c r="AA350" s="453"/>
    </row>
    <row r="351" spans="1:27" s="128" customFormat="1" ht="37.5">
      <c r="A351" s="443">
        <v>10</v>
      </c>
      <c r="B351" s="444" t="s">
        <v>3633</v>
      </c>
      <c r="C351" s="445" t="s">
        <v>60</v>
      </c>
      <c r="D351" s="444" t="s">
        <v>3634</v>
      </c>
      <c r="E351" s="446">
        <v>2</v>
      </c>
      <c r="F351" s="447"/>
      <c r="G351" s="448">
        <f t="shared" si="14"/>
        <v>0</v>
      </c>
      <c r="H351" s="450"/>
      <c r="I351" s="444"/>
      <c r="J351" s="450"/>
      <c r="K351" s="444" t="s">
        <v>3608</v>
      </c>
      <c r="L351" s="450" t="s">
        <v>2919</v>
      </c>
      <c r="M351" s="444" t="s">
        <v>3635</v>
      </c>
      <c r="N351" s="450"/>
      <c r="O351" s="450"/>
      <c r="P351" s="450" t="s">
        <v>3610</v>
      </c>
      <c r="Q351" s="451" t="s">
        <v>374</v>
      </c>
      <c r="R351" s="451" t="s">
        <v>3636</v>
      </c>
      <c r="S351" s="452">
        <v>45541</v>
      </c>
      <c r="T351" s="452"/>
      <c r="U351" s="453"/>
      <c r="V351" s="454"/>
      <c r="W351" s="455" t="s">
        <v>406</v>
      </c>
      <c r="X351" s="455">
        <v>45540</v>
      </c>
      <c r="Y351" s="456" t="s">
        <v>377</v>
      </c>
      <c r="Z351" s="457"/>
      <c r="AA351" s="453"/>
    </row>
    <row r="352" spans="1:27" s="128" customFormat="1" ht="37.5">
      <c r="A352" s="443">
        <v>11</v>
      </c>
      <c r="B352" s="444" t="s">
        <v>3637</v>
      </c>
      <c r="C352" s="445" t="s">
        <v>60</v>
      </c>
      <c r="D352" s="444" t="s">
        <v>3638</v>
      </c>
      <c r="E352" s="446">
        <v>4</v>
      </c>
      <c r="F352" s="447"/>
      <c r="G352" s="448">
        <f t="shared" si="14"/>
        <v>0</v>
      </c>
      <c r="H352" s="450"/>
      <c r="I352" s="444"/>
      <c r="J352" s="450"/>
      <c r="K352" s="444" t="s">
        <v>3608</v>
      </c>
      <c r="L352" s="450" t="s">
        <v>2919</v>
      </c>
      <c r="M352" s="444" t="s">
        <v>3615</v>
      </c>
      <c r="N352" s="450"/>
      <c r="O352" s="450"/>
      <c r="P352" s="450" t="s">
        <v>3610</v>
      </c>
      <c r="Q352" s="451" t="s">
        <v>374</v>
      </c>
      <c r="R352" s="451" t="s">
        <v>2967</v>
      </c>
      <c r="S352" s="452">
        <v>45541</v>
      </c>
      <c r="T352" s="452"/>
      <c r="U352" s="453"/>
      <c r="V352" s="454"/>
      <c r="W352" s="455" t="s">
        <v>406</v>
      </c>
      <c r="X352" s="455">
        <v>45538</v>
      </c>
      <c r="Y352" s="456" t="s">
        <v>377</v>
      </c>
      <c r="Z352" s="457"/>
      <c r="AA352" s="453"/>
    </row>
    <row r="353" spans="1:27" s="128" customFormat="1" ht="37.5">
      <c r="A353" s="443">
        <v>12</v>
      </c>
      <c r="B353" s="444" t="s">
        <v>3639</v>
      </c>
      <c r="C353" s="445" t="s">
        <v>60</v>
      </c>
      <c r="D353" s="444" t="s">
        <v>3640</v>
      </c>
      <c r="E353" s="446">
        <v>1</v>
      </c>
      <c r="F353" s="447"/>
      <c r="G353" s="448">
        <f t="shared" si="14"/>
        <v>0</v>
      </c>
      <c r="H353" s="450"/>
      <c r="I353" s="444"/>
      <c r="J353" s="450"/>
      <c r="K353" s="444" t="s">
        <v>3608</v>
      </c>
      <c r="L353" s="450" t="s">
        <v>2919</v>
      </c>
      <c r="M353" s="444" t="s">
        <v>3615</v>
      </c>
      <c r="N353" s="450"/>
      <c r="O353" s="450"/>
      <c r="P353" s="450" t="s">
        <v>3610</v>
      </c>
      <c r="Q353" s="451" t="s">
        <v>374</v>
      </c>
      <c r="R353" s="451" t="s">
        <v>2967</v>
      </c>
      <c r="S353" s="452">
        <v>45541</v>
      </c>
      <c r="T353" s="452"/>
      <c r="U353" s="453"/>
      <c r="V353" s="454"/>
      <c r="W353" s="455" t="s">
        <v>406</v>
      </c>
      <c r="X353" s="455">
        <v>45538</v>
      </c>
      <c r="Y353" s="456" t="s">
        <v>377</v>
      </c>
      <c r="Z353" s="457"/>
      <c r="AA353" s="453"/>
    </row>
    <row r="354" spans="1:27" s="128" customFormat="1" ht="37.5">
      <c r="A354" s="443">
        <v>13</v>
      </c>
      <c r="B354" s="444" t="s">
        <v>3641</v>
      </c>
      <c r="C354" s="445" t="s">
        <v>60</v>
      </c>
      <c r="D354" s="444" t="s">
        <v>3642</v>
      </c>
      <c r="E354" s="446">
        <v>1</v>
      </c>
      <c r="F354" s="447"/>
      <c r="G354" s="448">
        <f t="shared" si="14"/>
        <v>0</v>
      </c>
      <c r="H354" s="450"/>
      <c r="I354" s="444"/>
      <c r="J354" s="450"/>
      <c r="K354" s="444" t="s">
        <v>3608</v>
      </c>
      <c r="L354" s="450" t="s">
        <v>2919</v>
      </c>
      <c r="M354" s="444" t="s">
        <v>3618</v>
      </c>
      <c r="N354" s="450"/>
      <c r="O354" s="450"/>
      <c r="P354" s="450" t="s">
        <v>3610</v>
      </c>
      <c r="Q354" s="451" t="s">
        <v>374</v>
      </c>
      <c r="R354" s="451" t="s">
        <v>2957</v>
      </c>
      <c r="S354" s="452">
        <v>45541</v>
      </c>
      <c r="T354" s="452"/>
      <c r="U354" s="453"/>
      <c r="V354" s="454"/>
      <c r="W354" s="455" t="s">
        <v>406</v>
      </c>
      <c r="X354" s="455">
        <v>45539</v>
      </c>
      <c r="Y354" s="456" t="s">
        <v>377</v>
      </c>
      <c r="Z354" s="457"/>
      <c r="AA354" s="453"/>
    </row>
    <row r="355" spans="1:27" s="128" customFormat="1" ht="37.5">
      <c r="A355" s="443">
        <v>14</v>
      </c>
      <c r="B355" s="444" t="s">
        <v>3643</v>
      </c>
      <c r="C355" s="445" t="s">
        <v>60</v>
      </c>
      <c r="D355" s="444" t="s">
        <v>3644</v>
      </c>
      <c r="E355" s="446">
        <v>1</v>
      </c>
      <c r="F355" s="447"/>
      <c r="G355" s="448">
        <f t="shared" si="14"/>
        <v>0</v>
      </c>
      <c r="H355" s="450"/>
      <c r="I355" s="444"/>
      <c r="J355" s="450"/>
      <c r="K355" s="444" t="s">
        <v>3608</v>
      </c>
      <c r="L355" s="450" t="s">
        <v>2919</v>
      </c>
      <c r="M355" s="444" t="s">
        <v>3630</v>
      </c>
      <c r="N355" s="450"/>
      <c r="O355" s="450"/>
      <c r="P355" s="450" t="s">
        <v>3610</v>
      </c>
      <c r="Q355" s="451" t="s">
        <v>374</v>
      </c>
      <c r="R355" s="451" t="s">
        <v>3363</v>
      </c>
      <c r="S355" s="452">
        <v>45541</v>
      </c>
      <c r="T355" s="452"/>
      <c r="U355" s="453"/>
      <c r="V355" s="454"/>
      <c r="W355" s="455" t="s">
        <v>376</v>
      </c>
      <c r="X355" s="455">
        <v>45548</v>
      </c>
      <c r="Y355" s="456" t="s">
        <v>377</v>
      </c>
      <c r="Z355" s="457"/>
      <c r="AA355" s="453"/>
    </row>
    <row r="356" spans="1:27" s="128" customFormat="1" ht="37.5">
      <c r="A356" s="443">
        <v>15</v>
      </c>
      <c r="B356" s="444" t="s">
        <v>3645</v>
      </c>
      <c r="C356" s="445" t="s">
        <v>60</v>
      </c>
      <c r="D356" s="444" t="s">
        <v>3646</v>
      </c>
      <c r="E356" s="446">
        <v>1</v>
      </c>
      <c r="F356" s="447"/>
      <c r="G356" s="448">
        <f t="shared" si="14"/>
        <v>0</v>
      </c>
      <c r="H356" s="450"/>
      <c r="I356" s="444"/>
      <c r="J356" s="450"/>
      <c r="K356" s="444" t="s">
        <v>3608</v>
      </c>
      <c r="L356" s="450" t="s">
        <v>2919</v>
      </c>
      <c r="M356" s="444" t="s">
        <v>3630</v>
      </c>
      <c r="N356" s="450"/>
      <c r="O356" s="450"/>
      <c r="P356" s="450" t="s">
        <v>3610</v>
      </c>
      <c r="Q356" s="451" t="s">
        <v>374</v>
      </c>
      <c r="R356" s="451" t="s">
        <v>3363</v>
      </c>
      <c r="S356" s="452">
        <v>45541</v>
      </c>
      <c r="T356" s="452"/>
      <c r="U356" s="453"/>
      <c r="V356" s="454"/>
      <c r="W356" s="455" t="s">
        <v>406</v>
      </c>
      <c r="X356" s="455">
        <v>45545</v>
      </c>
      <c r="Y356" s="456" t="s">
        <v>377</v>
      </c>
      <c r="Z356" s="457"/>
      <c r="AA356" s="453"/>
    </row>
    <row r="357" spans="1:27" s="128" customFormat="1" ht="37.5">
      <c r="A357" s="443">
        <v>16</v>
      </c>
      <c r="B357" s="444" t="s">
        <v>3647</v>
      </c>
      <c r="C357" s="445" t="s">
        <v>60</v>
      </c>
      <c r="D357" s="444" t="s">
        <v>3648</v>
      </c>
      <c r="E357" s="446">
        <v>1</v>
      </c>
      <c r="F357" s="447"/>
      <c r="G357" s="448">
        <f t="shared" si="14"/>
        <v>0</v>
      </c>
      <c r="H357" s="450"/>
      <c r="I357" s="444"/>
      <c r="J357" s="450"/>
      <c r="K357" s="444" t="s">
        <v>3608</v>
      </c>
      <c r="L357" s="450" t="s">
        <v>2919</v>
      </c>
      <c r="M357" s="444" t="s">
        <v>3630</v>
      </c>
      <c r="N357" s="450"/>
      <c r="O357" s="450"/>
      <c r="P357" s="450" t="s">
        <v>3610</v>
      </c>
      <c r="Q357" s="451" t="s">
        <v>374</v>
      </c>
      <c r="R357" s="451" t="s">
        <v>3363</v>
      </c>
      <c r="S357" s="452">
        <v>45541</v>
      </c>
      <c r="T357" s="452"/>
      <c r="U357" s="453"/>
      <c r="V357" s="454"/>
      <c r="W357" s="455" t="s">
        <v>406</v>
      </c>
      <c r="X357" s="455">
        <v>45545</v>
      </c>
      <c r="Y357" s="456" t="s">
        <v>377</v>
      </c>
      <c r="Z357" s="457"/>
      <c r="AA357" s="453"/>
    </row>
    <row r="358" spans="1:27" s="128" customFormat="1" ht="37.5">
      <c r="A358" s="443">
        <v>17</v>
      </c>
      <c r="B358" s="444" t="s">
        <v>3649</v>
      </c>
      <c r="C358" s="445" t="s">
        <v>60</v>
      </c>
      <c r="D358" s="444" t="s">
        <v>3650</v>
      </c>
      <c r="E358" s="446">
        <v>1</v>
      </c>
      <c r="F358" s="447"/>
      <c r="G358" s="448">
        <f t="shared" si="14"/>
        <v>0</v>
      </c>
      <c r="H358" s="450"/>
      <c r="I358" s="444"/>
      <c r="J358" s="450"/>
      <c r="K358" s="444" t="s">
        <v>3608</v>
      </c>
      <c r="L358" s="450" t="s">
        <v>2919</v>
      </c>
      <c r="M358" s="444" t="s">
        <v>3618</v>
      </c>
      <c r="N358" s="450"/>
      <c r="O358" s="450"/>
      <c r="P358" s="450" t="s">
        <v>3610</v>
      </c>
      <c r="Q358" s="451" t="s">
        <v>374</v>
      </c>
      <c r="R358" s="451" t="s">
        <v>2957</v>
      </c>
      <c r="S358" s="452">
        <v>45541</v>
      </c>
      <c r="T358" s="452"/>
      <c r="U358" s="453"/>
      <c r="V358" s="454"/>
      <c r="W358" s="455" t="s">
        <v>406</v>
      </c>
      <c r="X358" s="455">
        <v>45540</v>
      </c>
      <c r="Y358" s="456" t="s">
        <v>377</v>
      </c>
      <c r="Z358" s="457"/>
      <c r="AA358" s="453"/>
    </row>
    <row r="359" spans="1:27" s="128" customFormat="1" ht="37.5">
      <c r="A359" s="443">
        <v>18</v>
      </c>
      <c r="B359" s="444" t="s">
        <v>3651</v>
      </c>
      <c r="C359" s="445" t="s">
        <v>60</v>
      </c>
      <c r="D359" s="444" t="s">
        <v>3652</v>
      </c>
      <c r="E359" s="446">
        <v>1</v>
      </c>
      <c r="F359" s="447"/>
      <c r="G359" s="448">
        <f t="shared" si="14"/>
        <v>0</v>
      </c>
      <c r="H359" s="450"/>
      <c r="I359" s="444"/>
      <c r="J359" s="450"/>
      <c r="K359" s="444" t="s">
        <v>3608</v>
      </c>
      <c r="L359" s="450" t="s">
        <v>2919</v>
      </c>
      <c r="M359" s="444" t="s">
        <v>3653</v>
      </c>
      <c r="N359" s="450"/>
      <c r="O359" s="450"/>
      <c r="P359" s="450" t="s">
        <v>3610</v>
      </c>
      <c r="Q359" s="451" t="s">
        <v>374</v>
      </c>
      <c r="R359" s="451" t="s">
        <v>3352</v>
      </c>
      <c r="S359" s="452">
        <v>45541</v>
      </c>
      <c r="T359" s="452"/>
      <c r="U359" s="453"/>
      <c r="V359" s="454"/>
      <c r="W359" s="455" t="s">
        <v>406</v>
      </c>
      <c r="X359" s="455">
        <v>45540</v>
      </c>
      <c r="Y359" s="456" t="s">
        <v>377</v>
      </c>
      <c r="Z359" s="457"/>
      <c r="AA359" s="453"/>
    </row>
    <row r="360" spans="1:27" s="128" customFormat="1" ht="37.5">
      <c r="A360" s="443">
        <v>19</v>
      </c>
      <c r="B360" s="444" t="s">
        <v>3654</v>
      </c>
      <c r="C360" s="445" t="s">
        <v>60</v>
      </c>
      <c r="D360" s="444" t="s">
        <v>3655</v>
      </c>
      <c r="E360" s="446">
        <v>2</v>
      </c>
      <c r="F360" s="447"/>
      <c r="G360" s="448">
        <f t="shared" si="14"/>
        <v>0</v>
      </c>
      <c r="H360" s="450"/>
      <c r="I360" s="444"/>
      <c r="J360" s="450"/>
      <c r="K360" s="444" t="s">
        <v>3608</v>
      </c>
      <c r="L360" s="450" t="s">
        <v>2919</v>
      </c>
      <c r="M360" s="444" t="s">
        <v>3609</v>
      </c>
      <c r="N360" s="450"/>
      <c r="O360" s="450"/>
      <c r="P360" s="450" t="s">
        <v>3610</v>
      </c>
      <c r="Q360" s="451" t="s">
        <v>374</v>
      </c>
      <c r="R360" s="451" t="s">
        <v>260</v>
      </c>
      <c r="S360" s="452">
        <v>45590</v>
      </c>
      <c r="T360" s="452" t="s">
        <v>3314</v>
      </c>
      <c r="U360" s="453"/>
      <c r="V360" s="454"/>
      <c r="W360" s="455" t="s">
        <v>406</v>
      </c>
      <c r="X360" s="455">
        <v>45573</v>
      </c>
      <c r="Y360" s="456" t="s">
        <v>377</v>
      </c>
      <c r="Z360" s="457"/>
      <c r="AA360" s="453"/>
    </row>
    <row r="361" spans="1:27" s="128" customFormat="1" ht="37.5">
      <c r="A361" s="443">
        <v>20</v>
      </c>
      <c r="B361" s="444" t="s">
        <v>3656</v>
      </c>
      <c r="C361" s="445" t="s">
        <v>60</v>
      </c>
      <c r="D361" s="444" t="s">
        <v>3657</v>
      </c>
      <c r="E361" s="446">
        <v>1</v>
      </c>
      <c r="F361" s="447"/>
      <c r="G361" s="448">
        <f t="shared" si="14"/>
        <v>0</v>
      </c>
      <c r="H361" s="450"/>
      <c r="I361" s="444"/>
      <c r="J361" s="450"/>
      <c r="K361" s="444" t="s">
        <v>3608</v>
      </c>
      <c r="L361" s="450" t="s">
        <v>2919</v>
      </c>
      <c r="M361" s="444" t="s">
        <v>3630</v>
      </c>
      <c r="N361" s="450"/>
      <c r="O361" s="450"/>
      <c r="P361" s="450" t="s">
        <v>3610</v>
      </c>
      <c r="Q361" s="451" t="s">
        <v>374</v>
      </c>
      <c r="R361" s="451" t="s">
        <v>3363</v>
      </c>
      <c r="S361" s="452">
        <v>45541</v>
      </c>
      <c r="T361" s="452"/>
      <c r="U361" s="453"/>
      <c r="V361" s="454"/>
      <c r="W361" s="455" t="s">
        <v>406</v>
      </c>
      <c r="X361" s="455">
        <v>45545</v>
      </c>
      <c r="Y361" s="456" t="s">
        <v>377</v>
      </c>
      <c r="Z361" s="457"/>
      <c r="AA361" s="453"/>
    </row>
    <row r="362" spans="1:27" s="128" customFormat="1" ht="37.5">
      <c r="A362" s="443">
        <v>21</v>
      </c>
      <c r="B362" s="444" t="s">
        <v>3658</v>
      </c>
      <c r="C362" s="445" t="s">
        <v>60</v>
      </c>
      <c r="D362" s="444" t="s">
        <v>3659</v>
      </c>
      <c r="E362" s="446">
        <v>1</v>
      </c>
      <c r="F362" s="447"/>
      <c r="G362" s="448">
        <f t="shared" si="14"/>
        <v>0</v>
      </c>
      <c r="H362" s="450"/>
      <c r="I362" s="444"/>
      <c r="J362" s="450"/>
      <c r="K362" s="444" t="s">
        <v>3608</v>
      </c>
      <c r="L362" s="450" t="s">
        <v>2919</v>
      </c>
      <c r="M362" s="444" t="s">
        <v>3630</v>
      </c>
      <c r="N362" s="450"/>
      <c r="O362" s="450"/>
      <c r="P362" s="450" t="s">
        <v>3610</v>
      </c>
      <c r="Q362" s="451" t="s">
        <v>374</v>
      </c>
      <c r="R362" s="451" t="s">
        <v>3363</v>
      </c>
      <c r="S362" s="452">
        <v>45541</v>
      </c>
      <c r="T362" s="452"/>
      <c r="U362" s="453"/>
      <c r="V362" s="454"/>
      <c r="W362" s="455" t="s">
        <v>406</v>
      </c>
      <c r="X362" s="455">
        <v>45545</v>
      </c>
      <c r="Y362" s="456" t="s">
        <v>377</v>
      </c>
      <c r="Z362" s="457"/>
      <c r="AA362" s="453"/>
    </row>
    <row r="363" spans="1:27" s="128" customFormat="1" ht="37.5">
      <c r="A363" s="443">
        <v>22</v>
      </c>
      <c r="B363" s="444" t="s">
        <v>3660</v>
      </c>
      <c r="C363" s="445" t="s">
        <v>60</v>
      </c>
      <c r="D363" s="444" t="s">
        <v>3661</v>
      </c>
      <c r="E363" s="446">
        <v>1</v>
      </c>
      <c r="F363" s="447"/>
      <c r="G363" s="448">
        <f t="shared" si="14"/>
        <v>0</v>
      </c>
      <c r="H363" s="450"/>
      <c r="I363" s="444"/>
      <c r="J363" s="450"/>
      <c r="K363" s="444" t="s">
        <v>3608</v>
      </c>
      <c r="L363" s="450" t="s">
        <v>2919</v>
      </c>
      <c r="M363" s="444" t="s">
        <v>3630</v>
      </c>
      <c r="N363" s="450"/>
      <c r="O363" s="450"/>
      <c r="P363" s="450" t="s">
        <v>3610</v>
      </c>
      <c r="Q363" s="451" t="s">
        <v>374</v>
      </c>
      <c r="R363" s="451" t="s">
        <v>3363</v>
      </c>
      <c r="S363" s="452">
        <v>45541</v>
      </c>
      <c r="T363" s="452"/>
      <c r="U363" s="453"/>
      <c r="V363" s="454"/>
      <c r="W363" s="455" t="s">
        <v>406</v>
      </c>
      <c r="X363" s="455">
        <v>45545</v>
      </c>
      <c r="Y363" s="456" t="s">
        <v>377</v>
      </c>
      <c r="Z363" s="457"/>
      <c r="AA363" s="453"/>
    </row>
    <row r="364" spans="1:27" s="128" customFormat="1" ht="37.5">
      <c r="A364" s="443">
        <v>23</v>
      </c>
      <c r="B364" s="444" t="s">
        <v>3662</v>
      </c>
      <c r="C364" s="445" t="s">
        <v>60</v>
      </c>
      <c r="D364" s="444" t="s">
        <v>3663</v>
      </c>
      <c r="E364" s="446">
        <v>1</v>
      </c>
      <c r="F364" s="447"/>
      <c r="G364" s="448">
        <f t="shared" si="14"/>
        <v>0</v>
      </c>
      <c r="H364" s="450"/>
      <c r="I364" s="444"/>
      <c r="J364" s="450"/>
      <c r="K364" s="444" t="s">
        <v>3608</v>
      </c>
      <c r="L364" s="450" t="s">
        <v>2919</v>
      </c>
      <c r="M364" s="444" t="s">
        <v>3635</v>
      </c>
      <c r="N364" s="450"/>
      <c r="O364" s="450"/>
      <c r="P364" s="450" t="s">
        <v>3610</v>
      </c>
      <c r="Q364" s="451" t="s">
        <v>374</v>
      </c>
      <c r="R364" s="451" t="s">
        <v>3636</v>
      </c>
      <c r="S364" s="452">
        <v>45541</v>
      </c>
      <c r="T364" s="452"/>
      <c r="U364" s="453"/>
      <c r="V364" s="454"/>
      <c r="W364" s="455" t="s">
        <v>406</v>
      </c>
      <c r="X364" s="455">
        <v>45540</v>
      </c>
      <c r="Y364" s="456" t="s">
        <v>377</v>
      </c>
      <c r="Z364" s="457"/>
      <c r="AA364" s="453"/>
    </row>
    <row r="365" spans="1:27" s="128" customFormat="1" ht="37.5">
      <c r="A365" s="443">
        <v>24</v>
      </c>
      <c r="B365" s="444" t="s">
        <v>3664</v>
      </c>
      <c r="C365" s="445" t="s">
        <v>60</v>
      </c>
      <c r="D365" s="444" t="s">
        <v>3665</v>
      </c>
      <c r="E365" s="446">
        <v>1</v>
      </c>
      <c r="F365" s="447"/>
      <c r="G365" s="448">
        <f t="shared" si="14"/>
        <v>0</v>
      </c>
      <c r="H365" s="450"/>
      <c r="I365" s="444"/>
      <c r="J365" s="450"/>
      <c r="K365" s="444" t="s">
        <v>3608</v>
      </c>
      <c r="L365" s="450" t="s">
        <v>2919</v>
      </c>
      <c r="M365" s="444" t="s">
        <v>3630</v>
      </c>
      <c r="N365" s="450"/>
      <c r="O365" s="450"/>
      <c r="P365" s="450" t="s">
        <v>3610</v>
      </c>
      <c r="Q365" s="451" t="s">
        <v>374</v>
      </c>
      <c r="R365" s="451" t="s">
        <v>3363</v>
      </c>
      <c r="S365" s="452">
        <v>45541</v>
      </c>
      <c r="T365" s="452"/>
      <c r="U365" s="453"/>
      <c r="V365" s="454"/>
      <c r="W365" s="455" t="s">
        <v>406</v>
      </c>
      <c r="X365" s="455">
        <v>45545</v>
      </c>
      <c r="Y365" s="456" t="s">
        <v>377</v>
      </c>
      <c r="Z365" s="457"/>
      <c r="AA365" s="453"/>
    </row>
    <row r="366" spans="1:27" s="128" customFormat="1" ht="37.5">
      <c r="A366" s="443">
        <v>25</v>
      </c>
      <c r="B366" s="444" t="s">
        <v>3666</v>
      </c>
      <c r="C366" s="445" t="s">
        <v>60</v>
      </c>
      <c r="D366" s="444" t="s">
        <v>3667</v>
      </c>
      <c r="E366" s="446">
        <v>1</v>
      </c>
      <c r="F366" s="447"/>
      <c r="G366" s="448">
        <f t="shared" si="14"/>
        <v>0</v>
      </c>
      <c r="H366" s="450"/>
      <c r="I366" s="444"/>
      <c r="J366" s="450"/>
      <c r="K366" s="444" t="s">
        <v>3608</v>
      </c>
      <c r="L366" s="450" t="s">
        <v>2919</v>
      </c>
      <c r="M366" s="444" t="s">
        <v>3635</v>
      </c>
      <c r="N366" s="450"/>
      <c r="O366" s="450"/>
      <c r="P366" s="450" t="s">
        <v>3610</v>
      </c>
      <c r="Q366" s="451" t="s">
        <v>374</v>
      </c>
      <c r="R366" s="451" t="s">
        <v>3636</v>
      </c>
      <c r="S366" s="452">
        <v>45541</v>
      </c>
      <c r="T366" s="452"/>
      <c r="U366" s="453"/>
      <c r="V366" s="454"/>
      <c r="W366" s="455" t="s">
        <v>406</v>
      </c>
      <c r="X366" s="455">
        <v>45540</v>
      </c>
      <c r="Y366" s="456" t="s">
        <v>377</v>
      </c>
      <c r="Z366" s="457"/>
      <c r="AA366" s="453"/>
    </row>
    <row r="367" spans="1:27" s="128" customFormat="1" ht="37.5">
      <c r="A367" s="443">
        <v>26</v>
      </c>
      <c r="B367" s="444" t="s">
        <v>3668</v>
      </c>
      <c r="C367" s="445" t="s">
        <v>60</v>
      </c>
      <c r="D367" s="444" t="s">
        <v>3669</v>
      </c>
      <c r="E367" s="446">
        <v>1</v>
      </c>
      <c r="F367" s="447"/>
      <c r="G367" s="448">
        <f t="shared" si="14"/>
        <v>0</v>
      </c>
      <c r="H367" s="450"/>
      <c r="I367" s="444"/>
      <c r="J367" s="450"/>
      <c r="K367" s="444" t="s">
        <v>3608</v>
      </c>
      <c r="L367" s="450" t="s">
        <v>2919</v>
      </c>
      <c r="M367" s="444" t="s">
        <v>3618</v>
      </c>
      <c r="N367" s="450"/>
      <c r="O367" s="450"/>
      <c r="P367" s="450" t="s">
        <v>3610</v>
      </c>
      <c r="Q367" s="451" t="s">
        <v>374</v>
      </c>
      <c r="R367" s="451" t="s">
        <v>2957</v>
      </c>
      <c r="S367" s="452">
        <v>45541</v>
      </c>
      <c r="T367" s="452"/>
      <c r="U367" s="453"/>
      <c r="V367" s="454"/>
      <c r="W367" s="455" t="s">
        <v>406</v>
      </c>
      <c r="X367" s="455">
        <v>45540</v>
      </c>
      <c r="Y367" s="456" t="s">
        <v>377</v>
      </c>
      <c r="Z367" s="457"/>
      <c r="AA367" s="453"/>
    </row>
    <row r="368" spans="1:27" s="128" customFormat="1" ht="37.5">
      <c r="A368" s="443">
        <v>27</v>
      </c>
      <c r="B368" s="444" t="s">
        <v>3670</v>
      </c>
      <c r="C368" s="445" t="s">
        <v>60</v>
      </c>
      <c r="D368" s="444" t="s">
        <v>3671</v>
      </c>
      <c r="E368" s="446">
        <v>2</v>
      </c>
      <c r="F368" s="447"/>
      <c r="G368" s="448">
        <f t="shared" si="14"/>
        <v>0</v>
      </c>
      <c r="H368" s="450"/>
      <c r="I368" s="444"/>
      <c r="J368" s="450"/>
      <c r="K368" s="444" t="s">
        <v>3608</v>
      </c>
      <c r="L368" s="450" t="s">
        <v>2919</v>
      </c>
      <c r="M368" s="444" t="s">
        <v>3615</v>
      </c>
      <c r="N368" s="450"/>
      <c r="O368" s="450"/>
      <c r="P368" s="450" t="s">
        <v>3610</v>
      </c>
      <c r="Q368" s="451" t="s">
        <v>374</v>
      </c>
      <c r="R368" s="451" t="s">
        <v>2967</v>
      </c>
      <c r="S368" s="452">
        <v>45541</v>
      </c>
      <c r="T368" s="452"/>
      <c r="U368" s="453"/>
      <c r="V368" s="454"/>
      <c r="W368" s="455" t="s">
        <v>406</v>
      </c>
      <c r="X368" s="455">
        <v>45538</v>
      </c>
      <c r="Y368" s="456" t="s">
        <v>377</v>
      </c>
      <c r="Z368" s="457"/>
      <c r="AA368" s="453"/>
    </row>
    <row r="369" spans="1:27" s="128" customFormat="1" ht="37.5">
      <c r="A369" s="443">
        <v>28</v>
      </c>
      <c r="B369" s="444" t="s">
        <v>3672</v>
      </c>
      <c r="C369" s="445" t="s">
        <v>60</v>
      </c>
      <c r="D369" s="444" t="s">
        <v>3673</v>
      </c>
      <c r="E369" s="446">
        <v>2</v>
      </c>
      <c r="F369" s="447"/>
      <c r="G369" s="448">
        <f t="shared" si="14"/>
        <v>0</v>
      </c>
      <c r="H369" s="450"/>
      <c r="I369" s="444"/>
      <c r="J369" s="450"/>
      <c r="K369" s="444" t="s">
        <v>3608</v>
      </c>
      <c r="L369" s="450" t="s">
        <v>2919</v>
      </c>
      <c r="M369" s="444" t="s">
        <v>3618</v>
      </c>
      <c r="N369" s="450"/>
      <c r="O369" s="450"/>
      <c r="P369" s="450" t="s">
        <v>3610</v>
      </c>
      <c r="Q369" s="451" t="s">
        <v>374</v>
      </c>
      <c r="R369" s="451" t="s">
        <v>2957</v>
      </c>
      <c r="S369" s="452">
        <v>45541</v>
      </c>
      <c r="T369" s="452"/>
      <c r="U369" s="453"/>
      <c r="V369" s="454"/>
      <c r="W369" s="455" t="s">
        <v>406</v>
      </c>
      <c r="X369" s="455">
        <v>45537</v>
      </c>
      <c r="Y369" s="456" t="s">
        <v>377</v>
      </c>
      <c r="Z369" s="457"/>
      <c r="AA369" s="453"/>
    </row>
    <row r="370" spans="1:27" s="128" customFormat="1" ht="37.5">
      <c r="A370" s="443">
        <v>29</v>
      </c>
      <c r="B370" s="444" t="s">
        <v>3674</v>
      </c>
      <c r="C370" s="445" t="s">
        <v>60</v>
      </c>
      <c r="D370" s="444" t="s">
        <v>3675</v>
      </c>
      <c r="E370" s="446">
        <v>2</v>
      </c>
      <c r="F370" s="447"/>
      <c r="G370" s="448">
        <f t="shared" si="14"/>
        <v>0</v>
      </c>
      <c r="H370" s="450"/>
      <c r="I370" s="444"/>
      <c r="J370" s="450"/>
      <c r="K370" s="444" t="s">
        <v>3608</v>
      </c>
      <c r="L370" s="450" t="s">
        <v>2919</v>
      </c>
      <c r="M370" s="444" t="s">
        <v>3618</v>
      </c>
      <c r="N370" s="450"/>
      <c r="O370" s="450"/>
      <c r="P370" s="450" t="s">
        <v>3610</v>
      </c>
      <c r="Q370" s="451" t="s">
        <v>374</v>
      </c>
      <c r="R370" s="451" t="s">
        <v>2957</v>
      </c>
      <c r="S370" s="452">
        <v>45541</v>
      </c>
      <c r="T370" s="452"/>
      <c r="U370" s="453"/>
      <c r="V370" s="454"/>
      <c r="W370" s="455" t="s">
        <v>406</v>
      </c>
      <c r="X370" s="455">
        <v>45537</v>
      </c>
      <c r="Y370" s="456" t="s">
        <v>377</v>
      </c>
      <c r="Z370" s="457"/>
      <c r="AA370" s="453"/>
    </row>
    <row r="371" spans="1:27" s="128" customFormat="1" ht="37.5">
      <c r="A371" s="443">
        <v>30</v>
      </c>
      <c r="B371" s="444" t="s">
        <v>3676</v>
      </c>
      <c r="C371" s="445" t="s">
        <v>60</v>
      </c>
      <c r="D371" s="444" t="s">
        <v>3677</v>
      </c>
      <c r="E371" s="446">
        <v>1</v>
      </c>
      <c r="F371" s="447"/>
      <c r="G371" s="448">
        <f t="shared" si="14"/>
        <v>0</v>
      </c>
      <c r="H371" s="450"/>
      <c r="I371" s="444"/>
      <c r="J371" s="450"/>
      <c r="K371" s="444" t="s">
        <v>3608</v>
      </c>
      <c r="L371" s="450" t="s">
        <v>2919</v>
      </c>
      <c r="M371" s="444" t="s">
        <v>3618</v>
      </c>
      <c r="N371" s="450"/>
      <c r="O371" s="450"/>
      <c r="P371" s="450" t="s">
        <v>3610</v>
      </c>
      <c r="Q371" s="451" t="s">
        <v>374</v>
      </c>
      <c r="R371" s="451" t="s">
        <v>2957</v>
      </c>
      <c r="S371" s="452">
        <v>45541</v>
      </c>
      <c r="T371" s="452"/>
      <c r="U371" s="453"/>
      <c r="V371" s="454"/>
      <c r="W371" s="455" t="s">
        <v>406</v>
      </c>
      <c r="X371" s="455">
        <v>45545</v>
      </c>
      <c r="Y371" s="456" t="s">
        <v>377</v>
      </c>
      <c r="Z371" s="457"/>
      <c r="AA371" s="453"/>
    </row>
    <row r="372" spans="1:27" s="128" customFormat="1" ht="37.5">
      <c r="A372" s="443">
        <v>31</v>
      </c>
      <c r="B372" s="444" t="s">
        <v>3678</v>
      </c>
      <c r="C372" s="445" t="s">
        <v>60</v>
      </c>
      <c r="D372" s="444" t="s">
        <v>3679</v>
      </c>
      <c r="E372" s="446">
        <v>2</v>
      </c>
      <c r="F372" s="447"/>
      <c r="G372" s="448">
        <f t="shared" si="14"/>
        <v>0</v>
      </c>
      <c r="H372" s="450"/>
      <c r="I372" s="444"/>
      <c r="J372" s="450"/>
      <c r="K372" s="444" t="s">
        <v>3608</v>
      </c>
      <c r="L372" s="450" t="s">
        <v>2919</v>
      </c>
      <c r="M372" s="444" t="s">
        <v>3635</v>
      </c>
      <c r="N372" s="450"/>
      <c r="O372" s="450"/>
      <c r="P372" s="450" t="s">
        <v>3610</v>
      </c>
      <c r="Q372" s="451" t="s">
        <v>374</v>
      </c>
      <c r="R372" s="451" t="s">
        <v>3636</v>
      </c>
      <c r="S372" s="452">
        <v>45541</v>
      </c>
      <c r="T372" s="452"/>
      <c r="U372" s="453"/>
      <c r="V372" s="454"/>
      <c r="W372" s="455" t="s">
        <v>406</v>
      </c>
      <c r="X372" s="455">
        <v>45540</v>
      </c>
      <c r="Y372" s="456" t="s">
        <v>377</v>
      </c>
      <c r="Z372" s="457"/>
      <c r="AA372" s="453"/>
    </row>
    <row r="373" spans="1:27" s="128" customFormat="1" ht="37.5">
      <c r="A373" s="443">
        <v>32</v>
      </c>
      <c r="B373" s="444" t="s">
        <v>3680</v>
      </c>
      <c r="C373" s="445" t="s">
        <v>60</v>
      </c>
      <c r="D373" s="444" t="s">
        <v>3681</v>
      </c>
      <c r="E373" s="446">
        <v>1</v>
      </c>
      <c r="F373" s="447"/>
      <c r="G373" s="448">
        <f t="shared" si="14"/>
        <v>0</v>
      </c>
      <c r="H373" s="450"/>
      <c r="I373" s="444"/>
      <c r="J373" s="450"/>
      <c r="K373" s="444" t="s">
        <v>3608</v>
      </c>
      <c r="L373" s="450" t="s">
        <v>2919</v>
      </c>
      <c r="M373" s="444" t="s">
        <v>3630</v>
      </c>
      <c r="N373" s="450"/>
      <c r="O373" s="450"/>
      <c r="P373" s="450" t="s">
        <v>3610</v>
      </c>
      <c r="Q373" s="451" t="s">
        <v>374</v>
      </c>
      <c r="R373" s="451" t="s">
        <v>3363</v>
      </c>
      <c r="S373" s="452">
        <v>45541</v>
      </c>
      <c r="T373" s="452"/>
      <c r="U373" s="453"/>
      <c r="V373" s="454"/>
      <c r="W373" s="455" t="s">
        <v>406</v>
      </c>
      <c r="X373" s="455">
        <v>45545</v>
      </c>
      <c r="Y373" s="456" t="s">
        <v>377</v>
      </c>
      <c r="Z373" s="457"/>
      <c r="AA373" s="453"/>
    </row>
    <row r="374" spans="1:27" s="128" customFormat="1" ht="37.5">
      <c r="A374" s="443">
        <v>33</v>
      </c>
      <c r="B374" s="444" t="s">
        <v>3682</v>
      </c>
      <c r="C374" s="445" t="s">
        <v>60</v>
      </c>
      <c r="D374" s="444" t="s">
        <v>3683</v>
      </c>
      <c r="E374" s="446">
        <v>3</v>
      </c>
      <c r="F374" s="447"/>
      <c r="G374" s="448">
        <f t="shared" ref="G374:G404" si="15">E374*F374</f>
        <v>0</v>
      </c>
      <c r="H374" s="450"/>
      <c r="I374" s="444"/>
      <c r="J374" s="450"/>
      <c r="K374" s="444" t="s">
        <v>3608</v>
      </c>
      <c r="L374" s="450" t="s">
        <v>2919</v>
      </c>
      <c r="M374" s="444" t="s">
        <v>3684</v>
      </c>
      <c r="N374" s="450"/>
      <c r="O374" s="450"/>
      <c r="P374" s="450" t="s">
        <v>3610</v>
      </c>
      <c r="Q374" s="451" t="s">
        <v>374</v>
      </c>
      <c r="R374" s="451" t="s">
        <v>3103</v>
      </c>
      <c r="S374" s="452">
        <v>45550</v>
      </c>
      <c r="T374" s="452"/>
      <c r="U374" s="453"/>
      <c r="V374" s="454"/>
      <c r="W374" s="455" t="s">
        <v>406</v>
      </c>
      <c r="X374" s="455">
        <v>45552</v>
      </c>
      <c r="Y374" s="456" t="s">
        <v>377</v>
      </c>
      <c r="Z374" s="457"/>
      <c r="AA374" s="453"/>
    </row>
    <row r="375" spans="1:27" s="128" customFormat="1" ht="37.5">
      <c r="A375" s="443">
        <v>34</v>
      </c>
      <c r="B375" s="444" t="s">
        <v>3685</v>
      </c>
      <c r="C375" s="445" t="s">
        <v>60</v>
      </c>
      <c r="D375" s="444" t="s">
        <v>3686</v>
      </c>
      <c r="E375" s="446">
        <v>3</v>
      </c>
      <c r="F375" s="447"/>
      <c r="G375" s="448">
        <f t="shared" si="15"/>
        <v>0</v>
      </c>
      <c r="H375" s="450"/>
      <c r="I375" s="444"/>
      <c r="J375" s="450"/>
      <c r="K375" s="444" t="s">
        <v>3608</v>
      </c>
      <c r="L375" s="450" t="s">
        <v>2919</v>
      </c>
      <c r="M375" s="444" t="s">
        <v>3684</v>
      </c>
      <c r="N375" s="450"/>
      <c r="O375" s="450"/>
      <c r="P375" s="450" t="s">
        <v>3610</v>
      </c>
      <c r="Q375" s="451" t="s">
        <v>374</v>
      </c>
      <c r="R375" s="451" t="s">
        <v>3103</v>
      </c>
      <c r="S375" s="452">
        <v>45550</v>
      </c>
      <c r="T375" s="452"/>
      <c r="U375" s="453"/>
      <c r="V375" s="454"/>
      <c r="W375" s="455" t="s">
        <v>406</v>
      </c>
      <c r="X375" s="455">
        <v>45552</v>
      </c>
      <c r="Y375" s="456" t="s">
        <v>377</v>
      </c>
      <c r="Z375" s="457"/>
      <c r="AA375" s="453"/>
    </row>
    <row r="376" spans="1:27" s="128" customFormat="1" ht="37.5">
      <c r="A376" s="443">
        <v>35</v>
      </c>
      <c r="B376" s="444" t="s">
        <v>3687</v>
      </c>
      <c r="C376" s="445" t="s">
        <v>60</v>
      </c>
      <c r="D376" s="444" t="s">
        <v>3688</v>
      </c>
      <c r="E376" s="446">
        <v>1</v>
      </c>
      <c r="F376" s="447"/>
      <c r="G376" s="448">
        <f t="shared" si="15"/>
        <v>0</v>
      </c>
      <c r="H376" s="450"/>
      <c r="I376" s="444"/>
      <c r="J376" s="450"/>
      <c r="K376" s="444" t="s">
        <v>3608</v>
      </c>
      <c r="L376" s="450" t="s">
        <v>2919</v>
      </c>
      <c r="M376" s="444" t="s">
        <v>3630</v>
      </c>
      <c r="N376" s="450"/>
      <c r="O376" s="450"/>
      <c r="P376" s="450" t="s">
        <v>3610</v>
      </c>
      <c r="Q376" s="451" t="s">
        <v>374</v>
      </c>
      <c r="R376" s="451" t="s">
        <v>3363</v>
      </c>
      <c r="S376" s="452">
        <v>45541</v>
      </c>
      <c r="T376" s="452"/>
      <c r="U376" s="453"/>
      <c r="V376" s="454"/>
      <c r="W376" s="455" t="s">
        <v>406</v>
      </c>
      <c r="X376" s="455">
        <v>45545</v>
      </c>
      <c r="Y376" s="456" t="s">
        <v>377</v>
      </c>
      <c r="Z376" s="457"/>
      <c r="AA376" s="453"/>
    </row>
    <row r="377" spans="1:27" s="128" customFormat="1" ht="37.5">
      <c r="A377" s="443">
        <v>36</v>
      </c>
      <c r="B377" s="444" t="s">
        <v>3689</v>
      </c>
      <c r="C377" s="445" t="s">
        <v>60</v>
      </c>
      <c r="D377" s="444" t="s">
        <v>3690</v>
      </c>
      <c r="E377" s="446">
        <v>2</v>
      </c>
      <c r="F377" s="447"/>
      <c r="G377" s="448">
        <f t="shared" si="15"/>
        <v>0</v>
      </c>
      <c r="H377" s="450"/>
      <c r="I377" s="444"/>
      <c r="J377" s="450"/>
      <c r="K377" s="444" t="s">
        <v>3608</v>
      </c>
      <c r="L377" s="450" t="s">
        <v>2919</v>
      </c>
      <c r="M377" s="444" t="s">
        <v>3630</v>
      </c>
      <c r="N377" s="450"/>
      <c r="O377" s="450"/>
      <c r="P377" s="450" t="s">
        <v>3610</v>
      </c>
      <c r="Q377" s="451" t="s">
        <v>374</v>
      </c>
      <c r="R377" s="451" t="s">
        <v>3363</v>
      </c>
      <c r="S377" s="452">
        <v>45541</v>
      </c>
      <c r="T377" s="452"/>
      <c r="U377" s="453"/>
      <c r="V377" s="454"/>
      <c r="W377" s="455" t="s">
        <v>406</v>
      </c>
      <c r="X377" s="455">
        <v>45541</v>
      </c>
      <c r="Y377" s="456" t="s">
        <v>377</v>
      </c>
      <c r="Z377" s="457"/>
      <c r="AA377" s="453"/>
    </row>
    <row r="378" spans="1:27" s="128" customFormat="1" ht="37.5">
      <c r="A378" s="443">
        <v>37</v>
      </c>
      <c r="B378" s="444" t="s">
        <v>3691</v>
      </c>
      <c r="C378" s="445" t="s">
        <v>60</v>
      </c>
      <c r="D378" s="444" t="s">
        <v>3692</v>
      </c>
      <c r="E378" s="446">
        <v>4</v>
      </c>
      <c r="F378" s="447"/>
      <c r="G378" s="448">
        <f t="shared" si="15"/>
        <v>0</v>
      </c>
      <c r="H378" s="450"/>
      <c r="I378" s="444"/>
      <c r="J378" s="450"/>
      <c r="K378" s="444" t="s">
        <v>3608</v>
      </c>
      <c r="L378" s="450" t="s">
        <v>2919</v>
      </c>
      <c r="M378" s="444" t="s">
        <v>3630</v>
      </c>
      <c r="N378" s="450"/>
      <c r="O378" s="450"/>
      <c r="P378" s="450" t="s">
        <v>3610</v>
      </c>
      <c r="Q378" s="451" t="s">
        <v>374</v>
      </c>
      <c r="R378" s="451" t="s">
        <v>3363</v>
      </c>
      <c r="S378" s="452">
        <v>45541</v>
      </c>
      <c r="T378" s="452"/>
      <c r="U378" s="453"/>
      <c r="V378" s="454"/>
      <c r="W378" s="455" t="s">
        <v>406</v>
      </c>
      <c r="X378" s="455">
        <v>45545</v>
      </c>
      <c r="Y378" s="456" t="s">
        <v>377</v>
      </c>
      <c r="Z378" s="457"/>
      <c r="AA378" s="453"/>
    </row>
    <row r="379" spans="1:27" s="128" customFormat="1" ht="37.5">
      <c r="A379" s="443">
        <v>38</v>
      </c>
      <c r="B379" s="444" t="s">
        <v>3693</v>
      </c>
      <c r="C379" s="445" t="s">
        <v>60</v>
      </c>
      <c r="D379" s="444" t="s">
        <v>3694</v>
      </c>
      <c r="E379" s="446">
        <v>1</v>
      </c>
      <c r="F379" s="447"/>
      <c r="G379" s="448">
        <f t="shared" si="15"/>
        <v>0</v>
      </c>
      <c r="H379" s="450"/>
      <c r="I379" s="444"/>
      <c r="J379" s="450"/>
      <c r="K379" s="444" t="s">
        <v>3608</v>
      </c>
      <c r="L379" s="450" t="s">
        <v>2919</v>
      </c>
      <c r="M379" s="444" t="s">
        <v>3635</v>
      </c>
      <c r="N379" s="450"/>
      <c r="O379" s="450"/>
      <c r="P379" s="450" t="s">
        <v>3610</v>
      </c>
      <c r="Q379" s="451" t="s">
        <v>374</v>
      </c>
      <c r="R379" s="451" t="s">
        <v>3636</v>
      </c>
      <c r="S379" s="452">
        <v>45541</v>
      </c>
      <c r="T379" s="452"/>
      <c r="U379" s="453"/>
      <c r="V379" s="454"/>
      <c r="W379" s="455" t="s">
        <v>406</v>
      </c>
      <c r="X379" s="455">
        <v>45540</v>
      </c>
      <c r="Y379" s="456" t="s">
        <v>377</v>
      </c>
      <c r="Z379" s="457"/>
      <c r="AA379" s="453"/>
    </row>
    <row r="380" spans="1:27" s="128" customFormat="1" ht="37.5">
      <c r="A380" s="443">
        <v>39</v>
      </c>
      <c r="B380" s="444" t="s">
        <v>3695</v>
      </c>
      <c r="C380" s="445" t="s">
        <v>60</v>
      </c>
      <c r="D380" s="444" t="s">
        <v>3696</v>
      </c>
      <c r="E380" s="446">
        <v>1</v>
      </c>
      <c r="F380" s="447"/>
      <c r="G380" s="448">
        <f t="shared" si="15"/>
        <v>0</v>
      </c>
      <c r="H380" s="450"/>
      <c r="I380" s="444"/>
      <c r="J380" s="450"/>
      <c r="K380" s="444" t="s">
        <v>3608</v>
      </c>
      <c r="L380" s="450" t="s">
        <v>2919</v>
      </c>
      <c r="M380" s="444" t="s">
        <v>3630</v>
      </c>
      <c r="N380" s="450"/>
      <c r="O380" s="450"/>
      <c r="P380" s="450" t="s">
        <v>3610</v>
      </c>
      <c r="Q380" s="451" t="s">
        <v>374</v>
      </c>
      <c r="R380" s="451" t="s">
        <v>3363</v>
      </c>
      <c r="S380" s="452">
        <v>45541</v>
      </c>
      <c r="T380" s="452"/>
      <c r="U380" s="453"/>
      <c r="V380" s="454"/>
      <c r="W380" s="455" t="s">
        <v>406</v>
      </c>
      <c r="X380" s="455">
        <v>45545</v>
      </c>
      <c r="Y380" s="456" t="s">
        <v>377</v>
      </c>
      <c r="Z380" s="457"/>
      <c r="AA380" s="453"/>
    </row>
    <row r="381" spans="1:27" s="128" customFormat="1" ht="37.5">
      <c r="A381" s="443">
        <v>40</v>
      </c>
      <c r="B381" s="444" t="s">
        <v>3697</v>
      </c>
      <c r="C381" s="445" t="s">
        <v>60</v>
      </c>
      <c r="D381" s="444" t="s">
        <v>3698</v>
      </c>
      <c r="E381" s="446">
        <v>1</v>
      </c>
      <c r="F381" s="447"/>
      <c r="G381" s="448">
        <f t="shared" si="15"/>
        <v>0</v>
      </c>
      <c r="H381" s="450"/>
      <c r="I381" s="444"/>
      <c r="J381" s="450"/>
      <c r="K381" s="444" t="s">
        <v>3608</v>
      </c>
      <c r="L381" s="450" t="s">
        <v>2919</v>
      </c>
      <c r="M381" s="444" t="s">
        <v>3618</v>
      </c>
      <c r="N381" s="450"/>
      <c r="O381" s="450"/>
      <c r="P381" s="450" t="s">
        <v>3610</v>
      </c>
      <c r="Q381" s="451" t="s">
        <v>374</v>
      </c>
      <c r="R381" s="451" t="s">
        <v>2957</v>
      </c>
      <c r="S381" s="452">
        <v>45541</v>
      </c>
      <c r="T381" s="452"/>
      <c r="U381" s="453"/>
      <c r="V381" s="454"/>
      <c r="W381" s="455" t="s">
        <v>406</v>
      </c>
      <c r="X381" s="455">
        <v>45545</v>
      </c>
      <c r="Y381" s="456" t="s">
        <v>377</v>
      </c>
      <c r="Z381" s="457"/>
      <c r="AA381" s="453"/>
    </row>
    <row r="382" spans="1:27" s="128" customFormat="1" ht="37.5">
      <c r="A382" s="443">
        <v>41</v>
      </c>
      <c r="B382" s="444" t="s">
        <v>3699</v>
      </c>
      <c r="C382" s="445" t="s">
        <v>60</v>
      </c>
      <c r="D382" s="444" t="s">
        <v>3700</v>
      </c>
      <c r="E382" s="446">
        <v>8</v>
      </c>
      <c r="F382" s="447"/>
      <c r="G382" s="448">
        <f t="shared" si="15"/>
        <v>0</v>
      </c>
      <c r="H382" s="450"/>
      <c r="I382" s="444"/>
      <c r="J382" s="450"/>
      <c r="K382" s="444" t="s">
        <v>3608</v>
      </c>
      <c r="L382" s="450" t="s">
        <v>2919</v>
      </c>
      <c r="M382" s="444" t="s">
        <v>3615</v>
      </c>
      <c r="N382" s="450"/>
      <c r="O382" s="450"/>
      <c r="P382" s="450" t="s">
        <v>3610</v>
      </c>
      <c r="Q382" s="451" t="s">
        <v>374</v>
      </c>
      <c r="R382" s="451" t="s">
        <v>2967</v>
      </c>
      <c r="S382" s="452">
        <v>45590</v>
      </c>
      <c r="T382" s="452" t="s">
        <v>3314</v>
      </c>
      <c r="U382" s="453"/>
      <c r="V382" s="454"/>
      <c r="W382" s="455" t="s">
        <v>406</v>
      </c>
      <c r="X382" s="455">
        <v>45581</v>
      </c>
      <c r="Y382" s="456" t="s">
        <v>377</v>
      </c>
      <c r="Z382" s="457"/>
      <c r="AA382" s="453"/>
    </row>
    <row r="383" spans="1:27" s="128" customFormat="1" ht="37.5">
      <c r="A383" s="443">
        <v>42</v>
      </c>
      <c r="B383" s="444" t="s">
        <v>3701</v>
      </c>
      <c r="C383" s="445" t="s">
        <v>60</v>
      </c>
      <c r="D383" s="444" t="s">
        <v>3702</v>
      </c>
      <c r="E383" s="446">
        <v>1</v>
      </c>
      <c r="F383" s="447"/>
      <c r="G383" s="448">
        <f t="shared" si="15"/>
        <v>0</v>
      </c>
      <c r="H383" s="450"/>
      <c r="I383" s="444"/>
      <c r="J383" s="450"/>
      <c r="K383" s="444" t="s">
        <v>3608</v>
      </c>
      <c r="L383" s="450" t="s">
        <v>2919</v>
      </c>
      <c r="M383" s="444" t="s">
        <v>3618</v>
      </c>
      <c r="N383" s="450"/>
      <c r="O383" s="450"/>
      <c r="P383" s="450" t="s">
        <v>3610</v>
      </c>
      <c r="Q383" s="451" t="s">
        <v>374</v>
      </c>
      <c r="R383" s="451" t="s">
        <v>2957</v>
      </c>
      <c r="S383" s="452">
        <v>45541</v>
      </c>
      <c r="T383" s="452"/>
      <c r="U383" s="453"/>
      <c r="V383" s="454"/>
      <c r="W383" s="455" t="s">
        <v>406</v>
      </c>
      <c r="X383" s="455">
        <v>45540</v>
      </c>
      <c r="Y383" s="456" t="s">
        <v>377</v>
      </c>
      <c r="Z383" s="457"/>
      <c r="AA383" s="453"/>
    </row>
    <row r="384" spans="1:27" s="128" customFormat="1" ht="37.5">
      <c r="A384" s="443">
        <v>43</v>
      </c>
      <c r="B384" s="444" t="s">
        <v>3703</v>
      </c>
      <c r="C384" s="445" t="s">
        <v>60</v>
      </c>
      <c r="D384" s="444" t="s">
        <v>3704</v>
      </c>
      <c r="E384" s="446">
        <v>1</v>
      </c>
      <c r="F384" s="447"/>
      <c r="G384" s="448">
        <f t="shared" si="15"/>
        <v>0</v>
      </c>
      <c r="H384" s="450"/>
      <c r="I384" s="444"/>
      <c r="J384" s="450"/>
      <c r="K384" s="444" t="s">
        <v>3608</v>
      </c>
      <c r="L384" s="450" t="s">
        <v>2919</v>
      </c>
      <c r="M384" s="444" t="s">
        <v>3618</v>
      </c>
      <c r="N384" s="450"/>
      <c r="O384" s="450"/>
      <c r="P384" s="450" t="s">
        <v>3610</v>
      </c>
      <c r="Q384" s="451" t="s">
        <v>374</v>
      </c>
      <c r="R384" s="451" t="s">
        <v>2957</v>
      </c>
      <c r="S384" s="452">
        <v>45541</v>
      </c>
      <c r="T384" s="452"/>
      <c r="U384" s="453"/>
      <c r="V384" s="454"/>
      <c r="W384" s="455" t="s">
        <v>406</v>
      </c>
      <c r="X384" s="455">
        <v>45539</v>
      </c>
      <c r="Y384" s="456" t="s">
        <v>377</v>
      </c>
      <c r="Z384" s="457"/>
      <c r="AA384" s="453"/>
    </row>
    <row r="385" spans="1:27" s="128" customFormat="1" ht="37.5">
      <c r="A385" s="443">
        <v>44</v>
      </c>
      <c r="B385" s="444" t="s">
        <v>3705</v>
      </c>
      <c r="C385" s="445" t="s">
        <v>60</v>
      </c>
      <c r="D385" s="444" t="s">
        <v>3706</v>
      </c>
      <c r="E385" s="446">
        <v>1</v>
      </c>
      <c r="F385" s="447"/>
      <c r="G385" s="448">
        <f t="shared" si="15"/>
        <v>0</v>
      </c>
      <c r="H385" s="450"/>
      <c r="I385" s="444"/>
      <c r="J385" s="450"/>
      <c r="K385" s="444" t="s">
        <v>3608</v>
      </c>
      <c r="L385" s="450" t="s">
        <v>2919</v>
      </c>
      <c r="M385" s="444" t="s">
        <v>3707</v>
      </c>
      <c r="N385" s="450"/>
      <c r="O385" s="450"/>
      <c r="P385" s="450" t="s">
        <v>3610</v>
      </c>
      <c r="Q385" s="451" t="s">
        <v>374</v>
      </c>
      <c r="R385" s="451" t="s">
        <v>2906</v>
      </c>
      <c r="S385" s="452">
        <v>45541</v>
      </c>
      <c r="T385" s="452"/>
      <c r="U385" s="453"/>
      <c r="V385" s="454"/>
      <c r="W385" s="455" t="s">
        <v>406</v>
      </c>
      <c r="X385" s="455">
        <v>45532</v>
      </c>
      <c r="Y385" s="456" t="s">
        <v>377</v>
      </c>
      <c r="Z385" s="457"/>
      <c r="AA385" s="453"/>
    </row>
    <row r="386" spans="1:27" s="128" customFormat="1" ht="37.5">
      <c r="A386" s="443">
        <v>45</v>
      </c>
      <c r="B386" s="444" t="s">
        <v>3708</v>
      </c>
      <c r="C386" s="445" t="s">
        <v>60</v>
      </c>
      <c r="D386" s="444" t="s">
        <v>3709</v>
      </c>
      <c r="E386" s="446">
        <v>1</v>
      </c>
      <c r="F386" s="447"/>
      <c r="G386" s="448">
        <f t="shared" si="15"/>
        <v>0</v>
      </c>
      <c r="H386" s="450"/>
      <c r="I386" s="444"/>
      <c r="J386" s="450"/>
      <c r="K386" s="444" t="s">
        <v>3608</v>
      </c>
      <c r="L386" s="450" t="s">
        <v>2919</v>
      </c>
      <c r="M386" s="444" t="s">
        <v>3710</v>
      </c>
      <c r="N386" s="450"/>
      <c r="O386" s="450"/>
      <c r="P386" s="450" t="s">
        <v>3610</v>
      </c>
      <c r="Q386" s="451" t="s">
        <v>374</v>
      </c>
      <c r="R386" s="451" t="s">
        <v>306</v>
      </c>
      <c r="S386" s="452">
        <v>45541</v>
      </c>
      <c r="T386" s="452"/>
      <c r="U386" s="453"/>
      <c r="V386" s="454"/>
      <c r="W386" s="455" t="s">
        <v>406</v>
      </c>
      <c r="X386" s="455">
        <v>45541</v>
      </c>
      <c r="Y386" s="456" t="s">
        <v>377</v>
      </c>
      <c r="Z386" s="457"/>
      <c r="AA386" s="453"/>
    </row>
    <row r="387" spans="1:27" s="128" customFormat="1" ht="37.5">
      <c r="A387" s="443">
        <v>46</v>
      </c>
      <c r="B387" s="444" t="s">
        <v>3711</v>
      </c>
      <c r="C387" s="445" t="s">
        <v>60</v>
      </c>
      <c r="D387" s="444" t="s">
        <v>3712</v>
      </c>
      <c r="E387" s="446">
        <v>1</v>
      </c>
      <c r="F387" s="447"/>
      <c r="G387" s="448">
        <f t="shared" si="15"/>
        <v>0</v>
      </c>
      <c r="H387" s="450"/>
      <c r="I387" s="444"/>
      <c r="J387" s="450"/>
      <c r="K387" s="444" t="s">
        <v>3608</v>
      </c>
      <c r="L387" s="450" t="s">
        <v>2919</v>
      </c>
      <c r="M387" s="444" t="s">
        <v>3630</v>
      </c>
      <c r="N387" s="450"/>
      <c r="O387" s="450"/>
      <c r="P387" s="450" t="s">
        <v>3610</v>
      </c>
      <c r="Q387" s="451" t="s">
        <v>374</v>
      </c>
      <c r="R387" s="451" t="s">
        <v>3363</v>
      </c>
      <c r="S387" s="452">
        <v>45541</v>
      </c>
      <c r="T387" s="452"/>
      <c r="U387" s="453"/>
      <c r="V387" s="454"/>
      <c r="W387" s="455" t="s">
        <v>406</v>
      </c>
      <c r="X387" s="455">
        <v>45545</v>
      </c>
      <c r="Y387" s="456" t="s">
        <v>377</v>
      </c>
      <c r="Z387" s="457"/>
      <c r="AA387" s="453"/>
    </row>
    <row r="388" spans="1:27" s="128" customFormat="1" ht="37.5">
      <c r="A388" s="443">
        <v>47</v>
      </c>
      <c r="B388" s="444" t="s">
        <v>3713</v>
      </c>
      <c r="C388" s="445" t="s">
        <v>60</v>
      </c>
      <c r="D388" s="444" t="s">
        <v>3714</v>
      </c>
      <c r="E388" s="446">
        <v>1</v>
      </c>
      <c r="F388" s="447"/>
      <c r="G388" s="448">
        <f t="shared" si="15"/>
        <v>0</v>
      </c>
      <c r="H388" s="450"/>
      <c r="I388" s="444"/>
      <c r="J388" s="450"/>
      <c r="K388" s="444" t="s">
        <v>3608</v>
      </c>
      <c r="L388" s="450" t="s">
        <v>2919</v>
      </c>
      <c r="M388" s="444" t="s">
        <v>3630</v>
      </c>
      <c r="N388" s="450"/>
      <c r="O388" s="450"/>
      <c r="P388" s="450" t="s">
        <v>3610</v>
      </c>
      <c r="Q388" s="451" t="s">
        <v>374</v>
      </c>
      <c r="R388" s="451" t="s">
        <v>3363</v>
      </c>
      <c r="S388" s="452">
        <v>45541</v>
      </c>
      <c r="T388" s="452"/>
      <c r="U388" s="453"/>
      <c r="V388" s="454"/>
      <c r="W388" s="455" t="s">
        <v>406</v>
      </c>
      <c r="X388" s="455">
        <v>45545</v>
      </c>
      <c r="Y388" s="456" t="s">
        <v>377</v>
      </c>
      <c r="Z388" s="457"/>
      <c r="AA388" s="453"/>
    </row>
    <row r="389" spans="1:27" s="128" customFormat="1" ht="37.5">
      <c r="A389" s="443">
        <v>48</v>
      </c>
      <c r="B389" s="444" t="s">
        <v>3715</v>
      </c>
      <c r="C389" s="445" t="s">
        <v>60</v>
      </c>
      <c r="D389" s="444" t="s">
        <v>3716</v>
      </c>
      <c r="E389" s="446">
        <v>1</v>
      </c>
      <c r="F389" s="447"/>
      <c r="G389" s="448">
        <f t="shared" si="15"/>
        <v>0</v>
      </c>
      <c r="H389" s="450"/>
      <c r="I389" s="444"/>
      <c r="J389" s="450"/>
      <c r="K389" s="444" t="s">
        <v>3608</v>
      </c>
      <c r="L389" s="450" t="s">
        <v>2919</v>
      </c>
      <c r="M389" s="444" t="s">
        <v>3630</v>
      </c>
      <c r="N389" s="450"/>
      <c r="O389" s="450"/>
      <c r="P389" s="450" t="s">
        <v>3610</v>
      </c>
      <c r="Q389" s="451" t="s">
        <v>374</v>
      </c>
      <c r="R389" s="451" t="s">
        <v>3363</v>
      </c>
      <c r="S389" s="452">
        <v>45541</v>
      </c>
      <c r="T389" s="452"/>
      <c r="U389" s="453"/>
      <c r="V389" s="454"/>
      <c r="W389" s="455" t="s">
        <v>406</v>
      </c>
      <c r="X389" s="455">
        <v>45545</v>
      </c>
      <c r="Y389" s="456" t="s">
        <v>377</v>
      </c>
      <c r="Z389" s="457"/>
      <c r="AA389" s="453"/>
    </row>
    <row r="390" spans="1:27" s="128" customFormat="1" ht="37.5">
      <c r="A390" s="443">
        <v>49</v>
      </c>
      <c r="B390" s="444" t="s">
        <v>3717</v>
      </c>
      <c r="C390" s="445" t="s">
        <v>60</v>
      </c>
      <c r="D390" s="444" t="s">
        <v>3718</v>
      </c>
      <c r="E390" s="446">
        <v>1</v>
      </c>
      <c r="F390" s="447"/>
      <c r="G390" s="448">
        <f t="shared" si="15"/>
        <v>0</v>
      </c>
      <c r="H390" s="450"/>
      <c r="I390" s="444"/>
      <c r="J390" s="450"/>
      <c r="K390" s="444" t="s">
        <v>3608</v>
      </c>
      <c r="L390" s="450" t="s">
        <v>2919</v>
      </c>
      <c r="M390" s="444" t="s">
        <v>3630</v>
      </c>
      <c r="N390" s="450"/>
      <c r="O390" s="450"/>
      <c r="P390" s="450" t="s">
        <v>3610</v>
      </c>
      <c r="Q390" s="451" t="s">
        <v>374</v>
      </c>
      <c r="R390" s="451" t="s">
        <v>3363</v>
      </c>
      <c r="S390" s="452">
        <v>45541</v>
      </c>
      <c r="T390" s="452"/>
      <c r="U390" s="453"/>
      <c r="V390" s="454"/>
      <c r="W390" s="455" t="s">
        <v>406</v>
      </c>
      <c r="X390" s="455">
        <v>45541</v>
      </c>
      <c r="Y390" s="456" t="s">
        <v>377</v>
      </c>
      <c r="Z390" s="457"/>
      <c r="AA390" s="453"/>
    </row>
    <row r="391" spans="1:27" s="128" customFormat="1" ht="37.5">
      <c r="A391" s="443">
        <v>50</v>
      </c>
      <c r="B391" s="444" t="s">
        <v>3719</v>
      </c>
      <c r="C391" s="445" t="s">
        <v>60</v>
      </c>
      <c r="D391" s="444" t="s">
        <v>3720</v>
      </c>
      <c r="E391" s="446">
        <v>1</v>
      </c>
      <c r="F391" s="447"/>
      <c r="G391" s="448">
        <f t="shared" si="15"/>
        <v>0</v>
      </c>
      <c r="H391" s="450"/>
      <c r="I391" s="444"/>
      <c r="J391" s="450"/>
      <c r="K391" s="444" t="s">
        <v>3608</v>
      </c>
      <c r="L391" s="450" t="s">
        <v>2919</v>
      </c>
      <c r="M391" s="444" t="s">
        <v>3615</v>
      </c>
      <c r="N391" s="450"/>
      <c r="O391" s="450"/>
      <c r="P391" s="450" t="s">
        <v>3610</v>
      </c>
      <c r="Q391" s="451" t="s">
        <v>374</v>
      </c>
      <c r="R391" s="451" t="s">
        <v>2967</v>
      </c>
      <c r="S391" s="452">
        <v>45541</v>
      </c>
      <c r="T391" s="452"/>
      <c r="U391" s="453"/>
      <c r="V391" s="454"/>
      <c r="W391" s="455" t="s">
        <v>406</v>
      </c>
      <c r="X391" s="455">
        <v>45538</v>
      </c>
      <c r="Y391" s="456" t="s">
        <v>377</v>
      </c>
      <c r="Z391" s="457"/>
      <c r="AA391" s="453"/>
    </row>
    <row r="392" spans="1:27" s="128" customFormat="1" ht="37.5">
      <c r="A392" s="443">
        <v>51</v>
      </c>
      <c r="B392" s="444" t="s">
        <v>3721</v>
      </c>
      <c r="C392" s="445" t="s">
        <v>60</v>
      </c>
      <c r="D392" s="444" t="s">
        <v>3722</v>
      </c>
      <c r="E392" s="446">
        <v>1</v>
      </c>
      <c r="F392" s="447"/>
      <c r="G392" s="448">
        <f t="shared" si="15"/>
        <v>0</v>
      </c>
      <c r="H392" s="450"/>
      <c r="I392" s="444"/>
      <c r="J392" s="450"/>
      <c r="K392" s="444" t="s">
        <v>3608</v>
      </c>
      <c r="L392" s="450" t="s">
        <v>2919</v>
      </c>
      <c r="M392" s="444" t="s">
        <v>3707</v>
      </c>
      <c r="N392" s="450"/>
      <c r="O392" s="450"/>
      <c r="P392" s="450" t="s">
        <v>3610</v>
      </c>
      <c r="Q392" s="451" t="s">
        <v>374</v>
      </c>
      <c r="R392" s="451" t="s">
        <v>2906</v>
      </c>
      <c r="S392" s="452">
        <v>45541</v>
      </c>
      <c r="T392" s="452"/>
      <c r="U392" s="453"/>
      <c r="V392" s="454"/>
      <c r="W392" s="455" t="s">
        <v>406</v>
      </c>
      <c r="X392" s="455">
        <v>45532</v>
      </c>
      <c r="Y392" s="456" t="s">
        <v>377</v>
      </c>
      <c r="Z392" s="457"/>
      <c r="AA392" s="453"/>
    </row>
    <row r="393" spans="1:27" s="128" customFormat="1" ht="37.5">
      <c r="A393" s="443">
        <v>52</v>
      </c>
      <c r="B393" s="444" t="s">
        <v>3723</v>
      </c>
      <c r="C393" s="445" t="s">
        <v>60</v>
      </c>
      <c r="D393" s="444" t="s">
        <v>3724</v>
      </c>
      <c r="E393" s="446">
        <v>2</v>
      </c>
      <c r="F393" s="447"/>
      <c r="G393" s="448">
        <f t="shared" si="15"/>
        <v>0</v>
      </c>
      <c r="H393" s="450"/>
      <c r="I393" s="444"/>
      <c r="J393" s="450"/>
      <c r="K393" s="444" t="s">
        <v>3608</v>
      </c>
      <c r="L393" s="450" t="s">
        <v>2919</v>
      </c>
      <c r="M393" s="444" t="s">
        <v>3609</v>
      </c>
      <c r="N393" s="450"/>
      <c r="O393" s="450"/>
      <c r="P393" s="450" t="s">
        <v>3610</v>
      </c>
      <c r="Q393" s="451" t="s">
        <v>374</v>
      </c>
      <c r="R393" s="451" t="s">
        <v>260</v>
      </c>
      <c r="S393" s="452">
        <v>45541</v>
      </c>
      <c r="T393" s="452"/>
      <c r="U393" s="453"/>
      <c r="V393" s="454"/>
      <c r="W393" s="455" t="s">
        <v>406</v>
      </c>
      <c r="X393" s="455">
        <v>45540</v>
      </c>
      <c r="Y393" s="456" t="s">
        <v>377</v>
      </c>
      <c r="Z393" s="457"/>
      <c r="AA393" s="453"/>
    </row>
    <row r="394" spans="1:27" s="128" customFormat="1" ht="37.5">
      <c r="A394" s="443">
        <v>53</v>
      </c>
      <c r="B394" s="444" t="s">
        <v>3725</v>
      </c>
      <c r="C394" s="445" t="s">
        <v>60</v>
      </c>
      <c r="D394" s="444" t="s">
        <v>3726</v>
      </c>
      <c r="E394" s="446">
        <v>1</v>
      </c>
      <c r="F394" s="447"/>
      <c r="G394" s="448">
        <f t="shared" si="15"/>
        <v>0</v>
      </c>
      <c r="H394" s="450"/>
      <c r="I394" s="444"/>
      <c r="J394" s="450"/>
      <c r="K394" s="444" t="s">
        <v>3608</v>
      </c>
      <c r="L394" s="450" t="s">
        <v>2919</v>
      </c>
      <c r="M394" s="444" t="s">
        <v>3609</v>
      </c>
      <c r="N394" s="450"/>
      <c r="O394" s="450"/>
      <c r="P394" s="450" t="s">
        <v>3610</v>
      </c>
      <c r="Q394" s="451" t="s">
        <v>374</v>
      </c>
      <c r="R394" s="451" t="s">
        <v>260</v>
      </c>
      <c r="S394" s="452">
        <v>45541</v>
      </c>
      <c r="T394" s="452"/>
      <c r="U394" s="453"/>
      <c r="V394" s="454"/>
      <c r="W394" s="455" t="s">
        <v>406</v>
      </c>
      <c r="X394" s="455">
        <v>45540</v>
      </c>
      <c r="Y394" s="456" t="s">
        <v>377</v>
      </c>
      <c r="Z394" s="457"/>
      <c r="AA394" s="453"/>
    </row>
    <row r="395" spans="1:27" s="128" customFormat="1" ht="37.5">
      <c r="A395" s="443">
        <v>54</v>
      </c>
      <c r="B395" s="444" t="s">
        <v>3727</v>
      </c>
      <c r="C395" s="445" t="s">
        <v>60</v>
      </c>
      <c r="D395" s="444" t="s">
        <v>3728</v>
      </c>
      <c r="E395" s="446">
        <v>1</v>
      </c>
      <c r="F395" s="447"/>
      <c r="G395" s="448">
        <f t="shared" si="15"/>
        <v>0</v>
      </c>
      <c r="H395" s="450"/>
      <c r="I395" s="444"/>
      <c r="J395" s="450"/>
      <c r="K395" s="444" t="s">
        <v>3608</v>
      </c>
      <c r="L395" s="450" t="s">
        <v>2919</v>
      </c>
      <c r="M395" s="444" t="s">
        <v>3707</v>
      </c>
      <c r="N395" s="450"/>
      <c r="O395" s="450"/>
      <c r="P395" s="450" t="s">
        <v>3610</v>
      </c>
      <c r="Q395" s="451" t="s">
        <v>374</v>
      </c>
      <c r="R395" s="451" t="s">
        <v>2906</v>
      </c>
      <c r="S395" s="452">
        <v>45541</v>
      </c>
      <c r="T395" s="452"/>
      <c r="U395" s="453"/>
      <c r="V395" s="454"/>
      <c r="W395" s="455" t="s">
        <v>376</v>
      </c>
      <c r="X395" s="455">
        <v>45546</v>
      </c>
      <c r="Y395" s="456" t="s">
        <v>377</v>
      </c>
      <c r="Z395" s="457"/>
      <c r="AA395" s="453"/>
    </row>
    <row r="396" spans="1:27" s="128" customFormat="1" ht="37.5">
      <c r="A396" s="443">
        <v>55</v>
      </c>
      <c r="B396" s="444" t="s">
        <v>3729</v>
      </c>
      <c r="C396" s="445" t="s">
        <v>60</v>
      </c>
      <c r="D396" s="444" t="s">
        <v>3730</v>
      </c>
      <c r="E396" s="446">
        <v>1</v>
      </c>
      <c r="F396" s="447"/>
      <c r="G396" s="448">
        <f t="shared" si="15"/>
        <v>0</v>
      </c>
      <c r="H396" s="450"/>
      <c r="I396" s="444"/>
      <c r="J396" s="450"/>
      <c r="K396" s="444" t="s">
        <v>3608</v>
      </c>
      <c r="L396" s="450" t="s">
        <v>2919</v>
      </c>
      <c r="M396" s="444" t="s">
        <v>3731</v>
      </c>
      <c r="N396" s="450"/>
      <c r="O396" s="450"/>
      <c r="P396" s="450" t="s">
        <v>3610</v>
      </c>
      <c r="Q396" s="451" t="s">
        <v>374</v>
      </c>
      <c r="R396" s="451" t="s">
        <v>3324</v>
      </c>
      <c r="S396" s="452">
        <v>45541</v>
      </c>
      <c r="T396" s="452"/>
      <c r="U396" s="453"/>
      <c r="V396" s="454"/>
      <c r="W396" s="455" t="s">
        <v>406</v>
      </c>
      <c r="X396" s="455">
        <v>45533</v>
      </c>
      <c r="Y396" s="456" t="s">
        <v>377</v>
      </c>
      <c r="Z396" s="457"/>
      <c r="AA396" s="453"/>
    </row>
    <row r="397" spans="1:27" s="128" customFormat="1" ht="37.5">
      <c r="A397" s="443">
        <v>56</v>
      </c>
      <c r="B397" s="444" t="s">
        <v>3732</v>
      </c>
      <c r="C397" s="445" t="s">
        <v>60</v>
      </c>
      <c r="D397" s="444" t="s">
        <v>3733</v>
      </c>
      <c r="E397" s="446">
        <v>1</v>
      </c>
      <c r="F397" s="447"/>
      <c r="G397" s="448">
        <f t="shared" si="15"/>
        <v>0</v>
      </c>
      <c r="H397" s="450"/>
      <c r="I397" s="444"/>
      <c r="J397" s="450"/>
      <c r="K397" s="444" t="s">
        <v>3608</v>
      </c>
      <c r="L397" s="450" t="s">
        <v>2919</v>
      </c>
      <c r="M397" s="444" t="s">
        <v>3609</v>
      </c>
      <c r="N397" s="450"/>
      <c r="O397" s="450"/>
      <c r="P397" s="450" t="s">
        <v>3610</v>
      </c>
      <c r="Q397" s="451" t="s">
        <v>374</v>
      </c>
      <c r="R397" s="451" t="s">
        <v>260</v>
      </c>
      <c r="S397" s="452">
        <v>45541</v>
      </c>
      <c r="T397" s="452"/>
      <c r="U397" s="453"/>
      <c r="V397" s="454"/>
      <c r="W397" s="455" t="s">
        <v>406</v>
      </c>
      <c r="X397" s="455">
        <v>45540</v>
      </c>
      <c r="Y397" s="456" t="s">
        <v>377</v>
      </c>
      <c r="Z397" s="457"/>
      <c r="AA397" s="453"/>
    </row>
    <row r="398" spans="1:27" s="128" customFormat="1" ht="37.5">
      <c r="A398" s="443">
        <v>57</v>
      </c>
      <c r="B398" s="444" t="s">
        <v>3734</v>
      </c>
      <c r="C398" s="445" t="s">
        <v>60</v>
      </c>
      <c r="D398" s="444" t="s">
        <v>3735</v>
      </c>
      <c r="E398" s="446">
        <v>1</v>
      </c>
      <c r="F398" s="447"/>
      <c r="G398" s="448">
        <f t="shared" si="15"/>
        <v>0</v>
      </c>
      <c r="H398" s="450"/>
      <c r="I398" s="444"/>
      <c r="J398" s="450"/>
      <c r="K398" s="444" t="s">
        <v>3608</v>
      </c>
      <c r="L398" s="450" t="s">
        <v>2919</v>
      </c>
      <c r="M398" s="444" t="s">
        <v>3707</v>
      </c>
      <c r="N398" s="450"/>
      <c r="O398" s="450"/>
      <c r="P398" s="450" t="s">
        <v>3610</v>
      </c>
      <c r="Q398" s="451" t="s">
        <v>374</v>
      </c>
      <c r="R398" s="451" t="s">
        <v>2906</v>
      </c>
      <c r="S398" s="452">
        <v>45541</v>
      </c>
      <c r="T398" s="452"/>
      <c r="U398" s="453"/>
      <c r="V398" s="454"/>
      <c r="W398" s="455" t="s">
        <v>406</v>
      </c>
      <c r="X398" s="455">
        <v>45538</v>
      </c>
      <c r="Y398" s="456" t="s">
        <v>377</v>
      </c>
      <c r="Z398" s="457"/>
      <c r="AA398" s="453"/>
    </row>
    <row r="399" spans="1:27" s="128" customFormat="1" ht="37.5">
      <c r="A399" s="443">
        <v>58</v>
      </c>
      <c r="B399" s="444" t="s">
        <v>3736</v>
      </c>
      <c r="C399" s="445" t="s">
        <v>60</v>
      </c>
      <c r="D399" s="444" t="s">
        <v>3737</v>
      </c>
      <c r="E399" s="446">
        <v>1</v>
      </c>
      <c r="F399" s="447"/>
      <c r="G399" s="448">
        <f t="shared" si="15"/>
        <v>0</v>
      </c>
      <c r="H399" s="450"/>
      <c r="I399" s="444"/>
      <c r="J399" s="450"/>
      <c r="K399" s="444" t="s">
        <v>3608</v>
      </c>
      <c r="L399" s="450" t="s">
        <v>2919</v>
      </c>
      <c r="M399" s="444" t="s">
        <v>3609</v>
      </c>
      <c r="N399" s="450"/>
      <c r="O399" s="450"/>
      <c r="P399" s="450" t="s">
        <v>3610</v>
      </c>
      <c r="Q399" s="451" t="s">
        <v>374</v>
      </c>
      <c r="R399" s="451" t="s">
        <v>260</v>
      </c>
      <c r="S399" s="452">
        <v>45541</v>
      </c>
      <c r="T399" s="452"/>
      <c r="U399" s="453"/>
      <c r="V399" s="454"/>
      <c r="W399" s="455" t="s">
        <v>406</v>
      </c>
      <c r="X399" s="455">
        <v>45545</v>
      </c>
      <c r="Y399" s="456" t="s">
        <v>377</v>
      </c>
      <c r="Z399" s="457"/>
      <c r="AA399" s="453"/>
    </row>
    <row r="400" spans="1:27" s="128" customFormat="1" ht="37.5">
      <c r="A400" s="443">
        <v>59</v>
      </c>
      <c r="B400" s="444" t="s">
        <v>3738</v>
      </c>
      <c r="C400" s="445" t="s">
        <v>60</v>
      </c>
      <c r="D400" s="444" t="s">
        <v>3739</v>
      </c>
      <c r="E400" s="446">
        <v>4</v>
      </c>
      <c r="F400" s="447"/>
      <c r="G400" s="448">
        <f t="shared" si="15"/>
        <v>0</v>
      </c>
      <c r="H400" s="450"/>
      <c r="I400" s="444"/>
      <c r="J400" s="450"/>
      <c r="K400" s="444" t="s">
        <v>3608</v>
      </c>
      <c r="L400" s="450" t="s">
        <v>2919</v>
      </c>
      <c r="M400" s="444" t="s">
        <v>3615</v>
      </c>
      <c r="N400" s="450"/>
      <c r="O400" s="450"/>
      <c r="P400" s="450" t="s">
        <v>3610</v>
      </c>
      <c r="Q400" s="451" t="s">
        <v>374</v>
      </c>
      <c r="R400" s="451" t="s">
        <v>2967</v>
      </c>
      <c r="S400" s="452">
        <v>45541</v>
      </c>
      <c r="T400" s="452"/>
      <c r="U400" s="453"/>
      <c r="V400" s="454"/>
      <c r="W400" s="455" t="s">
        <v>406</v>
      </c>
      <c r="X400" s="455">
        <v>45538</v>
      </c>
      <c r="Y400" s="456" t="s">
        <v>377</v>
      </c>
      <c r="Z400" s="457"/>
      <c r="AA400" s="453"/>
    </row>
    <row r="401" spans="1:27" s="128" customFormat="1" ht="37.5">
      <c r="A401" s="443">
        <v>60</v>
      </c>
      <c r="B401" s="444" t="s">
        <v>3740</v>
      </c>
      <c r="C401" s="445" t="s">
        <v>60</v>
      </c>
      <c r="D401" s="444" t="s">
        <v>3741</v>
      </c>
      <c r="E401" s="446">
        <v>1</v>
      </c>
      <c r="F401" s="447"/>
      <c r="G401" s="448">
        <f t="shared" si="15"/>
        <v>0</v>
      </c>
      <c r="H401" s="450"/>
      <c r="I401" s="444"/>
      <c r="J401" s="450"/>
      <c r="K401" s="444" t="s">
        <v>3608</v>
      </c>
      <c r="L401" s="450" t="s">
        <v>2919</v>
      </c>
      <c r="M401" s="444" t="s">
        <v>3615</v>
      </c>
      <c r="N401" s="450"/>
      <c r="O401" s="450"/>
      <c r="P401" s="450" t="s">
        <v>3610</v>
      </c>
      <c r="Q401" s="451" t="s">
        <v>374</v>
      </c>
      <c r="R401" s="451" t="s">
        <v>2967</v>
      </c>
      <c r="S401" s="452">
        <v>45541</v>
      </c>
      <c r="T401" s="452"/>
      <c r="U401" s="453"/>
      <c r="V401" s="454"/>
      <c r="W401" s="455" t="s">
        <v>406</v>
      </c>
      <c r="X401" s="455">
        <v>45538</v>
      </c>
      <c r="Y401" s="456" t="s">
        <v>377</v>
      </c>
      <c r="Z401" s="457"/>
      <c r="AA401" s="453"/>
    </row>
    <row r="402" spans="1:27" s="128" customFormat="1" ht="37.5">
      <c r="A402" s="443">
        <v>61</v>
      </c>
      <c r="B402" s="444" t="s">
        <v>3742</v>
      </c>
      <c r="C402" s="445" t="s">
        <v>60</v>
      </c>
      <c r="D402" s="444" t="s">
        <v>3743</v>
      </c>
      <c r="E402" s="446">
        <v>1</v>
      </c>
      <c r="F402" s="447"/>
      <c r="G402" s="448">
        <f t="shared" si="15"/>
        <v>0</v>
      </c>
      <c r="H402" s="450"/>
      <c r="I402" s="444"/>
      <c r="J402" s="450"/>
      <c r="K402" s="444" t="s">
        <v>3608</v>
      </c>
      <c r="L402" s="450" t="s">
        <v>2919</v>
      </c>
      <c r="M402" s="444" t="s">
        <v>3707</v>
      </c>
      <c r="N402" s="450"/>
      <c r="O402" s="450"/>
      <c r="P402" s="450" t="s">
        <v>3610</v>
      </c>
      <c r="Q402" s="451" t="s">
        <v>374</v>
      </c>
      <c r="R402" s="451" t="s">
        <v>2906</v>
      </c>
      <c r="S402" s="452">
        <v>45541</v>
      </c>
      <c r="T402" s="452"/>
      <c r="U402" s="453"/>
      <c r="V402" s="454"/>
      <c r="W402" s="455" t="s">
        <v>376</v>
      </c>
      <c r="X402" s="455">
        <v>45546</v>
      </c>
      <c r="Y402" s="456" t="s">
        <v>377</v>
      </c>
      <c r="Z402" s="457"/>
      <c r="AA402" s="453"/>
    </row>
    <row r="403" spans="1:27" s="128" customFormat="1" ht="37.5">
      <c r="A403" s="443">
        <v>62</v>
      </c>
      <c r="B403" s="444" t="s">
        <v>3744</v>
      </c>
      <c r="C403" s="445" t="s">
        <v>60</v>
      </c>
      <c r="D403" s="444" t="s">
        <v>3745</v>
      </c>
      <c r="E403" s="446">
        <v>1</v>
      </c>
      <c r="F403" s="447"/>
      <c r="G403" s="448">
        <f t="shared" si="15"/>
        <v>0</v>
      </c>
      <c r="H403" s="450"/>
      <c r="I403" s="444"/>
      <c r="J403" s="450"/>
      <c r="K403" s="444" t="s">
        <v>3608</v>
      </c>
      <c r="L403" s="450" t="s">
        <v>2919</v>
      </c>
      <c r="M403" s="444" t="s">
        <v>3653</v>
      </c>
      <c r="N403" s="450"/>
      <c r="O403" s="450"/>
      <c r="P403" s="450" t="s">
        <v>3610</v>
      </c>
      <c r="Q403" s="451" t="s">
        <v>374</v>
      </c>
      <c r="R403" s="451" t="s">
        <v>3352</v>
      </c>
      <c r="S403" s="452">
        <v>45541</v>
      </c>
      <c r="T403" s="452"/>
      <c r="U403" s="453"/>
      <c r="V403" s="454"/>
      <c r="W403" s="455" t="s">
        <v>406</v>
      </c>
      <c r="X403" s="455">
        <v>45540</v>
      </c>
      <c r="Y403" s="456" t="s">
        <v>377</v>
      </c>
      <c r="Z403" s="457"/>
      <c r="AA403" s="453"/>
    </row>
    <row r="404" spans="1:27" s="128" customFormat="1" ht="37.5">
      <c r="A404" s="458">
        <v>63</v>
      </c>
      <c r="B404" s="459" t="s">
        <v>3746</v>
      </c>
      <c r="C404" s="460" t="s">
        <v>60</v>
      </c>
      <c r="D404" s="459" t="s">
        <v>3747</v>
      </c>
      <c r="E404" s="461">
        <v>1</v>
      </c>
      <c r="F404" s="462"/>
      <c r="G404" s="463">
        <f t="shared" si="15"/>
        <v>0</v>
      </c>
      <c r="H404" s="465"/>
      <c r="I404" s="459"/>
      <c r="J404" s="465"/>
      <c r="K404" s="459" t="s">
        <v>3608</v>
      </c>
      <c r="L404" s="465" t="s">
        <v>2919</v>
      </c>
      <c r="M404" s="459" t="s">
        <v>3618</v>
      </c>
      <c r="N404" s="465"/>
      <c r="O404" s="465"/>
      <c r="P404" s="465" t="s">
        <v>3610</v>
      </c>
      <c r="Q404" s="466" t="s">
        <v>374</v>
      </c>
      <c r="R404" s="466" t="s">
        <v>2957</v>
      </c>
      <c r="S404" s="467">
        <v>45541</v>
      </c>
      <c r="T404" s="467"/>
      <c r="U404" s="468"/>
      <c r="V404" s="469"/>
      <c r="W404" s="470" t="s">
        <v>406</v>
      </c>
      <c r="X404" s="470">
        <v>45540</v>
      </c>
      <c r="Y404" s="471" t="s">
        <v>377</v>
      </c>
      <c r="Z404" s="472"/>
      <c r="AA404" s="453"/>
    </row>
    <row r="405" spans="1:27">
      <c r="A405" s="389"/>
      <c r="B405" s="390" t="s">
        <v>1171</v>
      </c>
      <c r="C405" s="391"/>
      <c r="D405" s="392"/>
      <c r="E405" s="393"/>
      <c r="F405" s="394"/>
      <c r="G405" s="395">
        <f>E405*F405</f>
        <v>0</v>
      </c>
      <c r="H405" s="420"/>
      <c r="I405" s="392"/>
      <c r="J405" s="420"/>
      <c r="K405" s="392"/>
      <c r="L405" s="397"/>
      <c r="M405" s="392"/>
      <c r="N405" s="397"/>
      <c r="O405" s="397"/>
      <c r="P405" s="397"/>
      <c r="Q405" s="398"/>
      <c r="R405" s="398"/>
      <c r="S405" s="399"/>
      <c r="T405" s="399"/>
      <c r="U405" s="400"/>
      <c r="V405" s="401"/>
      <c r="W405" s="402"/>
      <c r="X405" s="402"/>
      <c r="Y405" s="403"/>
      <c r="Z405" s="404"/>
      <c r="AA405" s="493"/>
    </row>
    <row r="406" spans="1:27" s="128" customFormat="1" ht="37.5">
      <c r="A406" s="443">
        <v>1</v>
      </c>
      <c r="B406" s="444" t="s">
        <v>3606</v>
      </c>
      <c r="C406" s="445" t="s">
        <v>62</v>
      </c>
      <c r="D406" s="444" t="s">
        <v>3607</v>
      </c>
      <c r="E406" s="446">
        <v>2</v>
      </c>
      <c r="F406" s="447"/>
      <c r="G406" s="448">
        <f t="shared" ref="G406:G429" si="16">E406*F406</f>
        <v>0</v>
      </c>
      <c r="H406" s="450">
        <v>45504</v>
      </c>
      <c r="I406" s="444">
        <v>37249</v>
      </c>
      <c r="J406" s="450">
        <v>45505</v>
      </c>
      <c r="K406" s="444" t="s">
        <v>3748</v>
      </c>
      <c r="L406" s="450" t="s">
        <v>3749</v>
      </c>
      <c r="M406" s="444" t="s">
        <v>3750</v>
      </c>
      <c r="N406" s="450"/>
      <c r="O406" s="450"/>
      <c r="P406" s="450" t="s">
        <v>2921</v>
      </c>
      <c r="Q406" s="451" t="s">
        <v>374</v>
      </c>
      <c r="R406" s="451" t="s">
        <v>260</v>
      </c>
      <c r="S406" s="452">
        <v>45541</v>
      </c>
      <c r="T406" s="452"/>
      <c r="U406" s="453"/>
      <c r="V406" s="454"/>
      <c r="W406" s="455" t="s">
        <v>406</v>
      </c>
      <c r="X406" s="455">
        <v>45545</v>
      </c>
      <c r="Y406" s="456" t="s">
        <v>377</v>
      </c>
      <c r="Z406" s="457"/>
      <c r="AA406" s="453"/>
    </row>
    <row r="407" spans="1:27" s="128" customFormat="1" ht="37.5">
      <c r="A407" s="443">
        <v>2</v>
      </c>
      <c r="B407" s="444" t="s">
        <v>3751</v>
      </c>
      <c r="C407" s="445" t="s">
        <v>62</v>
      </c>
      <c r="D407" s="444" t="s">
        <v>3752</v>
      </c>
      <c r="E407" s="446">
        <v>1</v>
      </c>
      <c r="F407" s="447"/>
      <c r="G407" s="448">
        <f t="shared" si="16"/>
        <v>0</v>
      </c>
      <c r="H407" s="450">
        <v>45504</v>
      </c>
      <c r="I407" s="444">
        <v>37249</v>
      </c>
      <c r="J407" s="450">
        <v>45505</v>
      </c>
      <c r="K407" s="444" t="s">
        <v>3748</v>
      </c>
      <c r="L407" s="450" t="s">
        <v>3749</v>
      </c>
      <c r="M407" s="444" t="s">
        <v>3753</v>
      </c>
      <c r="N407" s="450"/>
      <c r="O407" s="450"/>
      <c r="P407" s="450" t="s">
        <v>2921</v>
      </c>
      <c r="Q407" s="451" t="s">
        <v>374</v>
      </c>
      <c r="R407" s="451" t="s">
        <v>2906</v>
      </c>
      <c r="S407" s="452">
        <v>45541</v>
      </c>
      <c r="T407" s="452"/>
      <c r="U407" s="453"/>
      <c r="V407" s="454"/>
      <c r="W407" s="455" t="s">
        <v>406</v>
      </c>
      <c r="X407" s="455">
        <v>45532</v>
      </c>
      <c r="Y407" s="456" t="s">
        <v>377</v>
      </c>
      <c r="Z407" s="457"/>
      <c r="AA407" s="453"/>
    </row>
    <row r="408" spans="1:27" s="128" customFormat="1" ht="37.5">
      <c r="A408" s="443">
        <v>3</v>
      </c>
      <c r="B408" s="444" t="s">
        <v>3611</v>
      </c>
      <c r="C408" s="445" t="s">
        <v>62</v>
      </c>
      <c r="D408" s="444" t="s">
        <v>3612</v>
      </c>
      <c r="E408" s="446">
        <v>1</v>
      </c>
      <c r="F408" s="447"/>
      <c r="G408" s="448">
        <f t="shared" si="16"/>
        <v>0</v>
      </c>
      <c r="H408" s="450">
        <v>45504</v>
      </c>
      <c r="I408" s="444">
        <v>37249</v>
      </c>
      <c r="J408" s="450">
        <v>45505</v>
      </c>
      <c r="K408" s="444" t="s">
        <v>3748</v>
      </c>
      <c r="L408" s="450" t="s">
        <v>3749</v>
      </c>
      <c r="M408" s="444" t="s">
        <v>3750</v>
      </c>
      <c r="N408" s="450"/>
      <c r="O408" s="450"/>
      <c r="P408" s="450" t="s">
        <v>2921</v>
      </c>
      <c r="Q408" s="451" t="s">
        <v>374</v>
      </c>
      <c r="R408" s="451" t="s">
        <v>260</v>
      </c>
      <c r="S408" s="452">
        <v>45541</v>
      </c>
      <c r="T408" s="452"/>
      <c r="U408" s="453"/>
      <c r="V408" s="454"/>
      <c r="W408" s="455" t="s">
        <v>406</v>
      </c>
      <c r="X408" s="455">
        <v>45545</v>
      </c>
      <c r="Y408" s="456" t="s">
        <v>377</v>
      </c>
      <c r="Z408" s="457"/>
      <c r="AA408" s="453"/>
    </row>
    <row r="409" spans="1:27" s="128" customFormat="1" ht="37.5">
      <c r="A409" s="443">
        <v>4</v>
      </c>
      <c r="B409" s="444" t="s">
        <v>3754</v>
      </c>
      <c r="C409" s="445" t="s">
        <v>62</v>
      </c>
      <c r="D409" s="444" t="s">
        <v>3755</v>
      </c>
      <c r="E409" s="446">
        <v>1</v>
      </c>
      <c r="F409" s="447"/>
      <c r="G409" s="448">
        <f t="shared" si="16"/>
        <v>0</v>
      </c>
      <c r="H409" s="450"/>
      <c r="I409" s="444"/>
      <c r="J409" s="450"/>
      <c r="K409" s="444" t="s">
        <v>3748</v>
      </c>
      <c r="L409" s="450" t="s">
        <v>3749</v>
      </c>
      <c r="M409" s="444" t="s">
        <v>3756</v>
      </c>
      <c r="N409" s="450"/>
      <c r="O409" s="450"/>
      <c r="P409" s="450" t="s">
        <v>2921</v>
      </c>
      <c r="Q409" s="451" t="s">
        <v>374</v>
      </c>
      <c r="R409" s="451" t="s">
        <v>2922</v>
      </c>
      <c r="S409" s="452">
        <v>45565</v>
      </c>
      <c r="T409" s="452"/>
      <c r="U409" s="453"/>
      <c r="V409" s="454"/>
      <c r="W409" s="455" t="s">
        <v>406</v>
      </c>
      <c r="X409" s="452">
        <v>45565</v>
      </c>
      <c r="Y409" s="456" t="s">
        <v>377</v>
      </c>
      <c r="Z409" s="457"/>
      <c r="AA409" s="453"/>
    </row>
    <row r="410" spans="1:27" s="128" customFormat="1" ht="37.5">
      <c r="A410" s="443">
        <v>5</v>
      </c>
      <c r="B410" s="444" t="s">
        <v>3757</v>
      </c>
      <c r="C410" s="445" t="s">
        <v>62</v>
      </c>
      <c r="D410" s="444" t="s">
        <v>3758</v>
      </c>
      <c r="E410" s="446">
        <v>1</v>
      </c>
      <c r="F410" s="447"/>
      <c r="G410" s="448">
        <f t="shared" si="16"/>
        <v>0</v>
      </c>
      <c r="H410" s="450">
        <v>45504</v>
      </c>
      <c r="I410" s="444">
        <v>37249</v>
      </c>
      <c r="J410" s="450">
        <v>45505</v>
      </c>
      <c r="K410" s="444" t="s">
        <v>3748</v>
      </c>
      <c r="L410" s="450" t="s">
        <v>3749</v>
      </c>
      <c r="M410" s="444" t="s">
        <v>3753</v>
      </c>
      <c r="N410" s="450"/>
      <c r="O410" s="450"/>
      <c r="P410" s="450" t="s">
        <v>2921</v>
      </c>
      <c r="Q410" s="451" t="s">
        <v>374</v>
      </c>
      <c r="R410" s="451" t="s">
        <v>2906</v>
      </c>
      <c r="S410" s="452">
        <v>45541</v>
      </c>
      <c r="T410" s="452"/>
      <c r="U410" s="453"/>
      <c r="V410" s="454"/>
      <c r="W410" s="455" t="s">
        <v>406</v>
      </c>
      <c r="X410" s="452">
        <v>45565</v>
      </c>
      <c r="Y410" s="456" t="s">
        <v>377</v>
      </c>
      <c r="Z410" s="457"/>
      <c r="AA410" s="453"/>
    </row>
    <row r="411" spans="1:27" s="128" customFormat="1" ht="37.5">
      <c r="A411" s="443">
        <v>6</v>
      </c>
      <c r="B411" s="444" t="s">
        <v>3759</v>
      </c>
      <c r="C411" s="445" t="s">
        <v>62</v>
      </c>
      <c r="D411" s="444" t="s">
        <v>3760</v>
      </c>
      <c r="E411" s="446">
        <v>1</v>
      </c>
      <c r="F411" s="447"/>
      <c r="G411" s="448">
        <f t="shared" si="16"/>
        <v>0</v>
      </c>
      <c r="H411" s="450">
        <v>45504</v>
      </c>
      <c r="I411" s="444">
        <v>37249</v>
      </c>
      <c r="J411" s="450">
        <v>45505</v>
      </c>
      <c r="K411" s="444" t="s">
        <v>3748</v>
      </c>
      <c r="L411" s="450" t="s">
        <v>3749</v>
      </c>
      <c r="M411" s="444" t="s">
        <v>3761</v>
      </c>
      <c r="N411" s="450"/>
      <c r="O411" s="450"/>
      <c r="P411" s="450" t="s">
        <v>2921</v>
      </c>
      <c r="Q411" s="451" t="s">
        <v>374</v>
      </c>
      <c r="R411" s="451" t="s">
        <v>3762</v>
      </c>
      <c r="S411" s="452">
        <v>45541</v>
      </c>
      <c r="T411" s="452"/>
      <c r="U411" s="453"/>
      <c r="V411" s="454"/>
      <c r="W411" s="455" t="s">
        <v>406</v>
      </c>
      <c r="X411" s="455">
        <v>45539</v>
      </c>
      <c r="Y411" s="456" t="s">
        <v>377</v>
      </c>
      <c r="Z411" s="457"/>
      <c r="AA411" s="453"/>
    </row>
    <row r="412" spans="1:27" s="128" customFormat="1" ht="37.5">
      <c r="A412" s="443">
        <v>7</v>
      </c>
      <c r="B412" s="444" t="s">
        <v>3763</v>
      </c>
      <c r="C412" s="445" t="s">
        <v>62</v>
      </c>
      <c r="D412" s="444" t="s">
        <v>3764</v>
      </c>
      <c r="E412" s="446">
        <v>1</v>
      </c>
      <c r="F412" s="447"/>
      <c r="G412" s="448">
        <f t="shared" si="16"/>
        <v>0</v>
      </c>
      <c r="H412" s="450"/>
      <c r="I412" s="444"/>
      <c r="J412" s="450"/>
      <c r="K412" s="444" t="s">
        <v>3748</v>
      </c>
      <c r="L412" s="450" t="s">
        <v>3749</v>
      </c>
      <c r="M412" s="444" t="s">
        <v>3756</v>
      </c>
      <c r="N412" s="450"/>
      <c r="O412" s="450"/>
      <c r="P412" s="450" t="s">
        <v>2921</v>
      </c>
      <c r="Q412" s="451" t="s">
        <v>374</v>
      </c>
      <c r="R412" s="451" t="s">
        <v>2922</v>
      </c>
      <c r="S412" s="452">
        <v>45565</v>
      </c>
      <c r="T412" s="452"/>
      <c r="U412" s="453"/>
      <c r="V412" s="454"/>
      <c r="W412" s="455" t="s">
        <v>406</v>
      </c>
      <c r="X412" s="455">
        <v>45565</v>
      </c>
      <c r="Y412" s="456" t="s">
        <v>377</v>
      </c>
      <c r="Z412" s="457"/>
      <c r="AA412" s="453"/>
    </row>
    <row r="413" spans="1:27" s="128" customFormat="1" ht="37.5">
      <c r="A413" s="443">
        <v>8</v>
      </c>
      <c r="B413" s="444" t="s">
        <v>3765</v>
      </c>
      <c r="C413" s="445" t="s">
        <v>62</v>
      </c>
      <c r="D413" s="444" t="s">
        <v>3766</v>
      </c>
      <c r="E413" s="446">
        <v>1</v>
      </c>
      <c r="F413" s="447"/>
      <c r="G413" s="448">
        <f t="shared" si="16"/>
        <v>0</v>
      </c>
      <c r="H413" s="450"/>
      <c r="I413" s="444"/>
      <c r="J413" s="450"/>
      <c r="K413" s="444" t="s">
        <v>3748</v>
      </c>
      <c r="L413" s="450" t="s">
        <v>3749</v>
      </c>
      <c r="M413" s="444" t="s">
        <v>3756</v>
      </c>
      <c r="N413" s="450"/>
      <c r="O413" s="450"/>
      <c r="P413" s="450" t="s">
        <v>2921</v>
      </c>
      <c r="Q413" s="451" t="s">
        <v>374</v>
      </c>
      <c r="R413" s="451" t="s">
        <v>2922</v>
      </c>
      <c r="S413" s="452">
        <v>45565</v>
      </c>
      <c r="T413" s="452"/>
      <c r="U413" s="453"/>
      <c r="V413" s="454"/>
      <c r="W413" s="455" t="s">
        <v>376</v>
      </c>
      <c r="X413" s="455">
        <v>45559</v>
      </c>
      <c r="Y413" s="456" t="s">
        <v>377</v>
      </c>
      <c r="Z413" s="457"/>
      <c r="AA413" s="453"/>
    </row>
    <row r="414" spans="1:27" s="128" customFormat="1" ht="37.5">
      <c r="A414" s="443">
        <v>9</v>
      </c>
      <c r="B414" s="444" t="s">
        <v>3767</v>
      </c>
      <c r="C414" s="445" t="s">
        <v>62</v>
      </c>
      <c r="D414" s="444" t="s">
        <v>3768</v>
      </c>
      <c r="E414" s="446">
        <v>2</v>
      </c>
      <c r="F414" s="447"/>
      <c r="G414" s="448">
        <f t="shared" si="16"/>
        <v>0</v>
      </c>
      <c r="H414" s="450"/>
      <c r="I414" s="444"/>
      <c r="J414" s="450"/>
      <c r="K414" s="444" t="s">
        <v>3748</v>
      </c>
      <c r="L414" s="450" t="s">
        <v>3749</v>
      </c>
      <c r="M414" s="444" t="s">
        <v>3756</v>
      </c>
      <c r="N414" s="450"/>
      <c r="O414" s="450"/>
      <c r="P414" s="450" t="s">
        <v>2921</v>
      </c>
      <c r="Q414" s="451" t="s">
        <v>374</v>
      </c>
      <c r="R414" s="451" t="s">
        <v>2922</v>
      </c>
      <c r="S414" s="452">
        <v>45552</v>
      </c>
      <c r="T414" s="452"/>
      <c r="U414" s="453"/>
      <c r="V414" s="454"/>
      <c r="W414" s="455" t="s">
        <v>406</v>
      </c>
      <c r="X414" s="455">
        <v>45552</v>
      </c>
      <c r="Y414" s="456" t="s">
        <v>377</v>
      </c>
      <c r="Z414" s="457"/>
      <c r="AA414" s="453"/>
    </row>
    <row r="415" spans="1:27" s="128" customFormat="1" ht="37.5">
      <c r="A415" s="443">
        <v>10</v>
      </c>
      <c r="B415" s="444" t="s">
        <v>3769</v>
      </c>
      <c r="C415" s="445" t="s">
        <v>62</v>
      </c>
      <c r="D415" s="444" t="s">
        <v>3770</v>
      </c>
      <c r="E415" s="446">
        <v>1</v>
      </c>
      <c r="F415" s="447"/>
      <c r="G415" s="448">
        <f t="shared" si="16"/>
        <v>0</v>
      </c>
      <c r="H415" s="450">
        <v>45504</v>
      </c>
      <c r="I415" s="444">
        <v>37249</v>
      </c>
      <c r="J415" s="450">
        <v>45505</v>
      </c>
      <c r="K415" s="444" t="s">
        <v>3748</v>
      </c>
      <c r="L415" s="450" t="s">
        <v>3749</v>
      </c>
      <c r="M415" s="444" t="s">
        <v>3753</v>
      </c>
      <c r="N415" s="450"/>
      <c r="O415" s="450"/>
      <c r="P415" s="450" t="s">
        <v>2921</v>
      </c>
      <c r="Q415" s="451" t="s">
        <v>374</v>
      </c>
      <c r="R415" s="451" t="s">
        <v>2906</v>
      </c>
      <c r="S415" s="452">
        <v>45541</v>
      </c>
      <c r="T415" s="452"/>
      <c r="U415" s="453"/>
      <c r="V415" s="454"/>
      <c r="W415" s="455" t="s">
        <v>406</v>
      </c>
      <c r="X415" s="455">
        <v>45532</v>
      </c>
      <c r="Y415" s="456" t="s">
        <v>377</v>
      </c>
      <c r="Z415" s="457"/>
      <c r="AA415" s="453"/>
    </row>
    <row r="416" spans="1:27" s="128" customFormat="1" ht="37.5">
      <c r="A416" s="443">
        <v>11</v>
      </c>
      <c r="B416" s="444" t="s">
        <v>3771</v>
      </c>
      <c r="C416" s="445" t="s">
        <v>62</v>
      </c>
      <c r="D416" s="444" t="s">
        <v>3772</v>
      </c>
      <c r="E416" s="446">
        <v>1</v>
      </c>
      <c r="F416" s="447"/>
      <c r="G416" s="448">
        <f t="shared" si="16"/>
        <v>0</v>
      </c>
      <c r="H416" s="450"/>
      <c r="I416" s="444"/>
      <c r="J416" s="450"/>
      <c r="K416" s="444" t="s">
        <v>3748</v>
      </c>
      <c r="L416" s="450" t="s">
        <v>3749</v>
      </c>
      <c r="M416" s="444" t="s">
        <v>3773</v>
      </c>
      <c r="N416" s="450"/>
      <c r="O416" s="450"/>
      <c r="P416" s="450" t="s">
        <v>2921</v>
      </c>
      <c r="Q416" s="451" t="s">
        <v>374</v>
      </c>
      <c r="R416" s="451" t="s">
        <v>3324</v>
      </c>
      <c r="S416" s="452">
        <v>45541</v>
      </c>
      <c r="T416" s="452"/>
      <c r="U416" s="453"/>
      <c r="V416" s="454"/>
      <c r="W416" s="455" t="s">
        <v>406</v>
      </c>
      <c r="X416" s="455">
        <v>45533</v>
      </c>
      <c r="Y416" s="456" t="s">
        <v>377</v>
      </c>
      <c r="Z416" s="457"/>
      <c r="AA416" s="453"/>
    </row>
    <row r="417" spans="1:27" s="128" customFormat="1" ht="37.5">
      <c r="A417" s="443">
        <v>12</v>
      </c>
      <c r="B417" s="444" t="s">
        <v>3774</v>
      </c>
      <c r="C417" s="445" t="s">
        <v>62</v>
      </c>
      <c r="D417" s="444" t="s">
        <v>3775</v>
      </c>
      <c r="E417" s="446">
        <v>2</v>
      </c>
      <c r="F417" s="447"/>
      <c r="G417" s="448">
        <f t="shared" si="16"/>
        <v>0</v>
      </c>
      <c r="H417" s="450"/>
      <c r="I417" s="444"/>
      <c r="J417" s="450"/>
      <c r="K417" s="444" t="s">
        <v>3748</v>
      </c>
      <c r="L417" s="450" t="s">
        <v>3749</v>
      </c>
      <c r="M417" s="444" t="s">
        <v>3756</v>
      </c>
      <c r="N417" s="450"/>
      <c r="O417" s="450"/>
      <c r="P417" s="450" t="s">
        <v>2921</v>
      </c>
      <c r="Q417" s="451" t="s">
        <v>374</v>
      </c>
      <c r="R417" s="451" t="s">
        <v>2922</v>
      </c>
      <c r="S417" s="452">
        <v>45552</v>
      </c>
      <c r="T417" s="452"/>
      <c r="U417" s="453"/>
      <c r="V417" s="454"/>
      <c r="W417" s="455" t="s">
        <v>406</v>
      </c>
      <c r="X417" s="455">
        <v>45554</v>
      </c>
      <c r="Y417" s="456" t="s">
        <v>377</v>
      </c>
      <c r="Z417" s="457"/>
      <c r="AA417" s="453"/>
    </row>
    <row r="418" spans="1:27" s="128" customFormat="1" ht="37.5">
      <c r="A418" s="443">
        <v>13</v>
      </c>
      <c r="B418" s="444" t="s">
        <v>3776</v>
      </c>
      <c r="C418" s="445" t="s">
        <v>62</v>
      </c>
      <c r="D418" s="444" t="s">
        <v>3777</v>
      </c>
      <c r="E418" s="446">
        <v>1</v>
      </c>
      <c r="F418" s="447"/>
      <c r="G418" s="448">
        <f t="shared" si="16"/>
        <v>0</v>
      </c>
      <c r="H418" s="450"/>
      <c r="I418" s="444"/>
      <c r="J418" s="450"/>
      <c r="K418" s="444" t="s">
        <v>3748</v>
      </c>
      <c r="L418" s="450" t="s">
        <v>3749</v>
      </c>
      <c r="M418" s="444" t="s">
        <v>3756</v>
      </c>
      <c r="N418" s="450"/>
      <c r="O418" s="450"/>
      <c r="P418" s="450" t="s">
        <v>2921</v>
      </c>
      <c r="Q418" s="451" t="s">
        <v>374</v>
      </c>
      <c r="R418" s="451" t="s">
        <v>2922</v>
      </c>
      <c r="S418" s="452">
        <v>45552</v>
      </c>
      <c r="T418" s="452"/>
      <c r="U418" s="453"/>
      <c r="V418" s="454"/>
      <c r="W418" s="455" t="s">
        <v>406</v>
      </c>
      <c r="X418" s="455">
        <v>45554</v>
      </c>
      <c r="Y418" s="456" t="s">
        <v>377</v>
      </c>
      <c r="Z418" s="457"/>
      <c r="AA418" s="453"/>
    </row>
    <row r="419" spans="1:27" s="128" customFormat="1" ht="37.5">
      <c r="A419" s="443">
        <v>14</v>
      </c>
      <c r="B419" s="444" t="s">
        <v>3778</v>
      </c>
      <c r="C419" s="445" t="s">
        <v>62</v>
      </c>
      <c r="D419" s="444" t="s">
        <v>3779</v>
      </c>
      <c r="E419" s="446">
        <v>1</v>
      </c>
      <c r="F419" s="447"/>
      <c r="G419" s="448">
        <f t="shared" si="16"/>
        <v>0</v>
      </c>
      <c r="H419" s="450"/>
      <c r="I419" s="444"/>
      <c r="J419" s="450"/>
      <c r="K419" s="444" t="s">
        <v>3748</v>
      </c>
      <c r="L419" s="450" t="s">
        <v>3749</v>
      </c>
      <c r="M419" s="444" t="s">
        <v>444</v>
      </c>
      <c r="N419" s="450"/>
      <c r="O419" s="450"/>
      <c r="P419" s="450" t="s">
        <v>444</v>
      </c>
      <c r="Q419" s="451" t="s">
        <v>374</v>
      </c>
      <c r="R419" s="451" t="s">
        <v>2957</v>
      </c>
      <c r="S419" s="452">
        <v>45541</v>
      </c>
      <c r="T419" s="452"/>
      <c r="U419" s="453"/>
      <c r="V419" s="454"/>
      <c r="W419" s="455" t="s">
        <v>376</v>
      </c>
      <c r="X419" s="455">
        <v>45546</v>
      </c>
      <c r="Y419" s="456" t="s">
        <v>377</v>
      </c>
      <c r="Z419" s="457"/>
      <c r="AA419" s="453"/>
    </row>
    <row r="420" spans="1:27" s="128" customFormat="1" ht="37.5">
      <c r="A420" s="443">
        <v>15</v>
      </c>
      <c r="B420" s="444" t="s">
        <v>3780</v>
      </c>
      <c r="C420" s="445" t="s">
        <v>62</v>
      </c>
      <c r="D420" s="444" t="s">
        <v>3781</v>
      </c>
      <c r="E420" s="446">
        <v>1</v>
      </c>
      <c r="F420" s="447"/>
      <c r="G420" s="448">
        <f t="shared" si="16"/>
        <v>0</v>
      </c>
      <c r="H420" s="450"/>
      <c r="I420" s="444"/>
      <c r="J420" s="450"/>
      <c r="K420" s="444" t="s">
        <v>3748</v>
      </c>
      <c r="L420" s="450" t="s">
        <v>3749</v>
      </c>
      <c r="M420" s="444" t="s">
        <v>3756</v>
      </c>
      <c r="N420" s="450"/>
      <c r="O420" s="450"/>
      <c r="P420" s="450" t="s">
        <v>2921</v>
      </c>
      <c r="Q420" s="451" t="s">
        <v>374</v>
      </c>
      <c r="R420" s="451" t="s">
        <v>2922</v>
      </c>
      <c r="S420" s="452">
        <v>45552</v>
      </c>
      <c r="T420" s="452"/>
      <c r="U420" s="453"/>
      <c r="V420" s="454"/>
      <c r="W420" s="455" t="s">
        <v>406</v>
      </c>
      <c r="X420" s="455">
        <v>45554</v>
      </c>
      <c r="Y420" s="456" t="s">
        <v>377</v>
      </c>
      <c r="Z420" s="457"/>
      <c r="AA420" s="453"/>
    </row>
    <row r="421" spans="1:27" s="128" customFormat="1" ht="37.5">
      <c r="A421" s="443">
        <v>16</v>
      </c>
      <c r="B421" s="444" t="s">
        <v>3782</v>
      </c>
      <c r="C421" s="445" t="s">
        <v>62</v>
      </c>
      <c r="D421" s="444" t="s">
        <v>3783</v>
      </c>
      <c r="E421" s="446">
        <v>1</v>
      </c>
      <c r="F421" s="447"/>
      <c r="G421" s="448">
        <f t="shared" si="16"/>
        <v>0</v>
      </c>
      <c r="H421" s="450">
        <v>45504</v>
      </c>
      <c r="I421" s="444">
        <v>37249</v>
      </c>
      <c r="J421" s="450">
        <v>45505</v>
      </c>
      <c r="K421" s="444" t="s">
        <v>3748</v>
      </c>
      <c r="L421" s="450" t="s">
        <v>3749</v>
      </c>
      <c r="M421" s="444" t="s">
        <v>3753</v>
      </c>
      <c r="N421" s="450"/>
      <c r="O421" s="450"/>
      <c r="P421" s="450" t="s">
        <v>2921</v>
      </c>
      <c r="Q421" s="451" t="s">
        <v>374</v>
      </c>
      <c r="R421" s="451" t="s">
        <v>2906</v>
      </c>
      <c r="S421" s="452">
        <v>45541</v>
      </c>
      <c r="T421" s="452"/>
      <c r="U421" s="453"/>
      <c r="V421" s="454"/>
      <c r="W421" s="455" t="s">
        <v>406</v>
      </c>
      <c r="X421" s="455">
        <v>45532</v>
      </c>
      <c r="Y421" s="456" t="s">
        <v>377</v>
      </c>
      <c r="Z421" s="457"/>
      <c r="AA421" s="453"/>
    </row>
    <row r="422" spans="1:27" s="128" customFormat="1" ht="37.5">
      <c r="A422" s="443">
        <v>17</v>
      </c>
      <c r="B422" s="444" t="s">
        <v>3784</v>
      </c>
      <c r="C422" s="445" t="s">
        <v>62</v>
      </c>
      <c r="D422" s="444" t="s">
        <v>3785</v>
      </c>
      <c r="E422" s="446">
        <v>1</v>
      </c>
      <c r="F422" s="447"/>
      <c r="G422" s="448">
        <f t="shared" si="16"/>
        <v>0</v>
      </c>
      <c r="H422" s="450">
        <v>45504</v>
      </c>
      <c r="I422" s="444">
        <v>37249</v>
      </c>
      <c r="J422" s="450">
        <v>45505</v>
      </c>
      <c r="K422" s="444" t="s">
        <v>3748</v>
      </c>
      <c r="L422" s="450" t="s">
        <v>3749</v>
      </c>
      <c r="M422" s="444" t="s">
        <v>3753</v>
      </c>
      <c r="N422" s="450"/>
      <c r="O422" s="450"/>
      <c r="P422" s="450" t="s">
        <v>2921</v>
      </c>
      <c r="Q422" s="451" t="s">
        <v>374</v>
      </c>
      <c r="R422" s="451" t="s">
        <v>2906</v>
      </c>
      <c r="S422" s="452">
        <v>45541</v>
      </c>
      <c r="T422" s="452"/>
      <c r="U422" s="453"/>
      <c r="V422" s="454"/>
      <c r="W422" s="455" t="s">
        <v>406</v>
      </c>
      <c r="X422" s="455">
        <v>45532</v>
      </c>
      <c r="Y422" s="456" t="s">
        <v>377</v>
      </c>
      <c r="Z422" s="457"/>
      <c r="AA422" s="453"/>
    </row>
    <row r="423" spans="1:27" s="128" customFormat="1" ht="37.5">
      <c r="A423" s="443">
        <v>18</v>
      </c>
      <c r="B423" s="444" t="s">
        <v>3786</v>
      </c>
      <c r="C423" s="445" t="s">
        <v>62</v>
      </c>
      <c r="D423" s="444" t="s">
        <v>3787</v>
      </c>
      <c r="E423" s="446">
        <v>1</v>
      </c>
      <c r="F423" s="447"/>
      <c r="G423" s="448">
        <f t="shared" si="16"/>
        <v>0</v>
      </c>
      <c r="H423" s="450">
        <v>45504</v>
      </c>
      <c r="I423" s="444">
        <v>37249</v>
      </c>
      <c r="J423" s="450">
        <v>45505</v>
      </c>
      <c r="K423" s="444" t="s">
        <v>3748</v>
      </c>
      <c r="L423" s="450" t="s">
        <v>3749</v>
      </c>
      <c r="M423" s="444" t="s">
        <v>3753</v>
      </c>
      <c r="N423" s="450"/>
      <c r="O423" s="450"/>
      <c r="P423" s="450" t="s">
        <v>2921</v>
      </c>
      <c r="Q423" s="451" t="s">
        <v>374</v>
      </c>
      <c r="R423" s="451" t="s">
        <v>2906</v>
      </c>
      <c r="S423" s="452">
        <v>45541</v>
      </c>
      <c r="T423" s="452"/>
      <c r="U423" s="453"/>
      <c r="V423" s="454"/>
      <c r="W423" s="455" t="s">
        <v>406</v>
      </c>
      <c r="X423" s="455">
        <v>45532</v>
      </c>
      <c r="Y423" s="456" t="s">
        <v>377</v>
      </c>
      <c r="Z423" s="457"/>
      <c r="AA423" s="453"/>
    </row>
    <row r="424" spans="1:27" s="128" customFormat="1" ht="37.5">
      <c r="A424" s="443">
        <v>19</v>
      </c>
      <c r="B424" s="444" t="s">
        <v>3788</v>
      </c>
      <c r="C424" s="445" t="s">
        <v>62</v>
      </c>
      <c r="D424" s="444" t="s">
        <v>3789</v>
      </c>
      <c r="E424" s="446">
        <v>1</v>
      </c>
      <c r="F424" s="447"/>
      <c r="G424" s="448">
        <f t="shared" si="16"/>
        <v>0</v>
      </c>
      <c r="H424" s="450">
        <v>45504</v>
      </c>
      <c r="I424" s="444">
        <v>37249</v>
      </c>
      <c r="J424" s="450">
        <v>45505</v>
      </c>
      <c r="K424" s="444" t="s">
        <v>3748</v>
      </c>
      <c r="L424" s="450" t="s">
        <v>3749</v>
      </c>
      <c r="M424" s="444" t="s">
        <v>3790</v>
      </c>
      <c r="N424" s="450"/>
      <c r="O424" s="450"/>
      <c r="P424" s="450" t="s">
        <v>2921</v>
      </c>
      <c r="Q424" s="451" t="s">
        <v>374</v>
      </c>
      <c r="R424" s="451" t="s">
        <v>3352</v>
      </c>
      <c r="S424" s="452">
        <v>45541</v>
      </c>
      <c r="T424" s="452"/>
      <c r="U424" s="453"/>
      <c r="V424" s="454"/>
      <c r="W424" s="455" t="s">
        <v>406</v>
      </c>
      <c r="X424" s="455">
        <v>45540</v>
      </c>
      <c r="Y424" s="456" t="s">
        <v>377</v>
      </c>
      <c r="Z424" s="457"/>
      <c r="AA424" s="453"/>
    </row>
    <row r="425" spans="1:27" s="128" customFormat="1" ht="37.5">
      <c r="A425" s="443">
        <v>20</v>
      </c>
      <c r="B425" s="444" t="s">
        <v>3791</v>
      </c>
      <c r="C425" s="445" t="s">
        <v>62</v>
      </c>
      <c r="D425" s="444" t="s">
        <v>3792</v>
      </c>
      <c r="E425" s="446">
        <v>1</v>
      </c>
      <c r="F425" s="447"/>
      <c r="G425" s="448">
        <f t="shared" si="16"/>
        <v>0</v>
      </c>
      <c r="H425" s="450"/>
      <c r="I425" s="444"/>
      <c r="J425" s="450"/>
      <c r="K425" s="444" t="s">
        <v>3748</v>
      </c>
      <c r="L425" s="450" t="s">
        <v>3749</v>
      </c>
      <c r="M425" s="444" t="s">
        <v>3756</v>
      </c>
      <c r="N425" s="450"/>
      <c r="O425" s="450"/>
      <c r="P425" s="450" t="s">
        <v>2921</v>
      </c>
      <c r="Q425" s="451" t="s">
        <v>374</v>
      </c>
      <c r="R425" s="451" t="s">
        <v>2922</v>
      </c>
      <c r="S425" s="452">
        <v>45565</v>
      </c>
      <c r="T425" s="452"/>
      <c r="U425" s="453"/>
      <c r="V425" s="454"/>
      <c r="W425" s="455" t="s">
        <v>592</v>
      </c>
      <c r="X425" s="452">
        <v>45565</v>
      </c>
      <c r="Y425" s="456" t="s">
        <v>377</v>
      </c>
      <c r="Z425" s="457"/>
      <c r="AA425" s="453"/>
    </row>
    <row r="426" spans="1:27" s="128" customFormat="1" ht="37.5">
      <c r="A426" s="443">
        <v>21</v>
      </c>
      <c r="B426" s="444" t="s">
        <v>3793</v>
      </c>
      <c r="C426" s="445" t="s">
        <v>62</v>
      </c>
      <c r="D426" s="444" t="s">
        <v>3794</v>
      </c>
      <c r="E426" s="446">
        <v>1</v>
      </c>
      <c r="F426" s="447"/>
      <c r="G426" s="448">
        <f t="shared" si="16"/>
        <v>0</v>
      </c>
      <c r="H426" s="450">
        <v>45504</v>
      </c>
      <c r="I426" s="444">
        <v>37249</v>
      </c>
      <c r="J426" s="450">
        <v>45505</v>
      </c>
      <c r="K426" s="444" t="s">
        <v>3748</v>
      </c>
      <c r="L426" s="450" t="s">
        <v>3749</v>
      </c>
      <c r="M426" s="444" t="s">
        <v>3753</v>
      </c>
      <c r="N426" s="450"/>
      <c r="O426" s="450"/>
      <c r="P426" s="450" t="s">
        <v>2921</v>
      </c>
      <c r="Q426" s="451" t="s">
        <v>374</v>
      </c>
      <c r="R426" s="451" t="s">
        <v>2906</v>
      </c>
      <c r="S426" s="452">
        <v>45541</v>
      </c>
      <c r="T426" s="452"/>
      <c r="U426" s="453"/>
      <c r="V426" s="454"/>
      <c r="W426" s="455" t="s">
        <v>406</v>
      </c>
      <c r="X426" s="452">
        <v>45565</v>
      </c>
      <c r="Y426" s="456" t="s">
        <v>377</v>
      </c>
      <c r="Z426" s="457"/>
      <c r="AA426" s="453"/>
    </row>
    <row r="427" spans="1:27" s="128" customFormat="1" ht="37.5">
      <c r="A427" s="443">
        <v>22</v>
      </c>
      <c r="B427" s="444" t="s">
        <v>3795</v>
      </c>
      <c r="C427" s="445" t="s">
        <v>62</v>
      </c>
      <c r="D427" s="444" t="s">
        <v>3796</v>
      </c>
      <c r="E427" s="446">
        <v>1</v>
      </c>
      <c r="F427" s="447"/>
      <c r="G427" s="448">
        <f t="shared" si="16"/>
        <v>0</v>
      </c>
      <c r="H427" s="450">
        <v>45504</v>
      </c>
      <c r="I427" s="444">
        <v>37249</v>
      </c>
      <c r="J427" s="450">
        <v>45505</v>
      </c>
      <c r="K427" s="444" t="s">
        <v>3748</v>
      </c>
      <c r="L427" s="450" t="s">
        <v>3749</v>
      </c>
      <c r="M427" s="444" t="s">
        <v>3753</v>
      </c>
      <c r="N427" s="450"/>
      <c r="O427" s="450"/>
      <c r="P427" s="450" t="s">
        <v>2921</v>
      </c>
      <c r="Q427" s="451" t="s">
        <v>374</v>
      </c>
      <c r="R427" s="451" t="s">
        <v>2906</v>
      </c>
      <c r="S427" s="452">
        <v>45541</v>
      </c>
      <c r="T427" s="452"/>
      <c r="U427" s="453"/>
      <c r="V427" s="454"/>
      <c r="W427" s="455" t="s">
        <v>406</v>
      </c>
      <c r="X427" s="455">
        <v>45541</v>
      </c>
      <c r="Y427" s="456" t="s">
        <v>377</v>
      </c>
      <c r="Z427" s="457"/>
      <c r="AA427" s="453"/>
    </row>
    <row r="428" spans="1:27" s="128" customFormat="1" ht="37.5">
      <c r="A428" s="443">
        <v>23</v>
      </c>
      <c r="B428" s="444" t="s">
        <v>3797</v>
      </c>
      <c r="C428" s="445" t="s">
        <v>62</v>
      </c>
      <c r="D428" s="444" t="s">
        <v>3798</v>
      </c>
      <c r="E428" s="446">
        <v>1</v>
      </c>
      <c r="F428" s="447"/>
      <c r="G428" s="448">
        <f t="shared" si="16"/>
        <v>0</v>
      </c>
      <c r="H428" s="450">
        <v>45504</v>
      </c>
      <c r="I428" s="444">
        <v>37249</v>
      </c>
      <c r="J428" s="450">
        <v>45505</v>
      </c>
      <c r="K428" s="444" t="s">
        <v>3748</v>
      </c>
      <c r="L428" s="450" t="s">
        <v>3749</v>
      </c>
      <c r="M428" s="444" t="s">
        <v>3753</v>
      </c>
      <c r="N428" s="450"/>
      <c r="O428" s="450"/>
      <c r="P428" s="450" t="s">
        <v>2921</v>
      </c>
      <c r="Q428" s="451" t="s">
        <v>374</v>
      </c>
      <c r="R428" s="451" t="s">
        <v>2906</v>
      </c>
      <c r="S428" s="452">
        <v>45541</v>
      </c>
      <c r="T428" s="452"/>
      <c r="U428" s="453"/>
      <c r="V428" s="454"/>
      <c r="W428" s="455" t="s">
        <v>406</v>
      </c>
      <c r="X428" s="455">
        <v>45545</v>
      </c>
      <c r="Y428" s="456" t="s">
        <v>377</v>
      </c>
      <c r="Z428" s="457"/>
      <c r="AA428" s="453"/>
    </row>
    <row r="429" spans="1:27" s="128" customFormat="1" ht="37.5">
      <c r="A429" s="458">
        <v>24</v>
      </c>
      <c r="B429" s="459" t="s">
        <v>3799</v>
      </c>
      <c r="C429" s="460" t="s">
        <v>62</v>
      </c>
      <c r="D429" s="459" t="s">
        <v>3800</v>
      </c>
      <c r="E429" s="461">
        <v>1</v>
      </c>
      <c r="F429" s="462"/>
      <c r="G429" s="463">
        <f t="shared" si="16"/>
        <v>0</v>
      </c>
      <c r="H429" s="465">
        <v>45504</v>
      </c>
      <c r="I429" s="459">
        <v>37249</v>
      </c>
      <c r="J429" s="465">
        <v>45505</v>
      </c>
      <c r="K429" s="459" t="s">
        <v>3748</v>
      </c>
      <c r="L429" s="465" t="s">
        <v>3749</v>
      </c>
      <c r="M429" s="459" t="s">
        <v>3753</v>
      </c>
      <c r="N429" s="465"/>
      <c r="O429" s="465"/>
      <c r="P429" s="465" t="s">
        <v>2921</v>
      </c>
      <c r="Q429" s="466" t="s">
        <v>374</v>
      </c>
      <c r="R429" s="466" t="s">
        <v>2906</v>
      </c>
      <c r="S429" s="467">
        <v>45541</v>
      </c>
      <c r="T429" s="467"/>
      <c r="U429" s="468"/>
      <c r="V429" s="469"/>
      <c r="W429" s="470" t="s">
        <v>406</v>
      </c>
      <c r="X429" s="470">
        <v>45538</v>
      </c>
      <c r="Y429" s="471" t="s">
        <v>377</v>
      </c>
      <c r="Z429" s="472"/>
      <c r="AA429" s="453"/>
    </row>
    <row r="430" spans="1:27">
      <c r="A430" s="389"/>
      <c r="B430" s="390" t="s">
        <v>1234</v>
      </c>
      <c r="C430" s="391"/>
      <c r="D430" s="392"/>
      <c r="E430" s="393"/>
      <c r="F430" s="394"/>
      <c r="G430" s="395">
        <f>E430*F430</f>
        <v>0</v>
      </c>
      <c r="H430" s="420"/>
      <c r="I430" s="392"/>
      <c r="J430" s="420"/>
      <c r="K430" s="392"/>
      <c r="L430" s="397"/>
      <c r="M430" s="392"/>
      <c r="N430" s="397"/>
      <c r="O430" s="397"/>
      <c r="P430" s="397"/>
      <c r="Q430" s="398"/>
      <c r="R430" s="398"/>
      <c r="S430" s="399"/>
      <c r="T430" s="399"/>
      <c r="U430" s="400"/>
      <c r="V430" s="401"/>
      <c r="W430" s="402"/>
      <c r="X430" s="402"/>
      <c r="Y430" s="403"/>
      <c r="Z430" s="404"/>
      <c r="AA430" s="493"/>
    </row>
    <row r="431" spans="1:27" s="128" customFormat="1" ht="37.5">
      <c r="A431" s="443">
        <v>1</v>
      </c>
      <c r="B431" s="444" t="s">
        <v>3801</v>
      </c>
      <c r="C431" s="445" t="s">
        <v>64</v>
      </c>
      <c r="D431" s="444" t="s">
        <v>3802</v>
      </c>
      <c r="E431" s="446">
        <v>1</v>
      </c>
      <c r="F431" s="447"/>
      <c r="G431" s="448">
        <f t="shared" ref="G431:G470" si="17">E431*F431</f>
        <v>0</v>
      </c>
      <c r="H431" s="450"/>
      <c r="I431" s="444"/>
      <c r="J431" s="450"/>
      <c r="K431" s="444" t="s">
        <v>3803</v>
      </c>
      <c r="L431" s="450" t="s">
        <v>3749</v>
      </c>
      <c r="M431" s="444" t="s">
        <v>3804</v>
      </c>
      <c r="N431" s="450"/>
      <c r="O431" s="450"/>
      <c r="P431" s="450" t="s">
        <v>1074</v>
      </c>
      <c r="Q431" s="451" t="s">
        <v>374</v>
      </c>
      <c r="R431" s="451" t="s">
        <v>2922</v>
      </c>
      <c r="S431" s="452">
        <v>45552</v>
      </c>
      <c r="T431" s="452"/>
      <c r="U431" s="453"/>
      <c r="V431" s="454"/>
      <c r="W431" s="455" t="s">
        <v>406</v>
      </c>
      <c r="X431" s="455">
        <v>45545</v>
      </c>
      <c r="Y431" s="456" t="s">
        <v>377</v>
      </c>
      <c r="Z431" s="457"/>
      <c r="AA431" s="453"/>
    </row>
    <row r="432" spans="1:27" s="128" customFormat="1" ht="37.5">
      <c r="A432" s="443">
        <v>2</v>
      </c>
      <c r="B432" s="444" t="s">
        <v>3805</v>
      </c>
      <c r="C432" s="445" t="s">
        <v>64</v>
      </c>
      <c r="D432" s="444" t="s">
        <v>3806</v>
      </c>
      <c r="E432" s="446">
        <v>1</v>
      </c>
      <c r="F432" s="447"/>
      <c r="G432" s="448">
        <f t="shared" si="17"/>
        <v>0</v>
      </c>
      <c r="H432" s="450"/>
      <c r="I432" s="444"/>
      <c r="J432" s="450"/>
      <c r="K432" s="444" t="s">
        <v>3803</v>
      </c>
      <c r="L432" s="450" t="s">
        <v>3749</v>
      </c>
      <c r="M432" s="444" t="s">
        <v>3807</v>
      </c>
      <c r="N432" s="450"/>
      <c r="O432" s="450"/>
      <c r="P432" s="450" t="s">
        <v>3808</v>
      </c>
      <c r="Q432" s="451" t="s">
        <v>374</v>
      </c>
      <c r="R432" s="451" t="s">
        <v>3313</v>
      </c>
      <c r="S432" s="452">
        <v>45541</v>
      </c>
      <c r="T432" s="452"/>
      <c r="U432" s="453"/>
      <c r="V432" s="454"/>
      <c r="W432" s="455" t="s">
        <v>406</v>
      </c>
      <c r="X432" s="455">
        <v>45540</v>
      </c>
      <c r="Y432" s="456" t="s">
        <v>377</v>
      </c>
      <c r="Z432" s="457"/>
      <c r="AA432" s="453"/>
    </row>
    <row r="433" spans="1:27" s="128" customFormat="1" ht="37.5">
      <c r="A433" s="443">
        <v>3</v>
      </c>
      <c r="B433" s="444" t="s">
        <v>3809</v>
      </c>
      <c r="C433" s="445" t="s">
        <v>64</v>
      </c>
      <c r="D433" s="444" t="s">
        <v>3810</v>
      </c>
      <c r="E433" s="446">
        <v>3</v>
      </c>
      <c r="F433" s="447"/>
      <c r="G433" s="448">
        <f t="shared" si="17"/>
        <v>0</v>
      </c>
      <c r="H433" s="450"/>
      <c r="I433" s="444"/>
      <c r="J433" s="450"/>
      <c r="K433" s="444" t="s">
        <v>3803</v>
      </c>
      <c r="L433" s="450" t="s">
        <v>3749</v>
      </c>
      <c r="M433" s="444" t="s">
        <v>3804</v>
      </c>
      <c r="N433" s="450"/>
      <c r="O433" s="450"/>
      <c r="P433" s="450" t="s">
        <v>1074</v>
      </c>
      <c r="Q433" s="451" t="s">
        <v>374</v>
      </c>
      <c r="R433" s="451" t="s">
        <v>2922</v>
      </c>
      <c r="S433" s="452">
        <v>45552</v>
      </c>
      <c r="T433" s="452"/>
      <c r="U433" s="453"/>
      <c r="V433" s="454"/>
      <c r="W433" s="455" t="s">
        <v>406</v>
      </c>
      <c r="X433" s="455">
        <v>45545</v>
      </c>
      <c r="Y433" s="456" t="s">
        <v>377</v>
      </c>
      <c r="Z433" s="457"/>
      <c r="AA433" s="453"/>
    </row>
    <row r="434" spans="1:27" s="128" customFormat="1" ht="37.5">
      <c r="A434" s="443">
        <v>4</v>
      </c>
      <c r="B434" s="444" t="s">
        <v>3811</v>
      </c>
      <c r="C434" s="445" t="s">
        <v>64</v>
      </c>
      <c r="D434" s="444" t="s">
        <v>3812</v>
      </c>
      <c r="E434" s="446">
        <v>3</v>
      </c>
      <c r="F434" s="447"/>
      <c r="G434" s="448">
        <f t="shared" si="17"/>
        <v>0</v>
      </c>
      <c r="H434" s="450"/>
      <c r="I434" s="444"/>
      <c r="J434" s="450"/>
      <c r="K434" s="444" t="s">
        <v>3803</v>
      </c>
      <c r="L434" s="450" t="s">
        <v>3749</v>
      </c>
      <c r="M434" s="444" t="s">
        <v>3804</v>
      </c>
      <c r="N434" s="450"/>
      <c r="O434" s="450"/>
      <c r="P434" s="450" t="s">
        <v>1074</v>
      </c>
      <c r="Q434" s="451" t="s">
        <v>374</v>
      </c>
      <c r="R434" s="451" t="s">
        <v>2922</v>
      </c>
      <c r="S434" s="452">
        <v>45552</v>
      </c>
      <c r="T434" s="452"/>
      <c r="U434" s="453"/>
      <c r="V434" s="454"/>
      <c r="W434" s="455" t="s">
        <v>406</v>
      </c>
      <c r="X434" s="455">
        <v>45545</v>
      </c>
      <c r="Y434" s="456" t="s">
        <v>377</v>
      </c>
      <c r="Z434" s="457"/>
      <c r="AA434" s="453"/>
    </row>
    <row r="435" spans="1:27" s="128" customFormat="1" ht="37.5">
      <c r="A435" s="443">
        <v>5</v>
      </c>
      <c r="B435" s="444" t="s">
        <v>3813</v>
      </c>
      <c r="C435" s="445" t="s">
        <v>64</v>
      </c>
      <c r="D435" s="444" t="s">
        <v>3814</v>
      </c>
      <c r="E435" s="446">
        <v>3</v>
      </c>
      <c r="F435" s="447"/>
      <c r="G435" s="448">
        <f t="shared" si="17"/>
        <v>0</v>
      </c>
      <c r="H435" s="450"/>
      <c r="I435" s="444"/>
      <c r="J435" s="450"/>
      <c r="K435" s="444" t="s">
        <v>3803</v>
      </c>
      <c r="L435" s="450" t="s">
        <v>3749</v>
      </c>
      <c r="M435" s="444" t="s">
        <v>3815</v>
      </c>
      <c r="N435" s="450"/>
      <c r="O435" s="450"/>
      <c r="P435" s="450" t="s">
        <v>3808</v>
      </c>
      <c r="Q435" s="451" t="s">
        <v>374</v>
      </c>
      <c r="R435" s="451" t="s">
        <v>3816</v>
      </c>
      <c r="S435" s="452">
        <v>45545</v>
      </c>
      <c r="T435" s="452"/>
      <c r="U435" s="453"/>
      <c r="V435" s="454"/>
      <c r="W435" s="455" t="s">
        <v>376</v>
      </c>
      <c r="X435" s="455">
        <v>45546</v>
      </c>
      <c r="Y435" s="456" t="s">
        <v>377</v>
      </c>
      <c r="Z435" s="457"/>
      <c r="AA435" s="453"/>
    </row>
    <row r="436" spans="1:27" s="128" customFormat="1" ht="37.5">
      <c r="A436" s="443">
        <v>6</v>
      </c>
      <c r="B436" s="444" t="s">
        <v>3817</v>
      </c>
      <c r="C436" s="445" t="s">
        <v>64</v>
      </c>
      <c r="D436" s="444" t="s">
        <v>3818</v>
      </c>
      <c r="E436" s="446">
        <v>1</v>
      </c>
      <c r="F436" s="447"/>
      <c r="G436" s="448">
        <f t="shared" si="17"/>
        <v>0</v>
      </c>
      <c r="H436" s="450"/>
      <c r="I436" s="444"/>
      <c r="J436" s="450"/>
      <c r="K436" s="444" t="s">
        <v>3803</v>
      </c>
      <c r="L436" s="450" t="s">
        <v>3749</v>
      </c>
      <c r="M436" s="444" t="s">
        <v>3819</v>
      </c>
      <c r="N436" s="450"/>
      <c r="O436" s="450"/>
      <c r="P436" s="450" t="s">
        <v>3808</v>
      </c>
      <c r="Q436" s="451" t="s">
        <v>374</v>
      </c>
      <c r="R436" s="451" t="s">
        <v>2957</v>
      </c>
      <c r="S436" s="452">
        <v>45545</v>
      </c>
      <c r="T436" s="452"/>
      <c r="U436" s="453"/>
      <c r="V436" s="454"/>
      <c r="W436" s="455" t="s">
        <v>376</v>
      </c>
      <c r="X436" s="455">
        <v>45546</v>
      </c>
      <c r="Y436" s="456" t="s">
        <v>377</v>
      </c>
      <c r="Z436" s="457"/>
      <c r="AA436" s="453"/>
    </row>
    <row r="437" spans="1:27" s="128" customFormat="1" ht="37.5">
      <c r="A437" s="443">
        <v>7</v>
      </c>
      <c r="B437" s="444" t="s">
        <v>3621</v>
      </c>
      <c r="C437" s="445" t="s">
        <v>64</v>
      </c>
      <c r="D437" s="444" t="s">
        <v>3622</v>
      </c>
      <c r="E437" s="446">
        <v>4</v>
      </c>
      <c r="F437" s="447"/>
      <c r="G437" s="448">
        <f t="shared" si="17"/>
        <v>0</v>
      </c>
      <c r="H437" s="450"/>
      <c r="I437" s="444"/>
      <c r="J437" s="450"/>
      <c r="K437" s="444" t="s">
        <v>3820</v>
      </c>
      <c r="L437" s="450" t="s">
        <v>3749</v>
      </c>
      <c r="M437" s="444" t="s">
        <v>3821</v>
      </c>
      <c r="N437" s="450"/>
      <c r="O437" s="450"/>
      <c r="P437" s="450" t="s">
        <v>3808</v>
      </c>
      <c r="Q437" s="451" t="s">
        <v>374</v>
      </c>
      <c r="R437" s="451" t="s">
        <v>260</v>
      </c>
      <c r="S437" s="452">
        <v>45565</v>
      </c>
      <c r="T437" s="452"/>
      <c r="U437" s="453"/>
      <c r="V437" s="454"/>
      <c r="W437" s="455" t="s">
        <v>406</v>
      </c>
      <c r="X437" s="455">
        <v>45540</v>
      </c>
      <c r="Y437" s="456" t="s">
        <v>377</v>
      </c>
      <c r="Z437" s="457"/>
      <c r="AA437" s="453"/>
    </row>
    <row r="438" spans="1:27" s="128" customFormat="1" ht="37.5">
      <c r="A438" s="443">
        <v>8</v>
      </c>
      <c r="B438" s="444" t="s">
        <v>3822</v>
      </c>
      <c r="C438" s="445" t="s">
        <v>64</v>
      </c>
      <c r="D438" s="444" t="s">
        <v>3823</v>
      </c>
      <c r="E438" s="446">
        <v>1</v>
      </c>
      <c r="F438" s="447"/>
      <c r="G438" s="448">
        <f t="shared" si="17"/>
        <v>0</v>
      </c>
      <c r="H438" s="450"/>
      <c r="I438" s="444"/>
      <c r="J438" s="450"/>
      <c r="K438" s="444" t="s">
        <v>3803</v>
      </c>
      <c r="L438" s="450" t="s">
        <v>3749</v>
      </c>
      <c r="M438" s="444" t="s">
        <v>3804</v>
      </c>
      <c r="N438" s="450"/>
      <c r="O438" s="450"/>
      <c r="P438" s="450" t="s">
        <v>1074</v>
      </c>
      <c r="Q438" s="451" t="s">
        <v>374</v>
      </c>
      <c r="R438" s="451" t="s">
        <v>2922</v>
      </c>
      <c r="S438" s="452">
        <v>45552</v>
      </c>
      <c r="T438" s="452"/>
      <c r="U438" s="453"/>
      <c r="V438" s="454"/>
      <c r="W438" s="455" t="s">
        <v>406</v>
      </c>
      <c r="X438" s="455">
        <v>45554</v>
      </c>
      <c r="Y438" s="456" t="s">
        <v>377</v>
      </c>
      <c r="Z438" s="457"/>
      <c r="AA438" s="453"/>
    </row>
    <row r="439" spans="1:27" s="128" customFormat="1" ht="37.5">
      <c r="A439" s="443">
        <v>9</v>
      </c>
      <c r="B439" s="444" t="s">
        <v>3824</v>
      </c>
      <c r="C439" s="445" t="s">
        <v>64</v>
      </c>
      <c r="D439" s="444" t="s">
        <v>3825</v>
      </c>
      <c r="E439" s="446">
        <v>1</v>
      </c>
      <c r="F439" s="447"/>
      <c r="G439" s="448">
        <f t="shared" si="17"/>
        <v>0</v>
      </c>
      <c r="H439" s="450"/>
      <c r="I439" s="444"/>
      <c r="J439" s="450"/>
      <c r="K439" s="444" t="s">
        <v>3803</v>
      </c>
      <c r="L439" s="450" t="s">
        <v>3749</v>
      </c>
      <c r="M439" s="444" t="s">
        <v>3804</v>
      </c>
      <c r="N439" s="450"/>
      <c r="O439" s="450"/>
      <c r="P439" s="450" t="s">
        <v>1074</v>
      </c>
      <c r="Q439" s="451" t="s">
        <v>374</v>
      </c>
      <c r="R439" s="451" t="s">
        <v>2922</v>
      </c>
      <c r="S439" s="452">
        <v>45552</v>
      </c>
      <c r="T439" s="452"/>
      <c r="U439" s="453"/>
      <c r="V439" s="454"/>
      <c r="W439" s="455" t="s">
        <v>406</v>
      </c>
      <c r="X439" s="455">
        <v>45552</v>
      </c>
      <c r="Y439" s="456" t="s">
        <v>377</v>
      </c>
      <c r="Z439" s="457"/>
      <c r="AA439" s="453"/>
    </row>
    <row r="440" spans="1:27" s="128" customFormat="1" ht="37.5">
      <c r="A440" s="443">
        <v>10</v>
      </c>
      <c r="B440" s="444" t="s">
        <v>3826</v>
      </c>
      <c r="C440" s="445" t="s">
        <v>64</v>
      </c>
      <c r="D440" s="444" t="s">
        <v>3827</v>
      </c>
      <c r="E440" s="446">
        <v>1</v>
      </c>
      <c r="F440" s="447"/>
      <c r="G440" s="448">
        <f t="shared" si="17"/>
        <v>0</v>
      </c>
      <c r="H440" s="450"/>
      <c r="I440" s="444"/>
      <c r="J440" s="450"/>
      <c r="K440" s="444" t="s">
        <v>3803</v>
      </c>
      <c r="L440" s="450" t="s">
        <v>3749</v>
      </c>
      <c r="M440" s="444" t="s">
        <v>3804</v>
      </c>
      <c r="N440" s="450"/>
      <c r="O440" s="450"/>
      <c r="P440" s="450" t="s">
        <v>1074</v>
      </c>
      <c r="Q440" s="451" t="s">
        <v>374</v>
      </c>
      <c r="R440" s="451" t="s">
        <v>2922</v>
      </c>
      <c r="S440" s="452">
        <v>45552</v>
      </c>
      <c r="T440" s="452"/>
      <c r="U440" s="453"/>
      <c r="V440" s="454"/>
      <c r="W440" s="455" t="s">
        <v>406</v>
      </c>
      <c r="X440" s="455">
        <v>45545</v>
      </c>
      <c r="Y440" s="456" t="s">
        <v>377</v>
      </c>
      <c r="Z440" s="457"/>
      <c r="AA440" s="453"/>
    </row>
    <row r="441" spans="1:27" s="128" customFormat="1" ht="37.5">
      <c r="A441" s="443">
        <v>11</v>
      </c>
      <c r="B441" s="444" t="s">
        <v>3828</v>
      </c>
      <c r="C441" s="445" t="s">
        <v>64</v>
      </c>
      <c r="D441" s="444" t="s">
        <v>3829</v>
      </c>
      <c r="E441" s="446">
        <v>1</v>
      </c>
      <c r="F441" s="447"/>
      <c r="G441" s="448">
        <f t="shared" si="17"/>
        <v>0</v>
      </c>
      <c r="H441" s="450"/>
      <c r="I441" s="444"/>
      <c r="J441" s="450"/>
      <c r="K441" s="444" t="s">
        <v>3803</v>
      </c>
      <c r="L441" s="450" t="s">
        <v>3749</v>
      </c>
      <c r="M441" s="444" t="s">
        <v>3830</v>
      </c>
      <c r="N441" s="450"/>
      <c r="O441" s="450"/>
      <c r="P441" s="450" t="s">
        <v>3808</v>
      </c>
      <c r="Q441" s="451" t="s">
        <v>374</v>
      </c>
      <c r="R441" s="451" t="s">
        <v>260</v>
      </c>
      <c r="S441" s="452">
        <v>45545</v>
      </c>
      <c r="T441" s="452"/>
      <c r="U441" s="453"/>
      <c r="V441" s="454"/>
      <c r="W441" s="455" t="s">
        <v>376</v>
      </c>
      <c r="X441" s="455">
        <v>45548</v>
      </c>
      <c r="Y441" s="456" t="s">
        <v>377</v>
      </c>
      <c r="Z441" s="457"/>
      <c r="AA441" s="453"/>
    </row>
    <row r="442" spans="1:27" s="128" customFormat="1" ht="37.5">
      <c r="A442" s="443">
        <v>12</v>
      </c>
      <c r="B442" s="444" t="s">
        <v>3831</v>
      </c>
      <c r="C442" s="445" t="s">
        <v>64</v>
      </c>
      <c r="D442" s="444" t="s">
        <v>3832</v>
      </c>
      <c r="E442" s="446">
        <v>1</v>
      </c>
      <c r="F442" s="447"/>
      <c r="G442" s="448">
        <f t="shared" si="17"/>
        <v>0</v>
      </c>
      <c r="H442" s="450"/>
      <c r="I442" s="444"/>
      <c r="J442" s="450"/>
      <c r="K442" s="444" t="s">
        <v>3803</v>
      </c>
      <c r="L442" s="450" t="s">
        <v>3749</v>
      </c>
      <c r="M442" s="444" t="s">
        <v>3833</v>
      </c>
      <c r="N442" s="450"/>
      <c r="O442" s="450"/>
      <c r="P442" s="450" t="s">
        <v>3808</v>
      </c>
      <c r="Q442" s="451" t="s">
        <v>374</v>
      </c>
      <c r="R442" s="451" t="s">
        <v>2906</v>
      </c>
      <c r="S442" s="452">
        <v>45545</v>
      </c>
      <c r="T442" s="452"/>
      <c r="U442" s="453"/>
      <c r="V442" s="454"/>
      <c r="W442" s="470" t="s">
        <v>406</v>
      </c>
      <c r="X442" s="470">
        <v>45538</v>
      </c>
      <c r="Y442" s="456" t="s">
        <v>377</v>
      </c>
      <c r="Z442" s="457"/>
      <c r="AA442" s="453"/>
    </row>
    <row r="443" spans="1:27" s="128" customFormat="1" ht="37.5">
      <c r="A443" s="443">
        <v>13</v>
      </c>
      <c r="B443" s="444" t="s">
        <v>3834</v>
      </c>
      <c r="C443" s="445" t="s">
        <v>64</v>
      </c>
      <c r="D443" s="444" t="s">
        <v>3835</v>
      </c>
      <c r="E443" s="446">
        <v>1</v>
      </c>
      <c r="F443" s="447"/>
      <c r="G443" s="448">
        <f t="shared" si="17"/>
        <v>0</v>
      </c>
      <c r="H443" s="450"/>
      <c r="I443" s="444"/>
      <c r="J443" s="450"/>
      <c r="K443" s="444" t="s">
        <v>3803</v>
      </c>
      <c r="L443" s="450" t="s">
        <v>3749</v>
      </c>
      <c r="M443" s="444" t="s">
        <v>3819</v>
      </c>
      <c r="N443" s="450"/>
      <c r="O443" s="450"/>
      <c r="P443" s="450" t="s">
        <v>3808</v>
      </c>
      <c r="Q443" s="451" t="s">
        <v>374</v>
      </c>
      <c r="R443" s="451" t="s">
        <v>2957</v>
      </c>
      <c r="S443" s="452">
        <v>45545</v>
      </c>
      <c r="T443" s="452"/>
      <c r="U443" s="453"/>
      <c r="V443" s="454"/>
      <c r="W443" s="455" t="s">
        <v>376</v>
      </c>
      <c r="X443" s="455">
        <v>45546</v>
      </c>
      <c r="Y443" s="456" t="s">
        <v>377</v>
      </c>
      <c r="Z443" s="457"/>
      <c r="AA443" s="453"/>
    </row>
    <row r="444" spans="1:27" s="128" customFormat="1" ht="37.5">
      <c r="A444" s="443">
        <v>14</v>
      </c>
      <c r="B444" s="444" t="s">
        <v>3836</v>
      </c>
      <c r="C444" s="445" t="s">
        <v>64</v>
      </c>
      <c r="D444" s="444" t="s">
        <v>3837</v>
      </c>
      <c r="E444" s="446">
        <v>1</v>
      </c>
      <c r="F444" s="447"/>
      <c r="G444" s="448">
        <f t="shared" si="17"/>
        <v>0</v>
      </c>
      <c r="H444" s="450"/>
      <c r="I444" s="444"/>
      <c r="J444" s="450"/>
      <c r="K444" s="444" t="s">
        <v>3803</v>
      </c>
      <c r="L444" s="450" t="s">
        <v>3749</v>
      </c>
      <c r="M444" s="444" t="s">
        <v>3819</v>
      </c>
      <c r="N444" s="450"/>
      <c r="O444" s="450"/>
      <c r="P444" s="450" t="s">
        <v>3808</v>
      </c>
      <c r="Q444" s="451" t="s">
        <v>374</v>
      </c>
      <c r="R444" s="451" t="s">
        <v>2957</v>
      </c>
      <c r="S444" s="452">
        <v>45545</v>
      </c>
      <c r="T444" s="452"/>
      <c r="U444" s="453"/>
      <c r="V444" s="454"/>
      <c r="W444" s="455" t="s">
        <v>376</v>
      </c>
      <c r="X444" s="455">
        <v>45546</v>
      </c>
      <c r="Y444" s="456" t="s">
        <v>377</v>
      </c>
      <c r="Z444" s="457"/>
      <c r="AA444" s="453"/>
    </row>
    <row r="445" spans="1:27" s="128" customFormat="1" ht="37.5">
      <c r="A445" s="443">
        <v>15</v>
      </c>
      <c r="B445" s="444" t="s">
        <v>3838</v>
      </c>
      <c r="C445" s="445" t="s">
        <v>64</v>
      </c>
      <c r="D445" s="444" t="s">
        <v>3839</v>
      </c>
      <c r="E445" s="446">
        <v>1</v>
      </c>
      <c r="F445" s="447"/>
      <c r="G445" s="448">
        <f t="shared" si="17"/>
        <v>0</v>
      </c>
      <c r="H445" s="450"/>
      <c r="I445" s="444"/>
      <c r="J445" s="450"/>
      <c r="K445" s="444" t="s">
        <v>3803</v>
      </c>
      <c r="L445" s="450" t="s">
        <v>3749</v>
      </c>
      <c r="M445" s="444" t="s">
        <v>3804</v>
      </c>
      <c r="N445" s="450"/>
      <c r="O445" s="450"/>
      <c r="P445" s="450" t="s">
        <v>1074</v>
      </c>
      <c r="Q445" s="451" t="s">
        <v>374</v>
      </c>
      <c r="R445" s="451" t="s">
        <v>2922</v>
      </c>
      <c r="S445" s="452">
        <v>45552</v>
      </c>
      <c r="T445" s="452"/>
      <c r="U445" s="453"/>
      <c r="V445" s="454"/>
      <c r="W445" s="455" t="s">
        <v>406</v>
      </c>
      <c r="X445" s="455">
        <v>45545</v>
      </c>
      <c r="Y445" s="456" t="s">
        <v>377</v>
      </c>
      <c r="Z445" s="457"/>
      <c r="AA445" s="453"/>
    </row>
    <row r="446" spans="1:27" s="128" customFormat="1" ht="37.5">
      <c r="A446" s="443">
        <v>16</v>
      </c>
      <c r="B446" s="444" t="s">
        <v>3840</v>
      </c>
      <c r="C446" s="445" t="s">
        <v>64</v>
      </c>
      <c r="D446" s="444" t="s">
        <v>3841</v>
      </c>
      <c r="E446" s="446">
        <v>3</v>
      </c>
      <c r="F446" s="447"/>
      <c r="G446" s="448">
        <f t="shared" si="17"/>
        <v>0</v>
      </c>
      <c r="H446" s="450"/>
      <c r="I446" s="444"/>
      <c r="J446" s="450"/>
      <c r="K446" s="444" t="s">
        <v>3803</v>
      </c>
      <c r="L446" s="450" t="s">
        <v>3749</v>
      </c>
      <c r="M446" s="444" t="s">
        <v>3815</v>
      </c>
      <c r="N446" s="450"/>
      <c r="O446" s="450"/>
      <c r="P446" s="450" t="s">
        <v>3808</v>
      </c>
      <c r="Q446" s="451" t="s">
        <v>374</v>
      </c>
      <c r="R446" s="451" t="s">
        <v>3816</v>
      </c>
      <c r="S446" s="452">
        <v>45545</v>
      </c>
      <c r="T446" s="452"/>
      <c r="U446" s="453"/>
      <c r="V446" s="454"/>
      <c r="W446" s="455" t="s">
        <v>376</v>
      </c>
      <c r="X446" s="455">
        <v>45546</v>
      </c>
      <c r="Y446" s="456" t="s">
        <v>377</v>
      </c>
      <c r="Z446" s="457"/>
      <c r="AA446" s="453"/>
    </row>
    <row r="447" spans="1:27" s="128" customFormat="1" ht="37.5">
      <c r="A447" s="443">
        <v>17</v>
      </c>
      <c r="B447" s="444" t="s">
        <v>3842</v>
      </c>
      <c r="C447" s="445" t="s">
        <v>64</v>
      </c>
      <c r="D447" s="444" t="s">
        <v>3843</v>
      </c>
      <c r="E447" s="446">
        <v>3</v>
      </c>
      <c r="F447" s="447"/>
      <c r="G447" s="448">
        <f t="shared" si="17"/>
        <v>0</v>
      </c>
      <c r="H447" s="450"/>
      <c r="I447" s="444"/>
      <c r="J447" s="450"/>
      <c r="K447" s="444" t="s">
        <v>3803</v>
      </c>
      <c r="L447" s="450" t="s">
        <v>3749</v>
      </c>
      <c r="M447" s="444" t="s">
        <v>3815</v>
      </c>
      <c r="N447" s="450"/>
      <c r="O447" s="450"/>
      <c r="P447" s="450" t="s">
        <v>3808</v>
      </c>
      <c r="Q447" s="451" t="s">
        <v>374</v>
      </c>
      <c r="R447" s="451" t="s">
        <v>3816</v>
      </c>
      <c r="S447" s="452">
        <v>45545</v>
      </c>
      <c r="T447" s="452"/>
      <c r="U447" s="453"/>
      <c r="V447" s="454"/>
      <c r="W447" s="455" t="s">
        <v>376</v>
      </c>
      <c r="X447" s="455">
        <v>45546</v>
      </c>
      <c r="Y447" s="456" t="s">
        <v>377</v>
      </c>
      <c r="Z447" s="457"/>
      <c r="AA447" s="453"/>
    </row>
    <row r="448" spans="1:27" s="128" customFormat="1" ht="37.5">
      <c r="A448" s="443">
        <v>18</v>
      </c>
      <c r="B448" s="444" t="s">
        <v>3844</v>
      </c>
      <c r="C448" s="445" t="s">
        <v>64</v>
      </c>
      <c r="D448" s="444" t="s">
        <v>3845</v>
      </c>
      <c r="E448" s="446">
        <v>1</v>
      </c>
      <c r="F448" s="447"/>
      <c r="G448" s="448">
        <f t="shared" si="17"/>
        <v>0</v>
      </c>
      <c r="H448" s="450"/>
      <c r="I448" s="444"/>
      <c r="J448" s="450"/>
      <c r="K448" s="444" t="s">
        <v>3803</v>
      </c>
      <c r="L448" s="450" t="s">
        <v>3749</v>
      </c>
      <c r="M448" s="444" t="s">
        <v>3833</v>
      </c>
      <c r="N448" s="450"/>
      <c r="O448" s="450"/>
      <c r="P448" s="450" t="s">
        <v>3808</v>
      </c>
      <c r="Q448" s="451" t="s">
        <v>374</v>
      </c>
      <c r="R448" s="451" t="s">
        <v>2906</v>
      </c>
      <c r="S448" s="452">
        <v>45545</v>
      </c>
      <c r="T448" s="452"/>
      <c r="U448" s="453"/>
      <c r="V448" s="454"/>
      <c r="W448" s="455" t="s">
        <v>406</v>
      </c>
      <c r="X448" s="455">
        <v>45540</v>
      </c>
      <c r="Y448" s="456" t="s">
        <v>377</v>
      </c>
      <c r="Z448" s="457"/>
      <c r="AA448" s="453"/>
    </row>
    <row r="449" spans="1:27" s="128" customFormat="1" ht="37.5">
      <c r="A449" s="443">
        <v>19</v>
      </c>
      <c r="B449" s="444" t="s">
        <v>3846</v>
      </c>
      <c r="C449" s="445" t="s">
        <v>64</v>
      </c>
      <c r="D449" s="444" t="s">
        <v>3847</v>
      </c>
      <c r="E449" s="446">
        <v>1</v>
      </c>
      <c r="F449" s="447"/>
      <c r="G449" s="448">
        <f t="shared" si="17"/>
        <v>0</v>
      </c>
      <c r="H449" s="450"/>
      <c r="I449" s="444"/>
      <c r="J449" s="450"/>
      <c r="K449" s="444" t="s">
        <v>3803</v>
      </c>
      <c r="L449" s="450" t="s">
        <v>3749</v>
      </c>
      <c r="M449" s="444" t="s">
        <v>3804</v>
      </c>
      <c r="N449" s="450"/>
      <c r="O449" s="450"/>
      <c r="P449" s="450" t="s">
        <v>1074</v>
      </c>
      <c r="Q449" s="451" t="s">
        <v>374</v>
      </c>
      <c r="R449" s="451" t="s">
        <v>2922</v>
      </c>
      <c r="S449" s="452">
        <v>45552</v>
      </c>
      <c r="T449" s="452"/>
      <c r="U449" s="453"/>
      <c r="V449" s="454"/>
      <c r="W449" s="455" t="s">
        <v>406</v>
      </c>
      <c r="X449" s="455">
        <v>45554</v>
      </c>
      <c r="Y449" s="456" t="s">
        <v>377</v>
      </c>
      <c r="Z449" s="457"/>
      <c r="AA449" s="453"/>
    </row>
    <row r="450" spans="1:27" s="128" customFormat="1" ht="37.5">
      <c r="A450" s="443">
        <v>20</v>
      </c>
      <c r="B450" s="444" t="s">
        <v>3848</v>
      </c>
      <c r="C450" s="445" t="s">
        <v>64</v>
      </c>
      <c r="D450" s="444" t="s">
        <v>3849</v>
      </c>
      <c r="E450" s="446">
        <v>1</v>
      </c>
      <c r="F450" s="447"/>
      <c r="G450" s="448">
        <f t="shared" si="17"/>
        <v>0</v>
      </c>
      <c r="H450" s="450"/>
      <c r="I450" s="444"/>
      <c r="J450" s="450"/>
      <c r="K450" s="444" t="s">
        <v>3803</v>
      </c>
      <c r="L450" s="450" t="s">
        <v>3749</v>
      </c>
      <c r="M450" s="444" t="s">
        <v>3815</v>
      </c>
      <c r="N450" s="450"/>
      <c r="O450" s="450"/>
      <c r="P450" s="450" t="s">
        <v>3808</v>
      </c>
      <c r="Q450" s="451" t="s">
        <v>374</v>
      </c>
      <c r="R450" s="451" t="s">
        <v>3816</v>
      </c>
      <c r="S450" s="452">
        <v>45545</v>
      </c>
      <c r="T450" s="452"/>
      <c r="U450" s="453"/>
      <c r="V450" s="454"/>
      <c r="W450" s="455" t="s">
        <v>376</v>
      </c>
      <c r="X450" s="455">
        <v>45546</v>
      </c>
      <c r="Y450" s="456" t="s">
        <v>377</v>
      </c>
      <c r="Z450" s="457"/>
      <c r="AA450" s="453"/>
    </row>
    <row r="451" spans="1:27" s="128" customFormat="1" ht="37.5">
      <c r="A451" s="443">
        <v>21</v>
      </c>
      <c r="B451" s="444" t="s">
        <v>3850</v>
      </c>
      <c r="C451" s="445" t="s">
        <v>64</v>
      </c>
      <c r="D451" s="444" t="s">
        <v>3851</v>
      </c>
      <c r="E451" s="446">
        <v>1</v>
      </c>
      <c r="F451" s="447"/>
      <c r="G451" s="448">
        <f t="shared" si="17"/>
        <v>0</v>
      </c>
      <c r="H451" s="450"/>
      <c r="I451" s="444"/>
      <c r="J451" s="450"/>
      <c r="K451" s="444" t="s">
        <v>3803</v>
      </c>
      <c r="L451" s="450" t="s">
        <v>3749</v>
      </c>
      <c r="M451" s="444" t="s">
        <v>3807</v>
      </c>
      <c r="N451" s="450"/>
      <c r="O451" s="450"/>
      <c r="P451" s="450" t="s">
        <v>3808</v>
      </c>
      <c r="Q451" s="451" t="s">
        <v>374</v>
      </c>
      <c r="R451" s="451" t="s">
        <v>3313</v>
      </c>
      <c r="S451" s="452">
        <v>45541</v>
      </c>
      <c r="T451" s="452"/>
      <c r="U451" s="453"/>
      <c r="V451" s="454"/>
      <c r="W451" s="455" t="s">
        <v>406</v>
      </c>
      <c r="X451" s="455">
        <v>45540</v>
      </c>
      <c r="Y451" s="456" t="s">
        <v>377</v>
      </c>
      <c r="Z451" s="457"/>
      <c r="AA451" s="453"/>
    </row>
    <row r="452" spans="1:27" s="128" customFormat="1" ht="37.5">
      <c r="A452" s="443">
        <v>22</v>
      </c>
      <c r="B452" s="444" t="s">
        <v>3852</v>
      </c>
      <c r="C452" s="445" t="s">
        <v>64</v>
      </c>
      <c r="D452" s="444" t="s">
        <v>3853</v>
      </c>
      <c r="E452" s="446">
        <v>1</v>
      </c>
      <c r="F452" s="447"/>
      <c r="G452" s="448">
        <f t="shared" si="17"/>
        <v>0</v>
      </c>
      <c r="H452" s="450"/>
      <c r="I452" s="444"/>
      <c r="J452" s="450"/>
      <c r="K452" s="444" t="s">
        <v>3803</v>
      </c>
      <c r="L452" s="450" t="s">
        <v>3749</v>
      </c>
      <c r="M452" s="444" t="s">
        <v>3804</v>
      </c>
      <c r="N452" s="450"/>
      <c r="O452" s="450"/>
      <c r="P452" s="450" t="s">
        <v>1074</v>
      </c>
      <c r="Q452" s="451" t="s">
        <v>374</v>
      </c>
      <c r="R452" s="451" t="s">
        <v>2922</v>
      </c>
      <c r="S452" s="452">
        <v>45552</v>
      </c>
      <c r="T452" s="452"/>
      <c r="U452" s="453"/>
      <c r="V452" s="454"/>
      <c r="W452" s="455" t="s">
        <v>406</v>
      </c>
      <c r="X452" s="455">
        <v>45552</v>
      </c>
      <c r="Y452" s="456" t="s">
        <v>377</v>
      </c>
      <c r="Z452" s="457"/>
      <c r="AA452" s="453"/>
    </row>
    <row r="453" spans="1:27" s="128" customFormat="1" ht="37.5">
      <c r="A453" s="443">
        <v>23</v>
      </c>
      <c r="B453" s="444" t="s">
        <v>3854</v>
      </c>
      <c r="C453" s="445" t="s">
        <v>64</v>
      </c>
      <c r="D453" s="444" t="s">
        <v>3855</v>
      </c>
      <c r="E453" s="446">
        <v>1</v>
      </c>
      <c r="F453" s="447"/>
      <c r="G453" s="448">
        <f t="shared" si="17"/>
        <v>0</v>
      </c>
      <c r="H453" s="450"/>
      <c r="I453" s="444"/>
      <c r="J453" s="450"/>
      <c r="K453" s="444" t="s">
        <v>3803</v>
      </c>
      <c r="L453" s="450" t="s">
        <v>3749</v>
      </c>
      <c r="M453" s="444" t="s">
        <v>3815</v>
      </c>
      <c r="N453" s="450"/>
      <c r="O453" s="450"/>
      <c r="P453" s="450" t="s">
        <v>3808</v>
      </c>
      <c r="Q453" s="451" t="s">
        <v>374</v>
      </c>
      <c r="R453" s="451" t="s">
        <v>3816</v>
      </c>
      <c r="S453" s="452">
        <v>45545</v>
      </c>
      <c r="T453" s="452"/>
      <c r="U453" s="453"/>
      <c r="V453" s="454"/>
      <c r="W453" s="455" t="s">
        <v>376</v>
      </c>
      <c r="X453" s="455">
        <v>45546</v>
      </c>
      <c r="Y453" s="456" t="s">
        <v>377</v>
      </c>
      <c r="Z453" s="457"/>
      <c r="AA453" s="453"/>
    </row>
    <row r="454" spans="1:27" s="128" customFormat="1" ht="37.5">
      <c r="A454" s="443">
        <v>24</v>
      </c>
      <c r="B454" s="444" t="s">
        <v>3856</v>
      </c>
      <c r="C454" s="445" t="s">
        <v>64</v>
      </c>
      <c r="D454" s="444" t="s">
        <v>3857</v>
      </c>
      <c r="E454" s="446">
        <v>1</v>
      </c>
      <c r="F454" s="447"/>
      <c r="G454" s="448">
        <f t="shared" si="17"/>
        <v>0</v>
      </c>
      <c r="H454" s="450"/>
      <c r="I454" s="444"/>
      <c r="J454" s="450"/>
      <c r="K454" s="444" t="s">
        <v>3803</v>
      </c>
      <c r="L454" s="450" t="s">
        <v>3749</v>
      </c>
      <c r="M454" s="444" t="s">
        <v>3804</v>
      </c>
      <c r="N454" s="450"/>
      <c r="O454" s="450"/>
      <c r="P454" s="450" t="s">
        <v>1074</v>
      </c>
      <c r="Q454" s="451" t="s">
        <v>374</v>
      </c>
      <c r="R454" s="451" t="s">
        <v>2922</v>
      </c>
      <c r="S454" s="452">
        <v>45552</v>
      </c>
      <c r="T454" s="452"/>
      <c r="U454" s="453"/>
      <c r="V454" s="454"/>
      <c r="W454" s="455" t="s">
        <v>406</v>
      </c>
      <c r="X454" s="455">
        <v>45545</v>
      </c>
      <c r="Y454" s="456" t="s">
        <v>377</v>
      </c>
      <c r="Z454" s="457"/>
      <c r="AA454" s="453"/>
    </row>
    <row r="455" spans="1:27" s="128" customFormat="1" ht="37.5">
      <c r="A455" s="443">
        <v>25</v>
      </c>
      <c r="B455" s="444" t="s">
        <v>3858</v>
      </c>
      <c r="C455" s="445" t="s">
        <v>64</v>
      </c>
      <c r="D455" s="444" t="s">
        <v>3859</v>
      </c>
      <c r="E455" s="446">
        <v>1</v>
      </c>
      <c r="F455" s="447"/>
      <c r="G455" s="448">
        <f t="shared" si="17"/>
        <v>0</v>
      </c>
      <c r="H455" s="450"/>
      <c r="I455" s="444"/>
      <c r="J455" s="450"/>
      <c r="K455" s="444" t="s">
        <v>3803</v>
      </c>
      <c r="L455" s="450" t="s">
        <v>3749</v>
      </c>
      <c r="M455" s="444" t="s">
        <v>3860</v>
      </c>
      <c r="N455" s="450"/>
      <c r="O455" s="450"/>
      <c r="P455" s="450" t="s">
        <v>3808</v>
      </c>
      <c r="Q455" s="451" t="s">
        <v>374</v>
      </c>
      <c r="R455" s="451" t="s">
        <v>3861</v>
      </c>
      <c r="S455" s="452">
        <v>45541</v>
      </c>
      <c r="T455" s="452"/>
      <c r="U455" s="453"/>
      <c r="V455" s="454"/>
      <c r="W455" s="455" t="s">
        <v>406</v>
      </c>
      <c r="X455" s="455">
        <v>45544</v>
      </c>
      <c r="Y455" s="456" t="s">
        <v>377</v>
      </c>
      <c r="Z455" s="457"/>
      <c r="AA455" s="453"/>
    </row>
    <row r="456" spans="1:27" s="128" customFormat="1" ht="37.5">
      <c r="A456" s="443">
        <v>26</v>
      </c>
      <c r="B456" s="444" t="s">
        <v>3862</v>
      </c>
      <c r="C456" s="445" t="s">
        <v>64</v>
      </c>
      <c r="D456" s="444" t="s">
        <v>3863</v>
      </c>
      <c r="E456" s="446">
        <v>1</v>
      </c>
      <c r="F456" s="447"/>
      <c r="G456" s="448">
        <f t="shared" si="17"/>
        <v>0</v>
      </c>
      <c r="H456" s="450"/>
      <c r="I456" s="444"/>
      <c r="J456" s="450"/>
      <c r="K456" s="444" t="s">
        <v>3803</v>
      </c>
      <c r="L456" s="450" t="s">
        <v>3749</v>
      </c>
      <c r="M456" s="444" t="s">
        <v>3833</v>
      </c>
      <c r="N456" s="450"/>
      <c r="O456" s="450"/>
      <c r="P456" s="450" t="s">
        <v>3808</v>
      </c>
      <c r="Q456" s="451" t="s">
        <v>374</v>
      </c>
      <c r="R456" s="451" t="s">
        <v>2906</v>
      </c>
      <c r="S456" s="452">
        <v>45545</v>
      </c>
      <c r="T456" s="452"/>
      <c r="U456" s="453"/>
      <c r="V456" s="454"/>
      <c r="W456" s="470" t="s">
        <v>406</v>
      </c>
      <c r="X456" s="470">
        <v>45538</v>
      </c>
      <c r="Y456" s="456" t="s">
        <v>377</v>
      </c>
      <c r="Z456" s="457"/>
      <c r="AA456" s="453"/>
    </row>
    <row r="457" spans="1:27" s="128" customFormat="1" ht="37.5">
      <c r="A457" s="443">
        <v>27</v>
      </c>
      <c r="B457" s="444" t="s">
        <v>3864</v>
      </c>
      <c r="C457" s="445" t="s">
        <v>64</v>
      </c>
      <c r="D457" s="444" t="s">
        <v>3865</v>
      </c>
      <c r="E457" s="446">
        <v>1</v>
      </c>
      <c r="F457" s="447"/>
      <c r="G457" s="448">
        <f t="shared" si="17"/>
        <v>0</v>
      </c>
      <c r="H457" s="450"/>
      <c r="I457" s="444"/>
      <c r="J457" s="450"/>
      <c r="K457" s="444" t="s">
        <v>3803</v>
      </c>
      <c r="L457" s="450" t="s">
        <v>3749</v>
      </c>
      <c r="M457" s="444" t="s">
        <v>3833</v>
      </c>
      <c r="N457" s="450"/>
      <c r="O457" s="450"/>
      <c r="P457" s="450" t="s">
        <v>3808</v>
      </c>
      <c r="Q457" s="451" t="s">
        <v>374</v>
      </c>
      <c r="R457" s="451" t="s">
        <v>2906</v>
      </c>
      <c r="S457" s="452">
        <v>45545</v>
      </c>
      <c r="T457" s="452"/>
      <c r="U457" s="453"/>
      <c r="V457" s="454"/>
      <c r="W457" s="470" t="s">
        <v>406</v>
      </c>
      <c r="X457" s="470">
        <v>45538</v>
      </c>
      <c r="Y457" s="456" t="s">
        <v>377</v>
      </c>
      <c r="Z457" s="457"/>
      <c r="AA457" s="453"/>
    </row>
    <row r="458" spans="1:27" s="128" customFormat="1" ht="37.5">
      <c r="A458" s="443">
        <v>28</v>
      </c>
      <c r="B458" s="444" t="s">
        <v>3866</v>
      </c>
      <c r="C458" s="445" t="s">
        <v>64</v>
      </c>
      <c r="D458" s="444" t="s">
        <v>3867</v>
      </c>
      <c r="E458" s="446">
        <v>1</v>
      </c>
      <c r="F458" s="447"/>
      <c r="G458" s="448">
        <f t="shared" si="17"/>
        <v>0</v>
      </c>
      <c r="H458" s="450"/>
      <c r="I458" s="444"/>
      <c r="J458" s="450"/>
      <c r="K458" s="444" t="s">
        <v>3803</v>
      </c>
      <c r="L458" s="450" t="s">
        <v>3749</v>
      </c>
      <c r="M458" s="444" t="s">
        <v>3804</v>
      </c>
      <c r="N458" s="450"/>
      <c r="O458" s="450"/>
      <c r="P458" s="450" t="s">
        <v>1074</v>
      </c>
      <c r="Q458" s="451" t="s">
        <v>374</v>
      </c>
      <c r="R458" s="451" t="s">
        <v>2922</v>
      </c>
      <c r="S458" s="452">
        <v>45552</v>
      </c>
      <c r="T458" s="452"/>
      <c r="U458" s="453"/>
      <c r="V458" s="454"/>
      <c r="W458" s="455" t="s">
        <v>406</v>
      </c>
      <c r="X458" s="455">
        <v>45545</v>
      </c>
      <c r="Y458" s="456" t="s">
        <v>377</v>
      </c>
      <c r="Z458" s="457"/>
      <c r="AA458" s="453"/>
    </row>
    <row r="459" spans="1:27" s="128" customFormat="1" ht="37.5">
      <c r="A459" s="443">
        <v>29</v>
      </c>
      <c r="B459" s="444" t="s">
        <v>3868</v>
      </c>
      <c r="C459" s="445" t="s">
        <v>64</v>
      </c>
      <c r="D459" s="444" t="s">
        <v>3869</v>
      </c>
      <c r="E459" s="446">
        <v>1</v>
      </c>
      <c r="F459" s="447"/>
      <c r="G459" s="448">
        <f t="shared" si="17"/>
        <v>0</v>
      </c>
      <c r="H459" s="450"/>
      <c r="I459" s="444"/>
      <c r="J459" s="450"/>
      <c r="K459" s="444" t="s">
        <v>3803</v>
      </c>
      <c r="L459" s="450" t="s">
        <v>3749</v>
      </c>
      <c r="M459" s="444" t="s">
        <v>3833</v>
      </c>
      <c r="N459" s="450"/>
      <c r="O459" s="450"/>
      <c r="P459" s="450" t="s">
        <v>3808</v>
      </c>
      <c r="Q459" s="451" t="s">
        <v>374</v>
      </c>
      <c r="R459" s="451" t="s">
        <v>2906</v>
      </c>
      <c r="S459" s="452">
        <v>45545</v>
      </c>
      <c r="T459" s="452"/>
      <c r="U459" s="453"/>
      <c r="V459" s="454"/>
      <c r="W459" s="470" t="s">
        <v>406</v>
      </c>
      <c r="X459" s="470">
        <v>45538</v>
      </c>
      <c r="Y459" s="456" t="s">
        <v>377</v>
      </c>
      <c r="Z459" s="457"/>
      <c r="AA459" s="453"/>
    </row>
    <row r="460" spans="1:27" s="128" customFormat="1" ht="37.5">
      <c r="A460" s="443">
        <v>30</v>
      </c>
      <c r="B460" s="444" t="s">
        <v>3870</v>
      </c>
      <c r="C460" s="445" t="s">
        <v>64</v>
      </c>
      <c r="D460" s="444" t="s">
        <v>3871</v>
      </c>
      <c r="E460" s="446">
        <v>1</v>
      </c>
      <c r="F460" s="447"/>
      <c r="G460" s="448">
        <f t="shared" si="17"/>
        <v>0</v>
      </c>
      <c r="H460" s="450"/>
      <c r="I460" s="444"/>
      <c r="J460" s="450"/>
      <c r="K460" s="444" t="s">
        <v>3803</v>
      </c>
      <c r="L460" s="450" t="s">
        <v>3749</v>
      </c>
      <c r="M460" s="444" t="s">
        <v>3804</v>
      </c>
      <c r="N460" s="450"/>
      <c r="O460" s="450"/>
      <c r="P460" s="450" t="s">
        <v>1074</v>
      </c>
      <c r="Q460" s="451" t="s">
        <v>374</v>
      </c>
      <c r="R460" s="451" t="s">
        <v>2922</v>
      </c>
      <c r="S460" s="452">
        <v>45552</v>
      </c>
      <c r="T460" s="452"/>
      <c r="U460" s="453"/>
      <c r="V460" s="454"/>
      <c r="W460" s="455" t="s">
        <v>406</v>
      </c>
      <c r="X460" s="455">
        <v>45554</v>
      </c>
      <c r="Y460" s="456" t="s">
        <v>377</v>
      </c>
      <c r="Z460" s="457"/>
      <c r="AA460" s="453"/>
    </row>
    <row r="461" spans="1:27" s="441" customFormat="1">
      <c r="A461" s="427">
        <v>31</v>
      </c>
      <c r="B461" s="428" t="s">
        <v>3872</v>
      </c>
      <c r="C461" s="429" t="s">
        <v>64</v>
      </c>
      <c r="D461" s="428" t="s">
        <v>3873</v>
      </c>
      <c r="E461" s="430">
        <v>1</v>
      </c>
      <c r="F461" s="431"/>
      <c r="G461" s="432">
        <f t="shared" si="17"/>
        <v>0</v>
      </c>
      <c r="H461" s="433"/>
      <c r="I461" s="428"/>
      <c r="J461" s="433"/>
      <c r="K461" s="428"/>
      <c r="L461" s="433"/>
      <c r="M461" s="428"/>
      <c r="N461" s="433"/>
      <c r="O461" s="433"/>
      <c r="P461" s="433"/>
      <c r="Q461" s="434"/>
      <c r="R461" s="434" t="s">
        <v>2922</v>
      </c>
      <c r="S461" s="435"/>
      <c r="T461" s="435"/>
      <c r="U461" s="436"/>
      <c r="V461" s="437"/>
      <c r="W461" s="438"/>
      <c r="X461" s="438"/>
      <c r="Y461" s="439" t="s">
        <v>592</v>
      </c>
      <c r="Z461" s="440"/>
      <c r="AA461" s="436"/>
    </row>
    <row r="462" spans="1:27" s="441" customFormat="1">
      <c r="A462" s="427">
        <v>32</v>
      </c>
      <c r="B462" s="428" t="s">
        <v>3874</v>
      </c>
      <c r="C462" s="429" t="s">
        <v>64</v>
      </c>
      <c r="D462" s="428" t="s">
        <v>3875</v>
      </c>
      <c r="E462" s="430">
        <v>1</v>
      </c>
      <c r="F462" s="431"/>
      <c r="G462" s="432">
        <f t="shared" si="17"/>
        <v>0</v>
      </c>
      <c r="H462" s="433"/>
      <c r="I462" s="428"/>
      <c r="J462" s="433"/>
      <c r="K462" s="428"/>
      <c r="L462" s="433"/>
      <c r="M462" s="428"/>
      <c r="N462" s="433"/>
      <c r="O462" s="433"/>
      <c r="P462" s="433"/>
      <c r="Q462" s="434"/>
      <c r="R462" s="434"/>
      <c r="S462" s="435"/>
      <c r="T462" s="435"/>
      <c r="U462" s="436"/>
      <c r="V462" s="437"/>
      <c r="W462" s="438"/>
      <c r="X462" s="438"/>
      <c r="Y462" s="439" t="s">
        <v>592</v>
      </c>
      <c r="Z462" s="440"/>
      <c r="AA462" s="436"/>
    </row>
    <row r="463" spans="1:27" s="128" customFormat="1" ht="37.5">
      <c r="A463" s="443">
        <v>33</v>
      </c>
      <c r="B463" s="444" t="s">
        <v>3876</v>
      </c>
      <c r="C463" s="445" t="s">
        <v>64</v>
      </c>
      <c r="D463" s="444" t="s">
        <v>3877</v>
      </c>
      <c r="E463" s="446">
        <v>1</v>
      </c>
      <c r="F463" s="447"/>
      <c r="G463" s="448">
        <f t="shared" si="17"/>
        <v>0</v>
      </c>
      <c r="H463" s="450"/>
      <c r="I463" s="444"/>
      <c r="J463" s="450"/>
      <c r="K463" s="444" t="s">
        <v>3803</v>
      </c>
      <c r="L463" s="450" t="s">
        <v>3749</v>
      </c>
      <c r="M463" s="444" t="s">
        <v>3830</v>
      </c>
      <c r="N463" s="450"/>
      <c r="O463" s="450"/>
      <c r="P463" s="450" t="s">
        <v>3808</v>
      </c>
      <c r="Q463" s="451" t="s">
        <v>374</v>
      </c>
      <c r="R463" s="451" t="s">
        <v>260</v>
      </c>
      <c r="S463" s="452">
        <v>45545</v>
      </c>
      <c r="T463" s="452"/>
      <c r="U463" s="453"/>
      <c r="V463" s="454"/>
      <c r="W463" s="455" t="s">
        <v>376</v>
      </c>
      <c r="X463" s="455">
        <v>45548</v>
      </c>
      <c r="Y463" s="456" t="s">
        <v>377</v>
      </c>
      <c r="Z463" s="457"/>
      <c r="AA463" s="453"/>
    </row>
    <row r="464" spans="1:27" s="128" customFormat="1" ht="37.5">
      <c r="A464" s="443">
        <v>34</v>
      </c>
      <c r="B464" s="444" t="s">
        <v>3878</v>
      </c>
      <c r="C464" s="445" t="s">
        <v>64</v>
      </c>
      <c r="D464" s="444" t="s">
        <v>3879</v>
      </c>
      <c r="E464" s="446">
        <v>1</v>
      </c>
      <c r="F464" s="447"/>
      <c r="G464" s="448">
        <f t="shared" si="17"/>
        <v>0</v>
      </c>
      <c r="H464" s="450"/>
      <c r="I464" s="444"/>
      <c r="J464" s="450"/>
      <c r="K464" s="444" t="s">
        <v>3803</v>
      </c>
      <c r="L464" s="450" t="s">
        <v>3749</v>
      </c>
      <c r="M464" s="444" t="s">
        <v>3830</v>
      </c>
      <c r="N464" s="450"/>
      <c r="O464" s="450"/>
      <c r="P464" s="450" t="s">
        <v>3808</v>
      </c>
      <c r="Q464" s="451" t="s">
        <v>374</v>
      </c>
      <c r="R464" s="451" t="s">
        <v>260</v>
      </c>
      <c r="S464" s="452">
        <v>45545</v>
      </c>
      <c r="T464" s="452"/>
      <c r="U464" s="453"/>
      <c r="V464" s="454"/>
      <c r="W464" s="455" t="s">
        <v>376</v>
      </c>
      <c r="X464" s="455">
        <v>45548</v>
      </c>
      <c r="Y464" s="456" t="s">
        <v>377</v>
      </c>
      <c r="Z464" s="457"/>
      <c r="AA464" s="453"/>
    </row>
    <row r="465" spans="1:27" s="128" customFormat="1" ht="37.5">
      <c r="A465" s="443">
        <v>35</v>
      </c>
      <c r="B465" s="444" t="s">
        <v>3880</v>
      </c>
      <c r="C465" s="445" t="s">
        <v>64</v>
      </c>
      <c r="D465" s="444" t="s">
        <v>3881</v>
      </c>
      <c r="E465" s="446">
        <v>1</v>
      </c>
      <c r="F465" s="447"/>
      <c r="G465" s="448">
        <f t="shared" si="17"/>
        <v>0</v>
      </c>
      <c r="H465" s="450"/>
      <c r="I465" s="444"/>
      <c r="J465" s="450"/>
      <c r="K465" s="444" t="s">
        <v>3803</v>
      </c>
      <c r="L465" s="450" t="s">
        <v>3749</v>
      </c>
      <c r="M465" s="444" t="s">
        <v>3830</v>
      </c>
      <c r="N465" s="450"/>
      <c r="O465" s="450"/>
      <c r="P465" s="450" t="s">
        <v>3808</v>
      </c>
      <c r="Q465" s="451" t="s">
        <v>374</v>
      </c>
      <c r="R465" s="451" t="s">
        <v>260</v>
      </c>
      <c r="S465" s="452">
        <v>45545</v>
      </c>
      <c r="T465" s="452"/>
      <c r="U465" s="453"/>
      <c r="V465" s="454"/>
      <c r="W465" s="455" t="s">
        <v>376</v>
      </c>
      <c r="X465" s="455">
        <v>45548</v>
      </c>
      <c r="Y465" s="456" t="s">
        <v>377</v>
      </c>
      <c r="Z465" s="457"/>
      <c r="AA465" s="453"/>
    </row>
    <row r="466" spans="1:27" s="128" customFormat="1" ht="37.5">
      <c r="A466" s="443">
        <v>36</v>
      </c>
      <c r="B466" s="444" t="s">
        <v>3882</v>
      </c>
      <c r="C466" s="445" t="s">
        <v>64</v>
      </c>
      <c r="D466" s="444" t="s">
        <v>3883</v>
      </c>
      <c r="E466" s="446">
        <v>1</v>
      </c>
      <c r="F466" s="447"/>
      <c r="G466" s="448">
        <f t="shared" si="17"/>
        <v>0</v>
      </c>
      <c r="H466" s="450"/>
      <c r="I466" s="444"/>
      <c r="J466" s="450"/>
      <c r="K466" s="444" t="s">
        <v>3803</v>
      </c>
      <c r="L466" s="450" t="s">
        <v>3749</v>
      </c>
      <c r="M466" s="444" t="s">
        <v>3830</v>
      </c>
      <c r="N466" s="450"/>
      <c r="O466" s="450"/>
      <c r="P466" s="450" t="s">
        <v>3808</v>
      </c>
      <c r="Q466" s="451" t="s">
        <v>374</v>
      </c>
      <c r="R466" s="451" t="s">
        <v>260</v>
      </c>
      <c r="S466" s="452">
        <v>45545</v>
      </c>
      <c r="T466" s="452"/>
      <c r="U466" s="453"/>
      <c r="V466" s="454"/>
      <c r="W466" s="455" t="s">
        <v>376</v>
      </c>
      <c r="X466" s="455">
        <v>45548</v>
      </c>
      <c r="Y466" s="456" t="s">
        <v>377</v>
      </c>
      <c r="Z466" s="457"/>
      <c r="AA466" s="453"/>
    </row>
    <row r="467" spans="1:27" s="128" customFormat="1" ht="37.5">
      <c r="A467" s="443">
        <v>37</v>
      </c>
      <c r="B467" s="444" t="s">
        <v>3884</v>
      </c>
      <c r="C467" s="445" t="s">
        <v>64</v>
      </c>
      <c r="D467" s="444" t="s">
        <v>3885</v>
      </c>
      <c r="E467" s="446">
        <v>1</v>
      </c>
      <c r="F467" s="447"/>
      <c r="G467" s="448">
        <f t="shared" si="17"/>
        <v>0</v>
      </c>
      <c r="H467" s="450"/>
      <c r="I467" s="444"/>
      <c r="J467" s="450"/>
      <c r="K467" s="444" t="s">
        <v>3803</v>
      </c>
      <c r="L467" s="450" t="s">
        <v>3749</v>
      </c>
      <c r="M467" s="444" t="s">
        <v>3833</v>
      </c>
      <c r="N467" s="450"/>
      <c r="O467" s="450"/>
      <c r="P467" s="450" t="s">
        <v>3808</v>
      </c>
      <c r="Q467" s="451" t="s">
        <v>374</v>
      </c>
      <c r="R467" s="451" t="s">
        <v>2906</v>
      </c>
      <c r="S467" s="452">
        <v>45545</v>
      </c>
      <c r="T467" s="452"/>
      <c r="U467" s="453"/>
      <c r="V467" s="454"/>
      <c r="W467" s="455" t="s">
        <v>406</v>
      </c>
      <c r="X467" s="455">
        <v>45540</v>
      </c>
      <c r="Y467" s="456" t="s">
        <v>377</v>
      </c>
      <c r="Z467" s="457"/>
      <c r="AA467" s="453"/>
    </row>
    <row r="468" spans="1:27" s="128" customFormat="1" ht="37.5">
      <c r="A468" s="443">
        <v>38</v>
      </c>
      <c r="B468" s="444" t="s">
        <v>3886</v>
      </c>
      <c r="C468" s="445" t="s">
        <v>64</v>
      </c>
      <c r="D468" s="444" t="s">
        <v>3887</v>
      </c>
      <c r="E468" s="446">
        <v>1</v>
      </c>
      <c r="F468" s="447"/>
      <c r="G468" s="448">
        <f t="shared" si="17"/>
        <v>0</v>
      </c>
      <c r="H468" s="450"/>
      <c r="I468" s="444"/>
      <c r="J468" s="450"/>
      <c r="K468" s="444" t="s">
        <v>3803</v>
      </c>
      <c r="L468" s="450" t="s">
        <v>3749</v>
      </c>
      <c r="M468" s="444" t="s">
        <v>3830</v>
      </c>
      <c r="N468" s="450"/>
      <c r="O468" s="450"/>
      <c r="P468" s="450" t="s">
        <v>3808</v>
      </c>
      <c r="Q468" s="451" t="s">
        <v>374</v>
      </c>
      <c r="R468" s="451" t="s">
        <v>260</v>
      </c>
      <c r="S468" s="452">
        <v>45545</v>
      </c>
      <c r="T468" s="452"/>
      <c r="U468" s="453"/>
      <c r="V468" s="454"/>
      <c r="W468" s="455" t="s">
        <v>376</v>
      </c>
      <c r="X468" s="455">
        <v>45548</v>
      </c>
      <c r="Y468" s="456" t="s">
        <v>377</v>
      </c>
      <c r="Z468" s="457"/>
      <c r="AA468" s="453"/>
    </row>
    <row r="469" spans="1:27" s="128" customFormat="1" ht="37.5">
      <c r="A469" s="443">
        <v>39</v>
      </c>
      <c r="B469" s="444" t="s">
        <v>3888</v>
      </c>
      <c r="C469" s="445" t="s">
        <v>64</v>
      </c>
      <c r="D469" s="444" t="s">
        <v>3889</v>
      </c>
      <c r="E469" s="446">
        <v>1</v>
      </c>
      <c r="F469" s="447"/>
      <c r="G469" s="448">
        <f t="shared" si="17"/>
        <v>0</v>
      </c>
      <c r="H469" s="450"/>
      <c r="I469" s="444"/>
      <c r="J469" s="450"/>
      <c r="K469" s="444" t="s">
        <v>3803</v>
      </c>
      <c r="L469" s="450" t="s">
        <v>3749</v>
      </c>
      <c r="M469" s="444" t="s">
        <v>3830</v>
      </c>
      <c r="N469" s="450"/>
      <c r="O469" s="450"/>
      <c r="P469" s="450" t="s">
        <v>3808</v>
      </c>
      <c r="Q469" s="451" t="s">
        <v>374</v>
      </c>
      <c r="R469" s="451" t="s">
        <v>260</v>
      </c>
      <c r="S469" s="452">
        <v>45545</v>
      </c>
      <c r="T469" s="452"/>
      <c r="U469" s="453"/>
      <c r="V469" s="454"/>
      <c r="W469" s="455" t="s">
        <v>376</v>
      </c>
      <c r="X469" s="455">
        <v>45548</v>
      </c>
      <c r="Y469" s="456" t="s">
        <v>377</v>
      </c>
      <c r="Z469" s="457"/>
      <c r="AA469" s="453"/>
    </row>
    <row r="470" spans="1:27" s="128" customFormat="1" ht="37.5">
      <c r="A470" s="458">
        <v>40</v>
      </c>
      <c r="B470" s="459" t="s">
        <v>3890</v>
      </c>
      <c r="C470" s="460" t="s">
        <v>64</v>
      </c>
      <c r="D470" s="459" t="s">
        <v>3891</v>
      </c>
      <c r="E470" s="461">
        <v>1</v>
      </c>
      <c r="F470" s="462"/>
      <c r="G470" s="463">
        <f t="shared" si="17"/>
        <v>0</v>
      </c>
      <c r="H470" s="465"/>
      <c r="I470" s="459"/>
      <c r="J470" s="465"/>
      <c r="K470" s="459" t="s">
        <v>3803</v>
      </c>
      <c r="L470" s="465" t="s">
        <v>3749</v>
      </c>
      <c r="M470" s="459" t="s">
        <v>3819</v>
      </c>
      <c r="N470" s="465"/>
      <c r="O470" s="465"/>
      <c r="P470" s="465" t="s">
        <v>3808</v>
      </c>
      <c r="Q470" s="466" t="s">
        <v>374</v>
      </c>
      <c r="R470" s="466" t="s">
        <v>2957</v>
      </c>
      <c r="S470" s="467">
        <v>45545</v>
      </c>
      <c r="T470" s="467"/>
      <c r="U470" s="468"/>
      <c r="V470" s="469"/>
      <c r="W470" s="470" t="s">
        <v>376</v>
      </c>
      <c r="X470" s="470">
        <v>45546</v>
      </c>
      <c r="Y470" s="471" t="s">
        <v>377</v>
      </c>
      <c r="Z470" s="472"/>
      <c r="AA470" s="453"/>
    </row>
    <row r="471" spans="1:27" s="128" customFormat="1" ht="37.5">
      <c r="A471" s="443">
        <v>41</v>
      </c>
      <c r="B471" s="444" t="s">
        <v>3892</v>
      </c>
      <c r="C471" s="445" t="s">
        <v>64</v>
      </c>
      <c r="D471" s="444" t="s">
        <v>3893</v>
      </c>
      <c r="E471" s="446">
        <v>1</v>
      </c>
      <c r="F471" s="447"/>
      <c r="G471" s="448">
        <f t="shared" ref="G471:G480" si="18">E471*F471</f>
        <v>0</v>
      </c>
      <c r="H471" s="450"/>
      <c r="I471" s="444"/>
      <c r="J471" s="450"/>
      <c r="K471" s="444" t="s">
        <v>3820</v>
      </c>
      <c r="L471" s="450" t="s">
        <v>3749</v>
      </c>
      <c r="M471" s="444" t="s">
        <v>3894</v>
      </c>
      <c r="N471" s="450"/>
      <c r="O471" s="450"/>
      <c r="P471" s="450" t="s">
        <v>3808</v>
      </c>
      <c r="Q471" s="451" t="s">
        <v>374</v>
      </c>
      <c r="R471" s="451" t="s">
        <v>3895</v>
      </c>
      <c r="S471" s="452">
        <v>45621</v>
      </c>
      <c r="T471" s="452"/>
      <c r="U471" s="453"/>
      <c r="V471" s="454"/>
      <c r="W471" s="455" t="s">
        <v>406</v>
      </c>
      <c r="X471" s="455">
        <v>45593</v>
      </c>
      <c r="Y471" s="456" t="s">
        <v>377</v>
      </c>
      <c r="Z471" s="457"/>
      <c r="AA471" s="453"/>
    </row>
    <row r="472" spans="1:27" s="128" customFormat="1" ht="37.5">
      <c r="A472" s="443">
        <v>42</v>
      </c>
      <c r="B472" s="444" t="s">
        <v>3896</v>
      </c>
      <c r="C472" s="445" t="s">
        <v>64</v>
      </c>
      <c r="D472" s="444" t="s">
        <v>3897</v>
      </c>
      <c r="E472" s="446">
        <v>1</v>
      </c>
      <c r="F472" s="447"/>
      <c r="G472" s="448">
        <f t="shared" si="18"/>
        <v>0</v>
      </c>
      <c r="H472" s="450"/>
      <c r="I472" s="444"/>
      <c r="J472" s="450"/>
      <c r="K472" s="444" t="s">
        <v>3898</v>
      </c>
      <c r="L472" s="450" t="s">
        <v>1173</v>
      </c>
      <c r="M472" s="444" t="s">
        <v>3899</v>
      </c>
      <c r="N472" s="450"/>
      <c r="O472" s="450"/>
      <c r="P472" s="450" t="s">
        <v>431</v>
      </c>
      <c r="Q472" s="451" t="s">
        <v>374</v>
      </c>
      <c r="R472" s="451" t="s">
        <v>3313</v>
      </c>
      <c r="S472" s="452">
        <v>45541</v>
      </c>
      <c r="T472" s="452"/>
      <c r="U472" s="453"/>
      <c r="V472" s="454"/>
      <c r="W472" s="455" t="s">
        <v>406</v>
      </c>
      <c r="X472" s="455">
        <v>45544</v>
      </c>
      <c r="Y472" s="456" t="s">
        <v>377</v>
      </c>
      <c r="Z472" s="457"/>
      <c r="AA472" s="453"/>
    </row>
    <row r="473" spans="1:27" s="128" customFormat="1" ht="37.5">
      <c r="A473" s="443">
        <v>43</v>
      </c>
      <c r="B473" s="444" t="s">
        <v>3900</v>
      </c>
      <c r="C473" s="445" t="s">
        <v>64</v>
      </c>
      <c r="D473" s="444" t="s">
        <v>3901</v>
      </c>
      <c r="E473" s="446">
        <v>1</v>
      </c>
      <c r="F473" s="447"/>
      <c r="G473" s="448">
        <f t="shared" si="18"/>
        <v>0</v>
      </c>
      <c r="H473" s="450"/>
      <c r="I473" s="444"/>
      <c r="J473" s="450"/>
      <c r="K473" s="444" t="s">
        <v>3898</v>
      </c>
      <c r="L473" s="450" t="s">
        <v>1173</v>
      </c>
      <c r="M473" s="444" t="s">
        <v>3902</v>
      </c>
      <c r="N473" s="450"/>
      <c r="O473" s="450"/>
      <c r="P473" s="450" t="s">
        <v>431</v>
      </c>
      <c r="Q473" s="451" t="s">
        <v>374</v>
      </c>
      <c r="R473" s="451" t="s">
        <v>2906</v>
      </c>
      <c r="S473" s="452">
        <v>45545</v>
      </c>
      <c r="T473" s="452"/>
      <c r="U473" s="453"/>
      <c r="V473" s="454"/>
      <c r="W473" s="455" t="s">
        <v>406</v>
      </c>
      <c r="X473" s="455">
        <v>45545</v>
      </c>
      <c r="Y473" s="456" t="s">
        <v>377</v>
      </c>
      <c r="Z473" s="457"/>
      <c r="AA473" s="453"/>
    </row>
    <row r="474" spans="1:27" s="128" customFormat="1" ht="37.5">
      <c r="A474" s="443">
        <v>44</v>
      </c>
      <c r="B474" s="444" t="s">
        <v>3903</v>
      </c>
      <c r="C474" s="445" t="s">
        <v>64</v>
      </c>
      <c r="D474" s="444" t="s">
        <v>3904</v>
      </c>
      <c r="E474" s="446">
        <v>1</v>
      </c>
      <c r="F474" s="447"/>
      <c r="G474" s="448">
        <f t="shared" si="18"/>
        <v>0</v>
      </c>
      <c r="H474" s="450"/>
      <c r="I474" s="444"/>
      <c r="J474" s="450"/>
      <c r="K474" s="444" t="s">
        <v>3820</v>
      </c>
      <c r="L474" s="450" t="s">
        <v>3749</v>
      </c>
      <c r="M474" s="444" t="s">
        <v>3905</v>
      </c>
      <c r="N474" s="450"/>
      <c r="O474" s="450"/>
      <c r="P474" s="450" t="s">
        <v>3808</v>
      </c>
      <c r="Q474" s="451" t="s">
        <v>374</v>
      </c>
      <c r="R474" s="451" t="s">
        <v>2906</v>
      </c>
      <c r="S474" s="452">
        <v>45545</v>
      </c>
      <c r="T474" s="452"/>
      <c r="U474" s="453"/>
      <c r="V474" s="454"/>
      <c r="W474" s="470" t="s">
        <v>406</v>
      </c>
      <c r="X474" s="470">
        <v>45538</v>
      </c>
      <c r="Y474" s="456" t="s">
        <v>377</v>
      </c>
      <c r="Z474" s="457"/>
      <c r="AA474" s="453"/>
    </row>
    <row r="475" spans="1:27" s="128" customFormat="1" ht="37.5">
      <c r="A475" s="443">
        <v>45</v>
      </c>
      <c r="B475" s="444" t="s">
        <v>3906</v>
      </c>
      <c r="C475" s="445" t="s">
        <v>64</v>
      </c>
      <c r="D475" s="444" t="s">
        <v>3907</v>
      </c>
      <c r="E475" s="446">
        <v>1</v>
      </c>
      <c r="F475" s="447"/>
      <c r="G475" s="448">
        <f t="shared" si="18"/>
        <v>0</v>
      </c>
      <c r="H475" s="450"/>
      <c r="I475" s="444"/>
      <c r="J475" s="450"/>
      <c r="K475" s="444" t="s">
        <v>3820</v>
      </c>
      <c r="L475" s="450" t="s">
        <v>3749</v>
      </c>
      <c r="M475" s="444" t="s">
        <v>3821</v>
      </c>
      <c r="N475" s="450"/>
      <c r="O475" s="450"/>
      <c r="P475" s="450" t="s">
        <v>3808</v>
      </c>
      <c r="Q475" s="451" t="s">
        <v>374</v>
      </c>
      <c r="R475" s="451" t="s">
        <v>260</v>
      </c>
      <c r="S475" s="452">
        <v>45545</v>
      </c>
      <c r="T475" s="452"/>
      <c r="U475" s="453"/>
      <c r="V475" s="454"/>
      <c r="W475" s="455" t="s">
        <v>376</v>
      </c>
      <c r="X475" s="455">
        <v>45548</v>
      </c>
      <c r="Y475" s="456" t="s">
        <v>377</v>
      </c>
      <c r="Z475" s="457"/>
      <c r="AA475" s="453"/>
    </row>
    <row r="476" spans="1:27" s="128" customFormat="1" ht="37.5">
      <c r="A476" s="443">
        <v>46</v>
      </c>
      <c r="B476" s="444" t="s">
        <v>3908</v>
      </c>
      <c r="C476" s="445" t="s">
        <v>64</v>
      </c>
      <c r="D476" s="444" t="s">
        <v>3909</v>
      </c>
      <c r="E476" s="446">
        <v>2</v>
      </c>
      <c r="F476" s="447"/>
      <c r="G476" s="448">
        <f t="shared" si="18"/>
        <v>0</v>
      </c>
      <c r="H476" s="450"/>
      <c r="I476" s="444"/>
      <c r="J476" s="450"/>
      <c r="K476" s="444" t="s">
        <v>3820</v>
      </c>
      <c r="L476" s="450" t="s">
        <v>3749</v>
      </c>
      <c r="M476" s="444" t="s">
        <v>3821</v>
      </c>
      <c r="N476" s="450"/>
      <c r="O476" s="450"/>
      <c r="P476" s="450" t="s">
        <v>3808</v>
      </c>
      <c r="Q476" s="451" t="s">
        <v>374</v>
      </c>
      <c r="R476" s="451" t="s">
        <v>260</v>
      </c>
      <c r="S476" s="452">
        <v>45545</v>
      </c>
      <c r="T476" s="452"/>
      <c r="U476" s="453"/>
      <c r="V476" s="454"/>
      <c r="W476" s="455" t="s">
        <v>406</v>
      </c>
      <c r="X476" s="455">
        <v>45540</v>
      </c>
      <c r="Y476" s="456" t="s">
        <v>377</v>
      </c>
      <c r="Z476" s="457"/>
      <c r="AA476" s="453"/>
    </row>
    <row r="477" spans="1:27">
      <c r="A477" s="389"/>
      <c r="B477" s="390" t="s">
        <v>1346</v>
      </c>
      <c r="C477" s="391"/>
      <c r="D477" s="392"/>
      <c r="E477" s="393"/>
      <c r="F477" s="394"/>
      <c r="G477" s="395">
        <f t="shared" si="18"/>
        <v>0</v>
      </c>
      <c r="H477" s="420"/>
      <c r="I477" s="392"/>
      <c r="J477" s="420"/>
      <c r="K477" s="392"/>
      <c r="L477" s="397"/>
      <c r="M477" s="392"/>
      <c r="N477" s="397"/>
      <c r="O477" s="397"/>
      <c r="P477" s="397"/>
      <c r="Q477" s="398"/>
      <c r="R477" s="398"/>
      <c r="S477" s="399"/>
      <c r="T477" s="399"/>
      <c r="U477" s="400"/>
      <c r="V477" s="401"/>
      <c r="W477" s="402"/>
      <c r="X477" s="402"/>
      <c r="Y477" s="403"/>
      <c r="Z477" s="404"/>
      <c r="AA477" s="493"/>
    </row>
    <row r="478" spans="1:27" s="128" customFormat="1" ht="37.5">
      <c r="A478" s="405">
        <v>1</v>
      </c>
      <c r="B478" s="407" t="s">
        <v>3910</v>
      </c>
      <c r="C478" s="406" t="s">
        <v>66</v>
      </c>
      <c r="D478" s="407" t="s">
        <v>3911</v>
      </c>
      <c r="E478" s="408">
        <v>1</v>
      </c>
      <c r="F478" s="409"/>
      <c r="G478" s="410">
        <f>E478*F478</f>
        <v>0</v>
      </c>
      <c r="H478" s="412"/>
      <c r="I478" s="407"/>
      <c r="J478" s="412"/>
      <c r="K478" s="407" t="s">
        <v>3912</v>
      </c>
      <c r="L478" s="412" t="s">
        <v>444</v>
      </c>
      <c r="M478" s="407" t="s">
        <v>444</v>
      </c>
      <c r="N478" s="412"/>
      <c r="O478" s="412"/>
      <c r="P478" s="412" t="s">
        <v>444</v>
      </c>
      <c r="Q478" s="413" t="s">
        <v>1514</v>
      </c>
      <c r="R478" s="413" t="s">
        <v>260</v>
      </c>
      <c r="S478" s="414"/>
      <c r="T478" s="414" t="s">
        <v>3912</v>
      </c>
      <c r="U478" s="415"/>
      <c r="V478" s="416"/>
      <c r="W478" s="417"/>
      <c r="X478" s="417"/>
      <c r="Y478" s="418" t="s">
        <v>377</v>
      </c>
      <c r="Z478" s="496"/>
      <c r="AA478" s="415">
        <v>1</v>
      </c>
    </row>
    <row r="479" spans="1:27">
      <c r="A479" s="389"/>
      <c r="B479" s="390" t="s">
        <v>1525</v>
      </c>
      <c r="C479" s="391"/>
      <c r="D479" s="392"/>
      <c r="E479" s="393"/>
      <c r="F479" s="394"/>
      <c r="G479" s="395">
        <f t="shared" si="18"/>
        <v>0</v>
      </c>
      <c r="H479" s="420"/>
      <c r="I479" s="392"/>
      <c r="J479" s="420"/>
      <c r="K479" s="392"/>
      <c r="L479" s="397"/>
      <c r="M479" s="392"/>
      <c r="N479" s="397"/>
      <c r="O479" s="397"/>
      <c r="P479" s="397"/>
      <c r="Q479" s="398"/>
      <c r="R479" s="398"/>
      <c r="S479" s="399"/>
      <c r="T479" s="399"/>
      <c r="U479" s="400"/>
      <c r="V479" s="401"/>
      <c r="W479" s="402"/>
      <c r="X479" s="402"/>
      <c r="Y479" s="403"/>
      <c r="Z479" s="404"/>
      <c r="AA479" s="493"/>
    </row>
    <row r="480" spans="1:27">
      <c r="A480" s="389"/>
      <c r="B480" s="390" t="s">
        <v>1526</v>
      </c>
      <c r="C480" s="391"/>
      <c r="D480" s="392"/>
      <c r="E480" s="393"/>
      <c r="F480" s="394"/>
      <c r="G480" s="395">
        <f t="shared" si="18"/>
        <v>0</v>
      </c>
      <c r="H480" s="420"/>
      <c r="I480" s="392"/>
      <c r="J480" s="420"/>
      <c r="K480" s="392"/>
      <c r="L480" s="397"/>
      <c r="M480" s="392"/>
      <c r="N480" s="397"/>
      <c r="O480" s="397"/>
      <c r="P480" s="397"/>
      <c r="Q480" s="398"/>
      <c r="R480" s="398"/>
      <c r="S480" s="399"/>
      <c r="T480" s="399"/>
      <c r="U480" s="400"/>
      <c r="V480" s="401"/>
      <c r="W480" s="402"/>
      <c r="X480" s="402"/>
      <c r="Y480" s="403"/>
      <c r="Z480" s="404"/>
      <c r="AA480" s="493"/>
    </row>
    <row r="481" spans="1:27" s="128" customFormat="1" ht="37.5">
      <c r="A481" s="443">
        <v>1</v>
      </c>
      <c r="B481" s="444" t="s">
        <v>3913</v>
      </c>
      <c r="C481" s="445" t="s">
        <v>70</v>
      </c>
      <c r="D481" s="444" t="s">
        <v>3914</v>
      </c>
      <c r="E481" s="446">
        <v>1</v>
      </c>
      <c r="F481" s="447"/>
      <c r="G481" s="448">
        <f t="shared" ref="G481:G498" si="19">E481*F481</f>
        <v>0</v>
      </c>
      <c r="H481" s="450"/>
      <c r="I481" s="444"/>
      <c r="J481" s="450"/>
      <c r="K481" s="444" t="s">
        <v>3915</v>
      </c>
      <c r="L481" s="450" t="s">
        <v>1173</v>
      </c>
      <c r="M481" s="444" t="s">
        <v>3916</v>
      </c>
      <c r="N481" s="450"/>
      <c r="O481" s="450"/>
      <c r="P481" s="450" t="s">
        <v>431</v>
      </c>
      <c r="Q481" s="451" t="s">
        <v>374</v>
      </c>
      <c r="R481" s="451" t="s">
        <v>2906</v>
      </c>
      <c r="S481" s="452">
        <v>45553</v>
      </c>
      <c r="T481" s="452"/>
      <c r="U481" s="453"/>
      <c r="V481" s="454"/>
      <c r="W481" s="455" t="s">
        <v>406</v>
      </c>
      <c r="X481" s="455">
        <v>45560</v>
      </c>
      <c r="Y481" s="456" t="s">
        <v>377</v>
      </c>
      <c r="Z481" s="457"/>
      <c r="AA481" s="453"/>
    </row>
    <row r="482" spans="1:27" s="128" customFormat="1" ht="37.5">
      <c r="A482" s="443">
        <v>2</v>
      </c>
      <c r="B482" s="444" t="s">
        <v>3917</v>
      </c>
      <c r="C482" s="445" t="s">
        <v>70</v>
      </c>
      <c r="D482" s="444" t="s">
        <v>3918</v>
      </c>
      <c r="E482" s="446">
        <v>12</v>
      </c>
      <c r="F482" s="447"/>
      <c r="G482" s="448">
        <f t="shared" si="19"/>
        <v>0</v>
      </c>
      <c r="H482" s="450"/>
      <c r="I482" s="444"/>
      <c r="J482" s="450"/>
      <c r="K482" s="444" t="s">
        <v>3915</v>
      </c>
      <c r="L482" s="450" t="s">
        <v>1173</v>
      </c>
      <c r="M482" s="444" t="s">
        <v>3919</v>
      </c>
      <c r="N482" s="450"/>
      <c r="O482" s="450"/>
      <c r="P482" s="450" t="s">
        <v>431</v>
      </c>
      <c r="Q482" s="451" t="s">
        <v>374</v>
      </c>
      <c r="R482" s="451" t="s">
        <v>3816</v>
      </c>
      <c r="S482" s="452">
        <v>45558</v>
      </c>
      <c r="T482" s="452"/>
      <c r="U482" s="453"/>
      <c r="V482" s="454"/>
      <c r="W482" s="455" t="s">
        <v>406</v>
      </c>
      <c r="X482" s="455">
        <v>45561</v>
      </c>
      <c r="Y482" s="456" t="s">
        <v>377</v>
      </c>
      <c r="Z482" s="457"/>
      <c r="AA482" s="453"/>
    </row>
    <row r="483" spans="1:27" s="128" customFormat="1" ht="37.5">
      <c r="A483" s="443">
        <v>3</v>
      </c>
      <c r="B483" s="444" t="s">
        <v>3920</v>
      </c>
      <c r="C483" s="445" t="s">
        <v>70</v>
      </c>
      <c r="D483" s="444" t="s">
        <v>3921</v>
      </c>
      <c r="E483" s="446">
        <v>2</v>
      </c>
      <c r="F483" s="447"/>
      <c r="G483" s="448">
        <f t="shared" si="19"/>
        <v>0</v>
      </c>
      <c r="H483" s="450"/>
      <c r="I483" s="444"/>
      <c r="J483" s="450"/>
      <c r="K483" s="444" t="s">
        <v>3915</v>
      </c>
      <c r="L483" s="450" t="s">
        <v>1173</v>
      </c>
      <c r="M483" s="444" t="s">
        <v>3919</v>
      </c>
      <c r="N483" s="450"/>
      <c r="O483" s="450"/>
      <c r="P483" s="450" t="s">
        <v>431</v>
      </c>
      <c r="Q483" s="451" t="s">
        <v>374</v>
      </c>
      <c r="R483" s="451" t="s">
        <v>3816</v>
      </c>
      <c r="S483" s="452">
        <v>45558</v>
      </c>
      <c r="T483" s="452"/>
      <c r="U483" s="453"/>
      <c r="V483" s="454"/>
      <c r="W483" s="455" t="s">
        <v>406</v>
      </c>
      <c r="X483" s="455">
        <v>45561</v>
      </c>
      <c r="Y483" s="456" t="s">
        <v>377</v>
      </c>
      <c r="Z483" s="457"/>
      <c r="AA483" s="453"/>
    </row>
    <row r="484" spans="1:27" s="128" customFormat="1" ht="37.5">
      <c r="A484" s="443">
        <v>4</v>
      </c>
      <c r="B484" s="444" t="s">
        <v>3922</v>
      </c>
      <c r="C484" s="445" t="s">
        <v>70</v>
      </c>
      <c r="D484" s="444" t="s">
        <v>3923</v>
      </c>
      <c r="E484" s="446">
        <v>12</v>
      </c>
      <c r="F484" s="447"/>
      <c r="G484" s="448">
        <f t="shared" si="19"/>
        <v>0</v>
      </c>
      <c r="H484" s="450"/>
      <c r="I484" s="444"/>
      <c r="J484" s="450"/>
      <c r="K484" s="444" t="s">
        <v>3915</v>
      </c>
      <c r="L484" s="450" t="s">
        <v>1173</v>
      </c>
      <c r="M484" s="444" t="s">
        <v>3924</v>
      </c>
      <c r="N484" s="450"/>
      <c r="O484" s="450"/>
      <c r="P484" s="450" t="s">
        <v>431</v>
      </c>
      <c r="Q484" s="451" t="s">
        <v>374</v>
      </c>
      <c r="R484" s="451" t="s">
        <v>260</v>
      </c>
      <c r="S484" s="452">
        <v>45553</v>
      </c>
      <c r="T484" s="452"/>
      <c r="U484" s="453"/>
      <c r="V484" s="454"/>
      <c r="W484" s="455" t="s">
        <v>406</v>
      </c>
      <c r="X484" s="455">
        <v>45554</v>
      </c>
      <c r="Y484" s="456" t="s">
        <v>377</v>
      </c>
      <c r="Z484" s="457"/>
      <c r="AA484" s="453"/>
    </row>
    <row r="485" spans="1:27" s="128" customFormat="1" ht="37.5">
      <c r="A485" s="443">
        <v>5</v>
      </c>
      <c r="B485" s="444" t="s">
        <v>3925</v>
      </c>
      <c r="C485" s="445" t="s">
        <v>70</v>
      </c>
      <c r="D485" s="444" t="s">
        <v>3926</v>
      </c>
      <c r="E485" s="446">
        <v>12</v>
      </c>
      <c r="F485" s="447"/>
      <c r="G485" s="448">
        <f t="shared" si="19"/>
        <v>0</v>
      </c>
      <c r="H485" s="450"/>
      <c r="I485" s="444"/>
      <c r="J485" s="450"/>
      <c r="K485" s="444" t="s">
        <v>3915</v>
      </c>
      <c r="L485" s="450" t="s">
        <v>1173</v>
      </c>
      <c r="M485" s="444" t="s">
        <v>3919</v>
      </c>
      <c r="N485" s="450"/>
      <c r="O485" s="450"/>
      <c r="P485" s="450" t="s">
        <v>431</v>
      </c>
      <c r="Q485" s="451" t="s">
        <v>374</v>
      </c>
      <c r="R485" s="451" t="s">
        <v>3816</v>
      </c>
      <c r="S485" s="452">
        <v>45558</v>
      </c>
      <c r="T485" s="452"/>
      <c r="U485" s="453"/>
      <c r="V485" s="454"/>
      <c r="W485" s="455" t="s">
        <v>406</v>
      </c>
      <c r="X485" s="455">
        <v>45561</v>
      </c>
      <c r="Y485" s="456" t="s">
        <v>377</v>
      </c>
      <c r="Z485" s="457"/>
      <c r="AA485" s="453"/>
    </row>
    <row r="486" spans="1:27" s="128" customFormat="1" ht="37.5">
      <c r="A486" s="443">
        <v>6</v>
      </c>
      <c r="B486" s="444" t="s">
        <v>3927</v>
      </c>
      <c r="C486" s="445" t="s">
        <v>70</v>
      </c>
      <c r="D486" s="444" t="s">
        <v>3928</v>
      </c>
      <c r="E486" s="446">
        <v>8</v>
      </c>
      <c r="F486" s="447"/>
      <c r="G486" s="448">
        <f t="shared" si="19"/>
        <v>0</v>
      </c>
      <c r="H486" s="450"/>
      <c r="I486" s="444"/>
      <c r="J486" s="450"/>
      <c r="K486" s="444" t="s">
        <v>3915</v>
      </c>
      <c r="L486" s="450" t="s">
        <v>1173</v>
      </c>
      <c r="M486" s="444" t="s">
        <v>3919</v>
      </c>
      <c r="N486" s="450"/>
      <c r="O486" s="450"/>
      <c r="P486" s="450" t="s">
        <v>431</v>
      </c>
      <c r="Q486" s="451" t="s">
        <v>374</v>
      </c>
      <c r="R486" s="451" t="s">
        <v>3816</v>
      </c>
      <c r="S486" s="452">
        <v>45558</v>
      </c>
      <c r="T486" s="452"/>
      <c r="U486" s="453"/>
      <c r="V486" s="454"/>
      <c r="W486" s="455" t="s">
        <v>406</v>
      </c>
      <c r="X486" s="455">
        <v>45561</v>
      </c>
      <c r="Y486" s="456" t="s">
        <v>377</v>
      </c>
      <c r="Z486" s="457"/>
      <c r="AA486" s="453"/>
    </row>
    <row r="487" spans="1:27" s="128" customFormat="1" ht="37.5">
      <c r="A487" s="443">
        <v>7</v>
      </c>
      <c r="B487" s="444" t="s">
        <v>3929</v>
      </c>
      <c r="C487" s="445" t="s">
        <v>70</v>
      </c>
      <c r="D487" s="444" t="s">
        <v>3930</v>
      </c>
      <c r="E487" s="446">
        <v>4</v>
      </c>
      <c r="F487" s="447"/>
      <c r="G487" s="448">
        <f t="shared" si="19"/>
        <v>0</v>
      </c>
      <c r="H487" s="450"/>
      <c r="I487" s="444"/>
      <c r="J487" s="450"/>
      <c r="K487" s="444" t="s">
        <v>3915</v>
      </c>
      <c r="L487" s="450" t="s">
        <v>1173</v>
      </c>
      <c r="M487" s="444" t="s">
        <v>3919</v>
      </c>
      <c r="N487" s="450"/>
      <c r="O487" s="450"/>
      <c r="P487" s="450" t="s">
        <v>431</v>
      </c>
      <c r="Q487" s="451" t="s">
        <v>374</v>
      </c>
      <c r="R487" s="451" t="s">
        <v>3816</v>
      </c>
      <c r="S487" s="452">
        <v>45558</v>
      </c>
      <c r="T487" s="452"/>
      <c r="U487" s="453"/>
      <c r="V487" s="454"/>
      <c r="W487" s="455" t="s">
        <v>406</v>
      </c>
      <c r="X487" s="455">
        <v>45561</v>
      </c>
      <c r="Y487" s="456" t="s">
        <v>377</v>
      </c>
      <c r="Z487" s="457"/>
      <c r="AA487" s="453"/>
    </row>
    <row r="488" spans="1:27" s="128" customFormat="1" ht="37.5">
      <c r="A488" s="443">
        <v>8</v>
      </c>
      <c r="B488" s="444" t="s">
        <v>3931</v>
      </c>
      <c r="C488" s="445" t="s">
        <v>70</v>
      </c>
      <c r="D488" s="444" t="s">
        <v>3932</v>
      </c>
      <c r="E488" s="446">
        <v>2</v>
      </c>
      <c r="F488" s="447"/>
      <c r="G488" s="448">
        <f t="shared" si="19"/>
        <v>0</v>
      </c>
      <c r="H488" s="450"/>
      <c r="I488" s="444"/>
      <c r="J488" s="450"/>
      <c r="K488" s="444" t="s">
        <v>3915</v>
      </c>
      <c r="L488" s="450" t="s">
        <v>1173</v>
      </c>
      <c r="M488" s="444" t="s">
        <v>3924</v>
      </c>
      <c r="N488" s="450"/>
      <c r="O488" s="450"/>
      <c r="P488" s="450" t="s">
        <v>431</v>
      </c>
      <c r="Q488" s="451" t="s">
        <v>374</v>
      </c>
      <c r="R488" s="451" t="s">
        <v>260</v>
      </c>
      <c r="S488" s="452">
        <v>45553</v>
      </c>
      <c r="T488" s="452"/>
      <c r="U488" s="453"/>
      <c r="V488" s="454"/>
      <c r="W488" s="455" t="s">
        <v>406</v>
      </c>
      <c r="X488" s="455">
        <v>45554</v>
      </c>
      <c r="Y488" s="456" t="s">
        <v>377</v>
      </c>
      <c r="Z488" s="457"/>
      <c r="AA488" s="453"/>
    </row>
    <row r="489" spans="1:27" s="128" customFormat="1" ht="37.5">
      <c r="A489" s="443">
        <v>9</v>
      </c>
      <c r="B489" s="444" t="s">
        <v>3933</v>
      </c>
      <c r="C489" s="445" t="s">
        <v>70</v>
      </c>
      <c r="D489" s="444" t="s">
        <v>3934</v>
      </c>
      <c r="E489" s="446">
        <v>2</v>
      </c>
      <c r="F489" s="447"/>
      <c r="G489" s="448">
        <f t="shared" si="19"/>
        <v>0</v>
      </c>
      <c r="H489" s="450"/>
      <c r="I489" s="444"/>
      <c r="J489" s="450"/>
      <c r="K489" s="444" t="s">
        <v>3915</v>
      </c>
      <c r="L489" s="450" t="s">
        <v>1173</v>
      </c>
      <c r="M489" s="444" t="s">
        <v>3924</v>
      </c>
      <c r="N489" s="450"/>
      <c r="O489" s="450"/>
      <c r="P489" s="450" t="s">
        <v>431</v>
      </c>
      <c r="Q489" s="451" t="s">
        <v>374</v>
      </c>
      <c r="R489" s="451" t="s">
        <v>260</v>
      </c>
      <c r="S489" s="452">
        <v>45553</v>
      </c>
      <c r="T489" s="452"/>
      <c r="U489" s="453"/>
      <c r="V489" s="454"/>
      <c r="W489" s="455" t="s">
        <v>406</v>
      </c>
      <c r="X489" s="455">
        <v>45554</v>
      </c>
      <c r="Y489" s="456" t="s">
        <v>377</v>
      </c>
      <c r="Z489" s="457"/>
      <c r="AA489" s="453"/>
    </row>
    <row r="490" spans="1:27" s="128" customFormat="1">
      <c r="A490" s="443">
        <v>10</v>
      </c>
      <c r="B490" s="444" t="s">
        <v>3621</v>
      </c>
      <c r="C490" s="445" t="s">
        <v>70</v>
      </c>
      <c r="D490" s="444" t="s">
        <v>3622</v>
      </c>
      <c r="E490" s="446">
        <v>12</v>
      </c>
      <c r="F490" s="447"/>
      <c r="G490" s="448">
        <f t="shared" si="19"/>
        <v>0</v>
      </c>
      <c r="H490" s="450"/>
      <c r="I490" s="444"/>
      <c r="J490" s="450"/>
      <c r="K490" s="444"/>
      <c r="L490" s="450"/>
      <c r="M490" s="444"/>
      <c r="N490" s="450"/>
      <c r="O490" s="450"/>
      <c r="P490" s="450"/>
      <c r="Q490" s="451" t="s">
        <v>374</v>
      </c>
      <c r="R490" s="451" t="s">
        <v>260</v>
      </c>
      <c r="S490" s="452"/>
      <c r="T490" s="452"/>
      <c r="U490" s="453"/>
      <c r="V490" s="454"/>
      <c r="W490" s="455" t="s">
        <v>406</v>
      </c>
      <c r="X490" s="455">
        <v>45581</v>
      </c>
      <c r="Y490" s="456" t="s">
        <v>377</v>
      </c>
      <c r="Z490" s="457"/>
      <c r="AA490" s="453"/>
    </row>
    <row r="491" spans="1:27" s="128" customFormat="1" ht="37.5">
      <c r="A491" s="443">
        <v>11</v>
      </c>
      <c r="B491" s="444" t="s">
        <v>3935</v>
      </c>
      <c r="C491" s="445" t="s">
        <v>70</v>
      </c>
      <c r="D491" s="444" t="s">
        <v>3936</v>
      </c>
      <c r="E491" s="446">
        <v>1</v>
      </c>
      <c r="F491" s="447"/>
      <c r="G491" s="448">
        <f t="shared" si="19"/>
        <v>0</v>
      </c>
      <c r="H491" s="450"/>
      <c r="I491" s="444"/>
      <c r="J491" s="450"/>
      <c r="K491" s="444" t="s">
        <v>3915</v>
      </c>
      <c r="L491" s="450" t="s">
        <v>1173</v>
      </c>
      <c r="M491" s="444" t="s">
        <v>3937</v>
      </c>
      <c r="N491" s="450"/>
      <c r="O491" s="450"/>
      <c r="P491" s="450" t="s">
        <v>431</v>
      </c>
      <c r="Q491" s="451" t="s">
        <v>374</v>
      </c>
      <c r="R491" s="451" t="s">
        <v>3324</v>
      </c>
      <c r="S491" s="452">
        <v>45552</v>
      </c>
      <c r="T491" s="452"/>
      <c r="U491" s="453"/>
      <c r="V491" s="454"/>
      <c r="W491" s="455" t="s">
        <v>376</v>
      </c>
      <c r="X491" s="455">
        <v>45547</v>
      </c>
      <c r="Y491" s="456" t="s">
        <v>377</v>
      </c>
      <c r="Z491" s="457"/>
      <c r="AA491" s="453"/>
    </row>
    <row r="492" spans="1:27" s="128" customFormat="1" ht="37.5">
      <c r="A492" s="443">
        <v>12</v>
      </c>
      <c r="B492" s="444" t="s">
        <v>3938</v>
      </c>
      <c r="C492" s="445" t="s">
        <v>70</v>
      </c>
      <c r="D492" s="444" t="s">
        <v>3939</v>
      </c>
      <c r="E492" s="446">
        <v>2</v>
      </c>
      <c r="F492" s="447"/>
      <c r="G492" s="448">
        <f t="shared" si="19"/>
        <v>0</v>
      </c>
      <c r="H492" s="450"/>
      <c r="I492" s="444"/>
      <c r="J492" s="450"/>
      <c r="K492" s="444" t="s">
        <v>3915</v>
      </c>
      <c r="L492" s="450" t="s">
        <v>1173</v>
      </c>
      <c r="M492" s="444" t="s">
        <v>3937</v>
      </c>
      <c r="N492" s="450"/>
      <c r="O492" s="450"/>
      <c r="P492" s="450" t="s">
        <v>431</v>
      </c>
      <c r="Q492" s="451" t="s">
        <v>374</v>
      </c>
      <c r="R492" s="451" t="s">
        <v>3324</v>
      </c>
      <c r="S492" s="452">
        <v>45552</v>
      </c>
      <c r="T492" s="452"/>
      <c r="U492" s="453"/>
      <c r="V492" s="454"/>
      <c r="W492" s="455" t="s">
        <v>376</v>
      </c>
      <c r="X492" s="455">
        <v>45547</v>
      </c>
      <c r="Y492" s="456" t="s">
        <v>377</v>
      </c>
      <c r="Z492" s="457"/>
      <c r="AA492" s="453"/>
    </row>
    <row r="493" spans="1:27" s="128" customFormat="1" ht="37.5">
      <c r="A493" s="443">
        <v>13</v>
      </c>
      <c r="B493" s="444" t="s">
        <v>3940</v>
      </c>
      <c r="C493" s="445" t="s">
        <v>70</v>
      </c>
      <c r="D493" s="444" t="s">
        <v>3941</v>
      </c>
      <c r="E493" s="446">
        <v>1</v>
      </c>
      <c r="F493" s="447"/>
      <c r="G493" s="448">
        <f t="shared" si="19"/>
        <v>0</v>
      </c>
      <c r="H493" s="450"/>
      <c r="I493" s="444"/>
      <c r="J493" s="450"/>
      <c r="K493" s="444" t="s">
        <v>3915</v>
      </c>
      <c r="L493" s="450" t="s">
        <v>1173</v>
      </c>
      <c r="M493" s="444" t="s">
        <v>3937</v>
      </c>
      <c r="N493" s="450"/>
      <c r="O493" s="450"/>
      <c r="P493" s="450" t="s">
        <v>431</v>
      </c>
      <c r="Q493" s="451" t="s">
        <v>374</v>
      </c>
      <c r="R493" s="451" t="s">
        <v>3324</v>
      </c>
      <c r="S493" s="452">
        <v>45552</v>
      </c>
      <c r="T493" s="452"/>
      <c r="U493" s="453"/>
      <c r="V493" s="454"/>
      <c r="W493" s="455" t="s">
        <v>376</v>
      </c>
      <c r="X493" s="455">
        <v>45547</v>
      </c>
      <c r="Y493" s="456" t="s">
        <v>377</v>
      </c>
      <c r="Z493" s="457"/>
      <c r="AA493" s="453"/>
    </row>
    <row r="494" spans="1:27" s="128" customFormat="1" ht="37.5">
      <c r="A494" s="443">
        <v>14</v>
      </c>
      <c r="B494" s="444" t="s">
        <v>3942</v>
      </c>
      <c r="C494" s="445" t="s">
        <v>70</v>
      </c>
      <c r="D494" s="444" t="s">
        <v>3943</v>
      </c>
      <c r="E494" s="446">
        <v>1</v>
      </c>
      <c r="F494" s="447"/>
      <c r="G494" s="448">
        <f t="shared" si="19"/>
        <v>0</v>
      </c>
      <c r="H494" s="450"/>
      <c r="I494" s="444"/>
      <c r="J494" s="450"/>
      <c r="K494" s="444" t="s">
        <v>3915</v>
      </c>
      <c r="L494" s="450" t="s">
        <v>1173</v>
      </c>
      <c r="M494" s="444" t="s">
        <v>3919</v>
      </c>
      <c r="N494" s="450"/>
      <c r="O494" s="450"/>
      <c r="P494" s="450" t="s">
        <v>431</v>
      </c>
      <c r="Q494" s="451" t="s">
        <v>374</v>
      </c>
      <c r="R494" s="451" t="s">
        <v>3816</v>
      </c>
      <c r="S494" s="452">
        <v>45558</v>
      </c>
      <c r="T494" s="452"/>
      <c r="U494" s="453"/>
      <c r="V494" s="454"/>
      <c r="W494" s="455" t="s">
        <v>406</v>
      </c>
      <c r="X494" s="455">
        <v>45561</v>
      </c>
      <c r="Y494" s="456" t="s">
        <v>377</v>
      </c>
      <c r="Z494" s="457"/>
      <c r="AA494" s="453"/>
    </row>
    <row r="495" spans="1:27" s="128" customFormat="1" ht="37.5">
      <c r="A495" s="443">
        <v>15</v>
      </c>
      <c r="B495" s="444" t="s">
        <v>3944</v>
      </c>
      <c r="C495" s="445" t="s">
        <v>70</v>
      </c>
      <c r="D495" s="444" t="s">
        <v>3945</v>
      </c>
      <c r="E495" s="446">
        <v>1</v>
      </c>
      <c r="F495" s="447"/>
      <c r="G495" s="448">
        <f t="shared" si="19"/>
        <v>0</v>
      </c>
      <c r="H495" s="450"/>
      <c r="I495" s="444"/>
      <c r="J495" s="450"/>
      <c r="K495" s="444" t="s">
        <v>3915</v>
      </c>
      <c r="L495" s="450" t="s">
        <v>1173</v>
      </c>
      <c r="M495" s="444" t="s">
        <v>3937</v>
      </c>
      <c r="N495" s="450"/>
      <c r="O495" s="450"/>
      <c r="P495" s="450" t="s">
        <v>431</v>
      </c>
      <c r="Q495" s="451" t="s">
        <v>374</v>
      </c>
      <c r="R495" s="451" t="s">
        <v>3324</v>
      </c>
      <c r="S495" s="452">
        <v>45552</v>
      </c>
      <c r="T495" s="452"/>
      <c r="U495" s="453"/>
      <c r="V495" s="454"/>
      <c r="W495" s="455" t="s">
        <v>376</v>
      </c>
      <c r="X495" s="455">
        <v>45547</v>
      </c>
      <c r="Y495" s="456" t="s">
        <v>377</v>
      </c>
      <c r="Z495" s="457"/>
      <c r="AA495" s="453"/>
    </row>
    <row r="496" spans="1:27" s="128" customFormat="1" ht="37.5">
      <c r="A496" s="443">
        <v>16</v>
      </c>
      <c r="B496" s="444" t="s">
        <v>3946</v>
      </c>
      <c r="C496" s="445" t="s">
        <v>70</v>
      </c>
      <c r="D496" s="444" t="s">
        <v>3947</v>
      </c>
      <c r="E496" s="446">
        <v>1</v>
      </c>
      <c r="F496" s="447"/>
      <c r="G496" s="448">
        <f t="shared" si="19"/>
        <v>0</v>
      </c>
      <c r="H496" s="450"/>
      <c r="I496" s="444"/>
      <c r="J496" s="450"/>
      <c r="K496" s="444" t="s">
        <v>3915</v>
      </c>
      <c r="L496" s="450" t="s">
        <v>1173</v>
      </c>
      <c r="M496" s="444" t="s">
        <v>3948</v>
      </c>
      <c r="N496" s="450"/>
      <c r="O496" s="450"/>
      <c r="P496" s="450" t="s">
        <v>431</v>
      </c>
      <c r="Q496" s="451" t="s">
        <v>374</v>
      </c>
      <c r="R496" s="451" t="s">
        <v>2967</v>
      </c>
      <c r="S496" s="452">
        <v>45552</v>
      </c>
      <c r="T496" s="452"/>
      <c r="U496" s="453"/>
      <c r="V496" s="454"/>
      <c r="W496" s="455" t="s">
        <v>406</v>
      </c>
      <c r="X496" s="455">
        <v>45544</v>
      </c>
      <c r="Y496" s="456" t="s">
        <v>377</v>
      </c>
      <c r="Z496" s="457"/>
      <c r="AA496" s="453"/>
    </row>
    <row r="497" spans="1:27" s="128" customFormat="1" ht="37.5">
      <c r="A497" s="443">
        <v>17</v>
      </c>
      <c r="B497" s="444" t="s">
        <v>3949</v>
      </c>
      <c r="C497" s="445" t="s">
        <v>70</v>
      </c>
      <c r="D497" s="444" t="s">
        <v>3950</v>
      </c>
      <c r="E497" s="446">
        <v>2</v>
      </c>
      <c r="F497" s="447"/>
      <c r="G497" s="448">
        <f t="shared" si="19"/>
        <v>0</v>
      </c>
      <c r="H497" s="450"/>
      <c r="I497" s="444"/>
      <c r="J497" s="450"/>
      <c r="K497" s="444" t="s">
        <v>3915</v>
      </c>
      <c r="L497" s="450" t="s">
        <v>1173</v>
      </c>
      <c r="M497" s="444" t="s">
        <v>3937</v>
      </c>
      <c r="N497" s="450"/>
      <c r="O497" s="450"/>
      <c r="P497" s="450" t="s">
        <v>431</v>
      </c>
      <c r="Q497" s="451" t="s">
        <v>374</v>
      </c>
      <c r="R497" s="451" t="s">
        <v>3324</v>
      </c>
      <c r="S497" s="452">
        <v>45552</v>
      </c>
      <c r="T497" s="452"/>
      <c r="U497" s="453"/>
      <c r="V497" s="454"/>
      <c r="W497" s="455" t="s">
        <v>376</v>
      </c>
      <c r="X497" s="455">
        <v>45547</v>
      </c>
      <c r="Y497" s="456" t="s">
        <v>377</v>
      </c>
      <c r="Z497" s="457"/>
      <c r="AA497" s="453"/>
    </row>
    <row r="498" spans="1:27" s="128" customFormat="1" ht="37.5">
      <c r="A498" s="458">
        <v>18</v>
      </c>
      <c r="B498" s="459" t="s">
        <v>3951</v>
      </c>
      <c r="C498" s="460" t="s">
        <v>70</v>
      </c>
      <c r="D498" s="459" t="s">
        <v>3952</v>
      </c>
      <c r="E498" s="461">
        <v>4</v>
      </c>
      <c r="F498" s="462"/>
      <c r="G498" s="463">
        <f t="shared" si="19"/>
        <v>0</v>
      </c>
      <c r="H498" s="465"/>
      <c r="I498" s="459"/>
      <c r="J498" s="465"/>
      <c r="K498" s="459" t="s">
        <v>3915</v>
      </c>
      <c r="L498" s="465" t="s">
        <v>1173</v>
      </c>
      <c r="M498" s="459" t="s">
        <v>3916</v>
      </c>
      <c r="N498" s="465"/>
      <c r="O498" s="465"/>
      <c r="P498" s="465" t="s">
        <v>431</v>
      </c>
      <c r="Q498" s="466" t="s">
        <v>374</v>
      </c>
      <c r="R498" s="466" t="s">
        <v>2906</v>
      </c>
      <c r="S498" s="467">
        <v>45553</v>
      </c>
      <c r="T498" s="467"/>
      <c r="U498" s="468"/>
      <c r="V498" s="469"/>
      <c r="W498" s="470" t="s">
        <v>406</v>
      </c>
      <c r="X498" s="470">
        <v>45560</v>
      </c>
      <c r="Y498" s="471" t="s">
        <v>377</v>
      </c>
      <c r="Z498" s="472"/>
      <c r="AA498" s="453"/>
    </row>
    <row r="499" spans="1:27">
      <c r="A499" s="389"/>
      <c r="B499" s="390" t="s">
        <v>1557</v>
      </c>
      <c r="C499" s="391"/>
      <c r="D499" s="392"/>
      <c r="E499" s="393"/>
      <c r="F499" s="394"/>
      <c r="G499" s="395">
        <f>E499*F499</f>
        <v>0</v>
      </c>
      <c r="H499" s="420"/>
      <c r="I499" s="392"/>
      <c r="J499" s="420"/>
      <c r="K499" s="392"/>
      <c r="L499" s="397"/>
      <c r="M499" s="392"/>
      <c r="N499" s="397"/>
      <c r="O499" s="397"/>
      <c r="P499" s="397"/>
      <c r="Q499" s="398"/>
      <c r="R499" s="398"/>
      <c r="S499" s="399"/>
      <c r="T499" s="399"/>
      <c r="U499" s="400"/>
      <c r="V499" s="401"/>
      <c r="W499" s="402"/>
      <c r="X499" s="402"/>
      <c r="Y499" s="403"/>
      <c r="Z499" s="404"/>
      <c r="AA499" s="493"/>
    </row>
    <row r="500" spans="1:27" s="128" customFormat="1" ht="37.5">
      <c r="A500" s="443">
        <v>1</v>
      </c>
      <c r="B500" s="444" t="s">
        <v>3953</v>
      </c>
      <c r="C500" s="445" t="s">
        <v>72</v>
      </c>
      <c r="D500" s="444" t="s">
        <v>3954</v>
      </c>
      <c r="E500" s="446">
        <v>1</v>
      </c>
      <c r="F500" s="447"/>
      <c r="G500" s="448">
        <f t="shared" ref="G500:G530" si="20">E500*F500</f>
        <v>0</v>
      </c>
      <c r="H500" s="450"/>
      <c r="I500" s="444"/>
      <c r="J500" s="450"/>
      <c r="K500" s="444" t="s">
        <v>3955</v>
      </c>
      <c r="L500" s="450" t="s">
        <v>678</v>
      </c>
      <c r="M500" s="444" t="s">
        <v>3956</v>
      </c>
      <c r="N500" s="450"/>
      <c r="O500" s="450"/>
      <c r="P500" s="450" t="s">
        <v>2709</v>
      </c>
      <c r="Q500" s="451" t="s">
        <v>374</v>
      </c>
      <c r="R500" s="451" t="s">
        <v>2922</v>
      </c>
      <c r="S500" s="452">
        <v>45555</v>
      </c>
      <c r="T500" s="452"/>
      <c r="U500" s="453"/>
      <c r="V500" s="454"/>
      <c r="W500" s="455" t="s">
        <v>406</v>
      </c>
      <c r="X500" s="455">
        <v>45554</v>
      </c>
      <c r="Y500" s="456" t="s">
        <v>377</v>
      </c>
      <c r="Z500" s="457"/>
      <c r="AA500" s="453"/>
    </row>
    <row r="501" spans="1:27" s="128" customFormat="1" ht="37.5">
      <c r="A501" s="443">
        <v>2</v>
      </c>
      <c r="B501" s="444" t="s">
        <v>3957</v>
      </c>
      <c r="C501" s="445" t="s">
        <v>72</v>
      </c>
      <c r="D501" s="444" t="s">
        <v>3958</v>
      </c>
      <c r="E501" s="446">
        <v>1</v>
      </c>
      <c r="F501" s="447"/>
      <c r="G501" s="448">
        <f t="shared" si="20"/>
        <v>0</v>
      </c>
      <c r="H501" s="450"/>
      <c r="I501" s="444"/>
      <c r="J501" s="450"/>
      <c r="K501" s="444" t="s">
        <v>3955</v>
      </c>
      <c r="L501" s="450" t="s">
        <v>678</v>
      </c>
      <c r="M501" s="444" t="s">
        <v>3959</v>
      </c>
      <c r="N501" s="450"/>
      <c r="O501" s="450"/>
      <c r="P501" s="450" t="s">
        <v>2709</v>
      </c>
      <c r="Q501" s="451" t="s">
        <v>374</v>
      </c>
      <c r="R501" s="451" t="s">
        <v>3352</v>
      </c>
      <c r="S501" s="452">
        <v>45555</v>
      </c>
      <c r="T501" s="452"/>
      <c r="U501" s="453"/>
      <c r="V501" s="454"/>
      <c r="W501" s="455" t="s">
        <v>3960</v>
      </c>
      <c r="X501" s="455">
        <v>45552</v>
      </c>
      <c r="Y501" s="456" t="s">
        <v>377</v>
      </c>
      <c r="Z501" s="457"/>
      <c r="AA501" s="453"/>
    </row>
    <row r="502" spans="1:27" s="128" customFormat="1" ht="37.5">
      <c r="A502" s="443">
        <v>3</v>
      </c>
      <c r="B502" s="444" t="s">
        <v>3961</v>
      </c>
      <c r="C502" s="445" t="s">
        <v>72</v>
      </c>
      <c r="D502" s="444" t="s">
        <v>3962</v>
      </c>
      <c r="E502" s="446">
        <v>2</v>
      </c>
      <c r="F502" s="447"/>
      <c r="G502" s="448">
        <f t="shared" si="20"/>
        <v>0</v>
      </c>
      <c r="H502" s="450"/>
      <c r="I502" s="444"/>
      <c r="J502" s="450"/>
      <c r="K502" s="444" t="s">
        <v>3955</v>
      </c>
      <c r="L502" s="450" t="s">
        <v>678</v>
      </c>
      <c r="M502" s="444" t="s">
        <v>3959</v>
      </c>
      <c r="N502" s="450"/>
      <c r="O502" s="450"/>
      <c r="P502" s="450" t="s">
        <v>2709</v>
      </c>
      <c r="Q502" s="451" t="s">
        <v>374</v>
      </c>
      <c r="R502" s="451" t="s">
        <v>3352</v>
      </c>
      <c r="S502" s="452">
        <v>45555</v>
      </c>
      <c r="T502" s="452"/>
      <c r="U502" s="453"/>
      <c r="V502" s="454"/>
      <c r="W502" s="455" t="s">
        <v>376</v>
      </c>
      <c r="X502" s="455">
        <v>45548</v>
      </c>
      <c r="Y502" s="456" t="s">
        <v>377</v>
      </c>
      <c r="Z502" s="457"/>
      <c r="AA502" s="453"/>
    </row>
    <row r="503" spans="1:27" s="128" customFormat="1" ht="37.5">
      <c r="A503" s="443">
        <v>4</v>
      </c>
      <c r="B503" s="444" t="s">
        <v>3963</v>
      </c>
      <c r="C503" s="445" t="s">
        <v>72</v>
      </c>
      <c r="D503" s="444" t="s">
        <v>3964</v>
      </c>
      <c r="E503" s="446">
        <v>1</v>
      </c>
      <c r="F503" s="447"/>
      <c r="G503" s="448">
        <f t="shared" si="20"/>
        <v>0</v>
      </c>
      <c r="H503" s="450"/>
      <c r="I503" s="444"/>
      <c r="J503" s="450"/>
      <c r="K503" s="444" t="s">
        <v>3955</v>
      </c>
      <c r="L503" s="450" t="s">
        <v>678</v>
      </c>
      <c r="M503" s="444" t="s">
        <v>3965</v>
      </c>
      <c r="N503" s="450"/>
      <c r="O503" s="450"/>
      <c r="P503" s="450" t="s">
        <v>2709</v>
      </c>
      <c r="Q503" s="451" t="s">
        <v>374</v>
      </c>
      <c r="R503" s="451" t="s">
        <v>3324</v>
      </c>
      <c r="S503" s="452">
        <v>45555</v>
      </c>
      <c r="T503" s="452"/>
      <c r="U503" s="453"/>
      <c r="V503" s="454"/>
      <c r="W503" s="455" t="s">
        <v>376</v>
      </c>
      <c r="X503" s="455">
        <v>45547</v>
      </c>
      <c r="Y503" s="456" t="s">
        <v>377</v>
      </c>
      <c r="Z503" s="457"/>
      <c r="AA503" s="453"/>
    </row>
    <row r="504" spans="1:27" s="128" customFormat="1" ht="37.5">
      <c r="A504" s="443">
        <v>5</v>
      </c>
      <c r="B504" s="444" t="s">
        <v>3966</v>
      </c>
      <c r="C504" s="445" t="s">
        <v>72</v>
      </c>
      <c r="D504" s="444" t="s">
        <v>3967</v>
      </c>
      <c r="E504" s="446">
        <v>3</v>
      </c>
      <c r="F504" s="447"/>
      <c r="G504" s="448">
        <f t="shared" si="20"/>
        <v>0</v>
      </c>
      <c r="H504" s="450"/>
      <c r="I504" s="444"/>
      <c r="J504" s="450"/>
      <c r="K504" s="444" t="s">
        <v>3955</v>
      </c>
      <c r="L504" s="450" t="s">
        <v>678</v>
      </c>
      <c r="M504" s="444" t="s">
        <v>3956</v>
      </c>
      <c r="N504" s="450"/>
      <c r="O504" s="450"/>
      <c r="P504" s="450" t="s">
        <v>2709</v>
      </c>
      <c r="Q504" s="451" t="s">
        <v>374</v>
      </c>
      <c r="R504" s="451" t="s">
        <v>2922</v>
      </c>
      <c r="S504" s="452">
        <v>45555</v>
      </c>
      <c r="T504" s="452"/>
      <c r="U504" s="453"/>
      <c r="V504" s="454"/>
      <c r="W504" s="455" t="s">
        <v>376</v>
      </c>
      <c r="X504" s="455">
        <v>45548</v>
      </c>
      <c r="Y504" s="456" t="s">
        <v>377</v>
      </c>
      <c r="Z504" s="457"/>
      <c r="AA504" s="453"/>
    </row>
    <row r="505" spans="1:27" s="128" customFormat="1" ht="37.5">
      <c r="A505" s="443">
        <v>6</v>
      </c>
      <c r="B505" s="444" t="s">
        <v>3968</v>
      </c>
      <c r="C505" s="445" t="s">
        <v>72</v>
      </c>
      <c r="D505" s="444" t="s">
        <v>3969</v>
      </c>
      <c r="E505" s="446">
        <v>1</v>
      </c>
      <c r="F505" s="447"/>
      <c r="G505" s="448">
        <f t="shared" si="20"/>
        <v>0</v>
      </c>
      <c r="H505" s="450"/>
      <c r="I505" s="444"/>
      <c r="J505" s="450"/>
      <c r="K505" s="444" t="s">
        <v>3955</v>
      </c>
      <c r="L505" s="450" t="s">
        <v>678</v>
      </c>
      <c r="M505" s="444" t="s">
        <v>3965</v>
      </c>
      <c r="N505" s="450"/>
      <c r="O505" s="450"/>
      <c r="P505" s="450" t="s">
        <v>2709</v>
      </c>
      <c r="Q505" s="451" t="s">
        <v>374</v>
      </c>
      <c r="R505" s="451" t="s">
        <v>3324</v>
      </c>
      <c r="S505" s="452">
        <v>45555</v>
      </c>
      <c r="T505" s="452"/>
      <c r="U505" s="453"/>
      <c r="V505" s="454"/>
      <c r="W505" s="455" t="s">
        <v>376</v>
      </c>
      <c r="X505" s="455">
        <v>45547</v>
      </c>
      <c r="Y505" s="456" t="s">
        <v>377</v>
      </c>
      <c r="Z505" s="457"/>
      <c r="AA505" s="453"/>
    </row>
    <row r="506" spans="1:27" s="128" customFormat="1" ht="37.5">
      <c r="A506" s="443">
        <v>7</v>
      </c>
      <c r="B506" s="444" t="s">
        <v>3970</v>
      </c>
      <c r="C506" s="445" t="s">
        <v>72</v>
      </c>
      <c r="D506" s="444" t="s">
        <v>3971</v>
      </c>
      <c r="E506" s="446">
        <v>1</v>
      </c>
      <c r="F506" s="447"/>
      <c r="G506" s="448">
        <f t="shared" si="20"/>
        <v>0</v>
      </c>
      <c r="H506" s="450"/>
      <c r="I506" s="444"/>
      <c r="J506" s="450"/>
      <c r="K506" s="444" t="s">
        <v>3955</v>
      </c>
      <c r="L506" s="450" t="s">
        <v>678</v>
      </c>
      <c r="M506" s="444" t="s">
        <v>3965</v>
      </c>
      <c r="N506" s="450"/>
      <c r="O506" s="450"/>
      <c r="P506" s="450" t="s">
        <v>2709</v>
      </c>
      <c r="Q506" s="451" t="s">
        <v>374</v>
      </c>
      <c r="R506" s="451" t="s">
        <v>3324</v>
      </c>
      <c r="S506" s="452">
        <v>45555</v>
      </c>
      <c r="T506" s="452"/>
      <c r="U506" s="453"/>
      <c r="V506" s="454"/>
      <c r="W506" s="455" t="s">
        <v>376</v>
      </c>
      <c r="X506" s="455">
        <v>45547</v>
      </c>
      <c r="Y506" s="456" t="s">
        <v>377</v>
      </c>
      <c r="Z506" s="457"/>
      <c r="AA506" s="453"/>
    </row>
    <row r="507" spans="1:27" s="128" customFormat="1" ht="37.5">
      <c r="A507" s="443">
        <v>8</v>
      </c>
      <c r="B507" s="444" t="s">
        <v>3972</v>
      </c>
      <c r="C507" s="445" t="s">
        <v>72</v>
      </c>
      <c r="D507" s="444" t="s">
        <v>3973</v>
      </c>
      <c r="E507" s="446">
        <v>3</v>
      </c>
      <c r="F507" s="447"/>
      <c r="G507" s="448">
        <f t="shared" si="20"/>
        <v>0</v>
      </c>
      <c r="H507" s="450"/>
      <c r="I507" s="444"/>
      <c r="J507" s="450"/>
      <c r="K507" s="444" t="s">
        <v>3955</v>
      </c>
      <c r="L507" s="450" t="s">
        <v>678</v>
      </c>
      <c r="M507" s="444" t="s">
        <v>3956</v>
      </c>
      <c r="N507" s="450"/>
      <c r="O507" s="450"/>
      <c r="P507" s="450" t="s">
        <v>2709</v>
      </c>
      <c r="Q507" s="451" t="s">
        <v>374</v>
      </c>
      <c r="R507" s="451" t="s">
        <v>2922</v>
      </c>
      <c r="S507" s="452">
        <v>45555</v>
      </c>
      <c r="T507" s="452"/>
      <c r="U507" s="453"/>
      <c r="V507" s="454"/>
      <c r="W507" s="455" t="s">
        <v>406</v>
      </c>
      <c r="X507" s="455">
        <v>45545</v>
      </c>
      <c r="Y507" s="456" t="s">
        <v>377</v>
      </c>
      <c r="Z507" s="457"/>
      <c r="AA507" s="453"/>
    </row>
    <row r="508" spans="1:27" s="128" customFormat="1" ht="37.5">
      <c r="A508" s="443">
        <v>9</v>
      </c>
      <c r="B508" s="444" t="s">
        <v>3974</v>
      </c>
      <c r="C508" s="445" t="s">
        <v>72</v>
      </c>
      <c r="D508" s="444" t="s">
        <v>3975</v>
      </c>
      <c r="E508" s="446">
        <v>3</v>
      </c>
      <c r="F508" s="447"/>
      <c r="G508" s="448">
        <f t="shared" si="20"/>
        <v>0</v>
      </c>
      <c r="H508" s="450"/>
      <c r="I508" s="444"/>
      <c r="J508" s="450"/>
      <c r="K508" s="444" t="s">
        <v>3955</v>
      </c>
      <c r="L508" s="450" t="s">
        <v>678</v>
      </c>
      <c r="M508" s="444" t="s">
        <v>3965</v>
      </c>
      <c r="N508" s="450"/>
      <c r="O508" s="450"/>
      <c r="P508" s="450" t="s">
        <v>2709</v>
      </c>
      <c r="Q508" s="451" t="s">
        <v>374</v>
      </c>
      <c r="R508" s="451" t="s">
        <v>3324</v>
      </c>
      <c r="S508" s="452">
        <v>45555</v>
      </c>
      <c r="T508" s="452"/>
      <c r="U508" s="453"/>
      <c r="V508" s="454"/>
      <c r="W508" s="455" t="s">
        <v>376</v>
      </c>
      <c r="X508" s="455">
        <v>45548</v>
      </c>
      <c r="Y508" s="456" t="s">
        <v>377</v>
      </c>
      <c r="Z508" s="457"/>
      <c r="AA508" s="453"/>
    </row>
    <row r="509" spans="1:27" s="128" customFormat="1" ht="37.5">
      <c r="A509" s="443">
        <v>10</v>
      </c>
      <c r="B509" s="444" t="s">
        <v>3976</v>
      </c>
      <c r="C509" s="445" t="s">
        <v>72</v>
      </c>
      <c r="D509" s="444" t="s">
        <v>3977</v>
      </c>
      <c r="E509" s="446">
        <v>1</v>
      </c>
      <c r="F509" s="447"/>
      <c r="G509" s="448">
        <f t="shared" si="20"/>
        <v>0</v>
      </c>
      <c r="H509" s="450"/>
      <c r="I509" s="444"/>
      <c r="J509" s="450"/>
      <c r="K509" s="444" t="s">
        <v>3955</v>
      </c>
      <c r="L509" s="450" t="s">
        <v>678</v>
      </c>
      <c r="M509" s="444" t="s">
        <v>3978</v>
      </c>
      <c r="N509" s="450"/>
      <c r="O509" s="450"/>
      <c r="P509" s="450" t="s">
        <v>2709</v>
      </c>
      <c r="Q509" s="451" t="s">
        <v>374</v>
      </c>
      <c r="R509" s="451" t="s">
        <v>3979</v>
      </c>
      <c r="S509" s="452">
        <v>45555</v>
      </c>
      <c r="T509" s="452"/>
      <c r="U509" s="453"/>
      <c r="V509" s="454"/>
      <c r="W509" s="455" t="s">
        <v>406</v>
      </c>
      <c r="X509" s="455">
        <v>45552</v>
      </c>
      <c r="Y509" s="456" t="s">
        <v>377</v>
      </c>
      <c r="Z509" s="457"/>
      <c r="AA509" s="453"/>
    </row>
    <row r="510" spans="1:27" s="128" customFormat="1" ht="37.5">
      <c r="A510" s="443">
        <v>11</v>
      </c>
      <c r="B510" s="444" t="s">
        <v>3980</v>
      </c>
      <c r="C510" s="445" t="s">
        <v>72</v>
      </c>
      <c r="D510" s="444" t="s">
        <v>3981</v>
      </c>
      <c r="E510" s="446">
        <v>1</v>
      </c>
      <c r="F510" s="447"/>
      <c r="G510" s="448">
        <f t="shared" si="20"/>
        <v>0</v>
      </c>
      <c r="H510" s="450"/>
      <c r="I510" s="444"/>
      <c r="J510" s="450"/>
      <c r="K510" s="444" t="s">
        <v>3955</v>
      </c>
      <c r="L510" s="450" t="s">
        <v>678</v>
      </c>
      <c r="M510" s="444" t="s">
        <v>3978</v>
      </c>
      <c r="N510" s="450"/>
      <c r="O510" s="450"/>
      <c r="P510" s="450" t="s">
        <v>2709</v>
      </c>
      <c r="Q510" s="451" t="s">
        <v>374</v>
      </c>
      <c r="R510" s="451" t="s">
        <v>3979</v>
      </c>
      <c r="S510" s="452">
        <v>45555</v>
      </c>
      <c r="T510" s="452"/>
      <c r="U510" s="453"/>
      <c r="V510" s="454"/>
      <c r="W510" s="455" t="s">
        <v>406</v>
      </c>
      <c r="X510" s="455">
        <v>45552</v>
      </c>
      <c r="Y510" s="456" t="s">
        <v>377</v>
      </c>
      <c r="Z510" s="457"/>
      <c r="AA510" s="453"/>
    </row>
    <row r="511" spans="1:27" s="128" customFormat="1" ht="37.5">
      <c r="A511" s="443">
        <v>12</v>
      </c>
      <c r="B511" s="444" t="s">
        <v>3982</v>
      </c>
      <c r="C511" s="445" t="s">
        <v>72</v>
      </c>
      <c r="D511" s="444" t="s">
        <v>3983</v>
      </c>
      <c r="E511" s="446">
        <v>3</v>
      </c>
      <c r="F511" s="447"/>
      <c r="G511" s="448">
        <f t="shared" si="20"/>
        <v>0</v>
      </c>
      <c r="H511" s="450"/>
      <c r="I511" s="444"/>
      <c r="J511" s="450"/>
      <c r="K511" s="444" t="s">
        <v>3955</v>
      </c>
      <c r="L511" s="450" t="s">
        <v>678</v>
      </c>
      <c r="M511" s="444" t="s">
        <v>3965</v>
      </c>
      <c r="N511" s="450"/>
      <c r="O511" s="450"/>
      <c r="P511" s="450" t="s">
        <v>2709</v>
      </c>
      <c r="Q511" s="451" t="s">
        <v>374</v>
      </c>
      <c r="R511" s="451" t="s">
        <v>3324</v>
      </c>
      <c r="S511" s="452">
        <v>45611</v>
      </c>
      <c r="T511" s="452"/>
      <c r="U511" s="453"/>
      <c r="V511" s="454"/>
      <c r="W511" s="455" t="s">
        <v>406</v>
      </c>
      <c r="X511" s="455">
        <v>45588</v>
      </c>
      <c r="Y511" s="456" t="s">
        <v>377</v>
      </c>
      <c r="Z511" s="457"/>
      <c r="AA511" s="453"/>
    </row>
    <row r="512" spans="1:27" s="128" customFormat="1" ht="37.5">
      <c r="A512" s="443">
        <v>13</v>
      </c>
      <c r="B512" s="444" t="s">
        <v>3984</v>
      </c>
      <c r="C512" s="445" t="s">
        <v>72</v>
      </c>
      <c r="D512" s="444" t="s">
        <v>3985</v>
      </c>
      <c r="E512" s="446">
        <v>1</v>
      </c>
      <c r="F512" s="447"/>
      <c r="G512" s="448">
        <f t="shared" si="20"/>
        <v>0</v>
      </c>
      <c r="H512" s="450"/>
      <c r="I512" s="444"/>
      <c r="J512" s="450"/>
      <c r="K512" s="444" t="s">
        <v>3955</v>
      </c>
      <c r="L512" s="450" t="s">
        <v>678</v>
      </c>
      <c r="M512" s="444" t="s">
        <v>3965</v>
      </c>
      <c r="N512" s="450"/>
      <c r="O512" s="450"/>
      <c r="P512" s="450" t="s">
        <v>2709</v>
      </c>
      <c r="Q512" s="451" t="s">
        <v>374</v>
      </c>
      <c r="R512" s="451" t="s">
        <v>3324</v>
      </c>
      <c r="S512" s="452">
        <v>45611</v>
      </c>
      <c r="T512" s="452" t="s">
        <v>3314</v>
      </c>
      <c r="U512" s="453"/>
      <c r="V512" s="454"/>
      <c r="W512" s="455" t="s">
        <v>406</v>
      </c>
      <c r="X512" s="455">
        <v>45604</v>
      </c>
      <c r="Y512" s="456" t="s">
        <v>377</v>
      </c>
      <c r="Z512" s="457"/>
      <c r="AA512" s="453"/>
    </row>
    <row r="513" spans="1:27" s="128" customFormat="1" ht="37.5">
      <c r="A513" s="443">
        <v>14</v>
      </c>
      <c r="B513" s="444" t="s">
        <v>3986</v>
      </c>
      <c r="C513" s="445" t="s">
        <v>72</v>
      </c>
      <c r="D513" s="444" t="s">
        <v>3987</v>
      </c>
      <c r="E513" s="446">
        <v>1</v>
      </c>
      <c r="F513" s="447"/>
      <c r="G513" s="448">
        <f t="shared" si="20"/>
        <v>0</v>
      </c>
      <c r="H513" s="450"/>
      <c r="I513" s="444"/>
      <c r="J513" s="450"/>
      <c r="K513" s="444" t="s">
        <v>3955</v>
      </c>
      <c r="L513" s="450" t="s">
        <v>678</v>
      </c>
      <c r="M513" s="444" t="s">
        <v>3956</v>
      </c>
      <c r="N513" s="450"/>
      <c r="O513" s="450"/>
      <c r="P513" s="450" t="s">
        <v>2709</v>
      </c>
      <c r="Q513" s="451" t="s">
        <v>374</v>
      </c>
      <c r="R513" s="451" t="s">
        <v>2922</v>
      </c>
      <c r="S513" s="452">
        <v>45555</v>
      </c>
      <c r="T513" s="452"/>
      <c r="U513" s="453"/>
      <c r="V513" s="454"/>
      <c r="W513" s="455" t="s">
        <v>406</v>
      </c>
      <c r="X513" s="455">
        <v>45555</v>
      </c>
      <c r="Y513" s="456" t="s">
        <v>377</v>
      </c>
      <c r="Z513" s="457"/>
      <c r="AA513" s="453"/>
    </row>
    <row r="514" spans="1:27" s="128" customFormat="1" ht="37.5">
      <c r="A514" s="443">
        <v>15</v>
      </c>
      <c r="B514" s="444" t="s">
        <v>3988</v>
      </c>
      <c r="C514" s="445" t="s">
        <v>72</v>
      </c>
      <c r="D514" s="444" t="s">
        <v>3989</v>
      </c>
      <c r="E514" s="446">
        <v>2</v>
      </c>
      <c r="F514" s="447"/>
      <c r="G514" s="448">
        <f t="shared" si="20"/>
        <v>0</v>
      </c>
      <c r="H514" s="450"/>
      <c r="I514" s="444"/>
      <c r="J514" s="450"/>
      <c r="K514" s="444" t="s">
        <v>3955</v>
      </c>
      <c r="L514" s="450" t="s">
        <v>678</v>
      </c>
      <c r="M514" s="444" t="s">
        <v>3959</v>
      </c>
      <c r="N514" s="450"/>
      <c r="O514" s="450"/>
      <c r="P514" s="450" t="s">
        <v>2709</v>
      </c>
      <c r="Q514" s="451" t="s">
        <v>374</v>
      </c>
      <c r="R514" s="451" t="s">
        <v>3352</v>
      </c>
      <c r="S514" s="452">
        <v>45555</v>
      </c>
      <c r="T514" s="452"/>
      <c r="U514" s="453"/>
      <c r="V514" s="454"/>
      <c r="W514" s="455" t="s">
        <v>376</v>
      </c>
      <c r="X514" s="455">
        <v>45548</v>
      </c>
      <c r="Y514" s="456" t="s">
        <v>377</v>
      </c>
      <c r="Z514" s="457"/>
      <c r="AA514" s="453"/>
    </row>
    <row r="515" spans="1:27" s="128" customFormat="1" ht="37.5">
      <c r="A515" s="443">
        <v>16</v>
      </c>
      <c r="B515" s="444" t="s">
        <v>3990</v>
      </c>
      <c r="C515" s="445" t="s">
        <v>72</v>
      </c>
      <c r="D515" s="444" t="s">
        <v>3991</v>
      </c>
      <c r="E515" s="446">
        <v>1</v>
      </c>
      <c r="F515" s="447"/>
      <c r="G515" s="448">
        <f t="shared" si="20"/>
        <v>0</v>
      </c>
      <c r="H515" s="450"/>
      <c r="I515" s="444"/>
      <c r="J515" s="450"/>
      <c r="K515" s="444" t="s">
        <v>3955</v>
      </c>
      <c r="L515" s="450" t="s">
        <v>678</v>
      </c>
      <c r="M515" s="444" t="s">
        <v>3965</v>
      </c>
      <c r="N515" s="450"/>
      <c r="O515" s="450"/>
      <c r="P515" s="450" t="s">
        <v>2709</v>
      </c>
      <c r="Q515" s="451" t="s">
        <v>374</v>
      </c>
      <c r="R515" s="451" t="s">
        <v>3324</v>
      </c>
      <c r="S515" s="452">
        <v>45555</v>
      </c>
      <c r="T515" s="452"/>
      <c r="U515" s="453"/>
      <c r="V515" s="454"/>
      <c r="W515" s="455" t="s">
        <v>376</v>
      </c>
      <c r="X515" s="455">
        <v>45547</v>
      </c>
      <c r="Y515" s="456" t="s">
        <v>377</v>
      </c>
      <c r="Z515" s="457"/>
      <c r="AA515" s="453"/>
    </row>
    <row r="516" spans="1:27" s="128" customFormat="1" ht="37.5">
      <c r="A516" s="443">
        <v>17</v>
      </c>
      <c r="B516" s="444" t="s">
        <v>3992</v>
      </c>
      <c r="C516" s="445" t="s">
        <v>72</v>
      </c>
      <c r="D516" s="444" t="s">
        <v>3993</v>
      </c>
      <c r="E516" s="446">
        <v>1</v>
      </c>
      <c r="F516" s="447"/>
      <c r="G516" s="448">
        <f t="shared" si="20"/>
        <v>0</v>
      </c>
      <c r="H516" s="450"/>
      <c r="I516" s="444"/>
      <c r="J516" s="450"/>
      <c r="K516" s="444" t="s">
        <v>3955</v>
      </c>
      <c r="L516" s="450" t="s">
        <v>678</v>
      </c>
      <c r="M516" s="444" t="s">
        <v>3978</v>
      </c>
      <c r="N516" s="450"/>
      <c r="O516" s="450"/>
      <c r="P516" s="450" t="s">
        <v>2709</v>
      </c>
      <c r="Q516" s="451" t="s">
        <v>374</v>
      </c>
      <c r="R516" s="451" t="s">
        <v>3979</v>
      </c>
      <c r="S516" s="452">
        <v>45555</v>
      </c>
      <c r="T516" s="452"/>
      <c r="U516" s="453"/>
      <c r="V516" s="454"/>
      <c r="W516" s="455" t="s">
        <v>406</v>
      </c>
      <c r="X516" s="455">
        <v>45552</v>
      </c>
      <c r="Y516" s="456" t="s">
        <v>377</v>
      </c>
      <c r="Z516" s="457"/>
      <c r="AA516" s="453"/>
    </row>
    <row r="517" spans="1:27" s="128" customFormat="1" ht="37.5">
      <c r="A517" s="443">
        <v>18</v>
      </c>
      <c r="B517" s="444" t="s">
        <v>3994</v>
      </c>
      <c r="C517" s="445" t="s">
        <v>72</v>
      </c>
      <c r="D517" s="444" t="s">
        <v>3995</v>
      </c>
      <c r="E517" s="446">
        <v>1</v>
      </c>
      <c r="F517" s="447"/>
      <c r="G517" s="448">
        <f t="shared" si="20"/>
        <v>0</v>
      </c>
      <c r="H517" s="450"/>
      <c r="I517" s="444"/>
      <c r="J517" s="450"/>
      <c r="K517" s="444" t="s">
        <v>3955</v>
      </c>
      <c r="L517" s="450" t="s">
        <v>678</v>
      </c>
      <c r="M517" s="444" t="s">
        <v>3965</v>
      </c>
      <c r="N517" s="450"/>
      <c r="O517" s="450"/>
      <c r="P517" s="450" t="s">
        <v>2709</v>
      </c>
      <c r="Q517" s="451" t="s">
        <v>374</v>
      </c>
      <c r="R517" s="451" t="s">
        <v>3324</v>
      </c>
      <c r="S517" s="452">
        <v>45555</v>
      </c>
      <c r="T517" s="452"/>
      <c r="U517" s="453"/>
      <c r="V517" s="454"/>
      <c r="W517" s="455" t="s">
        <v>376</v>
      </c>
      <c r="X517" s="455">
        <v>45547</v>
      </c>
      <c r="Y517" s="456" t="s">
        <v>377</v>
      </c>
      <c r="Z517" s="457"/>
      <c r="AA517" s="453"/>
    </row>
    <row r="518" spans="1:27" s="128" customFormat="1" ht="37.5">
      <c r="A518" s="443">
        <v>19</v>
      </c>
      <c r="B518" s="444" t="s">
        <v>3996</v>
      </c>
      <c r="C518" s="445" t="s">
        <v>72</v>
      </c>
      <c r="D518" s="444" t="s">
        <v>3997</v>
      </c>
      <c r="E518" s="446">
        <v>1</v>
      </c>
      <c r="F518" s="447"/>
      <c r="G518" s="448">
        <f t="shared" si="20"/>
        <v>0</v>
      </c>
      <c r="H518" s="450"/>
      <c r="I518" s="444"/>
      <c r="J518" s="450"/>
      <c r="K518" s="444" t="s">
        <v>3955</v>
      </c>
      <c r="L518" s="450" t="s">
        <v>678</v>
      </c>
      <c r="M518" s="444" t="s">
        <v>3956</v>
      </c>
      <c r="N518" s="450"/>
      <c r="O518" s="450"/>
      <c r="P518" s="450" t="s">
        <v>2709</v>
      </c>
      <c r="Q518" s="451" t="s">
        <v>374</v>
      </c>
      <c r="R518" s="451" t="s">
        <v>2922</v>
      </c>
      <c r="S518" s="452">
        <v>45555</v>
      </c>
      <c r="T518" s="452"/>
      <c r="U518" s="453"/>
      <c r="V518" s="454"/>
      <c r="W518" s="455" t="s">
        <v>406</v>
      </c>
      <c r="X518" s="455">
        <v>45555</v>
      </c>
      <c r="Y518" s="456" t="s">
        <v>377</v>
      </c>
      <c r="Z518" s="457"/>
      <c r="AA518" s="453"/>
    </row>
    <row r="519" spans="1:27" s="128" customFormat="1" ht="37.5">
      <c r="A519" s="443">
        <v>20</v>
      </c>
      <c r="B519" s="444" t="s">
        <v>3998</v>
      </c>
      <c r="C519" s="445" t="s">
        <v>72</v>
      </c>
      <c r="D519" s="444" t="s">
        <v>3999</v>
      </c>
      <c r="E519" s="446">
        <v>1</v>
      </c>
      <c r="F519" s="447"/>
      <c r="G519" s="448">
        <f t="shared" si="20"/>
        <v>0</v>
      </c>
      <c r="H519" s="450"/>
      <c r="I519" s="444"/>
      <c r="J519" s="450"/>
      <c r="K519" s="444" t="s">
        <v>3955</v>
      </c>
      <c r="L519" s="450" t="s">
        <v>678</v>
      </c>
      <c r="M519" s="444" t="s">
        <v>3956</v>
      </c>
      <c r="N519" s="450"/>
      <c r="O519" s="450"/>
      <c r="P519" s="450" t="s">
        <v>2709</v>
      </c>
      <c r="Q519" s="451" t="s">
        <v>374</v>
      </c>
      <c r="R519" s="451" t="s">
        <v>2922</v>
      </c>
      <c r="S519" s="452">
        <v>45555</v>
      </c>
      <c r="T519" s="452"/>
      <c r="U519" s="453"/>
      <c r="V519" s="454"/>
      <c r="W519" s="455" t="s">
        <v>406</v>
      </c>
      <c r="X519" s="455">
        <v>45554</v>
      </c>
      <c r="Y519" s="456" t="s">
        <v>377</v>
      </c>
      <c r="Z519" s="457"/>
      <c r="AA519" s="453"/>
    </row>
    <row r="520" spans="1:27" s="128" customFormat="1" ht="37.5">
      <c r="A520" s="443">
        <v>21</v>
      </c>
      <c r="B520" s="444" t="s">
        <v>4000</v>
      </c>
      <c r="C520" s="445" t="s">
        <v>72</v>
      </c>
      <c r="D520" s="444" t="s">
        <v>4001</v>
      </c>
      <c r="E520" s="446">
        <v>1</v>
      </c>
      <c r="F520" s="447"/>
      <c r="G520" s="448">
        <f t="shared" si="20"/>
        <v>0</v>
      </c>
      <c r="H520" s="450"/>
      <c r="I520" s="444"/>
      <c r="J520" s="450"/>
      <c r="K520" s="444" t="s">
        <v>3955</v>
      </c>
      <c r="L520" s="450" t="s">
        <v>678</v>
      </c>
      <c r="M520" s="444" t="s">
        <v>3959</v>
      </c>
      <c r="N520" s="450"/>
      <c r="O520" s="450"/>
      <c r="P520" s="450" t="s">
        <v>2709</v>
      </c>
      <c r="Q520" s="451" t="s">
        <v>374</v>
      </c>
      <c r="R520" s="451" t="s">
        <v>3352</v>
      </c>
      <c r="S520" s="452">
        <v>45555</v>
      </c>
      <c r="T520" s="452"/>
      <c r="U520" s="453"/>
      <c r="V520" s="454"/>
      <c r="W520" s="455" t="s">
        <v>376</v>
      </c>
      <c r="X520" s="455">
        <v>45548</v>
      </c>
      <c r="Y520" s="456" t="s">
        <v>377</v>
      </c>
      <c r="Z520" s="457"/>
      <c r="AA520" s="453"/>
    </row>
    <row r="521" spans="1:27" s="128" customFormat="1" ht="37.5">
      <c r="A521" s="443">
        <v>22</v>
      </c>
      <c r="B521" s="444" t="s">
        <v>4002</v>
      </c>
      <c r="C521" s="445" t="s">
        <v>72</v>
      </c>
      <c r="D521" s="444" t="s">
        <v>4003</v>
      </c>
      <c r="E521" s="446">
        <v>1</v>
      </c>
      <c r="F521" s="447"/>
      <c r="G521" s="448">
        <f t="shared" si="20"/>
        <v>0</v>
      </c>
      <c r="H521" s="450"/>
      <c r="I521" s="444"/>
      <c r="J521" s="450"/>
      <c r="K521" s="444" t="s">
        <v>3955</v>
      </c>
      <c r="L521" s="450" t="s">
        <v>678</v>
      </c>
      <c r="M521" s="444" t="s">
        <v>3956</v>
      </c>
      <c r="N521" s="450"/>
      <c r="O521" s="450"/>
      <c r="P521" s="450" t="s">
        <v>2709</v>
      </c>
      <c r="Q521" s="451" t="s">
        <v>374</v>
      </c>
      <c r="R521" s="451" t="s">
        <v>2922</v>
      </c>
      <c r="S521" s="452">
        <v>45555</v>
      </c>
      <c r="T521" s="452"/>
      <c r="U521" s="453"/>
      <c r="V521" s="454"/>
      <c r="W521" s="455" t="s">
        <v>406</v>
      </c>
      <c r="X521" s="455">
        <v>45554</v>
      </c>
      <c r="Y521" s="456" t="s">
        <v>377</v>
      </c>
      <c r="Z521" s="457"/>
      <c r="AA521" s="453"/>
    </row>
    <row r="522" spans="1:27" s="128" customFormat="1" ht="37.5">
      <c r="A522" s="443">
        <v>23</v>
      </c>
      <c r="B522" s="444" t="s">
        <v>4004</v>
      </c>
      <c r="C522" s="445" t="s">
        <v>72</v>
      </c>
      <c r="D522" s="444" t="s">
        <v>4005</v>
      </c>
      <c r="E522" s="446">
        <v>1</v>
      </c>
      <c r="F522" s="447"/>
      <c r="G522" s="448">
        <f t="shared" si="20"/>
        <v>0</v>
      </c>
      <c r="H522" s="450"/>
      <c r="I522" s="444"/>
      <c r="J522" s="450"/>
      <c r="K522" s="444" t="s">
        <v>3955</v>
      </c>
      <c r="L522" s="450" t="s">
        <v>678</v>
      </c>
      <c r="M522" s="444" t="s">
        <v>3956</v>
      </c>
      <c r="N522" s="450"/>
      <c r="O522" s="450"/>
      <c r="P522" s="450" t="s">
        <v>2709</v>
      </c>
      <c r="Q522" s="451" t="s">
        <v>374</v>
      </c>
      <c r="R522" s="451" t="s">
        <v>2922</v>
      </c>
      <c r="S522" s="452">
        <v>45555</v>
      </c>
      <c r="T522" s="452"/>
      <c r="U522" s="453"/>
      <c r="V522" s="454"/>
      <c r="W522" s="455" t="s">
        <v>406</v>
      </c>
      <c r="X522" s="455">
        <v>45555</v>
      </c>
      <c r="Y522" s="456" t="s">
        <v>377</v>
      </c>
      <c r="Z522" s="457"/>
      <c r="AA522" s="453"/>
    </row>
    <row r="523" spans="1:27" s="128" customFormat="1" ht="37.5">
      <c r="A523" s="443">
        <v>24</v>
      </c>
      <c r="B523" s="444" t="s">
        <v>4006</v>
      </c>
      <c r="C523" s="445" t="s">
        <v>72</v>
      </c>
      <c r="D523" s="444" t="s">
        <v>4007</v>
      </c>
      <c r="E523" s="446">
        <v>1</v>
      </c>
      <c r="F523" s="447"/>
      <c r="G523" s="448">
        <f t="shared" si="20"/>
        <v>0</v>
      </c>
      <c r="H523" s="450"/>
      <c r="I523" s="444"/>
      <c r="J523" s="450"/>
      <c r="K523" s="444" t="s">
        <v>3955</v>
      </c>
      <c r="L523" s="450" t="s">
        <v>678</v>
      </c>
      <c r="M523" s="444" t="s">
        <v>3959</v>
      </c>
      <c r="N523" s="450"/>
      <c r="O523" s="450"/>
      <c r="P523" s="450" t="s">
        <v>2709</v>
      </c>
      <c r="Q523" s="451" t="s">
        <v>374</v>
      </c>
      <c r="R523" s="451" t="s">
        <v>3352</v>
      </c>
      <c r="S523" s="452">
        <v>45555</v>
      </c>
      <c r="T523" s="452"/>
      <c r="U523" s="453"/>
      <c r="V523" s="454"/>
      <c r="W523" s="455" t="s">
        <v>376</v>
      </c>
      <c r="X523" s="455">
        <v>45548</v>
      </c>
      <c r="Y523" s="456" t="s">
        <v>377</v>
      </c>
      <c r="Z523" s="457"/>
      <c r="AA523" s="453"/>
    </row>
    <row r="524" spans="1:27" s="128" customFormat="1" ht="37.5">
      <c r="A524" s="443">
        <v>25</v>
      </c>
      <c r="B524" s="444" t="s">
        <v>4008</v>
      </c>
      <c r="C524" s="445" t="s">
        <v>72</v>
      </c>
      <c r="D524" s="444" t="s">
        <v>4009</v>
      </c>
      <c r="E524" s="446">
        <v>2</v>
      </c>
      <c r="F524" s="447"/>
      <c r="G524" s="448">
        <f t="shared" si="20"/>
        <v>0</v>
      </c>
      <c r="H524" s="450"/>
      <c r="I524" s="444"/>
      <c r="J524" s="450"/>
      <c r="K524" s="444" t="s">
        <v>3955</v>
      </c>
      <c r="L524" s="450" t="s">
        <v>678</v>
      </c>
      <c r="M524" s="444" t="s">
        <v>3959</v>
      </c>
      <c r="N524" s="450"/>
      <c r="O524" s="450"/>
      <c r="P524" s="450" t="s">
        <v>2709</v>
      </c>
      <c r="Q524" s="451" t="s">
        <v>374</v>
      </c>
      <c r="R524" s="451" t="s">
        <v>3352</v>
      </c>
      <c r="S524" s="452">
        <v>45555</v>
      </c>
      <c r="T524" s="452"/>
      <c r="U524" s="453"/>
      <c r="V524" s="454"/>
      <c r="W524" s="455" t="s">
        <v>376</v>
      </c>
      <c r="X524" s="455">
        <v>45548</v>
      </c>
      <c r="Y524" s="456" t="s">
        <v>377</v>
      </c>
      <c r="Z524" s="457"/>
      <c r="AA524" s="453"/>
    </row>
    <row r="525" spans="1:27" s="128" customFormat="1" ht="37.5">
      <c r="A525" s="443">
        <v>26</v>
      </c>
      <c r="B525" s="444" t="s">
        <v>4010</v>
      </c>
      <c r="C525" s="445" t="s">
        <v>72</v>
      </c>
      <c r="D525" s="444" t="s">
        <v>4011</v>
      </c>
      <c r="E525" s="446">
        <v>1</v>
      </c>
      <c r="F525" s="447"/>
      <c r="G525" s="448">
        <f t="shared" si="20"/>
        <v>0</v>
      </c>
      <c r="H525" s="450"/>
      <c r="I525" s="444"/>
      <c r="J525" s="450"/>
      <c r="K525" s="444" t="s">
        <v>3955</v>
      </c>
      <c r="L525" s="450" t="s">
        <v>678</v>
      </c>
      <c r="M525" s="444" t="s">
        <v>4012</v>
      </c>
      <c r="N525" s="450"/>
      <c r="O525" s="450"/>
      <c r="P525" s="450" t="s">
        <v>2709</v>
      </c>
      <c r="Q525" s="451" t="s">
        <v>374</v>
      </c>
      <c r="R525" s="451" t="s">
        <v>260</v>
      </c>
      <c r="S525" s="452">
        <v>45555</v>
      </c>
      <c r="T525" s="452"/>
      <c r="U525" s="453"/>
      <c r="V525" s="454"/>
      <c r="W525" s="455" t="s">
        <v>376</v>
      </c>
      <c r="X525" s="455">
        <v>45559</v>
      </c>
      <c r="Y525" s="456" t="s">
        <v>377</v>
      </c>
      <c r="Z525" s="457"/>
      <c r="AA525" s="453"/>
    </row>
    <row r="526" spans="1:27" s="128" customFormat="1" ht="37.5">
      <c r="A526" s="443">
        <v>27</v>
      </c>
      <c r="B526" s="444" t="s">
        <v>4013</v>
      </c>
      <c r="C526" s="445" t="s">
        <v>72</v>
      </c>
      <c r="D526" s="444" t="s">
        <v>4014</v>
      </c>
      <c r="E526" s="446">
        <v>1</v>
      </c>
      <c r="F526" s="447"/>
      <c r="G526" s="448">
        <f t="shared" si="20"/>
        <v>0</v>
      </c>
      <c r="H526" s="450"/>
      <c r="I526" s="444"/>
      <c r="J526" s="450"/>
      <c r="K526" s="444" t="s">
        <v>3955</v>
      </c>
      <c r="L526" s="450" t="s">
        <v>678</v>
      </c>
      <c r="M526" s="444" t="s">
        <v>4012</v>
      </c>
      <c r="N526" s="450"/>
      <c r="O526" s="450"/>
      <c r="P526" s="450" t="s">
        <v>2709</v>
      </c>
      <c r="Q526" s="451" t="s">
        <v>374</v>
      </c>
      <c r="R526" s="451" t="s">
        <v>260</v>
      </c>
      <c r="S526" s="452">
        <v>45555</v>
      </c>
      <c r="T526" s="452"/>
      <c r="U526" s="453"/>
      <c r="V526" s="454"/>
      <c r="W526" s="455" t="s">
        <v>376</v>
      </c>
      <c r="X526" s="455">
        <v>45559</v>
      </c>
      <c r="Y526" s="456" t="s">
        <v>377</v>
      </c>
      <c r="Z526" s="457"/>
      <c r="AA526" s="453"/>
    </row>
    <row r="527" spans="1:27" s="128" customFormat="1" ht="37.5">
      <c r="A527" s="443">
        <v>28</v>
      </c>
      <c r="B527" s="444" t="s">
        <v>4015</v>
      </c>
      <c r="C527" s="445" t="s">
        <v>72</v>
      </c>
      <c r="D527" s="444" t="s">
        <v>4016</v>
      </c>
      <c r="E527" s="446">
        <v>1</v>
      </c>
      <c r="F527" s="447"/>
      <c r="G527" s="448">
        <f t="shared" si="20"/>
        <v>0</v>
      </c>
      <c r="H527" s="450"/>
      <c r="I527" s="444"/>
      <c r="J527" s="450"/>
      <c r="K527" s="444" t="s">
        <v>3955</v>
      </c>
      <c r="L527" s="450" t="s">
        <v>678</v>
      </c>
      <c r="M527" s="444" t="s">
        <v>4012</v>
      </c>
      <c r="N527" s="450"/>
      <c r="O527" s="450"/>
      <c r="P527" s="450" t="s">
        <v>2709</v>
      </c>
      <c r="Q527" s="451" t="s">
        <v>374</v>
      </c>
      <c r="R527" s="451" t="s">
        <v>260</v>
      </c>
      <c r="S527" s="452">
        <v>45555</v>
      </c>
      <c r="T527" s="452"/>
      <c r="U527" s="453"/>
      <c r="V527" s="454"/>
      <c r="W527" s="455" t="s">
        <v>376</v>
      </c>
      <c r="X527" s="455">
        <v>45559</v>
      </c>
      <c r="Y527" s="456" t="s">
        <v>377</v>
      </c>
      <c r="Z527" s="457"/>
      <c r="AA527" s="453"/>
    </row>
    <row r="528" spans="1:27" s="128" customFormat="1" ht="37.5">
      <c r="A528" s="443">
        <v>29</v>
      </c>
      <c r="B528" s="444" t="s">
        <v>4017</v>
      </c>
      <c r="C528" s="445" t="s">
        <v>72</v>
      </c>
      <c r="D528" s="444" t="s">
        <v>4018</v>
      </c>
      <c r="E528" s="446">
        <v>1</v>
      </c>
      <c r="F528" s="447"/>
      <c r="G528" s="448">
        <f t="shared" si="20"/>
        <v>0</v>
      </c>
      <c r="H528" s="450"/>
      <c r="I528" s="444"/>
      <c r="J528" s="450"/>
      <c r="K528" s="444" t="s">
        <v>3955</v>
      </c>
      <c r="L528" s="450" t="s">
        <v>678</v>
      </c>
      <c r="M528" s="444" t="s">
        <v>4019</v>
      </c>
      <c r="N528" s="450"/>
      <c r="O528" s="450"/>
      <c r="P528" s="450" t="s">
        <v>2709</v>
      </c>
      <c r="Q528" s="451" t="s">
        <v>374</v>
      </c>
      <c r="R528" s="451" t="s">
        <v>4020</v>
      </c>
      <c r="S528" s="452">
        <v>45555</v>
      </c>
      <c r="T528" s="452"/>
      <c r="U528" s="453"/>
      <c r="V528" s="454"/>
      <c r="W528" s="455" t="s">
        <v>376</v>
      </c>
      <c r="X528" s="455">
        <v>45548</v>
      </c>
      <c r="Y528" s="456" t="s">
        <v>377</v>
      </c>
      <c r="Z528" s="457"/>
      <c r="AA528" s="453"/>
    </row>
    <row r="529" spans="1:27" s="128" customFormat="1" ht="37.5">
      <c r="A529" s="443">
        <v>30</v>
      </c>
      <c r="B529" s="444" t="s">
        <v>4021</v>
      </c>
      <c r="C529" s="445" t="s">
        <v>72</v>
      </c>
      <c r="D529" s="444" t="s">
        <v>4022</v>
      </c>
      <c r="E529" s="446">
        <v>1</v>
      </c>
      <c r="F529" s="447"/>
      <c r="G529" s="448">
        <f t="shared" si="20"/>
        <v>0</v>
      </c>
      <c r="H529" s="450"/>
      <c r="I529" s="444"/>
      <c r="J529" s="450"/>
      <c r="K529" s="444" t="s">
        <v>3955</v>
      </c>
      <c r="L529" s="450" t="s">
        <v>678</v>
      </c>
      <c r="M529" s="444" t="s">
        <v>4019</v>
      </c>
      <c r="N529" s="450"/>
      <c r="O529" s="450"/>
      <c r="P529" s="450" t="s">
        <v>2709</v>
      </c>
      <c r="Q529" s="451" t="s">
        <v>374</v>
      </c>
      <c r="R529" s="451" t="s">
        <v>4020</v>
      </c>
      <c r="S529" s="452">
        <v>45555</v>
      </c>
      <c r="T529" s="452"/>
      <c r="U529" s="453"/>
      <c r="V529" s="454"/>
      <c r="W529" s="455" t="s">
        <v>376</v>
      </c>
      <c r="X529" s="455">
        <v>45548</v>
      </c>
      <c r="Y529" s="456" t="s">
        <v>377</v>
      </c>
      <c r="Z529" s="457"/>
      <c r="AA529" s="453"/>
    </row>
    <row r="530" spans="1:27" s="128" customFormat="1" ht="37.5">
      <c r="A530" s="458">
        <v>31</v>
      </c>
      <c r="B530" s="459" t="s">
        <v>4023</v>
      </c>
      <c r="C530" s="460" t="s">
        <v>72</v>
      </c>
      <c r="D530" s="459" t="s">
        <v>4024</v>
      </c>
      <c r="E530" s="461">
        <v>2</v>
      </c>
      <c r="F530" s="462"/>
      <c r="G530" s="463">
        <f t="shared" si="20"/>
        <v>0</v>
      </c>
      <c r="H530" s="465"/>
      <c r="I530" s="459"/>
      <c r="J530" s="465"/>
      <c r="K530" s="459" t="s">
        <v>3955</v>
      </c>
      <c r="L530" s="465" t="s">
        <v>678</v>
      </c>
      <c r="M530" s="459" t="s">
        <v>4025</v>
      </c>
      <c r="N530" s="465"/>
      <c r="O530" s="465"/>
      <c r="P530" s="465" t="s">
        <v>2709</v>
      </c>
      <c r="Q530" s="466" t="s">
        <v>374</v>
      </c>
      <c r="R530" s="466" t="s">
        <v>4026</v>
      </c>
      <c r="S530" s="467">
        <v>45555</v>
      </c>
      <c r="T530" s="467"/>
      <c r="U530" s="468"/>
      <c r="V530" s="469"/>
      <c r="W530" s="470" t="s">
        <v>406</v>
      </c>
      <c r="X530" s="470">
        <v>45544</v>
      </c>
      <c r="Y530" s="471" t="s">
        <v>377</v>
      </c>
      <c r="Z530" s="472"/>
      <c r="AA530" s="453"/>
    </row>
    <row r="531" spans="1:27">
      <c r="A531" s="389"/>
      <c r="B531" s="390" t="s">
        <v>1657</v>
      </c>
      <c r="C531" s="391"/>
      <c r="D531" s="392"/>
      <c r="E531" s="393"/>
      <c r="F531" s="394"/>
      <c r="G531" s="395">
        <f t="shared" ref="G531:G903" si="21">E531*F531</f>
        <v>0</v>
      </c>
      <c r="H531" s="420"/>
      <c r="I531" s="392"/>
      <c r="J531" s="420"/>
      <c r="K531" s="392"/>
      <c r="L531" s="397"/>
      <c r="M531" s="392"/>
      <c r="N531" s="397"/>
      <c r="O531" s="397"/>
      <c r="P531" s="397"/>
      <c r="Q531" s="398"/>
      <c r="R531" s="398"/>
      <c r="S531" s="399"/>
      <c r="T531" s="399"/>
      <c r="U531" s="400"/>
      <c r="V531" s="401"/>
      <c r="W531" s="402"/>
      <c r="X531" s="402"/>
      <c r="Y531" s="403"/>
      <c r="Z531" s="404"/>
      <c r="AA531" s="493"/>
    </row>
    <row r="532" spans="1:27" s="128" customFormat="1" ht="37.5">
      <c r="A532" s="443">
        <v>1</v>
      </c>
      <c r="B532" s="444" t="s">
        <v>4027</v>
      </c>
      <c r="C532" s="445" t="s">
        <v>74</v>
      </c>
      <c r="D532" s="444" t="s">
        <v>4028</v>
      </c>
      <c r="E532" s="446">
        <v>1</v>
      </c>
      <c r="F532" s="447"/>
      <c r="G532" s="448">
        <f t="shared" ref="G532:G563" si="22">E532*F532</f>
        <v>0</v>
      </c>
      <c r="H532" s="450"/>
      <c r="I532" s="444"/>
      <c r="J532" s="450"/>
      <c r="K532" s="444" t="s">
        <v>4029</v>
      </c>
      <c r="L532" s="450" t="s">
        <v>624</v>
      </c>
      <c r="M532" s="444" t="s">
        <v>4030</v>
      </c>
      <c r="N532" s="450"/>
      <c r="O532" s="450"/>
      <c r="P532" s="450" t="s">
        <v>1575</v>
      </c>
      <c r="Q532" s="451" t="s">
        <v>374</v>
      </c>
      <c r="R532" s="451" t="s">
        <v>3454</v>
      </c>
      <c r="S532" s="452">
        <v>45589</v>
      </c>
      <c r="T532" s="452"/>
      <c r="U532" s="453"/>
      <c r="V532" s="454"/>
      <c r="W532" s="455" t="s">
        <v>406</v>
      </c>
      <c r="X532" s="455">
        <v>45583</v>
      </c>
      <c r="Y532" s="456" t="s">
        <v>377</v>
      </c>
      <c r="Z532" s="457"/>
      <c r="AA532" s="453"/>
    </row>
    <row r="533" spans="1:27" s="441" customFormat="1">
      <c r="A533" s="427">
        <v>2</v>
      </c>
      <c r="B533" s="428" t="s">
        <v>4031</v>
      </c>
      <c r="C533" s="429" t="s">
        <v>74</v>
      </c>
      <c r="D533" s="428" t="s">
        <v>4032</v>
      </c>
      <c r="E533" s="430">
        <v>2</v>
      </c>
      <c r="F533" s="431"/>
      <c r="G533" s="432">
        <f t="shared" si="22"/>
        <v>0</v>
      </c>
      <c r="H533" s="433"/>
      <c r="I533" s="428"/>
      <c r="J533" s="433"/>
      <c r="K533" s="428"/>
      <c r="L533" s="433"/>
      <c r="M533" s="428"/>
      <c r="N533" s="433"/>
      <c r="O533" s="433"/>
      <c r="P533" s="433"/>
      <c r="Q533" s="434"/>
      <c r="R533" s="434" t="s">
        <v>3454</v>
      </c>
      <c r="S533" s="435">
        <v>45589</v>
      </c>
      <c r="T533" s="435"/>
      <c r="U533" s="436"/>
      <c r="V533" s="437"/>
      <c r="W533" s="438"/>
      <c r="X533" s="438"/>
      <c r="Y533" s="439" t="s">
        <v>592</v>
      </c>
      <c r="Z533" s="440"/>
      <c r="AA533" s="436"/>
    </row>
    <row r="534" spans="1:27" s="441" customFormat="1">
      <c r="A534" s="427">
        <v>3</v>
      </c>
      <c r="B534" s="428" t="s">
        <v>4033</v>
      </c>
      <c r="C534" s="429" t="s">
        <v>74</v>
      </c>
      <c r="D534" s="428" t="s">
        <v>4034</v>
      </c>
      <c r="E534" s="430">
        <v>1</v>
      </c>
      <c r="F534" s="431"/>
      <c r="G534" s="432">
        <f t="shared" si="22"/>
        <v>0</v>
      </c>
      <c r="H534" s="433"/>
      <c r="I534" s="428"/>
      <c r="J534" s="433"/>
      <c r="K534" s="428"/>
      <c r="L534" s="433"/>
      <c r="M534" s="428"/>
      <c r="N534" s="433"/>
      <c r="O534" s="433"/>
      <c r="P534" s="433"/>
      <c r="Q534" s="434"/>
      <c r="R534" s="434" t="s">
        <v>3454</v>
      </c>
      <c r="S534" s="435">
        <v>45589</v>
      </c>
      <c r="T534" s="435"/>
      <c r="U534" s="436"/>
      <c r="V534" s="437"/>
      <c r="W534" s="438"/>
      <c r="X534" s="438"/>
      <c r="Y534" s="439" t="s">
        <v>592</v>
      </c>
      <c r="Z534" s="440"/>
      <c r="AA534" s="436"/>
    </row>
    <row r="535" spans="1:27" s="441" customFormat="1">
      <c r="A535" s="427">
        <v>4</v>
      </c>
      <c r="B535" s="428" t="s">
        <v>4035</v>
      </c>
      <c r="C535" s="429" t="s">
        <v>74</v>
      </c>
      <c r="D535" s="428" t="s">
        <v>4036</v>
      </c>
      <c r="E535" s="430">
        <v>2</v>
      </c>
      <c r="F535" s="431"/>
      <c r="G535" s="432">
        <f t="shared" si="22"/>
        <v>0</v>
      </c>
      <c r="H535" s="433"/>
      <c r="I535" s="428"/>
      <c r="J535" s="433"/>
      <c r="K535" s="428"/>
      <c r="L535" s="433"/>
      <c r="M535" s="428"/>
      <c r="N535" s="433"/>
      <c r="O535" s="433"/>
      <c r="P535" s="433"/>
      <c r="Q535" s="434"/>
      <c r="R535" s="434" t="s">
        <v>3454</v>
      </c>
      <c r="S535" s="435">
        <v>45589</v>
      </c>
      <c r="T535" s="435"/>
      <c r="U535" s="436"/>
      <c r="V535" s="437"/>
      <c r="W535" s="438"/>
      <c r="X535" s="438"/>
      <c r="Y535" s="439" t="s">
        <v>592</v>
      </c>
      <c r="Z535" s="440"/>
      <c r="AA535" s="436"/>
    </row>
    <row r="536" spans="1:27" s="441" customFormat="1">
      <c r="A536" s="427">
        <v>5</v>
      </c>
      <c r="B536" s="428" t="s">
        <v>4037</v>
      </c>
      <c r="C536" s="429" t="s">
        <v>74</v>
      </c>
      <c r="D536" s="428" t="s">
        <v>4038</v>
      </c>
      <c r="E536" s="430">
        <v>1</v>
      </c>
      <c r="F536" s="431"/>
      <c r="G536" s="432">
        <f t="shared" si="22"/>
        <v>0</v>
      </c>
      <c r="H536" s="433"/>
      <c r="I536" s="428"/>
      <c r="J536" s="433"/>
      <c r="K536" s="428"/>
      <c r="L536" s="433"/>
      <c r="M536" s="428"/>
      <c r="N536" s="433"/>
      <c r="O536" s="433"/>
      <c r="P536" s="433"/>
      <c r="Q536" s="434"/>
      <c r="R536" s="434" t="s">
        <v>3454</v>
      </c>
      <c r="S536" s="435">
        <v>45589</v>
      </c>
      <c r="T536" s="435"/>
      <c r="U536" s="436"/>
      <c r="V536" s="437"/>
      <c r="W536" s="438"/>
      <c r="X536" s="438"/>
      <c r="Y536" s="439" t="s">
        <v>592</v>
      </c>
      <c r="Z536" s="440"/>
      <c r="AA536" s="436"/>
    </row>
    <row r="537" spans="1:27" s="441" customFormat="1">
      <c r="A537" s="427">
        <v>6</v>
      </c>
      <c r="B537" s="428" t="s">
        <v>4039</v>
      </c>
      <c r="C537" s="429" t="s">
        <v>74</v>
      </c>
      <c r="D537" s="428" t="s">
        <v>4040</v>
      </c>
      <c r="E537" s="430">
        <v>1</v>
      </c>
      <c r="F537" s="431"/>
      <c r="G537" s="432">
        <f t="shared" si="22"/>
        <v>0</v>
      </c>
      <c r="H537" s="433"/>
      <c r="I537" s="428"/>
      <c r="J537" s="433"/>
      <c r="K537" s="428"/>
      <c r="L537" s="433"/>
      <c r="M537" s="428"/>
      <c r="N537" s="433"/>
      <c r="O537" s="433"/>
      <c r="P537" s="433"/>
      <c r="Q537" s="434"/>
      <c r="R537" s="434" t="s">
        <v>3454</v>
      </c>
      <c r="S537" s="435">
        <v>45589</v>
      </c>
      <c r="T537" s="435"/>
      <c r="U537" s="436"/>
      <c r="V537" s="437"/>
      <c r="W537" s="438"/>
      <c r="X537" s="438"/>
      <c r="Y537" s="439" t="s">
        <v>592</v>
      </c>
      <c r="Z537" s="440"/>
      <c r="AA537" s="436"/>
    </row>
    <row r="538" spans="1:27" s="441" customFormat="1">
      <c r="A538" s="427">
        <v>7</v>
      </c>
      <c r="B538" s="428" t="s">
        <v>4041</v>
      </c>
      <c r="C538" s="429" t="s">
        <v>74</v>
      </c>
      <c r="D538" s="428" t="s">
        <v>4042</v>
      </c>
      <c r="E538" s="430">
        <v>1</v>
      </c>
      <c r="F538" s="431"/>
      <c r="G538" s="432">
        <f t="shared" si="22"/>
        <v>0</v>
      </c>
      <c r="H538" s="433"/>
      <c r="I538" s="428"/>
      <c r="J538" s="433"/>
      <c r="K538" s="428"/>
      <c r="L538" s="433"/>
      <c r="M538" s="428"/>
      <c r="N538" s="433"/>
      <c r="O538" s="433"/>
      <c r="P538" s="433"/>
      <c r="Q538" s="434"/>
      <c r="R538" s="434" t="s">
        <v>3454</v>
      </c>
      <c r="S538" s="435">
        <v>45589</v>
      </c>
      <c r="T538" s="435"/>
      <c r="U538" s="436"/>
      <c r="V538" s="437"/>
      <c r="W538" s="438"/>
      <c r="X538" s="438"/>
      <c r="Y538" s="439" t="s">
        <v>592</v>
      </c>
      <c r="Z538" s="440"/>
      <c r="AA538" s="436"/>
    </row>
    <row r="539" spans="1:27" s="441" customFormat="1">
      <c r="A539" s="427">
        <v>8</v>
      </c>
      <c r="B539" s="428" t="s">
        <v>4043</v>
      </c>
      <c r="C539" s="429" t="s">
        <v>74</v>
      </c>
      <c r="D539" s="428" t="s">
        <v>4044</v>
      </c>
      <c r="E539" s="430">
        <v>2</v>
      </c>
      <c r="F539" s="431"/>
      <c r="G539" s="432">
        <f t="shared" si="22"/>
        <v>0</v>
      </c>
      <c r="H539" s="433"/>
      <c r="I539" s="428"/>
      <c r="J539" s="433"/>
      <c r="K539" s="428"/>
      <c r="L539" s="433"/>
      <c r="M539" s="428"/>
      <c r="N539" s="433"/>
      <c r="O539" s="433"/>
      <c r="P539" s="433"/>
      <c r="Q539" s="434"/>
      <c r="R539" s="434" t="s">
        <v>3454</v>
      </c>
      <c r="S539" s="435">
        <v>45589</v>
      </c>
      <c r="T539" s="435"/>
      <c r="U539" s="436"/>
      <c r="V539" s="437"/>
      <c r="W539" s="438"/>
      <c r="X539" s="438"/>
      <c r="Y539" s="439" t="s">
        <v>592</v>
      </c>
      <c r="Z539" s="440"/>
      <c r="AA539" s="436"/>
    </row>
    <row r="540" spans="1:27" s="441" customFormat="1">
      <c r="A540" s="427">
        <v>9</v>
      </c>
      <c r="B540" s="428" t="s">
        <v>4045</v>
      </c>
      <c r="C540" s="429" t="s">
        <v>74</v>
      </c>
      <c r="D540" s="428" t="s">
        <v>4046</v>
      </c>
      <c r="E540" s="430">
        <v>3</v>
      </c>
      <c r="F540" s="431"/>
      <c r="G540" s="432">
        <f t="shared" si="22"/>
        <v>0</v>
      </c>
      <c r="H540" s="433"/>
      <c r="I540" s="428"/>
      <c r="J540" s="433"/>
      <c r="K540" s="428"/>
      <c r="L540" s="433"/>
      <c r="M540" s="428"/>
      <c r="N540" s="433"/>
      <c r="O540" s="433"/>
      <c r="P540" s="433"/>
      <c r="Q540" s="434"/>
      <c r="R540" s="434" t="s">
        <v>3454</v>
      </c>
      <c r="S540" s="435">
        <v>45589</v>
      </c>
      <c r="T540" s="435"/>
      <c r="U540" s="436"/>
      <c r="V540" s="437"/>
      <c r="W540" s="438"/>
      <c r="X540" s="438"/>
      <c r="Y540" s="439" t="s">
        <v>592</v>
      </c>
      <c r="Z540" s="440"/>
      <c r="AA540" s="436"/>
    </row>
    <row r="541" spans="1:27" s="441" customFormat="1">
      <c r="A541" s="427">
        <v>10</v>
      </c>
      <c r="B541" s="428" t="s">
        <v>4047</v>
      </c>
      <c r="C541" s="429" t="s">
        <v>74</v>
      </c>
      <c r="D541" s="428" t="s">
        <v>4048</v>
      </c>
      <c r="E541" s="430">
        <v>1</v>
      </c>
      <c r="F541" s="431"/>
      <c r="G541" s="432">
        <f t="shared" si="22"/>
        <v>0</v>
      </c>
      <c r="H541" s="433"/>
      <c r="I541" s="428"/>
      <c r="J541" s="433"/>
      <c r="K541" s="428"/>
      <c r="L541" s="433"/>
      <c r="M541" s="428"/>
      <c r="N541" s="433"/>
      <c r="O541" s="433"/>
      <c r="P541" s="433"/>
      <c r="Q541" s="434"/>
      <c r="R541" s="434" t="s">
        <v>3454</v>
      </c>
      <c r="S541" s="435">
        <v>45589</v>
      </c>
      <c r="T541" s="435"/>
      <c r="U541" s="436"/>
      <c r="V541" s="437"/>
      <c r="W541" s="438"/>
      <c r="X541" s="438"/>
      <c r="Y541" s="439" t="s">
        <v>592</v>
      </c>
      <c r="Z541" s="440"/>
      <c r="AA541" s="436"/>
    </row>
    <row r="542" spans="1:27" s="441" customFormat="1">
      <c r="A542" s="427">
        <v>11</v>
      </c>
      <c r="B542" s="428" t="s">
        <v>4049</v>
      </c>
      <c r="C542" s="429" t="s">
        <v>74</v>
      </c>
      <c r="D542" s="428" t="s">
        <v>4050</v>
      </c>
      <c r="E542" s="430">
        <v>1</v>
      </c>
      <c r="F542" s="431"/>
      <c r="G542" s="432">
        <f t="shared" si="22"/>
        <v>0</v>
      </c>
      <c r="H542" s="433"/>
      <c r="I542" s="428"/>
      <c r="J542" s="433"/>
      <c r="K542" s="428"/>
      <c r="L542" s="433"/>
      <c r="M542" s="428"/>
      <c r="N542" s="433"/>
      <c r="O542" s="433"/>
      <c r="P542" s="433"/>
      <c r="Q542" s="434"/>
      <c r="R542" s="434" t="s">
        <v>3454</v>
      </c>
      <c r="S542" s="435">
        <v>45589</v>
      </c>
      <c r="T542" s="435"/>
      <c r="U542" s="436"/>
      <c r="V542" s="437"/>
      <c r="W542" s="438"/>
      <c r="X542" s="438"/>
      <c r="Y542" s="439" t="s">
        <v>592</v>
      </c>
      <c r="Z542" s="440"/>
      <c r="AA542" s="436"/>
    </row>
    <row r="543" spans="1:27" s="441" customFormat="1">
      <c r="A543" s="427">
        <v>12</v>
      </c>
      <c r="B543" s="428" t="s">
        <v>4051</v>
      </c>
      <c r="C543" s="429" t="s">
        <v>74</v>
      </c>
      <c r="D543" s="428" t="s">
        <v>4052</v>
      </c>
      <c r="E543" s="430">
        <v>1</v>
      </c>
      <c r="F543" s="431"/>
      <c r="G543" s="432">
        <f t="shared" si="22"/>
        <v>0</v>
      </c>
      <c r="H543" s="433"/>
      <c r="I543" s="428"/>
      <c r="J543" s="433"/>
      <c r="K543" s="428"/>
      <c r="L543" s="433"/>
      <c r="M543" s="428"/>
      <c r="N543" s="433"/>
      <c r="O543" s="433"/>
      <c r="P543" s="433"/>
      <c r="Q543" s="434"/>
      <c r="R543" s="434" t="s">
        <v>3454</v>
      </c>
      <c r="S543" s="435">
        <v>45589</v>
      </c>
      <c r="T543" s="435"/>
      <c r="U543" s="436"/>
      <c r="V543" s="437"/>
      <c r="W543" s="438"/>
      <c r="X543" s="438"/>
      <c r="Y543" s="439" t="s">
        <v>592</v>
      </c>
      <c r="Z543" s="440"/>
      <c r="AA543" s="436"/>
    </row>
    <row r="544" spans="1:27" s="441" customFormat="1">
      <c r="A544" s="427">
        <v>13</v>
      </c>
      <c r="B544" s="428" t="s">
        <v>4053</v>
      </c>
      <c r="C544" s="429" t="s">
        <v>74</v>
      </c>
      <c r="D544" s="428" t="s">
        <v>4054</v>
      </c>
      <c r="E544" s="430">
        <v>2</v>
      </c>
      <c r="F544" s="431"/>
      <c r="G544" s="432">
        <f t="shared" si="22"/>
        <v>0</v>
      </c>
      <c r="H544" s="433"/>
      <c r="I544" s="428"/>
      <c r="J544" s="433"/>
      <c r="K544" s="428"/>
      <c r="L544" s="433"/>
      <c r="M544" s="428"/>
      <c r="N544" s="433"/>
      <c r="O544" s="433"/>
      <c r="P544" s="433"/>
      <c r="Q544" s="434"/>
      <c r="R544" s="434" t="s">
        <v>3454</v>
      </c>
      <c r="S544" s="435">
        <v>45589</v>
      </c>
      <c r="T544" s="435"/>
      <c r="U544" s="436"/>
      <c r="V544" s="437"/>
      <c r="W544" s="438"/>
      <c r="X544" s="438"/>
      <c r="Y544" s="439" t="s">
        <v>592</v>
      </c>
      <c r="Z544" s="440"/>
      <c r="AA544" s="436"/>
    </row>
    <row r="545" spans="1:27" s="441" customFormat="1">
      <c r="A545" s="427">
        <v>14</v>
      </c>
      <c r="B545" s="428" t="s">
        <v>4055</v>
      </c>
      <c r="C545" s="429" t="s">
        <v>74</v>
      </c>
      <c r="D545" s="428" t="s">
        <v>4056</v>
      </c>
      <c r="E545" s="430">
        <v>3</v>
      </c>
      <c r="F545" s="431"/>
      <c r="G545" s="432">
        <f t="shared" si="22"/>
        <v>0</v>
      </c>
      <c r="H545" s="433"/>
      <c r="I545" s="428"/>
      <c r="J545" s="433"/>
      <c r="K545" s="428"/>
      <c r="L545" s="433"/>
      <c r="M545" s="428"/>
      <c r="N545" s="433"/>
      <c r="O545" s="433"/>
      <c r="P545" s="433"/>
      <c r="Q545" s="434"/>
      <c r="R545" s="434" t="s">
        <v>3454</v>
      </c>
      <c r="S545" s="435">
        <v>45589</v>
      </c>
      <c r="T545" s="435"/>
      <c r="U545" s="436"/>
      <c r="V545" s="437"/>
      <c r="W545" s="438"/>
      <c r="X545" s="438"/>
      <c r="Y545" s="439" t="s">
        <v>592</v>
      </c>
      <c r="Z545" s="440"/>
      <c r="AA545" s="436"/>
    </row>
    <row r="546" spans="1:27" s="441" customFormat="1">
      <c r="A546" s="427">
        <v>15</v>
      </c>
      <c r="B546" s="428" t="s">
        <v>4057</v>
      </c>
      <c r="C546" s="429" t="s">
        <v>74</v>
      </c>
      <c r="D546" s="428" t="s">
        <v>4058</v>
      </c>
      <c r="E546" s="430">
        <v>1</v>
      </c>
      <c r="F546" s="431"/>
      <c r="G546" s="432">
        <f t="shared" si="22"/>
        <v>0</v>
      </c>
      <c r="H546" s="433"/>
      <c r="I546" s="428"/>
      <c r="J546" s="433"/>
      <c r="K546" s="428"/>
      <c r="L546" s="433"/>
      <c r="M546" s="428"/>
      <c r="N546" s="433"/>
      <c r="O546" s="433"/>
      <c r="P546" s="433"/>
      <c r="Q546" s="434"/>
      <c r="R546" s="434" t="s">
        <v>3454</v>
      </c>
      <c r="S546" s="435">
        <v>45589</v>
      </c>
      <c r="T546" s="435"/>
      <c r="U546" s="436"/>
      <c r="V546" s="437"/>
      <c r="W546" s="438"/>
      <c r="X546" s="438"/>
      <c r="Y546" s="439" t="s">
        <v>592</v>
      </c>
      <c r="Z546" s="440"/>
      <c r="AA546" s="436"/>
    </row>
    <row r="547" spans="1:27" s="441" customFormat="1">
      <c r="A547" s="427">
        <v>16</v>
      </c>
      <c r="B547" s="428" t="s">
        <v>4059</v>
      </c>
      <c r="C547" s="429" t="s">
        <v>74</v>
      </c>
      <c r="D547" s="428" t="s">
        <v>4060</v>
      </c>
      <c r="E547" s="430">
        <v>2</v>
      </c>
      <c r="F547" s="431"/>
      <c r="G547" s="432">
        <f t="shared" si="22"/>
        <v>0</v>
      </c>
      <c r="H547" s="433"/>
      <c r="I547" s="428"/>
      <c r="J547" s="433"/>
      <c r="K547" s="428"/>
      <c r="L547" s="433"/>
      <c r="M547" s="428"/>
      <c r="N547" s="433"/>
      <c r="O547" s="433"/>
      <c r="P547" s="433"/>
      <c r="Q547" s="434"/>
      <c r="R547" s="434" t="s">
        <v>3454</v>
      </c>
      <c r="S547" s="435">
        <v>45589</v>
      </c>
      <c r="T547" s="435"/>
      <c r="U547" s="436"/>
      <c r="V547" s="437"/>
      <c r="W547" s="438"/>
      <c r="X547" s="438"/>
      <c r="Y547" s="439" t="s">
        <v>592</v>
      </c>
      <c r="Z547" s="440"/>
      <c r="AA547" s="436"/>
    </row>
    <row r="548" spans="1:27" s="441" customFormat="1">
      <c r="A548" s="427">
        <v>17</v>
      </c>
      <c r="B548" s="428" t="s">
        <v>4061</v>
      </c>
      <c r="C548" s="429" t="s">
        <v>74</v>
      </c>
      <c r="D548" s="428" t="s">
        <v>4062</v>
      </c>
      <c r="E548" s="430">
        <v>4</v>
      </c>
      <c r="F548" s="431"/>
      <c r="G548" s="432">
        <f t="shared" si="22"/>
        <v>0</v>
      </c>
      <c r="H548" s="433"/>
      <c r="I548" s="428"/>
      <c r="J548" s="433"/>
      <c r="K548" s="428"/>
      <c r="L548" s="433"/>
      <c r="M548" s="428"/>
      <c r="N548" s="433"/>
      <c r="O548" s="433"/>
      <c r="P548" s="433"/>
      <c r="Q548" s="434"/>
      <c r="R548" s="434" t="s">
        <v>3454</v>
      </c>
      <c r="S548" s="435">
        <v>45589</v>
      </c>
      <c r="T548" s="435"/>
      <c r="U548" s="436"/>
      <c r="V548" s="437"/>
      <c r="W548" s="438"/>
      <c r="X548" s="438"/>
      <c r="Y548" s="439" t="s">
        <v>592</v>
      </c>
      <c r="Z548" s="440"/>
      <c r="AA548" s="436"/>
    </row>
    <row r="549" spans="1:27" s="441" customFormat="1">
      <c r="A549" s="427">
        <v>18</v>
      </c>
      <c r="B549" s="428" t="s">
        <v>4063</v>
      </c>
      <c r="C549" s="429" t="s">
        <v>74</v>
      </c>
      <c r="D549" s="428" t="s">
        <v>4064</v>
      </c>
      <c r="E549" s="430">
        <v>3</v>
      </c>
      <c r="F549" s="431"/>
      <c r="G549" s="432">
        <f t="shared" si="22"/>
        <v>0</v>
      </c>
      <c r="H549" s="433"/>
      <c r="I549" s="428"/>
      <c r="J549" s="433"/>
      <c r="K549" s="428"/>
      <c r="L549" s="433"/>
      <c r="M549" s="428"/>
      <c r="N549" s="433"/>
      <c r="O549" s="433"/>
      <c r="P549" s="433"/>
      <c r="Q549" s="434"/>
      <c r="R549" s="434" t="s">
        <v>3454</v>
      </c>
      <c r="S549" s="435">
        <v>45589</v>
      </c>
      <c r="T549" s="435"/>
      <c r="U549" s="436"/>
      <c r="V549" s="437"/>
      <c r="W549" s="438"/>
      <c r="X549" s="438"/>
      <c r="Y549" s="439" t="s">
        <v>592</v>
      </c>
      <c r="Z549" s="440"/>
      <c r="AA549" s="436"/>
    </row>
    <row r="550" spans="1:27" s="441" customFormat="1">
      <c r="A550" s="427">
        <v>19</v>
      </c>
      <c r="B550" s="428" t="s">
        <v>4065</v>
      </c>
      <c r="C550" s="429" t="s">
        <v>74</v>
      </c>
      <c r="D550" s="428" t="s">
        <v>4066</v>
      </c>
      <c r="E550" s="430">
        <v>1</v>
      </c>
      <c r="F550" s="431"/>
      <c r="G550" s="432">
        <f t="shared" si="22"/>
        <v>0</v>
      </c>
      <c r="H550" s="433"/>
      <c r="I550" s="428"/>
      <c r="J550" s="433"/>
      <c r="K550" s="428"/>
      <c r="L550" s="433"/>
      <c r="M550" s="428"/>
      <c r="N550" s="433"/>
      <c r="O550" s="433"/>
      <c r="P550" s="433"/>
      <c r="Q550" s="434"/>
      <c r="R550" s="434" t="s">
        <v>3454</v>
      </c>
      <c r="S550" s="435">
        <v>45589</v>
      </c>
      <c r="T550" s="435"/>
      <c r="U550" s="436"/>
      <c r="V550" s="437"/>
      <c r="W550" s="438"/>
      <c r="X550" s="438"/>
      <c r="Y550" s="439" t="s">
        <v>592</v>
      </c>
      <c r="Z550" s="440"/>
      <c r="AA550" s="436"/>
    </row>
    <row r="551" spans="1:27" s="441" customFormat="1">
      <c r="A551" s="427">
        <v>20</v>
      </c>
      <c r="B551" s="428" t="s">
        <v>4067</v>
      </c>
      <c r="C551" s="429" t="s">
        <v>74</v>
      </c>
      <c r="D551" s="428" t="s">
        <v>4068</v>
      </c>
      <c r="E551" s="430">
        <v>1</v>
      </c>
      <c r="F551" s="431"/>
      <c r="G551" s="432">
        <f t="shared" si="22"/>
        <v>0</v>
      </c>
      <c r="H551" s="433"/>
      <c r="I551" s="428"/>
      <c r="J551" s="433"/>
      <c r="K551" s="428"/>
      <c r="L551" s="433"/>
      <c r="M551" s="428"/>
      <c r="N551" s="433"/>
      <c r="O551" s="433"/>
      <c r="P551" s="433"/>
      <c r="Q551" s="434"/>
      <c r="R551" s="434" t="s">
        <v>3454</v>
      </c>
      <c r="S551" s="435">
        <v>45589</v>
      </c>
      <c r="T551" s="435"/>
      <c r="U551" s="436"/>
      <c r="V551" s="437"/>
      <c r="W551" s="438"/>
      <c r="X551" s="438"/>
      <c r="Y551" s="439" t="s">
        <v>592</v>
      </c>
      <c r="Z551" s="440"/>
      <c r="AA551" s="436"/>
    </row>
    <row r="552" spans="1:27" s="441" customFormat="1">
      <c r="A552" s="427">
        <v>21</v>
      </c>
      <c r="B552" s="428" t="s">
        <v>4069</v>
      </c>
      <c r="C552" s="429" t="s">
        <v>74</v>
      </c>
      <c r="D552" s="428" t="s">
        <v>4070</v>
      </c>
      <c r="E552" s="430">
        <v>1</v>
      </c>
      <c r="F552" s="431"/>
      <c r="G552" s="432">
        <f t="shared" si="22"/>
        <v>0</v>
      </c>
      <c r="H552" s="433"/>
      <c r="I552" s="428"/>
      <c r="J552" s="433"/>
      <c r="K552" s="428"/>
      <c r="L552" s="433"/>
      <c r="M552" s="428"/>
      <c r="N552" s="433"/>
      <c r="O552" s="433"/>
      <c r="P552" s="433"/>
      <c r="Q552" s="434"/>
      <c r="R552" s="434" t="s">
        <v>3454</v>
      </c>
      <c r="S552" s="435">
        <v>45589</v>
      </c>
      <c r="T552" s="435"/>
      <c r="U552" s="436"/>
      <c r="V552" s="437"/>
      <c r="W552" s="438"/>
      <c r="X552" s="438"/>
      <c r="Y552" s="439" t="s">
        <v>592</v>
      </c>
      <c r="Z552" s="440"/>
      <c r="AA552" s="436"/>
    </row>
    <row r="553" spans="1:27" s="441" customFormat="1">
      <c r="A553" s="427">
        <v>22</v>
      </c>
      <c r="B553" s="428" t="s">
        <v>4071</v>
      </c>
      <c r="C553" s="429" t="s">
        <v>74</v>
      </c>
      <c r="D553" s="428" t="s">
        <v>4072</v>
      </c>
      <c r="E553" s="430">
        <v>2</v>
      </c>
      <c r="F553" s="431"/>
      <c r="G553" s="432">
        <f t="shared" si="22"/>
        <v>0</v>
      </c>
      <c r="H553" s="433"/>
      <c r="I553" s="428"/>
      <c r="J553" s="433"/>
      <c r="K553" s="428"/>
      <c r="L553" s="433"/>
      <c r="M553" s="428"/>
      <c r="N553" s="433"/>
      <c r="O553" s="433"/>
      <c r="P553" s="433"/>
      <c r="Q553" s="434"/>
      <c r="R553" s="434" t="s">
        <v>3454</v>
      </c>
      <c r="S553" s="435">
        <v>45589</v>
      </c>
      <c r="T553" s="435"/>
      <c r="U553" s="436"/>
      <c r="V553" s="437"/>
      <c r="W553" s="438"/>
      <c r="X553" s="438"/>
      <c r="Y553" s="439" t="s">
        <v>592</v>
      </c>
      <c r="Z553" s="440"/>
      <c r="AA553" s="436"/>
    </row>
    <row r="554" spans="1:27" s="441" customFormat="1">
      <c r="A554" s="427">
        <v>23</v>
      </c>
      <c r="B554" s="428" t="s">
        <v>4073</v>
      </c>
      <c r="C554" s="429" t="s">
        <v>74</v>
      </c>
      <c r="D554" s="428" t="s">
        <v>4074</v>
      </c>
      <c r="E554" s="430">
        <v>1</v>
      </c>
      <c r="F554" s="431"/>
      <c r="G554" s="432">
        <f t="shared" si="22"/>
        <v>0</v>
      </c>
      <c r="H554" s="433"/>
      <c r="I554" s="428"/>
      <c r="J554" s="433"/>
      <c r="K554" s="428"/>
      <c r="L554" s="433"/>
      <c r="M554" s="428"/>
      <c r="N554" s="433"/>
      <c r="O554" s="433"/>
      <c r="P554" s="433"/>
      <c r="Q554" s="434"/>
      <c r="R554" s="434" t="s">
        <v>3454</v>
      </c>
      <c r="S554" s="435">
        <v>45589</v>
      </c>
      <c r="T554" s="435"/>
      <c r="U554" s="436"/>
      <c r="V554" s="437"/>
      <c r="W554" s="438"/>
      <c r="X554" s="438"/>
      <c r="Y554" s="439" t="s">
        <v>592</v>
      </c>
      <c r="Z554" s="440"/>
      <c r="AA554" s="436"/>
    </row>
    <row r="555" spans="1:27" s="441" customFormat="1">
      <c r="A555" s="427">
        <v>24</v>
      </c>
      <c r="B555" s="428" t="s">
        <v>4075</v>
      </c>
      <c r="C555" s="429" t="s">
        <v>74</v>
      </c>
      <c r="D555" s="428" t="s">
        <v>4076</v>
      </c>
      <c r="E555" s="430">
        <v>1</v>
      </c>
      <c r="F555" s="431"/>
      <c r="G555" s="432">
        <f t="shared" si="22"/>
        <v>0</v>
      </c>
      <c r="H555" s="433"/>
      <c r="I555" s="428"/>
      <c r="J555" s="433"/>
      <c r="K555" s="428"/>
      <c r="L555" s="433"/>
      <c r="M555" s="428"/>
      <c r="N555" s="433"/>
      <c r="O555" s="433"/>
      <c r="P555" s="433"/>
      <c r="Q555" s="434"/>
      <c r="R555" s="434" t="s">
        <v>3454</v>
      </c>
      <c r="S555" s="435">
        <v>45589</v>
      </c>
      <c r="T555" s="435"/>
      <c r="U555" s="436"/>
      <c r="V555" s="437"/>
      <c r="W555" s="438"/>
      <c r="X555" s="438"/>
      <c r="Y555" s="439" t="s">
        <v>592</v>
      </c>
      <c r="Z555" s="440"/>
      <c r="AA555" s="436"/>
    </row>
    <row r="556" spans="1:27" s="441" customFormat="1">
      <c r="A556" s="427">
        <v>25</v>
      </c>
      <c r="B556" s="428" t="s">
        <v>4077</v>
      </c>
      <c r="C556" s="429" t="s">
        <v>74</v>
      </c>
      <c r="D556" s="428" t="s">
        <v>4078</v>
      </c>
      <c r="E556" s="430">
        <v>2</v>
      </c>
      <c r="F556" s="431"/>
      <c r="G556" s="432">
        <f t="shared" si="22"/>
        <v>0</v>
      </c>
      <c r="H556" s="433"/>
      <c r="I556" s="428"/>
      <c r="J556" s="433"/>
      <c r="K556" s="428"/>
      <c r="L556" s="433"/>
      <c r="M556" s="428"/>
      <c r="N556" s="433"/>
      <c r="O556" s="433"/>
      <c r="P556" s="433"/>
      <c r="Q556" s="434"/>
      <c r="R556" s="434" t="s">
        <v>3454</v>
      </c>
      <c r="S556" s="435">
        <v>45589</v>
      </c>
      <c r="T556" s="435"/>
      <c r="U556" s="436"/>
      <c r="V556" s="437"/>
      <c r="W556" s="438"/>
      <c r="X556" s="438"/>
      <c r="Y556" s="439" t="s">
        <v>592</v>
      </c>
      <c r="Z556" s="440"/>
      <c r="AA556" s="436"/>
    </row>
    <row r="557" spans="1:27" s="441" customFormat="1">
      <c r="A557" s="427">
        <v>26</v>
      </c>
      <c r="B557" s="428" t="s">
        <v>4079</v>
      </c>
      <c r="C557" s="429" t="s">
        <v>74</v>
      </c>
      <c r="D557" s="428" t="s">
        <v>4080</v>
      </c>
      <c r="E557" s="430">
        <v>2</v>
      </c>
      <c r="F557" s="431"/>
      <c r="G557" s="432">
        <f t="shared" si="22"/>
        <v>0</v>
      </c>
      <c r="H557" s="433"/>
      <c r="I557" s="428"/>
      <c r="J557" s="433"/>
      <c r="K557" s="428"/>
      <c r="L557" s="433"/>
      <c r="M557" s="428"/>
      <c r="N557" s="433"/>
      <c r="O557" s="433"/>
      <c r="P557" s="433"/>
      <c r="Q557" s="434"/>
      <c r="R557" s="434" t="s">
        <v>3454</v>
      </c>
      <c r="S557" s="435">
        <v>45589</v>
      </c>
      <c r="T557" s="435"/>
      <c r="U557" s="436"/>
      <c r="V557" s="437"/>
      <c r="W557" s="438"/>
      <c r="X557" s="438"/>
      <c r="Y557" s="439" t="s">
        <v>592</v>
      </c>
      <c r="Z557" s="440"/>
      <c r="AA557" s="436"/>
    </row>
    <row r="558" spans="1:27" s="441" customFormat="1">
      <c r="A558" s="427">
        <v>27</v>
      </c>
      <c r="B558" s="428" t="s">
        <v>4081</v>
      </c>
      <c r="C558" s="429" t="s">
        <v>74</v>
      </c>
      <c r="D558" s="428" t="s">
        <v>4082</v>
      </c>
      <c r="E558" s="430">
        <v>6</v>
      </c>
      <c r="F558" s="431"/>
      <c r="G558" s="432">
        <f t="shared" si="22"/>
        <v>0</v>
      </c>
      <c r="H558" s="433"/>
      <c r="I558" s="428"/>
      <c r="J558" s="433"/>
      <c r="K558" s="428"/>
      <c r="L558" s="433"/>
      <c r="M558" s="428"/>
      <c r="N558" s="433"/>
      <c r="O558" s="433"/>
      <c r="P558" s="433"/>
      <c r="Q558" s="434"/>
      <c r="R558" s="434" t="s">
        <v>3454</v>
      </c>
      <c r="S558" s="435">
        <v>45589</v>
      </c>
      <c r="T558" s="435"/>
      <c r="U558" s="436"/>
      <c r="V558" s="437"/>
      <c r="W558" s="438"/>
      <c r="X558" s="438"/>
      <c r="Y558" s="439" t="s">
        <v>592</v>
      </c>
      <c r="Z558" s="440"/>
      <c r="AA558" s="436"/>
    </row>
    <row r="559" spans="1:27" s="441" customFormat="1">
      <c r="A559" s="427">
        <v>28</v>
      </c>
      <c r="B559" s="428" t="s">
        <v>4083</v>
      </c>
      <c r="C559" s="429" t="s">
        <v>74</v>
      </c>
      <c r="D559" s="428" t="s">
        <v>4084</v>
      </c>
      <c r="E559" s="430">
        <v>1</v>
      </c>
      <c r="F559" s="431"/>
      <c r="G559" s="432">
        <f t="shared" si="22"/>
        <v>0</v>
      </c>
      <c r="H559" s="433"/>
      <c r="I559" s="428"/>
      <c r="J559" s="433"/>
      <c r="K559" s="428"/>
      <c r="L559" s="433"/>
      <c r="M559" s="428"/>
      <c r="N559" s="433"/>
      <c r="O559" s="433"/>
      <c r="P559" s="433"/>
      <c r="Q559" s="434"/>
      <c r="R559" s="434" t="s">
        <v>3454</v>
      </c>
      <c r="S559" s="435">
        <v>45589</v>
      </c>
      <c r="T559" s="435"/>
      <c r="U559" s="436"/>
      <c r="V559" s="437"/>
      <c r="W559" s="438"/>
      <c r="X559" s="438"/>
      <c r="Y559" s="439" t="s">
        <v>592</v>
      </c>
      <c r="Z559" s="440"/>
      <c r="AA559" s="436"/>
    </row>
    <row r="560" spans="1:27" s="441" customFormat="1">
      <c r="A560" s="427">
        <v>29</v>
      </c>
      <c r="B560" s="428" t="s">
        <v>4085</v>
      </c>
      <c r="C560" s="429" t="s">
        <v>74</v>
      </c>
      <c r="D560" s="428" t="s">
        <v>4086</v>
      </c>
      <c r="E560" s="430">
        <v>8</v>
      </c>
      <c r="F560" s="431"/>
      <c r="G560" s="432">
        <f t="shared" si="22"/>
        <v>0</v>
      </c>
      <c r="H560" s="433"/>
      <c r="I560" s="428"/>
      <c r="J560" s="433"/>
      <c r="K560" s="428"/>
      <c r="L560" s="433"/>
      <c r="M560" s="428"/>
      <c r="N560" s="433"/>
      <c r="O560" s="433"/>
      <c r="P560" s="433"/>
      <c r="Q560" s="434"/>
      <c r="R560" s="434" t="s">
        <v>3454</v>
      </c>
      <c r="S560" s="435">
        <v>45589</v>
      </c>
      <c r="T560" s="435"/>
      <c r="U560" s="436"/>
      <c r="V560" s="437"/>
      <c r="W560" s="438"/>
      <c r="X560" s="438"/>
      <c r="Y560" s="439" t="s">
        <v>592</v>
      </c>
      <c r="Z560" s="440"/>
      <c r="AA560" s="436"/>
    </row>
    <row r="561" spans="1:27" s="441" customFormat="1">
      <c r="A561" s="427">
        <v>30</v>
      </c>
      <c r="B561" s="428" t="s">
        <v>4087</v>
      </c>
      <c r="C561" s="429" t="s">
        <v>74</v>
      </c>
      <c r="D561" s="428" t="s">
        <v>4088</v>
      </c>
      <c r="E561" s="430">
        <v>1</v>
      </c>
      <c r="F561" s="431"/>
      <c r="G561" s="432">
        <f t="shared" si="22"/>
        <v>0</v>
      </c>
      <c r="H561" s="433"/>
      <c r="I561" s="428"/>
      <c r="J561" s="433"/>
      <c r="K561" s="428"/>
      <c r="L561" s="433"/>
      <c r="M561" s="428"/>
      <c r="N561" s="433"/>
      <c r="O561" s="433"/>
      <c r="P561" s="433"/>
      <c r="Q561" s="434"/>
      <c r="R561" s="434" t="s">
        <v>3454</v>
      </c>
      <c r="S561" s="435">
        <v>45589</v>
      </c>
      <c r="T561" s="435"/>
      <c r="U561" s="436"/>
      <c r="V561" s="437"/>
      <c r="W561" s="438"/>
      <c r="X561" s="438"/>
      <c r="Y561" s="439" t="s">
        <v>592</v>
      </c>
      <c r="Z561" s="440"/>
      <c r="AA561" s="436"/>
    </row>
    <row r="562" spans="1:27" s="441" customFormat="1">
      <c r="A562" s="427">
        <v>31</v>
      </c>
      <c r="B562" s="428" t="s">
        <v>4089</v>
      </c>
      <c r="C562" s="429" t="s">
        <v>74</v>
      </c>
      <c r="D562" s="428" t="s">
        <v>4090</v>
      </c>
      <c r="E562" s="430">
        <v>1</v>
      </c>
      <c r="F562" s="431"/>
      <c r="G562" s="432">
        <f t="shared" si="22"/>
        <v>0</v>
      </c>
      <c r="H562" s="433"/>
      <c r="I562" s="428"/>
      <c r="J562" s="433"/>
      <c r="K562" s="428"/>
      <c r="L562" s="433"/>
      <c r="M562" s="428"/>
      <c r="N562" s="433"/>
      <c r="O562" s="433"/>
      <c r="P562" s="433"/>
      <c r="Q562" s="434"/>
      <c r="R562" s="434" t="s">
        <v>3454</v>
      </c>
      <c r="S562" s="435">
        <v>45589</v>
      </c>
      <c r="T562" s="435"/>
      <c r="U562" s="436"/>
      <c r="V562" s="437"/>
      <c r="W562" s="438"/>
      <c r="X562" s="438"/>
      <c r="Y562" s="439" t="s">
        <v>592</v>
      </c>
      <c r="Z562" s="440"/>
      <c r="AA562" s="436"/>
    </row>
    <row r="563" spans="1:27" s="441" customFormat="1">
      <c r="A563" s="427">
        <v>32</v>
      </c>
      <c r="B563" s="428" t="s">
        <v>4091</v>
      </c>
      <c r="C563" s="429" t="s">
        <v>74</v>
      </c>
      <c r="D563" s="428" t="s">
        <v>4092</v>
      </c>
      <c r="E563" s="430">
        <v>3</v>
      </c>
      <c r="F563" s="431"/>
      <c r="G563" s="432">
        <f t="shared" si="22"/>
        <v>0</v>
      </c>
      <c r="H563" s="433"/>
      <c r="I563" s="428"/>
      <c r="J563" s="433"/>
      <c r="K563" s="428"/>
      <c r="L563" s="433"/>
      <c r="M563" s="428"/>
      <c r="N563" s="433"/>
      <c r="O563" s="433"/>
      <c r="P563" s="433"/>
      <c r="Q563" s="434"/>
      <c r="R563" s="434" t="s">
        <v>3454</v>
      </c>
      <c r="S563" s="435">
        <v>45589</v>
      </c>
      <c r="T563" s="435"/>
      <c r="U563" s="436"/>
      <c r="V563" s="437"/>
      <c r="W563" s="438"/>
      <c r="X563" s="438"/>
      <c r="Y563" s="439" t="s">
        <v>592</v>
      </c>
      <c r="Z563" s="440"/>
      <c r="AA563" s="436"/>
    </row>
    <row r="564" spans="1:27" s="441" customFormat="1">
      <c r="A564" s="427">
        <v>33</v>
      </c>
      <c r="B564" s="428" t="s">
        <v>4093</v>
      </c>
      <c r="C564" s="429" t="s">
        <v>74</v>
      </c>
      <c r="D564" s="428" t="s">
        <v>4094</v>
      </c>
      <c r="E564" s="430">
        <v>2</v>
      </c>
      <c r="F564" s="431"/>
      <c r="G564" s="432">
        <f t="shared" ref="G564:G590" si="23">E564*F564</f>
        <v>0</v>
      </c>
      <c r="H564" s="433"/>
      <c r="I564" s="428"/>
      <c r="J564" s="433"/>
      <c r="K564" s="428"/>
      <c r="L564" s="433"/>
      <c r="M564" s="428"/>
      <c r="N564" s="433"/>
      <c r="O564" s="433"/>
      <c r="P564" s="433"/>
      <c r="Q564" s="434"/>
      <c r="R564" s="434" t="s">
        <v>3454</v>
      </c>
      <c r="S564" s="435">
        <v>45589</v>
      </c>
      <c r="T564" s="435"/>
      <c r="U564" s="436"/>
      <c r="V564" s="437"/>
      <c r="W564" s="438"/>
      <c r="X564" s="438"/>
      <c r="Y564" s="439" t="s">
        <v>592</v>
      </c>
      <c r="Z564" s="440"/>
      <c r="AA564" s="436"/>
    </row>
    <row r="565" spans="1:27" s="441" customFormat="1">
      <c r="A565" s="427">
        <v>34</v>
      </c>
      <c r="B565" s="428" t="s">
        <v>4095</v>
      </c>
      <c r="C565" s="429" t="s">
        <v>74</v>
      </c>
      <c r="D565" s="428" t="s">
        <v>4096</v>
      </c>
      <c r="E565" s="430">
        <v>1</v>
      </c>
      <c r="F565" s="431"/>
      <c r="G565" s="432">
        <f t="shared" si="23"/>
        <v>0</v>
      </c>
      <c r="H565" s="433"/>
      <c r="I565" s="428"/>
      <c r="J565" s="433"/>
      <c r="K565" s="428"/>
      <c r="L565" s="433"/>
      <c r="M565" s="428"/>
      <c r="N565" s="433"/>
      <c r="O565" s="433"/>
      <c r="P565" s="433"/>
      <c r="Q565" s="434"/>
      <c r="R565" s="434" t="s">
        <v>3454</v>
      </c>
      <c r="S565" s="435">
        <v>45589</v>
      </c>
      <c r="T565" s="435"/>
      <c r="U565" s="436"/>
      <c r="V565" s="437"/>
      <c r="W565" s="438"/>
      <c r="X565" s="438"/>
      <c r="Y565" s="439" t="s">
        <v>592</v>
      </c>
      <c r="Z565" s="440"/>
      <c r="AA565" s="436"/>
    </row>
    <row r="566" spans="1:27" s="441" customFormat="1">
      <c r="A566" s="427">
        <v>35</v>
      </c>
      <c r="B566" s="428" t="s">
        <v>4097</v>
      </c>
      <c r="C566" s="429" t="s">
        <v>74</v>
      </c>
      <c r="D566" s="428" t="s">
        <v>4098</v>
      </c>
      <c r="E566" s="430">
        <v>1</v>
      </c>
      <c r="F566" s="431"/>
      <c r="G566" s="432">
        <f t="shared" si="23"/>
        <v>0</v>
      </c>
      <c r="H566" s="433"/>
      <c r="I566" s="428"/>
      <c r="J566" s="433"/>
      <c r="K566" s="428"/>
      <c r="L566" s="433"/>
      <c r="M566" s="428"/>
      <c r="N566" s="433"/>
      <c r="O566" s="433"/>
      <c r="P566" s="433"/>
      <c r="Q566" s="434"/>
      <c r="R566" s="434" t="s">
        <v>3454</v>
      </c>
      <c r="S566" s="435">
        <v>45589</v>
      </c>
      <c r="T566" s="435"/>
      <c r="U566" s="436"/>
      <c r="V566" s="437"/>
      <c r="W566" s="438"/>
      <c r="X566" s="438"/>
      <c r="Y566" s="439" t="s">
        <v>592</v>
      </c>
      <c r="Z566" s="440"/>
      <c r="AA566" s="436"/>
    </row>
    <row r="567" spans="1:27" s="441" customFormat="1">
      <c r="A567" s="427">
        <v>36</v>
      </c>
      <c r="B567" s="428" t="s">
        <v>4099</v>
      </c>
      <c r="C567" s="429" t="s">
        <v>74</v>
      </c>
      <c r="D567" s="428" t="s">
        <v>4100</v>
      </c>
      <c r="E567" s="430">
        <v>1</v>
      </c>
      <c r="F567" s="431"/>
      <c r="G567" s="432">
        <f t="shared" si="23"/>
        <v>0</v>
      </c>
      <c r="H567" s="433"/>
      <c r="I567" s="428"/>
      <c r="J567" s="433"/>
      <c r="K567" s="428"/>
      <c r="L567" s="433"/>
      <c r="M567" s="428"/>
      <c r="N567" s="433"/>
      <c r="O567" s="433"/>
      <c r="P567" s="433"/>
      <c r="Q567" s="434"/>
      <c r="R567" s="434" t="s">
        <v>3454</v>
      </c>
      <c r="S567" s="435">
        <v>45589</v>
      </c>
      <c r="T567" s="435"/>
      <c r="U567" s="436"/>
      <c r="V567" s="437"/>
      <c r="W567" s="438"/>
      <c r="X567" s="438"/>
      <c r="Y567" s="439" t="s">
        <v>592</v>
      </c>
      <c r="Z567" s="440"/>
      <c r="AA567" s="436"/>
    </row>
    <row r="568" spans="1:27" s="441" customFormat="1">
      <c r="A568" s="427">
        <v>37</v>
      </c>
      <c r="B568" s="428" t="s">
        <v>4101</v>
      </c>
      <c r="C568" s="429" t="s">
        <v>74</v>
      </c>
      <c r="D568" s="428" t="s">
        <v>4102</v>
      </c>
      <c r="E568" s="430">
        <v>1</v>
      </c>
      <c r="F568" s="431"/>
      <c r="G568" s="432">
        <f t="shared" si="23"/>
        <v>0</v>
      </c>
      <c r="H568" s="433"/>
      <c r="I568" s="428"/>
      <c r="J568" s="433"/>
      <c r="K568" s="428"/>
      <c r="L568" s="433"/>
      <c r="M568" s="428"/>
      <c r="N568" s="433"/>
      <c r="O568" s="433"/>
      <c r="P568" s="433"/>
      <c r="Q568" s="434"/>
      <c r="R568" s="434" t="s">
        <v>3454</v>
      </c>
      <c r="S568" s="435">
        <v>45589</v>
      </c>
      <c r="T568" s="435"/>
      <c r="U568" s="436"/>
      <c r="V568" s="437"/>
      <c r="W568" s="438"/>
      <c r="X568" s="438"/>
      <c r="Y568" s="439" t="s">
        <v>592</v>
      </c>
      <c r="Z568" s="440"/>
      <c r="AA568" s="436"/>
    </row>
    <row r="569" spans="1:27" s="441" customFormat="1">
      <c r="A569" s="427">
        <v>38</v>
      </c>
      <c r="B569" s="428" t="s">
        <v>4103</v>
      </c>
      <c r="C569" s="429" t="s">
        <v>74</v>
      </c>
      <c r="D569" s="428" t="s">
        <v>4104</v>
      </c>
      <c r="E569" s="430">
        <v>1</v>
      </c>
      <c r="F569" s="431"/>
      <c r="G569" s="432">
        <f t="shared" si="23"/>
        <v>0</v>
      </c>
      <c r="H569" s="433"/>
      <c r="I569" s="428"/>
      <c r="J569" s="433"/>
      <c r="K569" s="428"/>
      <c r="L569" s="433"/>
      <c r="M569" s="428"/>
      <c r="N569" s="433"/>
      <c r="O569" s="433"/>
      <c r="P569" s="433"/>
      <c r="Q569" s="434"/>
      <c r="R569" s="434" t="s">
        <v>3454</v>
      </c>
      <c r="S569" s="435">
        <v>45589</v>
      </c>
      <c r="T569" s="435"/>
      <c r="U569" s="436"/>
      <c r="V569" s="437"/>
      <c r="W569" s="438"/>
      <c r="X569" s="438"/>
      <c r="Y569" s="439" t="s">
        <v>592</v>
      </c>
      <c r="Z569" s="440"/>
      <c r="AA569" s="436"/>
    </row>
    <row r="570" spans="1:27" s="441" customFormat="1">
      <c r="A570" s="427">
        <v>39</v>
      </c>
      <c r="B570" s="428" t="s">
        <v>4105</v>
      </c>
      <c r="C570" s="429" t="s">
        <v>74</v>
      </c>
      <c r="D570" s="428" t="s">
        <v>4106</v>
      </c>
      <c r="E570" s="430">
        <v>2</v>
      </c>
      <c r="F570" s="431"/>
      <c r="G570" s="432">
        <f t="shared" si="23"/>
        <v>0</v>
      </c>
      <c r="H570" s="433"/>
      <c r="I570" s="428"/>
      <c r="J570" s="433"/>
      <c r="K570" s="428"/>
      <c r="L570" s="433"/>
      <c r="M570" s="428"/>
      <c r="N570" s="433"/>
      <c r="O570" s="433"/>
      <c r="P570" s="433"/>
      <c r="Q570" s="434"/>
      <c r="R570" s="434" t="s">
        <v>3454</v>
      </c>
      <c r="S570" s="435">
        <v>45589</v>
      </c>
      <c r="T570" s="435"/>
      <c r="U570" s="436"/>
      <c r="V570" s="437"/>
      <c r="W570" s="438"/>
      <c r="X570" s="438"/>
      <c r="Y570" s="439" t="s">
        <v>592</v>
      </c>
      <c r="Z570" s="440"/>
      <c r="AA570" s="436"/>
    </row>
    <row r="571" spans="1:27" s="441" customFormat="1">
      <c r="A571" s="427">
        <v>40</v>
      </c>
      <c r="B571" s="428" t="s">
        <v>4107</v>
      </c>
      <c r="C571" s="429" t="s">
        <v>74</v>
      </c>
      <c r="D571" s="428" t="s">
        <v>4108</v>
      </c>
      <c r="E571" s="430">
        <v>1</v>
      </c>
      <c r="F571" s="431"/>
      <c r="G571" s="432">
        <f t="shared" si="23"/>
        <v>0</v>
      </c>
      <c r="H571" s="433"/>
      <c r="I571" s="428"/>
      <c r="J571" s="433"/>
      <c r="K571" s="428"/>
      <c r="L571" s="433"/>
      <c r="M571" s="428"/>
      <c r="N571" s="433"/>
      <c r="O571" s="433"/>
      <c r="P571" s="433"/>
      <c r="Q571" s="434"/>
      <c r="R571" s="434" t="s">
        <v>3454</v>
      </c>
      <c r="S571" s="435">
        <v>45589</v>
      </c>
      <c r="T571" s="435"/>
      <c r="U571" s="436"/>
      <c r="V571" s="437"/>
      <c r="W571" s="438"/>
      <c r="X571" s="438"/>
      <c r="Y571" s="439" t="s">
        <v>592</v>
      </c>
      <c r="Z571" s="440"/>
      <c r="AA571" s="436"/>
    </row>
    <row r="572" spans="1:27" s="441" customFormat="1">
      <c r="A572" s="427">
        <v>41</v>
      </c>
      <c r="B572" s="428" t="s">
        <v>4109</v>
      </c>
      <c r="C572" s="429" t="s">
        <v>74</v>
      </c>
      <c r="D572" s="428" t="s">
        <v>4110</v>
      </c>
      <c r="E572" s="430">
        <v>1</v>
      </c>
      <c r="F572" s="431"/>
      <c r="G572" s="432">
        <f t="shared" si="23"/>
        <v>0</v>
      </c>
      <c r="H572" s="433"/>
      <c r="I572" s="428"/>
      <c r="J572" s="433"/>
      <c r="K572" s="428"/>
      <c r="L572" s="433"/>
      <c r="M572" s="428"/>
      <c r="N572" s="433"/>
      <c r="O572" s="433"/>
      <c r="P572" s="433"/>
      <c r="Q572" s="434"/>
      <c r="R572" s="434" t="s">
        <v>3454</v>
      </c>
      <c r="S572" s="435">
        <v>45589</v>
      </c>
      <c r="T572" s="435"/>
      <c r="U572" s="436"/>
      <c r="V572" s="437"/>
      <c r="W572" s="438"/>
      <c r="X572" s="438"/>
      <c r="Y572" s="439" t="s">
        <v>592</v>
      </c>
      <c r="Z572" s="440"/>
      <c r="AA572" s="436"/>
    </row>
    <row r="573" spans="1:27" s="441" customFormat="1">
      <c r="A573" s="427">
        <v>42</v>
      </c>
      <c r="B573" s="428" t="s">
        <v>4111</v>
      </c>
      <c r="C573" s="429" t="s">
        <v>74</v>
      </c>
      <c r="D573" s="428" t="s">
        <v>4112</v>
      </c>
      <c r="E573" s="430">
        <v>2</v>
      </c>
      <c r="F573" s="431"/>
      <c r="G573" s="432">
        <f t="shared" si="23"/>
        <v>0</v>
      </c>
      <c r="H573" s="433"/>
      <c r="I573" s="428"/>
      <c r="J573" s="433"/>
      <c r="K573" s="428"/>
      <c r="L573" s="433"/>
      <c r="M573" s="428"/>
      <c r="N573" s="433"/>
      <c r="O573" s="433"/>
      <c r="P573" s="433"/>
      <c r="Q573" s="434"/>
      <c r="R573" s="434" t="s">
        <v>3454</v>
      </c>
      <c r="S573" s="435">
        <v>45589</v>
      </c>
      <c r="T573" s="435"/>
      <c r="U573" s="436"/>
      <c r="V573" s="437"/>
      <c r="W573" s="438"/>
      <c r="X573" s="438"/>
      <c r="Y573" s="439" t="s">
        <v>592</v>
      </c>
      <c r="Z573" s="440"/>
      <c r="AA573" s="436"/>
    </row>
    <row r="574" spans="1:27" s="441" customFormat="1">
      <c r="A574" s="427">
        <v>43</v>
      </c>
      <c r="B574" s="428" t="s">
        <v>4113</v>
      </c>
      <c r="C574" s="429" t="s">
        <v>74</v>
      </c>
      <c r="D574" s="428" t="s">
        <v>4114</v>
      </c>
      <c r="E574" s="430">
        <v>1</v>
      </c>
      <c r="F574" s="431"/>
      <c r="G574" s="432">
        <f t="shared" si="23"/>
        <v>0</v>
      </c>
      <c r="H574" s="433"/>
      <c r="I574" s="428"/>
      <c r="J574" s="433"/>
      <c r="K574" s="428"/>
      <c r="L574" s="433"/>
      <c r="M574" s="428"/>
      <c r="N574" s="433"/>
      <c r="O574" s="433"/>
      <c r="P574" s="433"/>
      <c r="Q574" s="434"/>
      <c r="R574" s="434" t="s">
        <v>3454</v>
      </c>
      <c r="S574" s="435">
        <v>45589</v>
      </c>
      <c r="T574" s="435"/>
      <c r="U574" s="436"/>
      <c r="V574" s="437"/>
      <c r="W574" s="438"/>
      <c r="X574" s="438"/>
      <c r="Y574" s="439" t="s">
        <v>592</v>
      </c>
      <c r="Z574" s="440"/>
      <c r="AA574" s="436"/>
    </row>
    <row r="575" spans="1:27" s="441" customFormat="1">
      <c r="A575" s="427">
        <v>44</v>
      </c>
      <c r="B575" s="428" t="s">
        <v>4115</v>
      </c>
      <c r="C575" s="429" t="s">
        <v>74</v>
      </c>
      <c r="D575" s="428" t="s">
        <v>4116</v>
      </c>
      <c r="E575" s="430">
        <v>3</v>
      </c>
      <c r="F575" s="431"/>
      <c r="G575" s="432">
        <f t="shared" si="23"/>
        <v>0</v>
      </c>
      <c r="H575" s="433"/>
      <c r="I575" s="428"/>
      <c r="J575" s="433"/>
      <c r="K575" s="428"/>
      <c r="L575" s="433"/>
      <c r="M575" s="428"/>
      <c r="N575" s="433"/>
      <c r="O575" s="433"/>
      <c r="P575" s="433"/>
      <c r="Q575" s="434"/>
      <c r="R575" s="434" t="s">
        <v>3454</v>
      </c>
      <c r="S575" s="435">
        <v>45583</v>
      </c>
      <c r="T575" s="435"/>
      <c r="U575" s="436"/>
      <c r="V575" s="437"/>
      <c r="W575" s="438"/>
      <c r="X575" s="438"/>
      <c r="Y575" s="439" t="s">
        <v>592</v>
      </c>
      <c r="Z575" s="440"/>
      <c r="AA575" s="436"/>
    </row>
    <row r="576" spans="1:27" s="441" customFormat="1">
      <c r="A576" s="427">
        <v>45</v>
      </c>
      <c r="B576" s="428" t="s">
        <v>4117</v>
      </c>
      <c r="C576" s="429" t="s">
        <v>74</v>
      </c>
      <c r="D576" s="428" t="s">
        <v>4118</v>
      </c>
      <c r="E576" s="430">
        <v>1</v>
      </c>
      <c r="F576" s="431"/>
      <c r="G576" s="432">
        <f t="shared" si="23"/>
        <v>0</v>
      </c>
      <c r="H576" s="433"/>
      <c r="I576" s="428"/>
      <c r="J576" s="433"/>
      <c r="K576" s="428"/>
      <c r="L576" s="433"/>
      <c r="M576" s="428"/>
      <c r="N576" s="433"/>
      <c r="O576" s="433"/>
      <c r="P576" s="433"/>
      <c r="Q576" s="434"/>
      <c r="R576" s="434" t="s">
        <v>3454</v>
      </c>
      <c r="S576" s="435">
        <v>45583</v>
      </c>
      <c r="T576" s="435"/>
      <c r="U576" s="436"/>
      <c r="V576" s="437"/>
      <c r="W576" s="438"/>
      <c r="X576" s="438"/>
      <c r="Y576" s="439" t="s">
        <v>592</v>
      </c>
      <c r="Z576" s="440"/>
      <c r="AA576" s="436"/>
    </row>
    <row r="577" spans="1:27" s="441" customFormat="1">
      <c r="A577" s="427">
        <v>46</v>
      </c>
      <c r="B577" s="428" t="s">
        <v>4119</v>
      </c>
      <c r="C577" s="429" t="s">
        <v>74</v>
      </c>
      <c r="D577" s="428" t="s">
        <v>4120</v>
      </c>
      <c r="E577" s="430">
        <v>1</v>
      </c>
      <c r="F577" s="431"/>
      <c r="G577" s="432">
        <f t="shared" si="23"/>
        <v>0</v>
      </c>
      <c r="H577" s="433"/>
      <c r="I577" s="428"/>
      <c r="J577" s="433"/>
      <c r="K577" s="428"/>
      <c r="L577" s="433"/>
      <c r="M577" s="428"/>
      <c r="N577" s="433"/>
      <c r="O577" s="433"/>
      <c r="P577" s="433"/>
      <c r="Q577" s="434"/>
      <c r="R577" s="434" t="s">
        <v>3454</v>
      </c>
      <c r="S577" s="435">
        <v>45589</v>
      </c>
      <c r="T577" s="435"/>
      <c r="U577" s="436"/>
      <c r="V577" s="437"/>
      <c r="W577" s="438"/>
      <c r="X577" s="438"/>
      <c r="Y577" s="439" t="s">
        <v>592</v>
      </c>
      <c r="Z577" s="440"/>
      <c r="AA577" s="436"/>
    </row>
    <row r="578" spans="1:27" s="441" customFormat="1">
      <c r="A578" s="427">
        <v>47</v>
      </c>
      <c r="B578" s="428" t="s">
        <v>4121</v>
      </c>
      <c r="C578" s="429" t="s">
        <v>74</v>
      </c>
      <c r="D578" s="428" t="s">
        <v>4122</v>
      </c>
      <c r="E578" s="430">
        <v>2</v>
      </c>
      <c r="F578" s="431"/>
      <c r="G578" s="432">
        <f t="shared" si="23"/>
        <v>0</v>
      </c>
      <c r="H578" s="433"/>
      <c r="I578" s="428"/>
      <c r="J578" s="433"/>
      <c r="K578" s="428"/>
      <c r="L578" s="433"/>
      <c r="M578" s="428"/>
      <c r="N578" s="433"/>
      <c r="O578" s="433"/>
      <c r="P578" s="433"/>
      <c r="Q578" s="434"/>
      <c r="R578" s="434" t="s">
        <v>3454</v>
      </c>
      <c r="S578" s="435">
        <v>45589</v>
      </c>
      <c r="T578" s="435"/>
      <c r="U578" s="436"/>
      <c r="V578" s="437"/>
      <c r="W578" s="438"/>
      <c r="X578" s="438"/>
      <c r="Y578" s="439" t="s">
        <v>592</v>
      </c>
      <c r="Z578" s="440"/>
      <c r="AA578" s="436"/>
    </row>
    <row r="579" spans="1:27" s="441" customFormat="1">
      <c r="A579" s="427">
        <v>48</v>
      </c>
      <c r="B579" s="428" t="s">
        <v>4123</v>
      </c>
      <c r="C579" s="429" t="s">
        <v>74</v>
      </c>
      <c r="D579" s="428" t="s">
        <v>4124</v>
      </c>
      <c r="E579" s="430">
        <v>2</v>
      </c>
      <c r="F579" s="431"/>
      <c r="G579" s="432">
        <f t="shared" si="23"/>
        <v>0</v>
      </c>
      <c r="H579" s="433"/>
      <c r="I579" s="428"/>
      <c r="J579" s="433"/>
      <c r="K579" s="428"/>
      <c r="L579" s="433"/>
      <c r="M579" s="428"/>
      <c r="N579" s="433"/>
      <c r="O579" s="433"/>
      <c r="P579" s="433"/>
      <c r="Q579" s="434"/>
      <c r="R579" s="434" t="s">
        <v>3454</v>
      </c>
      <c r="S579" s="435">
        <v>45589</v>
      </c>
      <c r="T579" s="435"/>
      <c r="U579" s="436"/>
      <c r="V579" s="437"/>
      <c r="W579" s="438"/>
      <c r="X579" s="438"/>
      <c r="Y579" s="439" t="s">
        <v>592</v>
      </c>
      <c r="Z579" s="440"/>
      <c r="AA579" s="436"/>
    </row>
    <row r="580" spans="1:27" s="441" customFormat="1">
      <c r="A580" s="427">
        <v>49</v>
      </c>
      <c r="B580" s="428" t="s">
        <v>4125</v>
      </c>
      <c r="C580" s="429" t="s">
        <v>74</v>
      </c>
      <c r="D580" s="428" t="s">
        <v>4126</v>
      </c>
      <c r="E580" s="430">
        <v>1</v>
      </c>
      <c r="F580" s="431"/>
      <c r="G580" s="432">
        <f t="shared" si="23"/>
        <v>0</v>
      </c>
      <c r="H580" s="433"/>
      <c r="I580" s="428"/>
      <c r="J580" s="433"/>
      <c r="K580" s="428"/>
      <c r="L580" s="433"/>
      <c r="M580" s="428"/>
      <c r="N580" s="433"/>
      <c r="O580" s="433"/>
      <c r="P580" s="433"/>
      <c r="Q580" s="434"/>
      <c r="R580" s="434" t="s">
        <v>3454</v>
      </c>
      <c r="S580" s="435">
        <v>45589</v>
      </c>
      <c r="T580" s="435"/>
      <c r="U580" s="436"/>
      <c r="V580" s="437"/>
      <c r="W580" s="438"/>
      <c r="X580" s="438"/>
      <c r="Y580" s="439" t="s">
        <v>592</v>
      </c>
      <c r="Z580" s="440"/>
      <c r="AA580" s="436"/>
    </row>
    <row r="581" spans="1:27" s="441" customFormat="1">
      <c r="A581" s="427">
        <v>50</v>
      </c>
      <c r="B581" s="428" t="s">
        <v>4127</v>
      </c>
      <c r="C581" s="429" t="s">
        <v>74</v>
      </c>
      <c r="D581" s="428" t="s">
        <v>4128</v>
      </c>
      <c r="E581" s="430">
        <v>1</v>
      </c>
      <c r="F581" s="431"/>
      <c r="G581" s="432">
        <f t="shared" si="23"/>
        <v>0</v>
      </c>
      <c r="H581" s="433"/>
      <c r="I581" s="428"/>
      <c r="J581" s="433"/>
      <c r="K581" s="428"/>
      <c r="L581" s="433"/>
      <c r="M581" s="428"/>
      <c r="N581" s="433"/>
      <c r="O581" s="433"/>
      <c r="P581" s="433"/>
      <c r="Q581" s="434"/>
      <c r="R581" s="434" t="s">
        <v>3454</v>
      </c>
      <c r="S581" s="435">
        <v>45589</v>
      </c>
      <c r="T581" s="435"/>
      <c r="U581" s="436"/>
      <c r="V581" s="437"/>
      <c r="W581" s="438"/>
      <c r="X581" s="438"/>
      <c r="Y581" s="439" t="s">
        <v>592</v>
      </c>
      <c r="Z581" s="440"/>
      <c r="AA581" s="436"/>
    </row>
    <row r="582" spans="1:27" s="441" customFormat="1">
      <c r="A582" s="427">
        <v>51</v>
      </c>
      <c r="B582" s="428" t="s">
        <v>4129</v>
      </c>
      <c r="C582" s="429" t="s">
        <v>74</v>
      </c>
      <c r="D582" s="428" t="s">
        <v>4130</v>
      </c>
      <c r="E582" s="430">
        <v>1</v>
      </c>
      <c r="F582" s="431"/>
      <c r="G582" s="432">
        <f t="shared" si="23"/>
        <v>0</v>
      </c>
      <c r="H582" s="433"/>
      <c r="I582" s="428"/>
      <c r="J582" s="433"/>
      <c r="K582" s="428"/>
      <c r="L582" s="433"/>
      <c r="M582" s="428"/>
      <c r="N582" s="433"/>
      <c r="O582" s="433"/>
      <c r="P582" s="433"/>
      <c r="Q582" s="434"/>
      <c r="R582" s="434" t="s">
        <v>3454</v>
      </c>
      <c r="S582" s="435">
        <v>45589</v>
      </c>
      <c r="T582" s="435"/>
      <c r="U582" s="436"/>
      <c r="V582" s="437"/>
      <c r="W582" s="438"/>
      <c r="X582" s="438"/>
      <c r="Y582" s="439" t="s">
        <v>592</v>
      </c>
      <c r="Z582" s="440"/>
      <c r="AA582" s="436"/>
    </row>
    <row r="583" spans="1:27" s="441" customFormat="1">
      <c r="A583" s="427">
        <v>52</v>
      </c>
      <c r="B583" s="428" t="s">
        <v>4131</v>
      </c>
      <c r="C583" s="429" t="s">
        <v>74</v>
      </c>
      <c r="D583" s="428" t="s">
        <v>4132</v>
      </c>
      <c r="E583" s="430">
        <v>1</v>
      </c>
      <c r="F583" s="431"/>
      <c r="G583" s="432">
        <f t="shared" si="23"/>
        <v>0</v>
      </c>
      <c r="H583" s="433"/>
      <c r="I583" s="428"/>
      <c r="J583" s="433"/>
      <c r="K583" s="428"/>
      <c r="L583" s="433"/>
      <c r="M583" s="428"/>
      <c r="N583" s="433"/>
      <c r="O583" s="433"/>
      <c r="P583" s="433"/>
      <c r="Q583" s="434"/>
      <c r="R583" s="434" t="s">
        <v>3454</v>
      </c>
      <c r="S583" s="435">
        <v>45589</v>
      </c>
      <c r="T583" s="435"/>
      <c r="U583" s="436"/>
      <c r="V583" s="437"/>
      <c r="W583" s="438"/>
      <c r="X583" s="438"/>
      <c r="Y583" s="439" t="s">
        <v>592</v>
      </c>
      <c r="Z583" s="440"/>
      <c r="AA583" s="436"/>
    </row>
    <row r="584" spans="1:27" s="441" customFormat="1">
      <c r="A584" s="427">
        <v>53</v>
      </c>
      <c r="B584" s="428" t="s">
        <v>4133</v>
      </c>
      <c r="C584" s="429" t="s">
        <v>74</v>
      </c>
      <c r="D584" s="428" t="s">
        <v>4134</v>
      </c>
      <c r="E584" s="430">
        <v>1</v>
      </c>
      <c r="F584" s="431"/>
      <c r="G584" s="432">
        <f t="shared" si="23"/>
        <v>0</v>
      </c>
      <c r="H584" s="433"/>
      <c r="I584" s="428"/>
      <c r="J584" s="433"/>
      <c r="K584" s="428"/>
      <c r="L584" s="433"/>
      <c r="M584" s="428"/>
      <c r="N584" s="433"/>
      <c r="O584" s="433"/>
      <c r="P584" s="433"/>
      <c r="Q584" s="434"/>
      <c r="R584" s="434" t="s">
        <v>3454</v>
      </c>
      <c r="S584" s="435">
        <v>45589</v>
      </c>
      <c r="T584" s="435"/>
      <c r="U584" s="436"/>
      <c r="V584" s="437"/>
      <c r="W584" s="438"/>
      <c r="X584" s="438"/>
      <c r="Y584" s="439" t="s">
        <v>592</v>
      </c>
      <c r="Z584" s="440"/>
      <c r="AA584" s="436"/>
    </row>
    <row r="585" spans="1:27" s="128" customFormat="1" ht="37.5">
      <c r="A585" s="443">
        <v>54</v>
      </c>
      <c r="B585" s="444" t="s">
        <v>4135</v>
      </c>
      <c r="C585" s="445" t="s">
        <v>74</v>
      </c>
      <c r="D585" s="444" t="s">
        <v>4136</v>
      </c>
      <c r="E585" s="446">
        <v>1</v>
      </c>
      <c r="F585" s="447"/>
      <c r="G585" s="448">
        <f t="shared" si="23"/>
        <v>0</v>
      </c>
      <c r="H585" s="450"/>
      <c r="I585" s="444"/>
      <c r="J585" s="450"/>
      <c r="K585" s="444" t="s">
        <v>4137</v>
      </c>
      <c r="L585" s="450" t="s">
        <v>979</v>
      </c>
      <c r="M585" s="444" t="s">
        <v>4138</v>
      </c>
      <c r="N585" s="450"/>
      <c r="O585" s="450"/>
      <c r="P585" s="450" t="s">
        <v>2863</v>
      </c>
      <c r="Q585" s="451" t="s">
        <v>374</v>
      </c>
      <c r="R585" s="451" t="s">
        <v>2957</v>
      </c>
      <c r="S585" s="452">
        <v>45583</v>
      </c>
      <c r="T585" s="452"/>
      <c r="U585" s="453"/>
      <c r="V585" s="454"/>
      <c r="W585" s="455" t="s">
        <v>406</v>
      </c>
      <c r="X585" s="455">
        <v>45582</v>
      </c>
      <c r="Y585" s="456" t="s">
        <v>377</v>
      </c>
      <c r="Z585" s="457"/>
      <c r="AA585" s="453"/>
    </row>
    <row r="586" spans="1:27" s="128" customFormat="1" ht="37.5">
      <c r="A586" s="443">
        <v>55</v>
      </c>
      <c r="B586" s="444" t="s">
        <v>4139</v>
      </c>
      <c r="C586" s="445" t="s">
        <v>74</v>
      </c>
      <c r="D586" s="444" t="s">
        <v>4140</v>
      </c>
      <c r="E586" s="446">
        <v>1</v>
      </c>
      <c r="F586" s="447"/>
      <c r="G586" s="448">
        <f t="shared" si="23"/>
        <v>0</v>
      </c>
      <c r="H586" s="450"/>
      <c r="I586" s="444"/>
      <c r="J586" s="450"/>
      <c r="K586" s="444" t="s">
        <v>4137</v>
      </c>
      <c r="L586" s="450" t="s">
        <v>979</v>
      </c>
      <c r="M586" s="444" t="s">
        <v>4138</v>
      </c>
      <c r="N586" s="450"/>
      <c r="O586" s="450"/>
      <c r="P586" s="450" t="s">
        <v>2863</v>
      </c>
      <c r="Q586" s="451" t="s">
        <v>374</v>
      </c>
      <c r="R586" s="451" t="s">
        <v>2957</v>
      </c>
      <c r="S586" s="452">
        <v>45583</v>
      </c>
      <c r="T586" s="452"/>
      <c r="U586" s="453"/>
      <c r="V586" s="454"/>
      <c r="W586" s="455" t="s">
        <v>406</v>
      </c>
      <c r="X586" s="455">
        <v>45582</v>
      </c>
      <c r="Y586" s="456" t="s">
        <v>377</v>
      </c>
      <c r="Z586" s="457"/>
      <c r="AA586" s="453"/>
    </row>
    <row r="587" spans="1:27" s="128" customFormat="1" ht="37.5">
      <c r="A587" s="443">
        <v>56</v>
      </c>
      <c r="B587" s="444" t="s">
        <v>4141</v>
      </c>
      <c r="C587" s="445" t="s">
        <v>74</v>
      </c>
      <c r="D587" s="444" t="s">
        <v>4142</v>
      </c>
      <c r="E587" s="446">
        <v>1</v>
      </c>
      <c r="F587" s="447"/>
      <c r="G587" s="448">
        <f t="shared" si="23"/>
        <v>0</v>
      </c>
      <c r="H587" s="450"/>
      <c r="I587" s="444"/>
      <c r="J587" s="450"/>
      <c r="K587" s="444" t="s">
        <v>4137</v>
      </c>
      <c r="L587" s="450" t="s">
        <v>979</v>
      </c>
      <c r="M587" s="444" t="s">
        <v>4138</v>
      </c>
      <c r="N587" s="450"/>
      <c r="O587" s="450"/>
      <c r="P587" s="450" t="s">
        <v>2863</v>
      </c>
      <c r="Q587" s="451" t="s">
        <v>374</v>
      </c>
      <c r="R587" s="451" t="s">
        <v>2957</v>
      </c>
      <c r="S587" s="452">
        <v>45583</v>
      </c>
      <c r="T587" s="452"/>
      <c r="U587" s="453"/>
      <c r="V587" s="454"/>
      <c r="W587" s="455" t="s">
        <v>406</v>
      </c>
      <c r="X587" s="455">
        <v>45582</v>
      </c>
      <c r="Y587" s="456" t="s">
        <v>377</v>
      </c>
      <c r="Z587" s="457"/>
      <c r="AA587" s="453"/>
    </row>
    <row r="588" spans="1:27" s="128" customFormat="1" ht="37.5">
      <c r="A588" s="443">
        <v>57</v>
      </c>
      <c r="B588" s="444" t="s">
        <v>4143</v>
      </c>
      <c r="C588" s="445" t="s">
        <v>74</v>
      </c>
      <c r="D588" s="444" t="s">
        <v>4144</v>
      </c>
      <c r="E588" s="446">
        <v>1</v>
      </c>
      <c r="F588" s="447"/>
      <c r="G588" s="448">
        <f t="shared" si="23"/>
        <v>0</v>
      </c>
      <c r="H588" s="450"/>
      <c r="I588" s="444"/>
      <c r="J588" s="450"/>
      <c r="K588" s="444" t="s">
        <v>4137</v>
      </c>
      <c r="L588" s="450" t="s">
        <v>979</v>
      </c>
      <c r="M588" s="444" t="s">
        <v>4138</v>
      </c>
      <c r="N588" s="450"/>
      <c r="O588" s="450"/>
      <c r="P588" s="450" t="s">
        <v>2863</v>
      </c>
      <c r="Q588" s="451" t="s">
        <v>374</v>
      </c>
      <c r="R588" s="451" t="s">
        <v>2957</v>
      </c>
      <c r="S588" s="452">
        <v>45583</v>
      </c>
      <c r="T588" s="452"/>
      <c r="U588" s="453"/>
      <c r="V588" s="454"/>
      <c r="W588" s="455" t="s">
        <v>406</v>
      </c>
      <c r="X588" s="455">
        <v>45582</v>
      </c>
      <c r="Y588" s="456" t="s">
        <v>377</v>
      </c>
      <c r="Z588" s="457"/>
      <c r="AA588" s="453"/>
    </row>
    <row r="589" spans="1:27" s="128" customFormat="1" ht="37.5">
      <c r="A589" s="443">
        <v>58</v>
      </c>
      <c r="B589" s="444" t="s">
        <v>4145</v>
      </c>
      <c r="C589" s="445" t="s">
        <v>74</v>
      </c>
      <c r="D589" s="444" t="s">
        <v>4146</v>
      </c>
      <c r="E589" s="446">
        <v>1</v>
      </c>
      <c r="F589" s="447"/>
      <c r="G589" s="448">
        <f t="shared" si="23"/>
        <v>0</v>
      </c>
      <c r="H589" s="450"/>
      <c r="I589" s="444"/>
      <c r="J589" s="450"/>
      <c r="K589" s="444" t="s">
        <v>4137</v>
      </c>
      <c r="L589" s="450" t="s">
        <v>979</v>
      </c>
      <c r="M589" s="444" t="s">
        <v>4138</v>
      </c>
      <c r="N589" s="450"/>
      <c r="O589" s="450"/>
      <c r="P589" s="450" t="s">
        <v>2863</v>
      </c>
      <c r="Q589" s="451" t="s">
        <v>374</v>
      </c>
      <c r="R589" s="451" t="s">
        <v>2957</v>
      </c>
      <c r="S589" s="452">
        <v>45583</v>
      </c>
      <c r="T589" s="452"/>
      <c r="U589" s="453"/>
      <c r="V589" s="454"/>
      <c r="W589" s="455" t="s">
        <v>406</v>
      </c>
      <c r="X589" s="455">
        <v>45582</v>
      </c>
      <c r="Y589" s="456" t="s">
        <v>377</v>
      </c>
      <c r="Z589" s="457"/>
      <c r="AA589" s="453"/>
    </row>
    <row r="590" spans="1:27" s="128" customFormat="1" ht="37.5">
      <c r="A590" s="443">
        <v>59</v>
      </c>
      <c r="B590" s="444" t="s">
        <v>4147</v>
      </c>
      <c r="C590" s="445" t="s">
        <v>74</v>
      </c>
      <c r="D590" s="444" t="s">
        <v>4148</v>
      </c>
      <c r="E590" s="446">
        <v>1</v>
      </c>
      <c r="F590" s="447"/>
      <c r="G590" s="448">
        <f t="shared" si="23"/>
        <v>0</v>
      </c>
      <c r="H590" s="450"/>
      <c r="I590" s="444"/>
      <c r="J590" s="450"/>
      <c r="K590" s="444" t="s">
        <v>4137</v>
      </c>
      <c r="L590" s="450" t="s">
        <v>979</v>
      </c>
      <c r="M590" s="444" t="s">
        <v>4138</v>
      </c>
      <c r="N590" s="450"/>
      <c r="O590" s="450"/>
      <c r="P590" s="450" t="s">
        <v>2863</v>
      </c>
      <c r="Q590" s="451" t="s">
        <v>374</v>
      </c>
      <c r="R590" s="451" t="s">
        <v>2957</v>
      </c>
      <c r="S590" s="452">
        <v>45583</v>
      </c>
      <c r="T590" s="452"/>
      <c r="U590" s="453"/>
      <c r="V590" s="454"/>
      <c r="W590" s="455" t="s">
        <v>406</v>
      </c>
      <c r="X590" s="455">
        <v>45582</v>
      </c>
      <c r="Y590" s="456" t="s">
        <v>377</v>
      </c>
      <c r="Z590" s="457"/>
      <c r="AA590" s="453"/>
    </row>
    <row r="591" spans="1:27" s="128" customFormat="1" ht="37.5">
      <c r="A591" s="443">
        <v>60</v>
      </c>
      <c r="B591" s="444" t="s">
        <v>4149</v>
      </c>
      <c r="C591" s="445" t="s">
        <v>74</v>
      </c>
      <c r="D591" s="444" t="s">
        <v>4150</v>
      </c>
      <c r="E591" s="446">
        <v>1</v>
      </c>
      <c r="F591" s="447"/>
      <c r="G591" s="448">
        <f t="shared" ref="G591:G622" si="24">E591*F591</f>
        <v>0</v>
      </c>
      <c r="H591" s="450"/>
      <c r="I591" s="444"/>
      <c r="J591" s="450"/>
      <c r="K591" s="444" t="s">
        <v>4137</v>
      </c>
      <c r="L591" s="450" t="s">
        <v>979</v>
      </c>
      <c r="M591" s="444" t="s">
        <v>4138</v>
      </c>
      <c r="N591" s="450"/>
      <c r="O591" s="450"/>
      <c r="P591" s="450" t="s">
        <v>2863</v>
      </c>
      <c r="Q591" s="451" t="s">
        <v>374</v>
      </c>
      <c r="R591" s="451" t="s">
        <v>2957</v>
      </c>
      <c r="S591" s="452">
        <v>45590</v>
      </c>
      <c r="T591" s="452"/>
      <c r="U591" s="453"/>
      <c r="V591" s="454"/>
      <c r="W591" s="455" t="s">
        <v>406</v>
      </c>
      <c r="X591" s="455">
        <v>45587</v>
      </c>
      <c r="Y591" s="456" t="s">
        <v>377</v>
      </c>
      <c r="Z591" s="457"/>
      <c r="AA591" s="453"/>
    </row>
    <row r="592" spans="1:27" s="128" customFormat="1" ht="37.5">
      <c r="A592" s="443">
        <v>61</v>
      </c>
      <c r="B592" s="444" t="s">
        <v>4151</v>
      </c>
      <c r="C592" s="445" t="s">
        <v>74</v>
      </c>
      <c r="D592" s="444" t="s">
        <v>4152</v>
      </c>
      <c r="E592" s="446">
        <v>1</v>
      </c>
      <c r="F592" s="447"/>
      <c r="G592" s="448">
        <f t="shared" si="24"/>
        <v>0</v>
      </c>
      <c r="H592" s="450"/>
      <c r="I592" s="444"/>
      <c r="J592" s="450"/>
      <c r="K592" s="444" t="s">
        <v>4137</v>
      </c>
      <c r="L592" s="450" t="s">
        <v>979</v>
      </c>
      <c r="M592" s="444" t="s">
        <v>4153</v>
      </c>
      <c r="N592" s="450"/>
      <c r="O592" s="450"/>
      <c r="P592" s="450" t="s">
        <v>1890</v>
      </c>
      <c r="Q592" s="451" t="s">
        <v>374</v>
      </c>
      <c r="R592" s="451" t="s">
        <v>3454</v>
      </c>
      <c r="S592" s="452">
        <v>45586</v>
      </c>
      <c r="T592" s="452" t="s">
        <v>481</v>
      </c>
      <c r="U592" s="453"/>
      <c r="V592" s="454"/>
      <c r="W592" s="455" t="s">
        <v>406</v>
      </c>
      <c r="X592" s="455">
        <v>45583</v>
      </c>
      <c r="Y592" s="456" t="s">
        <v>377</v>
      </c>
      <c r="Z592" s="457"/>
      <c r="AA592" s="453"/>
    </row>
    <row r="593" spans="1:27" s="128" customFormat="1" ht="37.5">
      <c r="A593" s="443">
        <v>62</v>
      </c>
      <c r="B593" s="444" t="s">
        <v>4154</v>
      </c>
      <c r="C593" s="445" t="s">
        <v>74</v>
      </c>
      <c r="D593" s="444" t="s">
        <v>4155</v>
      </c>
      <c r="E593" s="446">
        <v>1</v>
      </c>
      <c r="F593" s="447"/>
      <c r="G593" s="448">
        <f t="shared" si="24"/>
        <v>0</v>
      </c>
      <c r="H593" s="450"/>
      <c r="I593" s="444"/>
      <c r="J593" s="450"/>
      <c r="K593" s="444" t="s">
        <v>4029</v>
      </c>
      <c r="L593" s="450" t="s">
        <v>624</v>
      </c>
      <c r="M593" s="444" t="s">
        <v>4030</v>
      </c>
      <c r="N593" s="450"/>
      <c r="O593" s="450"/>
      <c r="P593" s="450" t="s">
        <v>1575</v>
      </c>
      <c r="Q593" s="451" t="s">
        <v>374</v>
      </c>
      <c r="R593" s="451" t="s">
        <v>3454</v>
      </c>
      <c r="S593" s="452">
        <v>45586</v>
      </c>
      <c r="T593" s="452"/>
      <c r="U593" s="453"/>
      <c r="V593" s="454"/>
      <c r="W593" s="455" t="s">
        <v>406</v>
      </c>
      <c r="X593" s="455">
        <v>45583</v>
      </c>
      <c r="Y593" s="456" t="s">
        <v>377</v>
      </c>
      <c r="Z593" s="457"/>
      <c r="AA593" s="453"/>
    </row>
    <row r="594" spans="1:27" s="441" customFormat="1">
      <c r="A594" s="427">
        <v>63</v>
      </c>
      <c r="B594" s="428" t="s">
        <v>4156</v>
      </c>
      <c r="C594" s="429" t="s">
        <v>74</v>
      </c>
      <c r="D594" s="428" t="s">
        <v>4157</v>
      </c>
      <c r="E594" s="430">
        <v>1</v>
      </c>
      <c r="F594" s="431"/>
      <c r="G594" s="432">
        <f t="shared" si="24"/>
        <v>0</v>
      </c>
      <c r="H594" s="433"/>
      <c r="I594" s="428"/>
      <c r="J594" s="433"/>
      <c r="K594" s="428"/>
      <c r="L594" s="433"/>
      <c r="M594" s="428"/>
      <c r="N594" s="433"/>
      <c r="O594" s="433"/>
      <c r="P594" s="433"/>
      <c r="Q594" s="434"/>
      <c r="R594" s="434" t="s">
        <v>3454</v>
      </c>
      <c r="S594" s="435">
        <v>45586</v>
      </c>
      <c r="T594" s="435"/>
      <c r="U594" s="436"/>
      <c r="V594" s="437"/>
      <c r="W594" s="438"/>
      <c r="X594" s="438"/>
      <c r="Y594" s="439" t="s">
        <v>592</v>
      </c>
      <c r="Z594" s="440"/>
      <c r="AA594" s="436"/>
    </row>
    <row r="595" spans="1:27" s="441" customFormat="1">
      <c r="A595" s="427">
        <v>64</v>
      </c>
      <c r="B595" s="428" t="s">
        <v>4158</v>
      </c>
      <c r="C595" s="429" t="s">
        <v>74</v>
      </c>
      <c r="D595" s="428" t="s">
        <v>4159</v>
      </c>
      <c r="E595" s="430">
        <v>1</v>
      </c>
      <c r="F595" s="431"/>
      <c r="G595" s="432">
        <f t="shared" si="24"/>
        <v>0</v>
      </c>
      <c r="H595" s="433"/>
      <c r="I595" s="428"/>
      <c r="J595" s="433"/>
      <c r="K595" s="428"/>
      <c r="L595" s="433"/>
      <c r="M595" s="428"/>
      <c r="N595" s="433"/>
      <c r="O595" s="433"/>
      <c r="P595" s="433"/>
      <c r="Q595" s="434"/>
      <c r="R595" s="434" t="s">
        <v>3454</v>
      </c>
      <c r="S595" s="435">
        <v>45586</v>
      </c>
      <c r="T595" s="435"/>
      <c r="U595" s="436"/>
      <c r="V595" s="437"/>
      <c r="W595" s="438"/>
      <c r="X595" s="438"/>
      <c r="Y595" s="439" t="s">
        <v>592</v>
      </c>
      <c r="Z595" s="440"/>
      <c r="AA595" s="436"/>
    </row>
    <row r="596" spans="1:27" s="441" customFormat="1">
      <c r="A596" s="427">
        <v>65</v>
      </c>
      <c r="B596" s="428" t="s">
        <v>4160</v>
      </c>
      <c r="C596" s="429" t="s">
        <v>74</v>
      </c>
      <c r="D596" s="428" t="s">
        <v>4161</v>
      </c>
      <c r="E596" s="430">
        <v>1</v>
      </c>
      <c r="F596" s="431"/>
      <c r="G596" s="432">
        <f t="shared" si="24"/>
        <v>0</v>
      </c>
      <c r="H596" s="433"/>
      <c r="I596" s="428"/>
      <c r="J596" s="433"/>
      <c r="K596" s="428"/>
      <c r="L596" s="433"/>
      <c r="M596" s="428"/>
      <c r="N596" s="433"/>
      <c r="O596" s="433"/>
      <c r="P596" s="433"/>
      <c r="Q596" s="434"/>
      <c r="R596" s="434" t="s">
        <v>3454</v>
      </c>
      <c r="S596" s="435">
        <v>45586</v>
      </c>
      <c r="T596" s="435"/>
      <c r="U596" s="436"/>
      <c r="V596" s="437"/>
      <c r="W596" s="438"/>
      <c r="X596" s="438"/>
      <c r="Y596" s="439" t="s">
        <v>592</v>
      </c>
      <c r="Z596" s="440"/>
      <c r="AA596" s="436"/>
    </row>
    <row r="597" spans="1:27" s="441" customFormat="1">
      <c r="A597" s="427">
        <v>66</v>
      </c>
      <c r="B597" s="428" t="s">
        <v>4162</v>
      </c>
      <c r="C597" s="429" t="s">
        <v>74</v>
      </c>
      <c r="D597" s="428" t="s">
        <v>4163</v>
      </c>
      <c r="E597" s="430">
        <v>2</v>
      </c>
      <c r="F597" s="431"/>
      <c r="G597" s="432">
        <f t="shared" si="24"/>
        <v>0</v>
      </c>
      <c r="H597" s="433"/>
      <c r="I597" s="428"/>
      <c r="J597" s="433"/>
      <c r="K597" s="428"/>
      <c r="L597" s="433"/>
      <c r="M597" s="428"/>
      <c r="N597" s="433"/>
      <c r="O597" s="433"/>
      <c r="P597" s="433"/>
      <c r="Q597" s="434"/>
      <c r="R597" s="434" t="s">
        <v>3454</v>
      </c>
      <c r="S597" s="435">
        <v>45586</v>
      </c>
      <c r="T597" s="435"/>
      <c r="U597" s="436"/>
      <c r="V597" s="437"/>
      <c r="W597" s="438"/>
      <c r="X597" s="438"/>
      <c r="Y597" s="439" t="s">
        <v>592</v>
      </c>
      <c r="Z597" s="440"/>
      <c r="AA597" s="436"/>
    </row>
    <row r="598" spans="1:27" s="441" customFormat="1">
      <c r="A598" s="427">
        <v>67</v>
      </c>
      <c r="B598" s="428" t="s">
        <v>4164</v>
      </c>
      <c r="C598" s="429" t="s">
        <v>74</v>
      </c>
      <c r="D598" s="428" t="s">
        <v>4165</v>
      </c>
      <c r="E598" s="430">
        <v>2</v>
      </c>
      <c r="F598" s="431"/>
      <c r="G598" s="432">
        <f t="shared" si="24"/>
        <v>0</v>
      </c>
      <c r="H598" s="433"/>
      <c r="I598" s="428"/>
      <c r="J598" s="433"/>
      <c r="K598" s="428"/>
      <c r="L598" s="433"/>
      <c r="M598" s="428"/>
      <c r="N598" s="433"/>
      <c r="O598" s="433"/>
      <c r="P598" s="433"/>
      <c r="Q598" s="434"/>
      <c r="R598" s="434" t="s">
        <v>3454</v>
      </c>
      <c r="S598" s="435">
        <v>45586</v>
      </c>
      <c r="T598" s="435"/>
      <c r="U598" s="436"/>
      <c r="V598" s="437"/>
      <c r="W598" s="438"/>
      <c r="X598" s="438"/>
      <c r="Y598" s="439" t="s">
        <v>592</v>
      </c>
      <c r="Z598" s="440"/>
      <c r="AA598" s="436"/>
    </row>
    <row r="599" spans="1:27" s="441" customFormat="1">
      <c r="A599" s="427">
        <v>68</v>
      </c>
      <c r="B599" s="428" t="s">
        <v>4166</v>
      </c>
      <c r="C599" s="429" t="s">
        <v>74</v>
      </c>
      <c r="D599" s="428" t="s">
        <v>4167</v>
      </c>
      <c r="E599" s="430">
        <v>1</v>
      </c>
      <c r="F599" s="431"/>
      <c r="G599" s="432">
        <f t="shared" si="24"/>
        <v>0</v>
      </c>
      <c r="H599" s="433"/>
      <c r="I599" s="428"/>
      <c r="J599" s="433"/>
      <c r="K599" s="428"/>
      <c r="L599" s="433"/>
      <c r="M599" s="428"/>
      <c r="N599" s="433"/>
      <c r="O599" s="433"/>
      <c r="P599" s="433"/>
      <c r="Q599" s="434"/>
      <c r="R599" s="434" t="s">
        <v>3454</v>
      </c>
      <c r="S599" s="435">
        <v>45586</v>
      </c>
      <c r="T599" s="435"/>
      <c r="U599" s="436"/>
      <c r="V599" s="437"/>
      <c r="W599" s="438"/>
      <c r="X599" s="438"/>
      <c r="Y599" s="439" t="s">
        <v>592</v>
      </c>
      <c r="Z599" s="440"/>
      <c r="AA599" s="436"/>
    </row>
    <row r="600" spans="1:27" s="441" customFormat="1">
      <c r="A600" s="427">
        <v>69</v>
      </c>
      <c r="B600" s="428" t="s">
        <v>4168</v>
      </c>
      <c r="C600" s="429" t="s">
        <v>74</v>
      </c>
      <c r="D600" s="428" t="s">
        <v>4169</v>
      </c>
      <c r="E600" s="430">
        <v>1</v>
      </c>
      <c r="F600" s="431"/>
      <c r="G600" s="432">
        <f t="shared" si="24"/>
        <v>0</v>
      </c>
      <c r="H600" s="433"/>
      <c r="I600" s="428"/>
      <c r="J600" s="433"/>
      <c r="K600" s="428"/>
      <c r="L600" s="433"/>
      <c r="M600" s="428"/>
      <c r="N600" s="433"/>
      <c r="O600" s="433"/>
      <c r="P600" s="433"/>
      <c r="Q600" s="434"/>
      <c r="R600" s="434" t="s">
        <v>3454</v>
      </c>
      <c r="S600" s="435">
        <v>45586</v>
      </c>
      <c r="T600" s="435"/>
      <c r="U600" s="436"/>
      <c r="V600" s="437"/>
      <c r="W600" s="438"/>
      <c r="X600" s="438"/>
      <c r="Y600" s="439" t="s">
        <v>592</v>
      </c>
      <c r="Z600" s="440"/>
      <c r="AA600" s="436"/>
    </row>
    <row r="601" spans="1:27" s="441" customFormat="1">
      <c r="A601" s="427">
        <v>70</v>
      </c>
      <c r="B601" s="428" t="s">
        <v>4170</v>
      </c>
      <c r="C601" s="429" t="s">
        <v>74</v>
      </c>
      <c r="D601" s="428" t="s">
        <v>4171</v>
      </c>
      <c r="E601" s="430">
        <v>1</v>
      </c>
      <c r="F601" s="431"/>
      <c r="G601" s="432">
        <f t="shared" si="24"/>
        <v>0</v>
      </c>
      <c r="H601" s="433"/>
      <c r="I601" s="428"/>
      <c r="J601" s="433"/>
      <c r="K601" s="428"/>
      <c r="L601" s="433"/>
      <c r="M601" s="428"/>
      <c r="N601" s="433"/>
      <c r="O601" s="433"/>
      <c r="P601" s="433"/>
      <c r="Q601" s="434"/>
      <c r="R601" s="434" t="s">
        <v>3454</v>
      </c>
      <c r="S601" s="435">
        <v>45586</v>
      </c>
      <c r="T601" s="435"/>
      <c r="U601" s="436"/>
      <c r="V601" s="437"/>
      <c r="W601" s="438"/>
      <c r="X601" s="438"/>
      <c r="Y601" s="439" t="s">
        <v>592</v>
      </c>
      <c r="Z601" s="440"/>
      <c r="AA601" s="436"/>
    </row>
    <row r="602" spans="1:27" s="441" customFormat="1">
      <c r="A602" s="427">
        <v>71</v>
      </c>
      <c r="B602" s="428" t="s">
        <v>4172</v>
      </c>
      <c r="C602" s="429" t="s">
        <v>74</v>
      </c>
      <c r="D602" s="428" t="s">
        <v>4173</v>
      </c>
      <c r="E602" s="430">
        <v>1</v>
      </c>
      <c r="F602" s="431"/>
      <c r="G602" s="432">
        <f t="shared" si="24"/>
        <v>0</v>
      </c>
      <c r="H602" s="433"/>
      <c r="I602" s="428"/>
      <c r="J602" s="433"/>
      <c r="K602" s="428"/>
      <c r="L602" s="433"/>
      <c r="M602" s="428"/>
      <c r="N602" s="433"/>
      <c r="O602" s="433"/>
      <c r="P602" s="433"/>
      <c r="Q602" s="434"/>
      <c r="R602" s="434" t="s">
        <v>3454</v>
      </c>
      <c r="S602" s="435">
        <v>45586</v>
      </c>
      <c r="T602" s="435"/>
      <c r="U602" s="436"/>
      <c r="V602" s="437"/>
      <c r="W602" s="438"/>
      <c r="X602" s="438"/>
      <c r="Y602" s="439" t="s">
        <v>592</v>
      </c>
      <c r="Z602" s="440"/>
      <c r="AA602" s="436"/>
    </row>
    <row r="603" spans="1:27" s="441" customFormat="1">
      <c r="A603" s="427">
        <v>72</v>
      </c>
      <c r="B603" s="428" t="s">
        <v>4174</v>
      </c>
      <c r="C603" s="429" t="s">
        <v>74</v>
      </c>
      <c r="D603" s="428" t="s">
        <v>4175</v>
      </c>
      <c r="E603" s="430">
        <v>2</v>
      </c>
      <c r="F603" s="431"/>
      <c r="G603" s="432">
        <f t="shared" si="24"/>
        <v>0</v>
      </c>
      <c r="H603" s="433"/>
      <c r="I603" s="428"/>
      <c r="J603" s="433"/>
      <c r="K603" s="428"/>
      <c r="L603" s="433"/>
      <c r="M603" s="428"/>
      <c r="N603" s="433"/>
      <c r="O603" s="433"/>
      <c r="P603" s="433"/>
      <c r="Q603" s="434"/>
      <c r="R603" s="434" t="s">
        <v>3454</v>
      </c>
      <c r="S603" s="435">
        <v>45586</v>
      </c>
      <c r="T603" s="435"/>
      <c r="U603" s="436"/>
      <c r="V603" s="437"/>
      <c r="W603" s="438"/>
      <c r="X603" s="438"/>
      <c r="Y603" s="439" t="s">
        <v>592</v>
      </c>
      <c r="Z603" s="440"/>
      <c r="AA603" s="436"/>
    </row>
    <row r="604" spans="1:27" s="441" customFormat="1">
      <c r="A604" s="427">
        <v>73</v>
      </c>
      <c r="B604" s="428" t="s">
        <v>4176</v>
      </c>
      <c r="C604" s="429" t="s">
        <v>74</v>
      </c>
      <c r="D604" s="428" t="s">
        <v>4177</v>
      </c>
      <c r="E604" s="430">
        <v>1</v>
      </c>
      <c r="F604" s="431"/>
      <c r="G604" s="432">
        <f t="shared" si="24"/>
        <v>0</v>
      </c>
      <c r="H604" s="433"/>
      <c r="I604" s="428"/>
      <c r="J604" s="433"/>
      <c r="K604" s="428"/>
      <c r="L604" s="433"/>
      <c r="M604" s="428"/>
      <c r="N604" s="433"/>
      <c r="O604" s="433"/>
      <c r="P604" s="433"/>
      <c r="Q604" s="434"/>
      <c r="R604" s="434" t="s">
        <v>3454</v>
      </c>
      <c r="S604" s="435">
        <v>45586</v>
      </c>
      <c r="T604" s="435"/>
      <c r="U604" s="436"/>
      <c r="V604" s="437"/>
      <c r="W604" s="438"/>
      <c r="X604" s="438"/>
      <c r="Y604" s="439" t="s">
        <v>592</v>
      </c>
      <c r="Z604" s="440"/>
      <c r="AA604" s="436"/>
    </row>
    <row r="605" spans="1:27" s="441" customFormat="1">
      <c r="A605" s="427">
        <v>74</v>
      </c>
      <c r="B605" s="428" t="s">
        <v>4178</v>
      </c>
      <c r="C605" s="429" t="s">
        <v>74</v>
      </c>
      <c r="D605" s="428" t="s">
        <v>4179</v>
      </c>
      <c r="E605" s="430">
        <v>1</v>
      </c>
      <c r="F605" s="431"/>
      <c r="G605" s="432">
        <f t="shared" si="24"/>
        <v>0</v>
      </c>
      <c r="H605" s="433"/>
      <c r="I605" s="428"/>
      <c r="J605" s="433"/>
      <c r="K605" s="428"/>
      <c r="L605" s="433"/>
      <c r="M605" s="428"/>
      <c r="N605" s="433"/>
      <c r="O605" s="433"/>
      <c r="P605" s="433"/>
      <c r="Q605" s="434"/>
      <c r="R605" s="434" t="s">
        <v>3454</v>
      </c>
      <c r="S605" s="435">
        <v>45586</v>
      </c>
      <c r="T605" s="435"/>
      <c r="U605" s="436"/>
      <c r="V605" s="437"/>
      <c r="W605" s="438"/>
      <c r="X605" s="438"/>
      <c r="Y605" s="439" t="s">
        <v>592</v>
      </c>
      <c r="Z605" s="440"/>
      <c r="AA605" s="436"/>
    </row>
    <row r="606" spans="1:27" s="441" customFormat="1">
      <c r="A606" s="427">
        <v>75</v>
      </c>
      <c r="B606" s="428" t="s">
        <v>4180</v>
      </c>
      <c r="C606" s="429" t="s">
        <v>74</v>
      </c>
      <c r="D606" s="428" t="s">
        <v>4181</v>
      </c>
      <c r="E606" s="430">
        <v>1</v>
      </c>
      <c r="F606" s="431"/>
      <c r="G606" s="432">
        <f t="shared" si="24"/>
        <v>0</v>
      </c>
      <c r="H606" s="433"/>
      <c r="I606" s="428"/>
      <c r="J606" s="433"/>
      <c r="K606" s="428"/>
      <c r="L606" s="433"/>
      <c r="M606" s="428"/>
      <c r="N606" s="433"/>
      <c r="O606" s="433"/>
      <c r="P606" s="433"/>
      <c r="Q606" s="434"/>
      <c r="R606" s="434" t="s">
        <v>3454</v>
      </c>
      <c r="S606" s="435">
        <v>45586</v>
      </c>
      <c r="T606" s="435"/>
      <c r="U606" s="436"/>
      <c r="V606" s="437"/>
      <c r="W606" s="438"/>
      <c r="X606" s="438"/>
      <c r="Y606" s="439" t="s">
        <v>592</v>
      </c>
      <c r="Z606" s="440"/>
      <c r="AA606" s="436"/>
    </row>
    <row r="607" spans="1:27" s="441" customFormat="1">
      <c r="A607" s="427">
        <v>76</v>
      </c>
      <c r="B607" s="428" t="s">
        <v>4182</v>
      </c>
      <c r="C607" s="429" t="s">
        <v>74</v>
      </c>
      <c r="D607" s="428" t="s">
        <v>4183</v>
      </c>
      <c r="E607" s="430">
        <v>1</v>
      </c>
      <c r="F607" s="431"/>
      <c r="G607" s="432">
        <f t="shared" si="24"/>
        <v>0</v>
      </c>
      <c r="H607" s="433"/>
      <c r="I607" s="428"/>
      <c r="J607" s="433"/>
      <c r="K607" s="428"/>
      <c r="L607" s="433"/>
      <c r="M607" s="428"/>
      <c r="N607" s="433"/>
      <c r="O607" s="433"/>
      <c r="P607" s="433"/>
      <c r="Q607" s="434"/>
      <c r="R607" s="434" t="s">
        <v>3454</v>
      </c>
      <c r="S607" s="435">
        <v>45586</v>
      </c>
      <c r="T607" s="435"/>
      <c r="U607" s="436"/>
      <c r="V607" s="437"/>
      <c r="W607" s="438"/>
      <c r="X607" s="438"/>
      <c r="Y607" s="439" t="s">
        <v>592</v>
      </c>
      <c r="Z607" s="440"/>
      <c r="AA607" s="436"/>
    </row>
    <row r="608" spans="1:27" s="441" customFormat="1">
      <c r="A608" s="427">
        <v>77</v>
      </c>
      <c r="B608" s="428" t="s">
        <v>4184</v>
      </c>
      <c r="C608" s="429" t="s">
        <v>74</v>
      </c>
      <c r="D608" s="428" t="s">
        <v>4185</v>
      </c>
      <c r="E608" s="430">
        <v>1</v>
      </c>
      <c r="F608" s="431"/>
      <c r="G608" s="432">
        <f t="shared" si="24"/>
        <v>0</v>
      </c>
      <c r="H608" s="433"/>
      <c r="I608" s="428"/>
      <c r="J608" s="433"/>
      <c r="K608" s="428"/>
      <c r="L608" s="433"/>
      <c r="M608" s="428"/>
      <c r="N608" s="433"/>
      <c r="O608" s="433"/>
      <c r="P608" s="433"/>
      <c r="Q608" s="434"/>
      <c r="R608" s="434" t="s">
        <v>3454</v>
      </c>
      <c r="S608" s="435">
        <v>45586</v>
      </c>
      <c r="T608" s="435"/>
      <c r="U608" s="436"/>
      <c r="V608" s="437"/>
      <c r="W608" s="438"/>
      <c r="X608" s="438"/>
      <c r="Y608" s="439" t="s">
        <v>592</v>
      </c>
      <c r="Z608" s="440"/>
      <c r="AA608" s="436"/>
    </row>
    <row r="609" spans="1:27" s="441" customFormat="1">
      <c r="A609" s="427">
        <v>78</v>
      </c>
      <c r="B609" s="428" t="s">
        <v>4186</v>
      </c>
      <c r="C609" s="429" t="s">
        <v>74</v>
      </c>
      <c r="D609" s="428" t="s">
        <v>4187</v>
      </c>
      <c r="E609" s="430">
        <v>1</v>
      </c>
      <c r="F609" s="431"/>
      <c r="G609" s="432">
        <f t="shared" si="24"/>
        <v>0</v>
      </c>
      <c r="H609" s="433"/>
      <c r="I609" s="428"/>
      <c r="J609" s="433"/>
      <c r="K609" s="428"/>
      <c r="L609" s="433"/>
      <c r="M609" s="428"/>
      <c r="N609" s="433"/>
      <c r="O609" s="433"/>
      <c r="P609" s="433"/>
      <c r="Q609" s="434"/>
      <c r="R609" s="434" t="s">
        <v>3454</v>
      </c>
      <c r="S609" s="435">
        <v>45586</v>
      </c>
      <c r="T609" s="435"/>
      <c r="U609" s="436"/>
      <c r="V609" s="437"/>
      <c r="W609" s="438"/>
      <c r="X609" s="438"/>
      <c r="Y609" s="439" t="s">
        <v>592</v>
      </c>
      <c r="Z609" s="440"/>
      <c r="AA609" s="436"/>
    </row>
    <row r="610" spans="1:27" s="441" customFormat="1">
      <c r="A610" s="427">
        <v>79</v>
      </c>
      <c r="B610" s="428" t="s">
        <v>4188</v>
      </c>
      <c r="C610" s="429" t="s">
        <v>74</v>
      </c>
      <c r="D610" s="428" t="s">
        <v>4189</v>
      </c>
      <c r="E610" s="430">
        <v>1</v>
      </c>
      <c r="F610" s="431"/>
      <c r="G610" s="432">
        <f t="shared" si="24"/>
        <v>0</v>
      </c>
      <c r="H610" s="433"/>
      <c r="I610" s="428"/>
      <c r="J610" s="433"/>
      <c r="K610" s="428"/>
      <c r="L610" s="433"/>
      <c r="M610" s="428"/>
      <c r="N610" s="433"/>
      <c r="O610" s="433"/>
      <c r="P610" s="433"/>
      <c r="Q610" s="434"/>
      <c r="R610" s="434" t="s">
        <v>3454</v>
      </c>
      <c r="S610" s="435">
        <v>45586</v>
      </c>
      <c r="T610" s="435"/>
      <c r="U610" s="436"/>
      <c r="V610" s="437"/>
      <c r="W610" s="438"/>
      <c r="X610" s="438"/>
      <c r="Y610" s="439" t="s">
        <v>592</v>
      </c>
      <c r="Z610" s="440"/>
      <c r="AA610" s="436"/>
    </row>
    <row r="611" spans="1:27" s="441" customFormat="1">
      <c r="A611" s="427">
        <v>80</v>
      </c>
      <c r="B611" s="428" t="s">
        <v>4190</v>
      </c>
      <c r="C611" s="429" t="s">
        <v>74</v>
      </c>
      <c r="D611" s="428" t="s">
        <v>4191</v>
      </c>
      <c r="E611" s="430">
        <v>1</v>
      </c>
      <c r="F611" s="431"/>
      <c r="G611" s="432">
        <f t="shared" si="24"/>
        <v>0</v>
      </c>
      <c r="H611" s="433"/>
      <c r="I611" s="428"/>
      <c r="J611" s="433"/>
      <c r="K611" s="428"/>
      <c r="L611" s="433"/>
      <c r="M611" s="428"/>
      <c r="N611" s="433"/>
      <c r="O611" s="433"/>
      <c r="P611" s="433"/>
      <c r="Q611" s="434"/>
      <c r="R611" s="434" t="s">
        <v>3454</v>
      </c>
      <c r="S611" s="435">
        <v>45586</v>
      </c>
      <c r="T611" s="435"/>
      <c r="U611" s="436"/>
      <c r="V611" s="437"/>
      <c r="W611" s="438"/>
      <c r="X611" s="438"/>
      <c r="Y611" s="439" t="s">
        <v>592</v>
      </c>
      <c r="Z611" s="440"/>
      <c r="AA611" s="436"/>
    </row>
    <row r="612" spans="1:27" s="441" customFormat="1">
      <c r="A612" s="427">
        <v>81</v>
      </c>
      <c r="B612" s="428" t="s">
        <v>4192</v>
      </c>
      <c r="C612" s="429" t="s">
        <v>74</v>
      </c>
      <c r="D612" s="428" t="s">
        <v>4193</v>
      </c>
      <c r="E612" s="430">
        <v>1</v>
      </c>
      <c r="F612" s="431"/>
      <c r="G612" s="432">
        <f t="shared" si="24"/>
        <v>0</v>
      </c>
      <c r="H612" s="433"/>
      <c r="I612" s="428"/>
      <c r="J612" s="433"/>
      <c r="K612" s="428"/>
      <c r="L612" s="433"/>
      <c r="M612" s="428"/>
      <c r="N612" s="433"/>
      <c r="O612" s="433"/>
      <c r="P612" s="433"/>
      <c r="Q612" s="434"/>
      <c r="R612" s="434"/>
      <c r="S612" s="435"/>
      <c r="T612" s="435"/>
      <c r="U612" s="436"/>
      <c r="V612" s="437"/>
      <c r="W612" s="438"/>
      <c r="X612" s="438"/>
      <c r="Y612" s="439" t="s">
        <v>592</v>
      </c>
      <c r="Z612" s="440"/>
      <c r="AA612" s="436"/>
    </row>
    <row r="613" spans="1:27" s="441" customFormat="1" ht="37.5">
      <c r="A613" s="477">
        <v>82</v>
      </c>
      <c r="B613" s="478" t="s">
        <v>4194</v>
      </c>
      <c r="C613" s="479" t="s">
        <v>74</v>
      </c>
      <c r="D613" s="478" t="s">
        <v>4195</v>
      </c>
      <c r="E613" s="480">
        <v>1</v>
      </c>
      <c r="F613" s="481"/>
      <c r="G613" s="482">
        <f t="shared" si="24"/>
        <v>0</v>
      </c>
      <c r="H613" s="483"/>
      <c r="I613" s="478"/>
      <c r="J613" s="483"/>
      <c r="K613" s="478" t="s">
        <v>4137</v>
      </c>
      <c r="L613" s="483" t="s">
        <v>979</v>
      </c>
      <c r="M613" s="478" t="s">
        <v>444</v>
      </c>
      <c r="N613" s="483"/>
      <c r="O613" s="483"/>
      <c r="P613" s="483" t="s">
        <v>444</v>
      </c>
      <c r="Q613" s="484" t="s">
        <v>591</v>
      </c>
      <c r="R613" s="484" t="s">
        <v>2957</v>
      </c>
      <c r="S613" s="485">
        <v>45570</v>
      </c>
      <c r="T613" s="485"/>
      <c r="U613" s="486"/>
      <c r="V613" s="487"/>
      <c r="W613" s="488" t="s">
        <v>406</v>
      </c>
      <c r="X613" s="488">
        <v>45587</v>
      </c>
      <c r="Y613" s="489" t="s">
        <v>592</v>
      </c>
      <c r="Z613" s="490"/>
      <c r="AA613" s="486"/>
    </row>
    <row r="614" spans="1:27" s="441" customFormat="1" ht="37.5">
      <c r="A614" s="477">
        <v>83</v>
      </c>
      <c r="B614" s="478" t="s">
        <v>4196</v>
      </c>
      <c r="C614" s="479" t="s">
        <v>74</v>
      </c>
      <c r="D614" s="478" t="s">
        <v>4197</v>
      </c>
      <c r="E614" s="480">
        <v>2</v>
      </c>
      <c r="F614" s="481"/>
      <c r="G614" s="482">
        <f t="shared" si="24"/>
        <v>0</v>
      </c>
      <c r="H614" s="483"/>
      <c r="I614" s="478"/>
      <c r="J614" s="483"/>
      <c r="K614" s="478" t="s">
        <v>4137</v>
      </c>
      <c r="L614" s="483" t="s">
        <v>979</v>
      </c>
      <c r="M614" s="478" t="s">
        <v>444</v>
      </c>
      <c r="N614" s="483"/>
      <c r="O614" s="483"/>
      <c r="P614" s="483" t="s">
        <v>444</v>
      </c>
      <c r="Q614" s="484" t="s">
        <v>591</v>
      </c>
      <c r="R614" s="484" t="s">
        <v>2957</v>
      </c>
      <c r="S614" s="485">
        <v>45570</v>
      </c>
      <c r="T614" s="485"/>
      <c r="U614" s="486"/>
      <c r="V614" s="487"/>
      <c r="W614" s="488" t="s">
        <v>406</v>
      </c>
      <c r="X614" s="488">
        <v>45587</v>
      </c>
      <c r="Y614" s="489" t="s">
        <v>592</v>
      </c>
      <c r="Z614" s="490"/>
      <c r="AA614" s="486"/>
    </row>
    <row r="615" spans="1:27" s="128" customFormat="1" ht="37.5">
      <c r="A615" s="443">
        <v>84</v>
      </c>
      <c r="B615" s="444" t="s">
        <v>4198</v>
      </c>
      <c r="C615" s="445" t="s">
        <v>74</v>
      </c>
      <c r="D615" s="444" t="s">
        <v>4199</v>
      </c>
      <c r="E615" s="446">
        <v>1</v>
      </c>
      <c r="F615" s="447"/>
      <c r="G615" s="448">
        <f t="shared" si="24"/>
        <v>0</v>
      </c>
      <c r="H615" s="450"/>
      <c r="I615" s="444"/>
      <c r="J615" s="450"/>
      <c r="K615" s="444" t="s">
        <v>4137</v>
      </c>
      <c r="L615" s="450" t="s">
        <v>979</v>
      </c>
      <c r="M615" s="444" t="s">
        <v>4200</v>
      </c>
      <c r="N615" s="450"/>
      <c r="O615" s="450"/>
      <c r="P615" s="450" t="s">
        <v>1890</v>
      </c>
      <c r="Q615" s="451" t="s">
        <v>374</v>
      </c>
      <c r="R615" s="451" t="s">
        <v>3636</v>
      </c>
      <c r="S615" s="452">
        <v>45580</v>
      </c>
      <c r="T615" s="452"/>
      <c r="U615" s="453"/>
      <c r="V615" s="454"/>
      <c r="W615" s="455" t="s">
        <v>406</v>
      </c>
      <c r="X615" s="455">
        <v>45573</v>
      </c>
      <c r="Y615" s="456" t="s">
        <v>377</v>
      </c>
      <c r="Z615" s="457"/>
      <c r="AA615" s="453"/>
    </row>
    <row r="616" spans="1:27" s="128" customFormat="1" ht="37.5">
      <c r="A616" s="443">
        <v>85</v>
      </c>
      <c r="B616" s="444" t="s">
        <v>4201</v>
      </c>
      <c r="C616" s="445" t="s">
        <v>74</v>
      </c>
      <c r="D616" s="444" t="s">
        <v>4202</v>
      </c>
      <c r="E616" s="446">
        <v>1</v>
      </c>
      <c r="F616" s="447"/>
      <c r="G616" s="448">
        <f t="shared" si="24"/>
        <v>0</v>
      </c>
      <c r="H616" s="450"/>
      <c r="I616" s="444"/>
      <c r="J616" s="450"/>
      <c r="K616" s="444" t="s">
        <v>4137</v>
      </c>
      <c r="L616" s="450" t="s">
        <v>979</v>
      </c>
      <c r="M616" s="444" t="s">
        <v>4138</v>
      </c>
      <c r="N616" s="450"/>
      <c r="O616" s="450"/>
      <c r="P616" s="450" t="s">
        <v>2863</v>
      </c>
      <c r="Q616" s="451" t="s">
        <v>374</v>
      </c>
      <c r="R616" s="451" t="s">
        <v>2957</v>
      </c>
      <c r="S616" s="452">
        <v>45570</v>
      </c>
      <c r="T616" s="452"/>
      <c r="U616" s="453"/>
      <c r="V616" s="454"/>
      <c r="W616" s="455" t="s">
        <v>406</v>
      </c>
      <c r="X616" s="455">
        <v>45582</v>
      </c>
      <c r="Y616" s="456" t="s">
        <v>377</v>
      </c>
      <c r="Z616" s="457"/>
      <c r="AA616" s="453"/>
    </row>
    <row r="617" spans="1:27" s="128" customFormat="1" ht="37.5">
      <c r="A617" s="443">
        <v>86</v>
      </c>
      <c r="B617" s="444" t="s">
        <v>4203</v>
      </c>
      <c r="C617" s="445" t="s">
        <v>74</v>
      </c>
      <c r="D617" s="444" t="s">
        <v>4204</v>
      </c>
      <c r="E617" s="446">
        <v>1</v>
      </c>
      <c r="F617" s="447"/>
      <c r="G617" s="448">
        <f t="shared" si="24"/>
        <v>0</v>
      </c>
      <c r="H617" s="450"/>
      <c r="I617" s="444"/>
      <c r="J617" s="450"/>
      <c r="K617" s="444" t="s">
        <v>4137</v>
      </c>
      <c r="L617" s="450" t="s">
        <v>979</v>
      </c>
      <c r="M617" s="444" t="s">
        <v>4205</v>
      </c>
      <c r="N617" s="450"/>
      <c r="O617" s="450"/>
      <c r="P617" s="450" t="s">
        <v>1890</v>
      </c>
      <c r="Q617" s="451" t="s">
        <v>374</v>
      </c>
      <c r="R617" s="451" t="s">
        <v>2906</v>
      </c>
      <c r="S617" s="452">
        <v>45581</v>
      </c>
      <c r="T617" s="452"/>
      <c r="U617" s="453"/>
      <c r="V617" s="454"/>
      <c r="W617" s="455" t="s">
        <v>406</v>
      </c>
      <c r="X617" s="455">
        <v>45576</v>
      </c>
      <c r="Y617" s="456" t="s">
        <v>377</v>
      </c>
      <c r="Z617" s="457"/>
      <c r="AA617" s="453"/>
    </row>
    <row r="618" spans="1:27" s="128" customFormat="1" ht="37.5">
      <c r="A618" s="443">
        <v>87</v>
      </c>
      <c r="B618" s="444" t="s">
        <v>4206</v>
      </c>
      <c r="C618" s="445" t="s">
        <v>74</v>
      </c>
      <c r="D618" s="444" t="s">
        <v>4207</v>
      </c>
      <c r="E618" s="446">
        <v>1</v>
      </c>
      <c r="F618" s="447"/>
      <c r="G618" s="448">
        <f t="shared" si="24"/>
        <v>0</v>
      </c>
      <c r="H618" s="450"/>
      <c r="I618" s="444"/>
      <c r="J618" s="450"/>
      <c r="K618" s="444" t="s">
        <v>4137</v>
      </c>
      <c r="L618" s="450" t="s">
        <v>979</v>
      </c>
      <c r="M618" s="444" t="s">
        <v>4205</v>
      </c>
      <c r="N618" s="450"/>
      <c r="O618" s="450"/>
      <c r="P618" s="450" t="s">
        <v>1890</v>
      </c>
      <c r="Q618" s="451" t="s">
        <v>374</v>
      </c>
      <c r="R618" s="451" t="s">
        <v>2906</v>
      </c>
      <c r="S618" s="452">
        <v>45581</v>
      </c>
      <c r="T618" s="452"/>
      <c r="U618" s="453"/>
      <c r="V618" s="454"/>
      <c r="W618" s="455" t="s">
        <v>406</v>
      </c>
      <c r="X618" s="455">
        <v>45544</v>
      </c>
      <c r="Y618" s="456" t="s">
        <v>377</v>
      </c>
      <c r="Z618" s="457"/>
      <c r="AA618" s="453"/>
    </row>
    <row r="619" spans="1:27" s="128" customFormat="1" ht="37.5">
      <c r="A619" s="443">
        <v>88</v>
      </c>
      <c r="B619" s="444" t="s">
        <v>4208</v>
      </c>
      <c r="C619" s="445" t="s">
        <v>74</v>
      </c>
      <c r="D619" s="444" t="s">
        <v>4209</v>
      </c>
      <c r="E619" s="446">
        <v>2</v>
      </c>
      <c r="F619" s="447"/>
      <c r="G619" s="448">
        <f t="shared" si="24"/>
        <v>0</v>
      </c>
      <c r="H619" s="450"/>
      <c r="I619" s="444"/>
      <c r="J619" s="450"/>
      <c r="K619" s="444" t="s">
        <v>4137</v>
      </c>
      <c r="L619" s="450" t="s">
        <v>979</v>
      </c>
      <c r="M619" s="444" t="s">
        <v>4210</v>
      </c>
      <c r="N619" s="450"/>
      <c r="O619" s="450"/>
      <c r="P619" s="450" t="s">
        <v>1890</v>
      </c>
      <c r="Q619" s="451" t="s">
        <v>374</v>
      </c>
      <c r="R619" s="451" t="s">
        <v>2967</v>
      </c>
      <c r="S619" s="452">
        <v>45573</v>
      </c>
      <c r="T619" s="452"/>
      <c r="U619" s="453"/>
      <c r="V619" s="454"/>
      <c r="W619" s="455" t="s">
        <v>406</v>
      </c>
      <c r="X619" s="455">
        <v>45573</v>
      </c>
      <c r="Y619" s="456" t="s">
        <v>377</v>
      </c>
      <c r="Z619" s="457"/>
      <c r="AA619" s="453"/>
    </row>
    <row r="620" spans="1:27" s="128" customFormat="1" ht="37.5">
      <c r="A620" s="443">
        <v>89</v>
      </c>
      <c r="B620" s="444" t="s">
        <v>4211</v>
      </c>
      <c r="C620" s="445" t="s">
        <v>74</v>
      </c>
      <c r="D620" s="444" t="s">
        <v>4212</v>
      </c>
      <c r="E620" s="446">
        <v>1</v>
      </c>
      <c r="F620" s="447"/>
      <c r="G620" s="448">
        <f t="shared" si="24"/>
        <v>0</v>
      </c>
      <c r="H620" s="450"/>
      <c r="I620" s="444"/>
      <c r="J620" s="450"/>
      <c r="K620" s="444" t="s">
        <v>4137</v>
      </c>
      <c r="L620" s="450" t="s">
        <v>979</v>
      </c>
      <c r="M620" s="444" t="s">
        <v>4200</v>
      </c>
      <c r="N620" s="450"/>
      <c r="O620" s="450"/>
      <c r="P620" s="450" t="s">
        <v>1890</v>
      </c>
      <c r="Q620" s="451" t="s">
        <v>374</v>
      </c>
      <c r="R620" s="451" t="s">
        <v>3636</v>
      </c>
      <c r="S620" s="452">
        <v>45573</v>
      </c>
      <c r="T620" s="452"/>
      <c r="U620" s="453"/>
      <c r="V620" s="454"/>
      <c r="W620" s="455" t="s">
        <v>406</v>
      </c>
      <c r="X620" s="455">
        <v>45573</v>
      </c>
      <c r="Y620" s="456" t="s">
        <v>377</v>
      </c>
      <c r="Z620" s="457"/>
      <c r="AA620" s="453"/>
    </row>
    <row r="621" spans="1:27" s="128" customFormat="1" ht="37.5">
      <c r="A621" s="443">
        <v>90</v>
      </c>
      <c r="B621" s="444" t="s">
        <v>4213</v>
      </c>
      <c r="C621" s="445" t="s">
        <v>74</v>
      </c>
      <c r="D621" s="444" t="s">
        <v>4214</v>
      </c>
      <c r="E621" s="446">
        <v>2</v>
      </c>
      <c r="F621" s="447"/>
      <c r="G621" s="448">
        <f t="shared" si="24"/>
        <v>0</v>
      </c>
      <c r="H621" s="450"/>
      <c r="I621" s="444"/>
      <c r="J621" s="450"/>
      <c r="K621" s="444" t="s">
        <v>4137</v>
      </c>
      <c r="L621" s="450" t="s">
        <v>979</v>
      </c>
      <c r="M621" s="444" t="s">
        <v>4215</v>
      </c>
      <c r="N621" s="450"/>
      <c r="O621" s="450"/>
      <c r="P621" s="450" t="s">
        <v>1890</v>
      </c>
      <c r="Q621" s="451" t="s">
        <v>374</v>
      </c>
      <c r="R621" s="451" t="s">
        <v>260</v>
      </c>
      <c r="S621" s="452">
        <v>45583</v>
      </c>
      <c r="T621" s="452"/>
      <c r="U621" s="453"/>
      <c r="V621" s="454"/>
      <c r="W621" s="455" t="s">
        <v>406</v>
      </c>
      <c r="X621" s="455">
        <v>45586</v>
      </c>
      <c r="Y621" s="456" t="s">
        <v>377</v>
      </c>
      <c r="Z621" s="457"/>
      <c r="AA621" s="453"/>
    </row>
    <row r="622" spans="1:27" s="128" customFormat="1" ht="37.5">
      <c r="A622" s="443">
        <v>91</v>
      </c>
      <c r="B622" s="444" t="s">
        <v>4216</v>
      </c>
      <c r="C622" s="445" t="s">
        <v>74</v>
      </c>
      <c r="D622" s="444" t="s">
        <v>4217</v>
      </c>
      <c r="E622" s="446">
        <v>2</v>
      </c>
      <c r="F622" s="447"/>
      <c r="G622" s="448">
        <f t="shared" si="24"/>
        <v>0</v>
      </c>
      <c r="H622" s="450"/>
      <c r="I622" s="444"/>
      <c r="J622" s="450"/>
      <c r="K622" s="444" t="s">
        <v>4137</v>
      </c>
      <c r="L622" s="450" t="s">
        <v>979</v>
      </c>
      <c r="M622" s="444" t="s">
        <v>4200</v>
      </c>
      <c r="N622" s="450"/>
      <c r="O622" s="450"/>
      <c r="P622" s="450" t="s">
        <v>1890</v>
      </c>
      <c r="Q622" s="451" t="s">
        <v>374</v>
      </c>
      <c r="R622" s="451" t="s">
        <v>3636</v>
      </c>
      <c r="S622" s="452">
        <v>45573</v>
      </c>
      <c r="T622" s="452"/>
      <c r="U622" s="453"/>
      <c r="V622" s="454"/>
      <c r="W622" s="455" t="s">
        <v>406</v>
      </c>
      <c r="X622" s="455">
        <v>45573</v>
      </c>
      <c r="Y622" s="456" t="s">
        <v>377</v>
      </c>
      <c r="Z622" s="457"/>
      <c r="AA622" s="453"/>
    </row>
    <row r="623" spans="1:27" s="128" customFormat="1" ht="37.5">
      <c r="A623" s="443">
        <v>92</v>
      </c>
      <c r="B623" s="444" t="s">
        <v>4218</v>
      </c>
      <c r="C623" s="445" t="s">
        <v>74</v>
      </c>
      <c r="D623" s="444" t="s">
        <v>4219</v>
      </c>
      <c r="E623" s="446">
        <v>3</v>
      </c>
      <c r="F623" s="447"/>
      <c r="G623" s="448">
        <f t="shared" ref="G623:G654" si="25">E623*F623</f>
        <v>0</v>
      </c>
      <c r="H623" s="450"/>
      <c r="I623" s="444"/>
      <c r="J623" s="450"/>
      <c r="K623" s="444" t="s">
        <v>4137</v>
      </c>
      <c r="L623" s="450" t="s">
        <v>979</v>
      </c>
      <c r="M623" s="444" t="s">
        <v>4205</v>
      </c>
      <c r="N623" s="450"/>
      <c r="O623" s="450"/>
      <c r="P623" s="450" t="s">
        <v>1890</v>
      </c>
      <c r="Q623" s="451" t="s">
        <v>374</v>
      </c>
      <c r="R623" s="451" t="s">
        <v>2906</v>
      </c>
      <c r="S623" s="452">
        <v>45581</v>
      </c>
      <c r="T623" s="452"/>
      <c r="U623" s="453"/>
      <c r="V623" s="454"/>
      <c r="W623" s="455" t="s">
        <v>406</v>
      </c>
      <c r="X623" s="455">
        <v>45576</v>
      </c>
      <c r="Y623" s="456" t="s">
        <v>377</v>
      </c>
      <c r="Z623" s="457"/>
      <c r="AA623" s="453"/>
    </row>
    <row r="624" spans="1:27" s="128" customFormat="1" ht="37.5">
      <c r="A624" s="443">
        <v>93</v>
      </c>
      <c r="B624" s="444" t="s">
        <v>4220</v>
      </c>
      <c r="C624" s="445" t="s">
        <v>74</v>
      </c>
      <c r="D624" s="444" t="s">
        <v>4221</v>
      </c>
      <c r="E624" s="446">
        <v>1</v>
      </c>
      <c r="F624" s="447"/>
      <c r="G624" s="448">
        <f t="shared" si="25"/>
        <v>0</v>
      </c>
      <c r="H624" s="450"/>
      <c r="I624" s="444"/>
      <c r="J624" s="450"/>
      <c r="K624" s="444" t="s">
        <v>4137</v>
      </c>
      <c r="L624" s="450" t="s">
        <v>979</v>
      </c>
      <c r="M624" s="444" t="s">
        <v>4138</v>
      </c>
      <c r="N624" s="450"/>
      <c r="O624" s="450"/>
      <c r="P624" s="450" t="s">
        <v>2863</v>
      </c>
      <c r="Q624" s="451" t="s">
        <v>374</v>
      </c>
      <c r="R624" s="451" t="s">
        <v>2957</v>
      </c>
      <c r="S624" s="452">
        <v>45583</v>
      </c>
      <c r="T624" s="452"/>
      <c r="U624" s="453"/>
      <c r="V624" s="454"/>
      <c r="W624" s="455" t="s">
        <v>406</v>
      </c>
      <c r="X624" s="455">
        <v>45581</v>
      </c>
      <c r="Y624" s="456" t="s">
        <v>377</v>
      </c>
      <c r="Z624" s="457"/>
      <c r="AA624" s="453"/>
    </row>
    <row r="625" spans="1:27" s="128" customFormat="1" ht="37.5">
      <c r="A625" s="443">
        <v>94</v>
      </c>
      <c r="B625" s="444" t="s">
        <v>4222</v>
      </c>
      <c r="C625" s="445" t="s">
        <v>74</v>
      </c>
      <c r="D625" s="444" t="s">
        <v>4223</v>
      </c>
      <c r="E625" s="446">
        <v>4</v>
      </c>
      <c r="F625" s="447"/>
      <c r="G625" s="448">
        <f t="shared" si="25"/>
        <v>0</v>
      </c>
      <c r="H625" s="450"/>
      <c r="I625" s="444"/>
      <c r="J625" s="450"/>
      <c r="K625" s="444" t="s">
        <v>4137</v>
      </c>
      <c r="L625" s="450" t="s">
        <v>979</v>
      </c>
      <c r="M625" s="444" t="s">
        <v>4205</v>
      </c>
      <c r="N625" s="450"/>
      <c r="O625" s="450"/>
      <c r="P625" s="450" t="s">
        <v>1890</v>
      </c>
      <c r="Q625" s="451" t="s">
        <v>374</v>
      </c>
      <c r="R625" s="451" t="s">
        <v>2906</v>
      </c>
      <c r="S625" s="452">
        <v>45581</v>
      </c>
      <c r="T625" s="452"/>
      <c r="U625" s="453"/>
      <c r="V625" s="454"/>
      <c r="W625" s="455" t="s">
        <v>406</v>
      </c>
      <c r="X625" s="455">
        <v>45581</v>
      </c>
      <c r="Y625" s="456" t="s">
        <v>377</v>
      </c>
      <c r="Z625" s="457"/>
      <c r="AA625" s="453"/>
    </row>
    <row r="626" spans="1:27" s="128" customFormat="1" ht="37.5">
      <c r="A626" s="443">
        <v>95</v>
      </c>
      <c r="B626" s="444" t="s">
        <v>4224</v>
      </c>
      <c r="C626" s="445" t="s">
        <v>74</v>
      </c>
      <c r="D626" s="444" t="s">
        <v>4225</v>
      </c>
      <c r="E626" s="446">
        <v>2</v>
      </c>
      <c r="F626" s="447"/>
      <c r="G626" s="448">
        <f t="shared" si="25"/>
        <v>0</v>
      </c>
      <c r="H626" s="450"/>
      <c r="I626" s="444"/>
      <c r="J626" s="450"/>
      <c r="K626" s="444" t="s">
        <v>4137</v>
      </c>
      <c r="L626" s="450" t="s">
        <v>979</v>
      </c>
      <c r="M626" s="444" t="s">
        <v>4210</v>
      </c>
      <c r="N626" s="450"/>
      <c r="O626" s="450"/>
      <c r="P626" s="450" t="s">
        <v>1890</v>
      </c>
      <c r="Q626" s="451" t="s">
        <v>374</v>
      </c>
      <c r="R626" s="451" t="s">
        <v>2967</v>
      </c>
      <c r="S626" s="452">
        <v>45573</v>
      </c>
      <c r="T626" s="452"/>
      <c r="U626" s="453"/>
      <c r="V626" s="454"/>
      <c r="W626" s="455" t="s">
        <v>406</v>
      </c>
      <c r="X626" s="455">
        <v>45573</v>
      </c>
      <c r="Y626" s="456" t="s">
        <v>377</v>
      </c>
      <c r="Z626" s="457"/>
      <c r="AA626" s="453"/>
    </row>
    <row r="627" spans="1:27" s="128" customFormat="1" ht="37.5">
      <c r="A627" s="443">
        <v>96</v>
      </c>
      <c r="B627" s="444" t="s">
        <v>4203</v>
      </c>
      <c r="C627" s="445" t="s">
        <v>74</v>
      </c>
      <c r="D627" s="444" t="s">
        <v>4204</v>
      </c>
      <c r="E627" s="446">
        <v>1</v>
      </c>
      <c r="F627" s="447"/>
      <c r="G627" s="448">
        <f t="shared" si="25"/>
        <v>0</v>
      </c>
      <c r="H627" s="450"/>
      <c r="I627" s="444"/>
      <c r="J627" s="450"/>
      <c r="K627" s="444" t="s">
        <v>4137</v>
      </c>
      <c r="L627" s="450" t="s">
        <v>979</v>
      </c>
      <c r="M627" s="444" t="s">
        <v>4205</v>
      </c>
      <c r="N627" s="450"/>
      <c r="O627" s="450"/>
      <c r="P627" s="450" t="s">
        <v>1890</v>
      </c>
      <c r="Q627" s="451" t="s">
        <v>374</v>
      </c>
      <c r="R627" s="451" t="s">
        <v>2906</v>
      </c>
      <c r="S627" s="452">
        <v>45581</v>
      </c>
      <c r="T627" s="452"/>
      <c r="U627" s="453"/>
      <c r="V627" s="454"/>
      <c r="W627" s="455" t="s">
        <v>406</v>
      </c>
      <c r="X627" s="455">
        <v>45576</v>
      </c>
      <c r="Y627" s="456" t="s">
        <v>377</v>
      </c>
      <c r="Z627" s="457"/>
      <c r="AA627" s="453"/>
    </row>
    <row r="628" spans="1:27" s="128" customFormat="1" ht="37.5">
      <c r="A628" s="443">
        <v>97</v>
      </c>
      <c r="B628" s="444" t="s">
        <v>4226</v>
      </c>
      <c r="C628" s="445" t="s">
        <v>74</v>
      </c>
      <c r="D628" s="444" t="s">
        <v>4227</v>
      </c>
      <c r="E628" s="446">
        <v>1</v>
      </c>
      <c r="F628" s="447"/>
      <c r="G628" s="448">
        <f t="shared" si="25"/>
        <v>0</v>
      </c>
      <c r="H628" s="450"/>
      <c r="I628" s="444"/>
      <c r="J628" s="450"/>
      <c r="K628" s="444" t="s">
        <v>4137</v>
      </c>
      <c r="L628" s="450" t="s">
        <v>979</v>
      </c>
      <c r="M628" s="444" t="s">
        <v>4205</v>
      </c>
      <c r="N628" s="450"/>
      <c r="O628" s="450"/>
      <c r="P628" s="450" t="s">
        <v>1890</v>
      </c>
      <c r="Q628" s="451" t="s">
        <v>374</v>
      </c>
      <c r="R628" s="451" t="s">
        <v>2906</v>
      </c>
      <c r="S628" s="452">
        <v>45581</v>
      </c>
      <c r="T628" s="452"/>
      <c r="U628" s="453"/>
      <c r="V628" s="454"/>
      <c r="W628" s="455" t="s">
        <v>406</v>
      </c>
      <c r="X628" s="455">
        <v>45544</v>
      </c>
      <c r="Y628" s="456" t="s">
        <v>377</v>
      </c>
      <c r="Z628" s="457"/>
      <c r="AA628" s="453"/>
    </row>
    <row r="629" spans="1:27" s="128" customFormat="1" ht="37.5">
      <c r="A629" s="443">
        <v>98</v>
      </c>
      <c r="B629" s="444" t="s">
        <v>4228</v>
      </c>
      <c r="C629" s="445" t="s">
        <v>74</v>
      </c>
      <c r="D629" s="444" t="s">
        <v>4229</v>
      </c>
      <c r="E629" s="446">
        <v>1</v>
      </c>
      <c r="F629" s="447"/>
      <c r="G629" s="448">
        <f t="shared" si="25"/>
        <v>0</v>
      </c>
      <c r="H629" s="450"/>
      <c r="I629" s="444"/>
      <c r="J629" s="450"/>
      <c r="K629" s="444" t="s">
        <v>4137</v>
      </c>
      <c r="L629" s="450" t="s">
        <v>979</v>
      </c>
      <c r="M629" s="444" t="s">
        <v>4205</v>
      </c>
      <c r="N629" s="450"/>
      <c r="O629" s="450"/>
      <c r="P629" s="450" t="s">
        <v>1890</v>
      </c>
      <c r="Q629" s="451" t="s">
        <v>374</v>
      </c>
      <c r="R629" s="451" t="s">
        <v>2906</v>
      </c>
      <c r="S629" s="452">
        <v>45581</v>
      </c>
      <c r="T629" s="452"/>
      <c r="U629" s="453"/>
      <c r="V629" s="454"/>
      <c r="W629" s="455" t="s">
        <v>406</v>
      </c>
      <c r="X629" s="455">
        <v>45580</v>
      </c>
      <c r="Y629" s="456" t="s">
        <v>377</v>
      </c>
      <c r="Z629" s="457"/>
      <c r="AA629" s="453"/>
    </row>
    <row r="630" spans="1:27" s="128" customFormat="1" ht="37.5">
      <c r="A630" s="443">
        <v>99</v>
      </c>
      <c r="B630" s="444" t="s">
        <v>4230</v>
      </c>
      <c r="C630" s="445" t="s">
        <v>74</v>
      </c>
      <c r="D630" s="444" t="s">
        <v>4231</v>
      </c>
      <c r="E630" s="446">
        <v>3</v>
      </c>
      <c r="F630" s="447"/>
      <c r="G630" s="448">
        <f t="shared" si="25"/>
        <v>0</v>
      </c>
      <c r="H630" s="450"/>
      <c r="I630" s="444"/>
      <c r="J630" s="450"/>
      <c r="K630" s="444" t="s">
        <v>4137</v>
      </c>
      <c r="L630" s="450" t="s">
        <v>979</v>
      </c>
      <c r="M630" s="444" t="s">
        <v>4200</v>
      </c>
      <c r="N630" s="450"/>
      <c r="O630" s="450"/>
      <c r="P630" s="450" t="s">
        <v>1890</v>
      </c>
      <c r="Q630" s="451" t="s">
        <v>374</v>
      </c>
      <c r="R630" s="451" t="s">
        <v>3636</v>
      </c>
      <c r="S630" s="452">
        <v>45573</v>
      </c>
      <c r="T630" s="452"/>
      <c r="U630" s="453"/>
      <c r="V630" s="454"/>
      <c r="W630" s="455" t="s">
        <v>406</v>
      </c>
      <c r="X630" s="455">
        <v>45573</v>
      </c>
      <c r="Y630" s="456" t="s">
        <v>377</v>
      </c>
      <c r="Z630" s="457"/>
      <c r="AA630" s="453"/>
    </row>
    <row r="631" spans="1:27" s="128" customFormat="1" ht="37.5">
      <c r="A631" s="443">
        <v>100</v>
      </c>
      <c r="B631" s="444" t="s">
        <v>4232</v>
      </c>
      <c r="C631" s="445" t="s">
        <v>74</v>
      </c>
      <c r="D631" s="444" t="s">
        <v>4233</v>
      </c>
      <c r="E631" s="446">
        <v>3</v>
      </c>
      <c r="F631" s="447"/>
      <c r="G631" s="448">
        <f t="shared" si="25"/>
        <v>0</v>
      </c>
      <c r="H631" s="450"/>
      <c r="I631" s="444"/>
      <c r="J631" s="450"/>
      <c r="K631" s="444" t="s">
        <v>4137</v>
      </c>
      <c r="L631" s="450" t="s">
        <v>979</v>
      </c>
      <c r="M631" s="444" t="s">
        <v>4215</v>
      </c>
      <c r="N631" s="450"/>
      <c r="O631" s="450"/>
      <c r="P631" s="450" t="s">
        <v>1890</v>
      </c>
      <c r="Q631" s="451" t="s">
        <v>374</v>
      </c>
      <c r="R631" s="451" t="s">
        <v>260</v>
      </c>
      <c r="S631" s="452">
        <v>45583</v>
      </c>
      <c r="T631" s="452"/>
      <c r="U631" s="453"/>
      <c r="V631" s="454"/>
      <c r="W631" s="455" t="s">
        <v>406</v>
      </c>
      <c r="X631" s="455">
        <v>45582</v>
      </c>
      <c r="Y631" s="456" t="s">
        <v>377</v>
      </c>
      <c r="Z631" s="457"/>
      <c r="AA631" s="453"/>
    </row>
    <row r="632" spans="1:27" s="128" customFormat="1" ht="37.5">
      <c r="A632" s="443">
        <v>101</v>
      </c>
      <c r="B632" s="444" t="s">
        <v>4234</v>
      </c>
      <c r="C632" s="445" t="s">
        <v>74</v>
      </c>
      <c r="D632" s="444" t="s">
        <v>4235</v>
      </c>
      <c r="E632" s="446">
        <v>3</v>
      </c>
      <c r="F632" s="447"/>
      <c r="G632" s="448">
        <f t="shared" si="25"/>
        <v>0</v>
      </c>
      <c r="H632" s="450"/>
      <c r="I632" s="444"/>
      <c r="J632" s="450"/>
      <c r="K632" s="444" t="s">
        <v>4137</v>
      </c>
      <c r="L632" s="450" t="s">
        <v>979</v>
      </c>
      <c r="M632" s="444" t="s">
        <v>4138</v>
      </c>
      <c r="N632" s="450"/>
      <c r="O632" s="450"/>
      <c r="P632" s="450" t="s">
        <v>2863</v>
      </c>
      <c r="Q632" s="451" t="s">
        <v>374</v>
      </c>
      <c r="R632" s="451" t="s">
        <v>4236</v>
      </c>
      <c r="S632" s="452">
        <v>45583</v>
      </c>
      <c r="T632" s="452"/>
      <c r="U632" s="453"/>
      <c r="V632" s="454"/>
      <c r="W632" s="455" t="s">
        <v>406</v>
      </c>
      <c r="X632" s="455">
        <v>45582</v>
      </c>
      <c r="Y632" s="456" t="s">
        <v>377</v>
      </c>
      <c r="Z632" s="457"/>
      <c r="AA632" s="453"/>
    </row>
    <row r="633" spans="1:27" s="128" customFormat="1" ht="37.5">
      <c r="A633" s="443">
        <v>102</v>
      </c>
      <c r="B633" s="444" t="s">
        <v>4237</v>
      </c>
      <c r="C633" s="445" t="s">
        <v>74</v>
      </c>
      <c r="D633" s="444" t="s">
        <v>4238</v>
      </c>
      <c r="E633" s="446">
        <v>3</v>
      </c>
      <c r="F633" s="447"/>
      <c r="G633" s="448">
        <f t="shared" si="25"/>
        <v>0</v>
      </c>
      <c r="H633" s="450"/>
      <c r="I633" s="444"/>
      <c r="J633" s="450"/>
      <c r="K633" s="444" t="s">
        <v>4137</v>
      </c>
      <c r="L633" s="450" t="s">
        <v>979</v>
      </c>
      <c r="M633" s="444" t="s">
        <v>4215</v>
      </c>
      <c r="N633" s="450"/>
      <c r="O633" s="450"/>
      <c r="P633" s="450" t="s">
        <v>1890</v>
      </c>
      <c r="Q633" s="451" t="s">
        <v>374</v>
      </c>
      <c r="R633" s="451" t="s">
        <v>260</v>
      </c>
      <c r="S633" s="452">
        <v>45583</v>
      </c>
      <c r="T633" s="452"/>
      <c r="U633" s="453"/>
      <c r="V633" s="454"/>
      <c r="W633" s="455" t="s">
        <v>406</v>
      </c>
      <c r="X633" s="455">
        <v>45582</v>
      </c>
      <c r="Y633" s="456" t="s">
        <v>377</v>
      </c>
      <c r="Z633" s="457"/>
      <c r="AA633" s="453"/>
    </row>
    <row r="634" spans="1:27" s="128" customFormat="1" ht="37.5">
      <c r="A634" s="443">
        <v>103</v>
      </c>
      <c r="B634" s="444" t="s">
        <v>4239</v>
      </c>
      <c r="C634" s="445" t="s">
        <v>74</v>
      </c>
      <c r="D634" s="444" t="s">
        <v>4240</v>
      </c>
      <c r="E634" s="446">
        <v>3</v>
      </c>
      <c r="F634" s="447"/>
      <c r="G634" s="448">
        <f t="shared" si="25"/>
        <v>0</v>
      </c>
      <c r="H634" s="450"/>
      <c r="I634" s="444"/>
      <c r="J634" s="450"/>
      <c r="K634" s="444" t="s">
        <v>4137</v>
      </c>
      <c r="L634" s="450" t="s">
        <v>979</v>
      </c>
      <c r="M634" s="444" t="s">
        <v>4215</v>
      </c>
      <c r="N634" s="450"/>
      <c r="O634" s="450"/>
      <c r="P634" s="450" t="s">
        <v>1890</v>
      </c>
      <c r="Q634" s="451" t="s">
        <v>374</v>
      </c>
      <c r="R634" s="451" t="s">
        <v>260</v>
      </c>
      <c r="S634" s="452">
        <v>45583</v>
      </c>
      <c r="T634" s="452"/>
      <c r="U634" s="453"/>
      <c r="V634" s="454"/>
      <c r="W634" s="455" t="s">
        <v>406</v>
      </c>
      <c r="X634" s="455">
        <v>45582</v>
      </c>
      <c r="Y634" s="456" t="s">
        <v>377</v>
      </c>
      <c r="Z634" s="457"/>
      <c r="AA634" s="453"/>
    </row>
    <row r="635" spans="1:27" s="128" customFormat="1" ht="37.5">
      <c r="A635" s="443">
        <v>104</v>
      </c>
      <c r="B635" s="444" t="s">
        <v>4241</v>
      </c>
      <c r="C635" s="445" t="s">
        <v>74</v>
      </c>
      <c r="D635" s="444" t="s">
        <v>4242</v>
      </c>
      <c r="E635" s="446">
        <v>1</v>
      </c>
      <c r="F635" s="447"/>
      <c r="G635" s="448">
        <f t="shared" si="25"/>
        <v>0</v>
      </c>
      <c r="H635" s="450"/>
      <c r="I635" s="444"/>
      <c r="J635" s="450"/>
      <c r="K635" s="444" t="s">
        <v>4137</v>
      </c>
      <c r="L635" s="450" t="s">
        <v>979</v>
      </c>
      <c r="M635" s="444" t="s">
        <v>4210</v>
      </c>
      <c r="N635" s="450"/>
      <c r="O635" s="450"/>
      <c r="P635" s="450" t="s">
        <v>1890</v>
      </c>
      <c r="Q635" s="451" t="s">
        <v>374</v>
      </c>
      <c r="R635" s="451" t="s">
        <v>2967</v>
      </c>
      <c r="S635" s="452">
        <v>45573</v>
      </c>
      <c r="T635" s="452"/>
      <c r="U635" s="453"/>
      <c r="V635" s="454"/>
      <c r="W635" s="455" t="s">
        <v>406</v>
      </c>
      <c r="X635" s="455">
        <v>45573</v>
      </c>
      <c r="Y635" s="456" t="s">
        <v>377</v>
      </c>
      <c r="Z635" s="457"/>
      <c r="AA635" s="453"/>
    </row>
    <row r="636" spans="1:27" s="128" customFormat="1" ht="37.5">
      <c r="A636" s="443">
        <v>105</v>
      </c>
      <c r="B636" s="444" t="s">
        <v>4243</v>
      </c>
      <c r="C636" s="445" t="s">
        <v>74</v>
      </c>
      <c r="D636" s="444" t="s">
        <v>4244</v>
      </c>
      <c r="E636" s="446">
        <v>1</v>
      </c>
      <c r="F636" s="447"/>
      <c r="G636" s="448">
        <f t="shared" si="25"/>
        <v>0</v>
      </c>
      <c r="H636" s="450"/>
      <c r="I636" s="444"/>
      <c r="J636" s="450"/>
      <c r="K636" s="444" t="s">
        <v>4137</v>
      </c>
      <c r="L636" s="450" t="s">
        <v>979</v>
      </c>
      <c r="M636" s="444" t="s">
        <v>4153</v>
      </c>
      <c r="N636" s="450"/>
      <c r="O636" s="450"/>
      <c r="P636" s="450" t="s">
        <v>1890</v>
      </c>
      <c r="Q636" s="451" t="s">
        <v>374</v>
      </c>
      <c r="R636" s="451" t="s">
        <v>3454</v>
      </c>
      <c r="S636" s="452">
        <v>45575</v>
      </c>
      <c r="T636" s="452"/>
      <c r="U636" s="453"/>
      <c r="V636" s="454"/>
      <c r="W636" s="455" t="s">
        <v>406</v>
      </c>
      <c r="X636" s="455">
        <v>45576</v>
      </c>
      <c r="Y636" s="456" t="s">
        <v>377</v>
      </c>
      <c r="Z636" s="457"/>
      <c r="AA636" s="453"/>
    </row>
    <row r="637" spans="1:27" s="128" customFormat="1" ht="37.5">
      <c r="A637" s="443">
        <v>106</v>
      </c>
      <c r="B637" s="444" t="s">
        <v>4245</v>
      </c>
      <c r="C637" s="445" t="s">
        <v>74</v>
      </c>
      <c r="D637" s="444" t="s">
        <v>4246</v>
      </c>
      <c r="E637" s="446">
        <v>2</v>
      </c>
      <c r="F637" s="447"/>
      <c r="G637" s="448">
        <f t="shared" si="25"/>
        <v>0</v>
      </c>
      <c r="H637" s="450"/>
      <c r="I637" s="444"/>
      <c r="J637" s="450"/>
      <c r="K637" s="444" t="s">
        <v>4137</v>
      </c>
      <c r="L637" s="450" t="s">
        <v>979</v>
      </c>
      <c r="M637" s="444" t="s">
        <v>4205</v>
      </c>
      <c r="N637" s="450"/>
      <c r="O637" s="450"/>
      <c r="P637" s="450" t="s">
        <v>1890</v>
      </c>
      <c r="Q637" s="451" t="s">
        <v>374</v>
      </c>
      <c r="R637" s="451" t="s">
        <v>2906</v>
      </c>
      <c r="S637" s="452">
        <v>45581</v>
      </c>
      <c r="T637" s="452"/>
      <c r="U637" s="453"/>
      <c r="V637" s="454"/>
      <c r="W637" s="455" t="s">
        <v>406</v>
      </c>
      <c r="X637" s="455">
        <v>45580</v>
      </c>
      <c r="Y637" s="456" t="s">
        <v>377</v>
      </c>
      <c r="Z637" s="457"/>
      <c r="AA637" s="453"/>
    </row>
    <row r="638" spans="1:27" s="128" customFormat="1" ht="37.5">
      <c r="A638" s="443">
        <v>107</v>
      </c>
      <c r="B638" s="444" t="s">
        <v>4247</v>
      </c>
      <c r="C638" s="445" t="s">
        <v>74</v>
      </c>
      <c r="D638" s="444" t="s">
        <v>4248</v>
      </c>
      <c r="E638" s="446">
        <v>1</v>
      </c>
      <c r="F638" s="447"/>
      <c r="G638" s="448">
        <f t="shared" si="25"/>
        <v>0</v>
      </c>
      <c r="H638" s="450"/>
      <c r="I638" s="444"/>
      <c r="J638" s="450"/>
      <c r="K638" s="444" t="s">
        <v>4137</v>
      </c>
      <c r="L638" s="450" t="s">
        <v>979</v>
      </c>
      <c r="M638" s="444" t="s">
        <v>4138</v>
      </c>
      <c r="N638" s="450"/>
      <c r="O638" s="450"/>
      <c r="P638" s="450" t="s">
        <v>2863</v>
      </c>
      <c r="Q638" s="451" t="s">
        <v>374</v>
      </c>
      <c r="R638" s="451" t="s">
        <v>2957</v>
      </c>
      <c r="S638" s="452">
        <v>45583</v>
      </c>
      <c r="T638" s="452"/>
      <c r="U638" s="453"/>
      <c r="V638" s="454"/>
      <c r="W638" s="455" t="s">
        <v>406</v>
      </c>
      <c r="X638" s="455">
        <v>45582</v>
      </c>
      <c r="Y638" s="456" t="s">
        <v>377</v>
      </c>
      <c r="Z638" s="457"/>
      <c r="AA638" s="453"/>
    </row>
    <row r="639" spans="1:27" s="128" customFormat="1" ht="37.5">
      <c r="A639" s="443">
        <v>108</v>
      </c>
      <c r="B639" s="444" t="s">
        <v>4249</v>
      </c>
      <c r="C639" s="445" t="s">
        <v>74</v>
      </c>
      <c r="D639" s="444" t="s">
        <v>4250</v>
      </c>
      <c r="E639" s="446">
        <v>1</v>
      </c>
      <c r="F639" s="447"/>
      <c r="G639" s="448">
        <f t="shared" si="25"/>
        <v>0</v>
      </c>
      <c r="H639" s="450"/>
      <c r="I639" s="444"/>
      <c r="J639" s="450"/>
      <c r="K639" s="444" t="s">
        <v>4137</v>
      </c>
      <c r="L639" s="450" t="s">
        <v>979</v>
      </c>
      <c r="M639" s="444" t="s">
        <v>4205</v>
      </c>
      <c r="N639" s="450"/>
      <c r="O639" s="450"/>
      <c r="P639" s="450" t="s">
        <v>1890</v>
      </c>
      <c r="Q639" s="451" t="s">
        <v>374</v>
      </c>
      <c r="R639" s="451" t="s">
        <v>2906</v>
      </c>
      <c r="S639" s="452">
        <v>45581</v>
      </c>
      <c r="T639" s="452"/>
      <c r="U639" s="453"/>
      <c r="V639" s="454"/>
      <c r="W639" s="455" t="s">
        <v>406</v>
      </c>
      <c r="X639" s="455">
        <v>45544</v>
      </c>
      <c r="Y639" s="456" t="s">
        <v>377</v>
      </c>
      <c r="Z639" s="457"/>
      <c r="AA639" s="453"/>
    </row>
    <row r="640" spans="1:27" s="128" customFormat="1" ht="37.5">
      <c r="A640" s="443">
        <v>109</v>
      </c>
      <c r="B640" s="444" t="s">
        <v>4251</v>
      </c>
      <c r="C640" s="445" t="s">
        <v>74</v>
      </c>
      <c r="D640" s="444" t="s">
        <v>4252</v>
      </c>
      <c r="E640" s="446">
        <v>2</v>
      </c>
      <c r="F640" s="447"/>
      <c r="G640" s="448">
        <f t="shared" si="25"/>
        <v>0</v>
      </c>
      <c r="H640" s="450"/>
      <c r="I640" s="444"/>
      <c r="J640" s="450"/>
      <c r="K640" s="444" t="s">
        <v>4137</v>
      </c>
      <c r="L640" s="450" t="s">
        <v>979</v>
      </c>
      <c r="M640" s="444" t="s">
        <v>4205</v>
      </c>
      <c r="N640" s="450"/>
      <c r="O640" s="450"/>
      <c r="P640" s="450" t="s">
        <v>1890</v>
      </c>
      <c r="Q640" s="451" t="s">
        <v>374</v>
      </c>
      <c r="R640" s="451" t="s">
        <v>2906</v>
      </c>
      <c r="S640" s="452">
        <v>45581</v>
      </c>
      <c r="T640" s="452"/>
      <c r="U640" s="453"/>
      <c r="V640" s="454"/>
      <c r="W640" s="455" t="s">
        <v>406</v>
      </c>
      <c r="X640" s="455">
        <v>45576</v>
      </c>
      <c r="Y640" s="456" t="s">
        <v>377</v>
      </c>
      <c r="Z640" s="457"/>
      <c r="AA640" s="453"/>
    </row>
    <row r="641" spans="1:27" s="128" customFormat="1" ht="37.5">
      <c r="A641" s="443">
        <v>110</v>
      </c>
      <c r="B641" s="444" t="s">
        <v>4253</v>
      </c>
      <c r="C641" s="445" t="s">
        <v>74</v>
      </c>
      <c r="D641" s="444" t="s">
        <v>4254</v>
      </c>
      <c r="E641" s="446">
        <v>1</v>
      </c>
      <c r="F641" s="447"/>
      <c r="G641" s="448">
        <f t="shared" si="25"/>
        <v>0</v>
      </c>
      <c r="H641" s="450"/>
      <c r="I641" s="444"/>
      <c r="J641" s="450"/>
      <c r="K641" s="444" t="s">
        <v>4137</v>
      </c>
      <c r="L641" s="450" t="s">
        <v>979</v>
      </c>
      <c r="M641" s="444" t="s">
        <v>4215</v>
      </c>
      <c r="N641" s="450"/>
      <c r="O641" s="450"/>
      <c r="P641" s="450" t="s">
        <v>1890</v>
      </c>
      <c r="Q641" s="451" t="s">
        <v>374</v>
      </c>
      <c r="R641" s="451" t="s">
        <v>260</v>
      </c>
      <c r="S641" s="452">
        <v>45583</v>
      </c>
      <c r="T641" s="452"/>
      <c r="U641" s="453"/>
      <c r="V641" s="454"/>
      <c r="W641" s="455" t="s">
        <v>406</v>
      </c>
      <c r="X641" s="455">
        <v>45582</v>
      </c>
      <c r="Y641" s="456" t="s">
        <v>377</v>
      </c>
      <c r="Z641" s="457"/>
      <c r="AA641" s="453"/>
    </row>
    <row r="642" spans="1:27" s="128" customFormat="1" ht="37.5">
      <c r="A642" s="443">
        <v>111</v>
      </c>
      <c r="B642" s="444" t="s">
        <v>4255</v>
      </c>
      <c r="C642" s="445" t="s">
        <v>74</v>
      </c>
      <c r="D642" s="444" t="s">
        <v>4256</v>
      </c>
      <c r="E642" s="446">
        <v>1</v>
      </c>
      <c r="F642" s="447"/>
      <c r="G642" s="448">
        <f t="shared" si="25"/>
        <v>0</v>
      </c>
      <c r="H642" s="450"/>
      <c r="I642" s="444"/>
      <c r="J642" s="450"/>
      <c r="K642" s="444" t="s">
        <v>4137</v>
      </c>
      <c r="L642" s="450" t="s">
        <v>979</v>
      </c>
      <c r="M642" s="444" t="s">
        <v>4215</v>
      </c>
      <c r="N642" s="450"/>
      <c r="O642" s="450"/>
      <c r="P642" s="450" t="s">
        <v>1890</v>
      </c>
      <c r="Q642" s="451" t="s">
        <v>374</v>
      </c>
      <c r="R642" s="451" t="s">
        <v>260</v>
      </c>
      <c r="S642" s="452">
        <v>45583</v>
      </c>
      <c r="T642" s="452"/>
      <c r="U642" s="453"/>
      <c r="V642" s="454"/>
      <c r="W642" s="455" t="s">
        <v>406</v>
      </c>
      <c r="X642" s="455">
        <v>45582</v>
      </c>
      <c r="Y642" s="456" t="s">
        <v>377</v>
      </c>
      <c r="Z642" s="457"/>
      <c r="AA642" s="453"/>
    </row>
    <row r="643" spans="1:27" s="128" customFormat="1" ht="37.5">
      <c r="A643" s="443">
        <v>112</v>
      </c>
      <c r="B643" s="444" t="s">
        <v>4257</v>
      </c>
      <c r="C643" s="445" t="s">
        <v>74</v>
      </c>
      <c r="D643" s="444" t="s">
        <v>4258</v>
      </c>
      <c r="E643" s="446">
        <v>1</v>
      </c>
      <c r="F643" s="447"/>
      <c r="G643" s="448">
        <f t="shared" si="25"/>
        <v>0</v>
      </c>
      <c r="H643" s="450"/>
      <c r="I643" s="444"/>
      <c r="J643" s="450"/>
      <c r="K643" s="444" t="s">
        <v>4137</v>
      </c>
      <c r="L643" s="450" t="s">
        <v>979</v>
      </c>
      <c r="M643" s="444" t="s">
        <v>4205</v>
      </c>
      <c r="N643" s="450"/>
      <c r="O643" s="450"/>
      <c r="P643" s="450" t="s">
        <v>1890</v>
      </c>
      <c r="Q643" s="451" t="s">
        <v>374</v>
      </c>
      <c r="R643" s="451" t="s">
        <v>2906</v>
      </c>
      <c r="S643" s="452">
        <v>45581</v>
      </c>
      <c r="T643" s="452"/>
      <c r="U643" s="453"/>
      <c r="V643" s="454"/>
      <c r="W643" s="455" t="s">
        <v>406</v>
      </c>
      <c r="X643" s="455">
        <v>45580</v>
      </c>
      <c r="Y643" s="456" t="s">
        <v>377</v>
      </c>
      <c r="Z643" s="457"/>
      <c r="AA643" s="453"/>
    </row>
    <row r="644" spans="1:27" s="128" customFormat="1" ht="37.5">
      <c r="A644" s="443">
        <v>113</v>
      </c>
      <c r="B644" s="444" t="s">
        <v>4259</v>
      </c>
      <c r="C644" s="445" t="s">
        <v>74</v>
      </c>
      <c r="D644" s="444" t="s">
        <v>4260</v>
      </c>
      <c r="E644" s="446">
        <v>1</v>
      </c>
      <c r="F644" s="447"/>
      <c r="G644" s="448">
        <f t="shared" si="25"/>
        <v>0</v>
      </c>
      <c r="H644" s="450"/>
      <c r="I644" s="444"/>
      <c r="J644" s="450"/>
      <c r="K644" s="444" t="s">
        <v>4137</v>
      </c>
      <c r="L644" s="450" t="s">
        <v>979</v>
      </c>
      <c r="M644" s="444" t="s">
        <v>4205</v>
      </c>
      <c r="N644" s="450"/>
      <c r="O644" s="450"/>
      <c r="P644" s="450" t="s">
        <v>1890</v>
      </c>
      <c r="Q644" s="451" t="s">
        <v>374</v>
      </c>
      <c r="R644" s="451" t="s">
        <v>2906</v>
      </c>
      <c r="S644" s="452">
        <v>45581</v>
      </c>
      <c r="T644" s="452" t="s">
        <v>4261</v>
      </c>
      <c r="U644" s="453"/>
      <c r="V644" s="454"/>
      <c r="W644" s="455" t="s">
        <v>406</v>
      </c>
      <c r="X644" s="455">
        <v>45588</v>
      </c>
      <c r="Y644" s="456" t="s">
        <v>377</v>
      </c>
      <c r="Z644" s="457"/>
      <c r="AA644" s="453"/>
    </row>
    <row r="645" spans="1:27" s="128" customFormat="1" ht="37.5">
      <c r="A645" s="443">
        <v>114</v>
      </c>
      <c r="B645" s="444" t="s">
        <v>4262</v>
      </c>
      <c r="C645" s="445" t="s">
        <v>74</v>
      </c>
      <c r="D645" s="444" t="s">
        <v>4263</v>
      </c>
      <c r="E645" s="446">
        <v>1</v>
      </c>
      <c r="F645" s="447"/>
      <c r="G645" s="448">
        <f t="shared" si="25"/>
        <v>0</v>
      </c>
      <c r="H645" s="450"/>
      <c r="I645" s="444"/>
      <c r="J645" s="450"/>
      <c r="K645" s="444" t="s">
        <v>4137</v>
      </c>
      <c r="L645" s="450" t="s">
        <v>979</v>
      </c>
      <c r="M645" s="444" t="s">
        <v>4205</v>
      </c>
      <c r="N645" s="450"/>
      <c r="O645" s="450"/>
      <c r="P645" s="450" t="s">
        <v>1890</v>
      </c>
      <c r="Q645" s="451" t="s">
        <v>374</v>
      </c>
      <c r="R645" s="451" t="s">
        <v>2906</v>
      </c>
      <c r="S645" s="452">
        <v>45581</v>
      </c>
      <c r="T645" s="452"/>
      <c r="U645" s="453"/>
      <c r="V645" s="454"/>
      <c r="W645" s="455" t="s">
        <v>406</v>
      </c>
      <c r="X645" s="455">
        <v>45576</v>
      </c>
      <c r="Y645" s="456" t="s">
        <v>377</v>
      </c>
      <c r="Z645" s="457"/>
      <c r="AA645" s="453"/>
    </row>
    <row r="646" spans="1:27" s="128" customFormat="1" ht="37.5">
      <c r="A646" s="443">
        <v>115</v>
      </c>
      <c r="B646" s="444" t="s">
        <v>4264</v>
      </c>
      <c r="C646" s="445" t="s">
        <v>74</v>
      </c>
      <c r="D646" s="444" t="s">
        <v>4265</v>
      </c>
      <c r="E646" s="446">
        <v>1</v>
      </c>
      <c r="F646" s="447"/>
      <c r="G646" s="448">
        <f t="shared" si="25"/>
        <v>0</v>
      </c>
      <c r="H646" s="450"/>
      <c r="I646" s="444"/>
      <c r="J646" s="450"/>
      <c r="K646" s="444" t="s">
        <v>4137</v>
      </c>
      <c r="L646" s="450" t="s">
        <v>979</v>
      </c>
      <c r="M646" s="444" t="s">
        <v>4205</v>
      </c>
      <c r="N646" s="450"/>
      <c r="O646" s="450"/>
      <c r="P646" s="450" t="s">
        <v>1890</v>
      </c>
      <c r="Q646" s="451" t="s">
        <v>374</v>
      </c>
      <c r="R646" s="451" t="s">
        <v>2906</v>
      </c>
      <c r="S646" s="452">
        <v>45581</v>
      </c>
      <c r="T646" s="452"/>
      <c r="U646" s="453"/>
      <c r="V646" s="454"/>
      <c r="W646" s="455" t="s">
        <v>406</v>
      </c>
      <c r="X646" s="455">
        <v>45576</v>
      </c>
      <c r="Y646" s="456" t="s">
        <v>377</v>
      </c>
      <c r="Z646" s="457"/>
      <c r="AA646" s="453"/>
    </row>
    <row r="647" spans="1:27" s="128" customFormat="1" ht="37.5">
      <c r="A647" s="443">
        <v>116</v>
      </c>
      <c r="B647" s="444" t="s">
        <v>4266</v>
      </c>
      <c r="C647" s="445" t="s">
        <v>74</v>
      </c>
      <c r="D647" s="444" t="s">
        <v>4267</v>
      </c>
      <c r="E647" s="446">
        <v>1</v>
      </c>
      <c r="F647" s="447"/>
      <c r="G647" s="448">
        <f t="shared" si="25"/>
        <v>0</v>
      </c>
      <c r="H647" s="450"/>
      <c r="I647" s="444"/>
      <c r="J647" s="450"/>
      <c r="K647" s="444" t="s">
        <v>4137</v>
      </c>
      <c r="L647" s="450" t="s">
        <v>979</v>
      </c>
      <c r="M647" s="444" t="s">
        <v>4205</v>
      </c>
      <c r="N647" s="450"/>
      <c r="O647" s="450"/>
      <c r="P647" s="450" t="s">
        <v>1890</v>
      </c>
      <c r="Q647" s="451" t="s">
        <v>374</v>
      </c>
      <c r="R647" s="451" t="s">
        <v>2906</v>
      </c>
      <c r="S647" s="452">
        <v>45581</v>
      </c>
      <c r="T647" s="452"/>
      <c r="U647" s="453"/>
      <c r="V647" s="454"/>
      <c r="W647" s="455" t="s">
        <v>406</v>
      </c>
      <c r="X647" s="455">
        <v>45580</v>
      </c>
      <c r="Y647" s="456" t="s">
        <v>377</v>
      </c>
      <c r="Z647" s="457"/>
      <c r="AA647" s="453"/>
    </row>
    <row r="648" spans="1:27" s="128" customFormat="1" ht="37.5">
      <c r="A648" s="443">
        <v>117</v>
      </c>
      <c r="B648" s="444" t="s">
        <v>4268</v>
      </c>
      <c r="C648" s="445" t="s">
        <v>74</v>
      </c>
      <c r="D648" s="444" t="s">
        <v>4269</v>
      </c>
      <c r="E648" s="446">
        <v>1</v>
      </c>
      <c r="F648" s="447"/>
      <c r="G648" s="448">
        <f t="shared" si="25"/>
        <v>0</v>
      </c>
      <c r="H648" s="450"/>
      <c r="I648" s="444"/>
      <c r="J648" s="450"/>
      <c r="K648" s="444" t="s">
        <v>4137</v>
      </c>
      <c r="L648" s="450" t="s">
        <v>979</v>
      </c>
      <c r="M648" s="444" t="s">
        <v>4205</v>
      </c>
      <c r="N648" s="450"/>
      <c r="O648" s="450"/>
      <c r="P648" s="450" t="s">
        <v>1890</v>
      </c>
      <c r="Q648" s="451" t="s">
        <v>374</v>
      </c>
      <c r="R648" s="451" t="s">
        <v>2906</v>
      </c>
      <c r="S648" s="452">
        <v>45581</v>
      </c>
      <c r="T648" s="452"/>
      <c r="U648" s="453"/>
      <c r="V648" s="454"/>
      <c r="W648" s="455" t="s">
        <v>406</v>
      </c>
      <c r="X648" s="455">
        <v>45580</v>
      </c>
      <c r="Y648" s="456" t="s">
        <v>377</v>
      </c>
      <c r="Z648" s="457"/>
      <c r="AA648" s="453"/>
    </row>
    <row r="649" spans="1:27" s="128" customFormat="1" ht="37.5">
      <c r="A649" s="443">
        <v>118</v>
      </c>
      <c r="B649" s="444" t="s">
        <v>4270</v>
      </c>
      <c r="C649" s="445" t="s">
        <v>74</v>
      </c>
      <c r="D649" s="444" t="s">
        <v>4271</v>
      </c>
      <c r="E649" s="446">
        <v>1</v>
      </c>
      <c r="F649" s="447"/>
      <c r="G649" s="448">
        <f t="shared" si="25"/>
        <v>0</v>
      </c>
      <c r="H649" s="450"/>
      <c r="I649" s="444"/>
      <c r="J649" s="450"/>
      <c r="K649" s="444" t="s">
        <v>4137</v>
      </c>
      <c r="L649" s="450" t="s">
        <v>979</v>
      </c>
      <c r="M649" s="444" t="s">
        <v>4205</v>
      </c>
      <c r="N649" s="450"/>
      <c r="O649" s="450"/>
      <c r="P649" s="450" t="s">
        <v>1890</v>
      </c>
      <c r="Q649" s="451" t="s">
        <v>374</v>
      </c>
      <c r="R649" s="451" t="s">
        <v>2906</v>
      </c>
      <c r="S649" s="452">
        <v>45581</v>
      </c>
      <c r="T649" s="452"/>
      <c r="U649" s="453"/>
      <c r="V649" s="454"/>
      <c r="W649" s="455" t="s">
        <v>406</v>
      </c>
      <c r="X649" s="455">
        <v>45581</v>
      </c>
      <c r="Y649" s="456" t="s">
        <v>377</v>
      </c>
      <c r="Z649" s="457"/>
      <c r="AA649" s="453"/>
    </row>
    <row r="650" spans="1:27" s="128" customFormat="1" ht="37.5">
      <c r="A650" s="443">
        <v>119</v>
      </c>
      <c r="B650" s="444" t="s">
        <v>4272</v>
      </c>
      <c r="C650" s="445" t="s">
        <v>74</v>
      </c>
      <c r="D650" s="444" t="s">
        <v>4273</v>
      </c>
      <c r="E650" s="446">
        <v>2</v>
      </c>
      <c r="F650" s="447"/>
      <c r="G650" s="448">
        <f t="shared" si="25"/>
        <v>0</v>
      </c>
      <c r="H650" s="450"/>
      <c r="I650" s="444"/>
      <c r="J650" s="450"/>
      <c r="K650" s="444" t="s">
        <v>4137</v>
      </c>
      <c r="L650" s="450" t="s">
        <v>979</v>
      </c>
      <c r="M650" s="444" t="s">
        <v>4205</v>
      </c>
      <c r="N650" s="450"/>
      <c r="O650" s="450"/>
      <c r="P650" s="450" t="s">
        <v>1890</v>
      </c>
      <c r="Q650" s="451" t="s">
        <v>374</v>
      </c>
      <c r="R650" s="451" t="s">
        <v>2906</v>
      </c>
      <c r="S650" s="452">
        <v>45581</v>
      </c>
      <c r="T650" s="452"/>
      <c r="U650" s="453"/>
      <c r="V650" s="454"/>
      <c r="W650" s="455" t="s">
        <v>406</v>
      </c>
      <c r="X650" s="455">
        <v>45581</v>
      </c>
      <c r="Y650" s="456" t="s">
        <v>377</v>
      </c>
      <c r="Z650" s="457"/>
      <c r="AA650" s="453"/>
    </row>
    <row r="651" spans="1:27" s="128" customFormat="1" ht="37.5">
      <c r="A651" s="443">
        <v>120</v>
      </c>
      <c r="B651" s="444" t="s">
        <v>4274</v>
      </c>
      <c r="C651" s="445" t="s">
        <v>74</v>
      </c>
      <c r="D651" s="444" t="s">
        <v>4275</v>
      </c>
      <c r="E651" s="446">
        <v>3</v>
      </c>
      <c r="F651" s="447"/>
      <c r="G651" s="448">
        <f t="shared" si="25"/>
        <v>0</v>
      </c>
      <c r="H651" s="450"/>
      <c r="I651" s="444"/>
      <c r="J651" s="450"/>
      <c r="K651" s="444" t="s">
        <v>4137</v>
      </c>
      <c r="L651" s="450" t="s">
        <v>979</v>
      </c>
      <c r="M651" s="444" t="s">
        <v>4205</v>
      </c>
      <c r="N651" s="450"/>
      <c r="O651" s="450"/>
      <c r="P651" s="450" t="s">
        <v>1890</v>
      </c>
      <c r="Q651" s="451" t="s">
        <v>374</v>
      </c>
      <c r="R651" s="451" t="s">
        <v>2906</v>
      </c>
      <c r="S651" s="452">
        <v>45581</v>
      </c>
      <c r="T651" s="452"/>
      <c r="U651" s="453"/>
      <c r="V651" s="454"/>
      <c r="W651" s="455" t="s">
        <v>406</v>
      </c>
      <c r="X651" s="455">
        <v>45580</v>
      </c>
      <c r="Y651" s="456" t="s">
        <v>377</v>
      </c>
      <c r="Z651" s="457"/>
      <c r="AA651" s="453"/>
    </row>
    <row r="652" spans="1:27" s="128" customFormat="1" ht="37.5">
      <c r="A652" s="443">
        <v>121</v>
      </c>
      <c r="B652" s="444" t="s">
        <v>4276</v>
      </c>
      <c r="C652" s="445" t="s">
        <v>74</v>
      </c>
      <c r="D652" s="444" t="s">
        <v>4277</v>
      </c>
      <c r="E652" s="446">
        <v>1</v>
      </c>
      <c r="F652" s="447"/>
      <c r="G652" s="448">
        <f t="shared" si="25"/>
        <v>0</v>
      </c>
      <c r="H652" s="450"/>
      <c r="I652" s="444"/>
      <c r="J652" s="450"/>
      <c r="K652" s="444" t="s">
        <v>4137</v>
      </c>
      <c r="L652" s="450" t="s">
        <v>979</v>
      </c>
      <c r="M652" s="444" t="s">
        <v>4138</v>
      </c>
      <c r="N652" s="450"/>
      <c r="O652" s="450"/>
      <c r="P652" s="450" t="s">
        <v>2863</v>
      </c>
      <c r="Q652" s="451" t="s">
        <v>374</v>
      </c>
      <c r="R652" s="451" t="s">
        <v>4236</v>
      </c>
      <c r="S652" s="452">
        <v>45583</v>
      </c>
      <c r="T652" s="452"/>
      <c r="U652" s="453"/>
      <c r="V652" s="454"/>
      <c r="W652" s="455" t="s">
        <v>406</v>
      </c>
      <c r="X652" s="455">
        <v>45544</v>
      </c>
      <c r="Y652" s="456" t="s">
        <v>377</v>
      </c>
      <c r="Z652" s="457"/>
      <c r="AA652" s="453"/>
    </row>
    <row r="653" spans="1:27" s="128" customFormat="1" ht="37.5">
      <c r="A653" s="443">
        <v>122</v>
      </c>
      <c r="B653" s="444" t="s">
        <v>4278</v>
      </c>
      <c r="C653" s="445" t="s">
        <v>74</v>
      </c>
      <c r="D653" s="444" t="s">
        <v>4279</v>
      </c>
      <c r="E653" s="446">
        <v>1</v>
      </c>
      <c r="F653" s="447"/>
      <c r="G653" s="448">
        <f t="shared" si="25"/>
        <v>0</v>
      </c>
      <c r="H653" s="450"/>
      <c r="I653" s="444"/>
      <c r="J653" s="450"/>
      <c r="K653" s="444" t="s">
        <v>4137</v>
      </c>
      <c r="L653" s="450" t="s">
        <v>979</v>
      </c>
      <c r="M653" s="444" t="s">
        <v>4138</v>
      </c>
      <c r="N653" s="450"/>
      <c r="O653" s="450"/>
      <c r="P653" s="450" t="s">
        <v>2863</v>
      </c>
      <c r="Q653" s="451" t="s">
        <v>374</v>
      </c>
      <c r="R653" s="451" t="s">
        <v>2957</v>
      </c>
      <c r="S653" s="452">
        <v>45583</v>
      </c>
      <c r="T653" s="452"/>
      <c r="U653" s="453"/>
      <c r="V653" s="454"/>
      <c r="W653" s="455" t="s">
        <v>406</v>
      </c>
      <c r="X653" s="455">
        <v>45582</v>
      </c>
      <c r="Y653" s="456" t="s">
        <v>377</v>
      </c>
      <c r="Z653" s="457"/>
      <c r="AA653" s="453"/>
    </row>
    <row r="654" spans="1:27" s="128" customFormat="1" ht="37.5">
      <c r="A654" s="443">
        <v>123</v>
      </c>
      <c r="B654" s="444" t="s">
        <v>4280</v>
      </c>
      <c r="C654" s="445" t="s">
        <v>74</v>
      </c>
      <c r="D654" s="444" t="s">
        <v>4281</v>
      </c>
      <c r="E654" s="446">
        <v>1</v>
      </c>
      <c r="F654" s="447"/>
      <c r="G654" s="448">
        <f t="shared" si="25"/>
        <v>0</v>
      </c>
      <c r="H654" s="450"/>
      <c r="I654" s="444"/>
      <c r="J654" s="450"/>
      <c r="K654" s="444" t="s">
        <v>4137</v>
      </c>
      <c r="L654" s="450" t="s">
        <v>979</v>
      </c>
      <c r="M654" s="444" t="s">
        <v>4205</v>
      </c>
      <c r="N654" s="450"/>
      <c r="O654" s="450"/>
      <c r="P654" s="450" t="s">
        <v>1890</v>
      </c>
      <c r="Q654" s="451" t="s">
        <v>374</v>
      </c>
      <c r="R654" s="451" t="s">
        <v>2906</v>
      </c>
      <c r="S654" s="452">
        <v>45581</v>
      </c>
      <c r="T654" s="452"/>
      <c r="U654" s="453"/>
      <c r="V654" s="454"/>
      <c r="W654" s="455" t="s">
        <v>406</v>
      </c>
      <c r="X654" s="455">
        <v>45576</v>
      </c>
      <c r="Y654" s="456" t="s">
        <v>377</v>
      </c>
      <c r="Z654" s="457"/>
      <c r="AA654" s="453"/>
    </row>
    <row r="655" spans="1:27" s="128" customFormat="1" ht="37.5">
      <c r="A655" s="443">
        <v>124</v>
      </c>
      <c r="B655" s="444" t="s">
        <v>4282</v>
      </c>
      <c r="C655" s="445" t="s">
        <v>74</v>
      </c>
      <c r="D655" s="444" t="s">
        <v>4283</v>
      </c>
      <c r="E655" s="446">
        <v>1</v>
      </c>
      <c r="F655" s="447"/>
      <c r="G655" s="448">
        <f t="shared" ref="G655:G664" si="26">E655*F655</f>
        <v>0</v>
      </c>
      <c r="H655" s="450"/>
      <c r="I655" s="444"/>
      <c r="J655" s="450"/>
      <c r="K655" s="444" t="s">
        <v>4137</v>
      </c>
      <c r="L655" s="450" t="s">
        <v>979</v>
      </c>
      <c r="M655" s="444" t="s">
        <v>4138</v>
      </c>
      <c r="N655" s="450"/>
      <c r="O655" s="450"/>
      <c r="P655" s="450" t="s">
        <v>2863</v>
      </c>
      <c r="Q655" s="451" t="s">
        <v>374</v>
      </c>
      <c r="R655" s="451" t="s">
        <v>2957</v>
      </c>
      <c r="S655" s="452">
        <v>45590</v>
      </c>
      <c r="T655" s="452"/>
      <c r="U655" s="453"/>
      <c r="V655" s="454"/>
      <c r="W655" s="455" t="s">
        <v>406</v>
      </c>
      <c r="X655" s="455">
        <v>45586</v>
      </c>
      <c r="Y655" s="456" t="s">
        <v>377</v>
      </c>
      <c r="Z655" s="457"/>
      <c r="AA655" s="453"/>
    </row>
    <row r="656" spans="1:27" s="128" customFormat="1" ht="37.5">
      <c r="A656" s="443">
        <v>125</v>
      </c>
      <c r="B656" s="444" t="s">
        <v>4284</v>
      </c>
      <c r="C656" s="445" t="s">
        <v>74</v>
      </c>
      <c r="D656" s="444" t="s">
        <v>4285</v>
      </c>
      <c r="E656" s="446">
        <v>1</v>
      </c>
      <c r="F656" s="447"/>
      <c r="G656" s="448">
        <f t="shared" si="26"/>
        <v>0</v>
      </c>
      <c r="H656" s="450"/>
      <c r="I656" s="444"/>
      <c r="J656" s="450"/>
      <c r="K656" s="444" t="s">
        <v>4137</v>
      </c>
      <c r="L656" s="450" t="s">
        <v>979</v>
      </c>
      <c r="M656" s="444" t="s">
        <v>4138</v>
      </c>
      <c r="N656" s="450"/>
      <c r="O656" s="450"/>
      <c r="P656" s="450" t="s">
        <v>2863</v>
      </c>
      <c r="Q656" s="451" t="s">
        <v>374</v>
      </c>
      <c r="R656" s="451" t="s">
        <v>2957</v>
      </c>
      <c r="S656" s="452">
        <v>45583</v>
      </c>
      <c r="T656" s="452"/>
      <c r="U656" s="453"/>
      <c r="V656" s="454"/>
      <c r="W656" s="455" t="s">
        <v>406</v>
      </c>
      <c r="X656" s="455">
        <v>45582</v>
      </c>
      <c r="Y656" s="456" t="s">
        <v>377</v>
      </c>
      <c r="Z656" s="457"/>
      <c r="AA656" s="453"/>
    </row>
    <row r="657" spans="1:27" s="128" customFormat="1" ht="37.5">
      <c r="A657" s="443">
        <v>126</v>
      </c>
      <c r="B657" s="444" t="s">
        <v>4286</v>
      </c>
      <c r="C657" s="445" t="s">
        <v>74</v>
      </c>
      <c r="D657" s="444" t="s">
        <v>4287</v>
      </c>
      <c r="E657" s="446">
        <v>1</v>
      </c>
      <c r="F657" s="447"/>
      <c r="G657" s="448">
        <f t="shared" si="26"/>
        <v>0</v>
      </c>
      <c r="H657" s="450"/>
      <c r="I657" s="444"/>
      <c r="J657" s="450"/>
      <c r="K657" s="444" t="s">
        <v>4137</v>
      </c>
      <c r="L657" s="450" t="s">
        <v>979</v>
      </c>
      <c r="M657" s="444" t="s">
        <v>4138</v>
      </c>
      <c r="N657" s="450"/>
      <c r="O657" s="450"/>
      <c r="P657" s="450" t="s">
        <v>2863</v>
      </c>
      <c r="Q657" s="451" t="s">
        <v>374</v>
      </c>
      <c r="R657" s="451" t="s">
        <v>2957</v>
      </c>
      <c r="S657" s="452">
        <v>45583</v>
      </c>
      <c r="T657" s="452"/>
      <c r="U657" s="453"/>
      <c r="V657" s="454"/>
      <c r="W657" s="455" t="s">
        <v>406</v>
      </c>
      <c r="X657" s="455">
        <v>45582</v>
      </c>
      <c r="Y657" s="456" t="s">
        <v>377</v>
      </c>
      <c r="Z657" s="457"/>
      <c r="AA657" s="453"/>
    </row>
    <row r="658" spans="1:27" s="128" customFormat="1" ht="37.5">
      <c r="A658" s="443">
        <v>127</v>
      </c>
      <c r="B658" s="444" t="s">
        <v>4288</v>
      </c>
      <c r="C658" s="445" t="s">
        <v>74</v>
      </c>
      <c r="D658" s="444" t="s">
        <v>4289</v>
      </c>
      <c r="E658" s="446">
        <v>1</v>
      </c>
      <c r="F658" s="447"/>
      <c r="G658" s="448">
        <f t="shared" si="26"/>
        <v>0</v>
      </c>
      <c r="H658" s="450"/>
      <c r="I658" s="444"/>
      <c r="J658" s="450"/>
      <c r="K658" s="444" t="s">
        <v>4137</v>
      </c>
      <c r="L658" s="450" t="s">
        <v>979</v>
      </c>
      <c r="M658" s="444" t="s">
        <v>4138</v>
      </c>
      <c r="N658" s="450"/>
      <c r="O658" s="450"/>
      <c r="P658" s="450" t="s">
        <v>2863</v>
      </c>
      <c r="Q658" s="451" t="s">
        <v>374</v>
      </c>
      <c r="R658" s="451" t="s">
        <v>2957</v>
      </c>
      <c r="S658" s="452">
        <v>45583</v>
      </c>
      <c r="T658" s="452"/>
      <c r="U658" s="453"/>
      <c r="V658" s="454"/>
      <c r="W658" s="455" t="s">
        <v>406</v>
      </c>
      <c r="X658" s="455">
        <v>45581</v>
      </c>
      <c r="Y658" s="456" t="s">
        <v>377</v>
      </c>
      <c r="Z658" s="457"/>
      <c r="AA658" s="453"/>
    </row>
    <row r="659" spans="1:27" s="128" customFormat="1" ht="37.5">
      <c r="A659" s="443">
        <v>128</v>
      </c>
      <c r="B659" s="444" t="s">
        <v>4290</v>
      </c>
      <c r="C659" s="445" t="s">
        <v>74</v>
      </c>
      <c r="D659" s="444" t="s">
        <v>4291</v>
      </c>
      <c r="E659" s="446">
        <v>1</v>
      </c>
      <c r="F659" s="447"/>
      <c r="G659" s="448">
        <f t="shared" si="26"/>
        <v>0</v>
      </c>
      <c r="H659" s="450"/>
      <c r="I659" s="444"/>
      <c r="J659" s="450"/>
      <c r="K659" s="444" t="s">
        <v>4137</v>
      </c>
      <c r="L659" s="450" t="s">
        <v>979</v>
      </c>
      <c r="M659" s="444" t="s">
        <v>4205</v>
      </c>
      <c r="N659" s="450"/>
      <c r="O659" s="450"/>
      <c r="P659" s="450" t="s">
        <v>1890</v>
      </c>
      <c r="Q659" s="451" t="s">
        <v>374</v>
      </c>
      <c r="R659" s="451" t="s">
        <v>2906</v>
      </c>
      <c r="S659" s="452">
        <v>45581</v>
      </c>
      <c r="T659" s="452"/>
      <c r="U659" s="453"/>
      <c r="V659" s="454"/>
      <c r="W659" s="455" t="s">
        <v>406</v>
      </c>
      <c r="X659" s="455">
        <v>45576</v>
      </c>
      <c r="Y659" s="456" t="s">
        <v>377</v>
      </c>
      <c r="Z659" s="457"/>
      <c r="AA659" s="453"/>
    </row>
    <row r="660" spans="1:27" s="128" customFormat="1" ht="37.5">
      <c r="A660" s="443">
        <v>129</v>
      </c>
      <c r="B660" s="444" t="s">
        <v>4292</v>
      </c>
      <c r="C660" s="445" t="s">
        <v>74</v>
      </c>
      <c r="D660" s="444" t="s">
        <v>4293</v>
      </c>
      <c r="E660" s="446">
        <v>1</v>
      </c>
      <c r="F660" s="447"/>
      <c r="G660" s="448">
        <f t="shared" si="26"/>
        <v>0</v>
      </c>
      <c r="H660" s="450"/>
      <c r="I660" s="444"/>
      <c r="J660" s="450"/>
      <c r="K660" s="444" t="s">
        <v>4137</v>
      </c>
      <c r="L660" s="450" t="s">
        <v>979</v>
      </c>
      <c r="M660" s="444" t="s">
        <v>4138</v>
      </c>
      <c r="N660" s="450"/>
      <c r="O660" s="450"/>
      <c r="P660" s="450" t="s">
        <v>2863</v>
      </c>
      <c r="Q660" s="451" t="s">
        <v>374</v>
      </c>
      <c r="R660" s="451" t="s">
        <v>2957</v>
      </c>
      <c r="S660" s="452">
        <v>45583</v>
      </c>
      <c r="T660" s="452"/>
      <c r="U660" s="453"/>
      <c r="V660" s="454"/>
      <c r="W660" s="455" t="s">
        <v>406</v>
      </c>
      <c r="X660" s="455">
        <v>45581</v>
      </c>
      <c r="Y660" s="456" t="s">
        <v>377</v>
      </c>
      <c r="Z660" s="457"/>
      <c r="AA660" s="453"/>
    </row>
    <row r="661" spans="1:27" s="128" customFormat="1" ht="37.5">
      <c r="A661" s="443">
        <v>130</v>
      </c>
      <c r="B661" s="444" t="s">
        <v>4294</v>
      </c>
      <c r="C661" s="445" t="s">
        <v>74</v>
      </c>
      <c r="D661" s="444" t="s">
        <v>4295</v>
      </c>
      <c r="E661" s="446">
        <v>2</v>
      </c>
      <c r="F661" s="447"/>
      <c r="G661" s="448">
        <f t="shared" si="26"/>
        <v>0</v>
      </c>
      <c r="H661" s="450"/>
      <c r="I661" s="444"/>
      <c r="J661" s="450"/>
      <c r="K661" s="444" t="s">
        <v>4137</v>
      </c>
      <c r="L661" s="450" t="s">
        <v>979</v>
      </c>
      <c r="M661" s="444" t="s">
        <v>4296</v>
      </c>
      <c r="N661" s="450"/>
      <c r="O661" s="450"/>
      <c r="P661" s="450" t="s">
        <v>1890</v>
      </c>
      <c r="Q661" s="451" t="s">
        <v>374</v>
      </c>
      <c r="R661" s="451" t="s">
        <v>3352</v>
      </c>
      <c r="S661" s="452">
        <v>45573</v>
      </c>
      <c r="T661" s="452"/>
      <c r="U661" s="453"/>
      <c r="V661" s="454"/>
      <c r="W661" s="455" t="s">
        <v>406</v>
      </c>
      <c r="X661" s="455">
        <v>45574</v>
      </c>
      <c r="Y661" s="456" t="s">
        <v>377</v>
      </c>
      <c r="Z661" s="457"/>
      <c r="AA661" s="453"/>
    </row>
    <row r="662" spans="1:27" s="128" customFormat="1" ht="37.5">
      <c r="A662" s="443">
        <v>131</v>
      </c>
      <c r="B662" s="444" t="s">
        <v>4297</v>
      </c>
      <c r="C662" s="445" t="s">
        <v>74</v>
      </c>
      <c r="D662" s="444" t="s">
        <v>4298</v>
      </c>
      <c r="E662" s="446">
        <v>1</v>
      </c>
      <c r="F662" s="447"/>
      <c r="G662" s="448">
        <f t="shared" si="26"/>
        <v>0</v>
      </c>
      <c r="H662" s="450"/>
      <c r="I662" s="444"/>
      <c r="J662" s="450"/>
      <c r="K662" s="444" t="s">
        <v>4137</v>
      </c>
      <c r="L662" s="450" t="s">
        <v>979</v>
      </c>
      <c r="M662" s="444" t="s">
        <v>4205</v>
      </c>
      <c r="N662" s="450"/>
      <c r="O662" s="450"/>
      <c r="P662" s="450" t="s">
        <v>1890</v>
      </c>
      <c r="Q662" s="451" t="s">
        <v>374</v>
      </c>
      <c r="R662" s="451" t="s">
        <v>2906</v>
      </c>
      <c r="S662" s="452">
        <v>45581</v>
      </c>
      <c r="T662" s="452"/>
      <c r="U662" s="453"/>
      <c r="V662" s="454"/>
      <c r="W662" s="455" t="s">
        <v>406</v>
      </c>
      <c r="X662" s="455">
        <v>45576</v>
      </c>
      <c r="Y662" s="456" t="s">
        <v>377</v>
      </c>
      <c r="Z662" s="457"/>
      <c r="AA662" s="453"/>
    </row>
    <row r="663" spans="1:27" s="128" customFormat="1" ht="37.5">
      <c r="A663" s="443">
        <v>132</v>
      </c>
      <c r="B663" s="444" t="s">
        <v>4299</v>
      </c>
      <c r="C663" s="445" t="s">
        <v>74</v>
      </c>
      <c r="D663" s="444" t="s">
        <v>4300</v>
      </c>
      <c r="E663" s="446">
        <v>1</v>
      </c>
      <c r="F663" s="447"/>
      <c r="G663" s="448">
        <f t="shared" si="26"/>
        <v>0</v>
      </c>
      <c r="H663" s="450"/>
      <c r="I663" s="444"/>
      <c r="J663" s="450"/>
      <c r="K663" s="444" t="s">
        <v>4137</v>
      </c>
      <c r="L663" s="450" t="s">
        <v>979</v>
      </c>
      <c r="M663" s="444" t="s">
        <v>4138</v>
      </c>
      <c r="N663" s="450"/>
      <c r="O663" s="450"/>
      <c r="P663" s="450" t="s">
        <v>2863</v>
      </c>
      <c r="Q663" s="451" t="s">
        <v>374</v>
      </c>
      <c r="R663" s="451" t="s">
        <v>2957</v>
      </c>
      <c r="S663" s="452">
        <v>45583</v>
      </c>
      <c r="T663" s="452"/>
      <c r="U663" s="453"/>
      <c r="V663" s="454"/>
      <c r="W663" s="455" t="s">
        <v>406</v>
      </c>
      <c r="X663" s="455">
        <v>45582</v>
      </c>
      <c r="Y663" s="456" t="s">
        <v>377</v>
      </c>
      <c r="Z663" s="457"/>
      <c r="AA663" s="453"/>
    </row>
    <row r="664" spans="1:27" s="128" customFormat="1" ht="37.5">
      <c r="A664" s="443">
        <v>133</v>
      </c>
      <c r="B664" s="444" t="s">
        <v>4301</v>
      </c>
      <c r="C664" s="445" t="s">
        <v>74</v>
      </c>
      <c r="D664" s="444" t="s">
        <v>4302</v>
      </c>
      <c r="E664" s="446">
        <v>1</v>
      </c>
      <c r="F664" s="447"/>
      <c r="G664" s="448">
        <f t="shared" si="26"/>
        <v>0</v>
      </c>
      <c r="H664" s="450"/>
      <c r="I664" s="444"/>
      <c r="J664" s="450"/>
      <c r="K664" s="444" t="s">
        <v>4303</v>
      </c>
      <c r="L664" s="450" t="s">
        <v>624</v>
      </c>
      <c r="M664" s="444" t="s">
        <v>4304</v>
      </c>
      <c r="N664" s="450"/>
      <c r="O664" s="450"/>
      <c r="P664" s="450" t="s">
        <v>1575</v>
      </c>
      <c r="Q664" s="451" t="s">
        <v>374</v>
      </c>
      <c r="R664" s="451" t="s">
        <v>2957</v>
      </c>
      <c r="S664" s="452">
        <v>45570</v>
      </c>
      <c r="T664" s="452"/>
      <c r="U664" s="453"/>
      <c r="V664" s="454"/>
      <c r="W664" s="455" t="s">
        <v>406</v>
      </c>
      <c r="X664" s="455">
        <v>45576</v>
      </c>
      <c r="Y664" s="456" t="s">
        <v>377</v>
      </c>
      <c r="Z664" s="457"/>
      <c r="AA664" s="453"/>
    </row>
    <row r="665" spans="1:27" s="128" customFormat="1" ht="37.5">
      <c r="A665" s="443">
        <v>134</v>
      </c>
      <c r="B665" s="444" t="s">
        <v>4305</v>
      </c>
      <c r="C665" s="445" t="s">
        <v>74</v>
      </c>
      <c r="D665" s="444" t="s">
        <v>4306</v>
      </c>
      <c r="E665" s="446">
        <v>2</v>
      </c>
      <c r="F665" s="447"/>
      <c r="G665" s="448">
        <f t="shared" ref="G665:G709" si="27">E665*F665</f>
        <v>0</v>
      </c>
      <c r="H665" s="450"/>
      <c r="I665" s="444"/>
      <c r="J665" s="450"/>
      <c r="K665" s="444" t="s">
        <v>4307</v>
      </c>
      <c r="L665" s="450" t="s">
        <v>1577</v>
      </c>
      <c r="M665" s="444" t="s">
        <v>4308</v>
      </c>
      <c r="N665" s="450"/>
      <c r="O665" s="450"/>
      <c r="P665" s="450" t="s">
        <v>2440</v>
      </c>
      <c r="Q665" s="451" t="s">
        <v>374</v>
      </c>
      <c r="R665" s="451" t="s">
        <v>2967</v>
      </c>
      <c r="S665" s="452">
        <v>45588</v>
      </c>
      <c r="T665" s="452"/>
      <c r="U665" s="453"/>
      <c r="V665" s="454"/>
      <c r="W665" s="455" t="s">
        <v>406</v>
      </c>
      <c r="X665" s="455">
        <v>45587</v>
      </c>
      <c r="Y665" s="456" t="s">
        <v>377</v>
      </c>
      <c r="Z665" s="457"/>
      <c r="AA665" s="453"/>
    </row>
    <row r="666" spans="1:27" s="128" customFormat="1" ht="37.5">
      <c r="A666" s="443">
        <v>135</v>
      </c>
      <c r="B666" s="444" t="s">
        <v>4309</v>
      </c>
      <c r="C666" s="445" t="s">
        <v>74</v>
      </c>
      <c r="D666" s="444" t="s">
        <v>4310</v>
      </c>
      <c r="E666" s="446">
        <v>2</v>
      </c>
      <c r="F666" s="447"/>
      <c r="G666" s="448">
        <f t="shared" si="27"/>
        <v>0</v>
      </c>
      <c r="H666" s="450"/>
      <c r="I666" s="444"/>
      <c r="J666" s="450"/>
      <c r="K666" s="444" t="s">
        <v>4307</v>
      </c>
      <c r="L666" s="450" t="s">
        <v>1577</v>
      </c>
      <c r="M666" s="444" t="s">
        <v>4308</v>
      </c>
      <c r="N666" s="450"/>
      <c r="O666" s="450"/>
      <c r="P666" s="450" t="s">
        <v>2440</v>
      </c>
      <c r="Q666" s="451" t="s">
        <v>374</v>
      </c>
      <c r="R666" s="451" t="s">
        <v>2967</v>
      </c>
      <c r="S666" s="452">
        <v>45588</v>
      </c>
      <c r="T666" s="452"/>
      <c r="U666" s="453"/>
      <c r="V666" s="454"/>
      <c r="W666" s="455" t="s">
        <v>406</v>
      </c>
      <c r="X666" s="455">
        <v>45587</v>
      </c>
      <c r="Y666" s="456" t="s">
        <v>377</v>
      </c>
      <c r="Z666" s="457"/>
      <c r="AA666" s="453"/>
    </row>
    <row r="667" spans="1:27" s="128" customFormat="1" ht="37.5">
      <c r="A667" s="443">
        <v>136</v>
      </c>
      <c r="B667" s="444" t="s">
        <v>4311</v>
      </c>
      <c r="C667" s="445" t="s">
        <v>74</v>
      </c>
      <c r="D667" s="444" t="s">
        <v>4312</v>
      </c>
      <c r="E667" s="446">
        <v>1</v>
      </c>
      <c r="F667" s="447"/>
      <c r="G667" s="448">
        <f t="shared" si="27"/>
        <v>0</v>
      </c>
      <c r="H667" s="450"/>
      <c r="I667" s="444"/>
      <c r="J667" s="450"/>
      <c r="K667" s="444" t="s">
        <v>4307</v>
      </c>
      <c r="L667" s="450" t="s">
        <v>1577</v>
      </c>
      <c r="M667" s="444" t="s">
        <v>4308</v>
      </c>
      <c r="N667" s="450"/>
      <c r="O667" s="450"/>
      <c r="P667" s="450" t="s">
        <v>2440</v>
      </c>
      <c r="Q667" s="451" t="s">
        <v>374</v>
      </c>
      <c r="R667" s="451" t="s">
        <v>2967</v>
      </c>
      <c r="S667" s="452">
        <v>45588</v>
      </c>
      <c r="T667" s="452"/>
      <c r="U667" s="453"/>
      <c r="V667" s="454"/>
      <c r="W667" s="455" t="s">
        <v>406</v>
      </c>
      <c r="X667" s="455">
        <v>45587</v>
      </c>
      <c r="Y667" s="456" t="s">
        <v>377</v>
      </c>
      <c r="Z667" s="457"/>
      <c r="AA667" s="453"/>
    </row>
    <row r="668" spans="1:27" s="128" customFormat="1" ht="37.5">
      <c r="A668" s="443">
        <v>137</v>
      </c>
      <c r="B668" s="444" t="s">
        <v>4313</v>
      </c>
      <c r="C668" s="445" t="s">
        <v>74</v>
      </c>
      <c r="D668" s="444" t="s">
        <v>4314</v>
      </c>
      <c r="E668" s="446">
        <v>2</v>
      </c>
      <c r="F668" s="447"/>
      <c r="G668" s="448">
        <f t="shared" si="27"/>
        <v>0</v>
      </c>
      <c r="H668" s="450"/>
      <c r="I668" s="444"/>
      <c r="J668" s="450"/>
      <c r="K668" s="444" t="s">
        <v>4307</v>
      </c>
      <c r="L668" s="450" t="s">
        <v>1577</v>
      </c>
      <c r="M668" s="444" t="s">
        <v>4308</v>
      </c>
      <c r="N668" s="450"/>
      <c r="O668" s="450"/>
      <c r="P668" s="450" t="s">
        <v>2440</v>
      </c>
      <c r="Q668" s="451" t="s">
        <v>374</v>
      </c>
      <c r="R668" s="451" t="s">
        <v>2967</v>
      </c>
      <c r="S668" s="452">
        <v>45588</v>
      </c>
      <c r="T668" s="452"/>
      <c r="U668" s="453"/>
      <c r="V668" s="454"/>
      <c r="W668" s="455" t="s">
        <v>406</v>
      </c>
      <c r="X668" s="455">
        <v>45587</v>
      </c>
      <c r="Y668" s="456" t="s">
        <v>377</v>
      </c>
      <c r="Z668" s="457"/>
      <c r="AA668" s="453"/>
    </row>
    <row r="669" spans="1:27" s="128" customFormat="1" ht="37.5">
      <c r="A669" s="443">
        <v>138</v>
      </c>
      <c r="B669" s="444" t="s">
        <v>4315</v>
      </c>
      <c r="C669" s="445" t="s">
        <v>74</v>
      </c>
      <c r="D669" s="444" t="s">
        <v>4316</v>
      </c>
      <c r="E669" s="446">
        <v>7</v>
      </c>
      <c r="F669" s="447"/>
      <c r="G669" s="448">
        <f t="shared" si="27"/>
        <v>0</v>
      </c>
      <c r="H669" s="450"/>
      <c r="I669" s="444"/>
      <c r="J669" s="450"/>
      <c r="K669" s="444" t="s">
        <v>4307</v>
      </c>
      <c r="L669" s="450" t="s">
        <v>1577</v>
      </c>
      <c r="M669" s="444" t="s">
        <v>4317</v>
      </c>
      <c r="N669" s="450"/>
      <c r="O669" s="450"/>
      <c r="P669" s="450" t="s">
        <v>2440</v>
      </c>
      <c r="Q669" s="451" t="s">
        <v>374</v>
      </c>
      <c r="R669" s="451" t="s">
        <v>2906</v>
      </c>
      <c r="S669" s="452">
        <v>45595</v>
      </c>
      <c r="T669" s="452"/>
      <c r="U669" s="453"/>
      <c r="V669" s="454"/>
      <c r="W669" s="455" t="s">
        <v>406</v>
      </c>
      <c r="X669" s="455">
        <v>45590</v>
      </c>
      <c r="Y669" s="456" t="s">
        <v>377</v>
      </c>
      <c r="Z669" s="457"/>
      <c r="AA669" s="453"/>
    </row>
    <row r="670" spans="1:27" s="128" customFormat="1" ht="37.5">
      <c r="A670" s="443">
        <v>139</v>
      </c>
      <c r="B670" s="444" t="s">
        <v>4318</v>
      </c>
      <c r="C670" s="445" t="s">
        <v>74</v>
      </c>
      <c r="D670" s="444" t="s">
        <v>4319</v>
      </c>
      <c r="E670" s="446">
        <v>1</v>
      </c>
      <c r="F670" s="447"/>
      <c r="G670" s="448">
        <f t="shared" si="27"/>
        <v>0</v>
      </c>
      <c r="H670" s="450"/>
      <c r="I670" s="444"/>
      <c r="J670" s="450"/>
      <c r="K670" s="444" t="s">
        <v>4307</v>
      </c>
      <c r="L670" s="450" t="s">
        <v>1577</v>
      </c>
      <c r="M670" s="444" t="s">
        <v>4317</v>
      </c>
      <c r="N670" s="450"/>
      <c r="O670" s="450"/>
      <c r="P670" s="450" t="s">
        <v>2440</v>
      </c>
      <c r="Q670" s="451" t="s">
        <v>374</v>
      </c>
      <c r="R670" s="451" t="s">
        <v>2906</v>
      </c>
      <c r="S670" s="452">
        <v>45595</v>
      </c>
      <c r="T670" s="452"/>
      <c r="U670" s="453"/>
      <c r="V670" s="454"/>
      <c r="W670" s="455" t="s">
        <v>406</v>
      </c>
      <c r="X670" s="455">
        <v>45590</v>
      </c>
      <c r="Y670" s="456" t="s">
        <v>377</v>
      </c>
      <c r="Z670" s="457"/>
      <c r="AA670" s="453"/>
    </row>
    <row r="671" spans="1:27" s="128" customFormat="1" ht="37.5">
      <c r="A671" s="443">
        <v>140</v>
      </c>
      <c r="B671" s="444" t="s">
        <v>4320</v>
      </c>
      <c r="C671" s="445" t="s">
        <v>74</v>
      </c>
      <c r="D671" s="444" t="s">
        <v>4321</v>
      </c>
      <c r="E671" s="446">
        <v>2</v>
      </c>
      <c r="F671" s="447"/>
      <c r="G671" s="448">
        <f t="shared" si="27"/>
        <v>0</v>
      </c>
      <c r="H671" s="450"/>
      <c r="I671" s="444"/>
      <c r="J671" s="450"/>
      <c r="K671" s="444" t="s">
        <v>4307</v>
      </c>
      <c r="L671" s="450" t="s">
        <v>1577</v>
      </c>
      <c r="M671" s="444" t="s">
        <v>4317</v>
      </c>
      <c r="N671" s="450"/>
      <c r="O671" s="450"/>
      <c r="P671" s="450" t="s">
        <v>2440</v>
      </c>
      <c r="Q671" s="451" t="s">
        <v>374</v>
      </c>
      <c r="R671" s="451" t="s">
        <v>2906</v>
      </c>
      <c r="S671" s="452">
        <v>45595</v>
      </c>
      <c r="T671" s="452"/>
      <c r="U671" s="453"/>
      <c r="V671" s="454"/>
      <c r="W671" s="455" t="s">
        <v>406</v>
      </c>
      <c r="X671" s="455">
        <v>45590</v>
      </c>
      <c r="Y671" s="456" t="s">
        <v>377</v>
      </c>
      <c r="Z671" s="457"/>
      <c r="AA671" s="453"/>
    </row>
    <row r="672" spans="1:27" s="128" customFormat="1" ht="37.5">
      <c r="A672" s="443">
        <v>141</v>
      </c>
      <c r="B672" s="444" t="s">
        <v>4322</v>
      </c>
      <c r="C672" s="445" t="s">
        <v>74</v>
      </c>
      <c r="D672" s="444" t="s">
        <v>4323</v>
      </c>
      <c r="E672" s="446">
        <v>1</v>
      </c>
      <c r="F672" s="447"/>
      <c r="G672" s="448">
        <f t="shared" si="27"/>
        <v>0</v>
      </c>
      <c r="H672" s="450"/>
      <c r="I672" s="444"/>
      <c r="J672" s="450"/>
      <c r="K672" s="444" t="s">
        <v>4307</v>
      </c>
      <c r="L672" s="450" t="s">
        <v>1577</v>
      </c>
      <c r="M672" s="444" t="s">
        <v>4317</v>
      </c>
      <c r="N672" s="450"/>
      <c r="O672" s="450"/>
      <c r="P672" s="450" t="s">
        <v>2440</v>
      </c>
      <c r="Q672" s="451" t="s">
        <v>374</v>
      </c>
      <c r="R672" s="451" t="s">
        <v>2906</v>
      </c>
      <c r="S672" s="452">
        <v>45595</v>
      </c>
      <c r="T672" s="452"/>
      <c r="U672" s="453"/>
      <c r="V672" s="454"/>
      <c r="W672" s="455" t="s">
        <v>406</v>
      </c>
      <c r="X672" s="455">
        <v>45590</v>
      </c>
      <c r="Y672" s="456" t="s">
        <v>377</v>
      </c>
      <c r="Z672" s="457"/>
      <c r="AA672" s="453"/>
    </row>
    <row r="673" spans="1:27" s="128" customFormat="1" ht="37.5">
      <c r="A673" s="443">
        <v>142</v>
      </c>
      <c r="B673" s="444" t="s">
        <v>4324</v>
      </c>
      <c r="C673" s="445" t="s">
        <v>74</v>
      </c>
      <c r="D673" s="444" t="s">
        <v>4325</v>
      </c>
      <c r="E673" s="446">
        <v>2</v>
      </c>
      <c r="F673" s="447"/>
      <c r="G673" s="448">
        <f t="shared" si="27"/>
        <v>0</v>
      </c>
      <c r="H673" s="450"/>
      <c r="I673" s="444"/>
      <c r="J673" s="450"/>
      <c r="K673" s="444" t="s">
        <v>4307</v>
      </c>
      <c r="L673" s="450" t="s">
        <v>1577</v>
      </c>
      <c r="M673" s="444" t="s">
        <v>4317</v>
      </c>
      <c r="N673" s="450"/>
      <c r="O673" s="450"/>
      <c r="P673" s="450" t="s">
        <v>2440</v>
      </c>
      <c r="Q673" s="451" t="s">
        <v>374</v>
      </c>
      <c r="R673" s="451" t="s">
        <v>2906</v>
      </c>
      <c r="S673" s="452">
        <v>45595</v>
      </c>
      <c r="T673" s="452"/>
      <c r="U673" s="453"/>
      <c r="V673" s="454"/>
      <c r="W673" s="455" t="s">
        <v>406</v>
      </c>
      <c r="X673" s="455">
        <v>45595</v>
      </c>
      <c r="Y673" s="456" t="s">
        <v>377</v>
      </c>
      <c r="Z673" s="457"/>
      <c r="AA673" s="453"/>
    </row>
    <row r="674" spans="1:27" s="128" customFormat="1" ht="37.5">
      <c r="A674" s="443">
        <v>143</v>
      </c>
      <c r="B674" s="444" t="s">
        <v>4326</v>
      </c>
      <c r="C674" s="445" t="s">
        <v>74</v>
      </c>
      <c r="D674" s="444" t="s">
        <v>4327</v>
      </c>
      <c r="E674" s="446">
        <v>1</v>
      </c>
      <c r="F674" s="447"/>
      <c r="G674" s="448">
        <f t="shared" si="27"/>
        <v>0</v>
      </c>
      <c r="H674" s="450"/>
      <c r="I674" s="444"/>
      <c r="J674" s="450"/>
      <c r="K674" s="444" t="s">
        <v>4307</v>
      </c>
      <c r="L674" s="450" t="s">
        <v>1577</v>
      </c>
      <c r="M674" s="444" t="s">
        <v>4317</v>
      </c>
      <c r="N674" s="450"/>
      <c r="O674" s="450"/>
      <c r="P674" s="450" t="s">
        <v>2440</v>
      </c>
      <c r="Q674" s="451" t="s">
        <v>374</v>
      </c>
      <c r="R674" s="451" t="s">
        <v>2906</v>
      </c>
      <c r="S674" s="452">
        <v>45595</v>
      </c>
      <c r="T674" s="452"/>
      <c r="U674" s="453"/>
      <c r="V674" s="454"/>
      <c r="W674" s="455" t="s">
        <v>406</v>
      </c>
      <c r="X674" s="455">
        <v>45594</v>
      </c>
      <c r="Y674" s="456" t="s">
        <v>377</v>
      </c>
      <c r="Z674" s="457"/>
      <c r="AA674" s="453"/>
    </row>
    <row r="675" spans="1:27" s="128" customFormat="1" ht="37.5">
      <c r="A675" s="443">
        <v>144</v>
      </c>
      <c r="B675" s="444" t="s">
        <v>4328</v>
      </c>
      <c r="C675" s="445" t="s">
        <v>74</v>
      </c>
      <c r="D675" s="444" t="s">
        <v>4329</v>
      </c>
      <c r="E675" s="446">
        <v>1</v>
      </c>
      <c r="F675" s="447"/>
      <c r="G675" s="448">
        <f t="shared" si="27"/>
        <v>0</v>
      </c>
      <c r="H675" s="450"/>
      <c r="I675" s="444"/>
      <c r="J675" s="450"/>
      <c r="K675" s="444" t="s">
        <v>4307</v>
      </c>
      <c r="L675" s="450" t="s">
        <v>1577</v>
      </c>
      <c r="M675" s="444" t="s">
        <v>4317</v>
      </c>
      <c r="N675" s="450"/>
      <c r="O675" s="450"/>
      <c r="P675" s="450" t="s">
        <v>2440</v>
      </c>
      <c r="Q675" s="451" t="s">
        <v>374</v>
      </c>
      <c r="R675" s="451" t="s">
        <v>2906</v>
      </c>
      <c r="S675" s="452">
        <v>45595</v>
      </c>
      <c r="T675" s="452"/>
      <c r="U675" s="453"/>
      <c r="V675" s="454"/>
      <c r="W675" s="455" t="s">
        <v>406</v>
      </c>
      <c r="X675" s="455">
        <v>45595</v>
      </c>
      <c r="Y675" s="456" t="s">
        <v>377</v>
      </c>
      <c r="Z675" s="457"/>
      <c r="AA675" s="453"/>
    </row>
    <row r="676" spans="1:27" s="128" customFormat="1" ht="37.5">
      <c r="A676" s="443">
        <v>145</v>
      </c>
      <c r="B676" s="444" t="s">
        <v>4330</v>
      </c>
      <c r="C676" s="445" t="s">
        <v>74</v>
      </c>
      <c r="D676" s="444" t="s">
        <v>4331</v>
      </c>
      <c r="E676" s="446">
        <v>1</v>
      </c>
      <c r="F676" s="447"/>
      <c r="G676" s="448">
        <f t="shared" si="27"/>
        <v>0</v>
      </c>
      <c r="H676" s="450"/>
      <c r="I676" s="444"/>
      <c r="J676" s="450"/>
      <c r="K676" s="444" t="s">
        <v>4307</v>
      </c>
      <c r="L676" s="450" t="s">
        <v>1577</v>
      </c>
      <c r="M676" s="444" t="s">
        <v>4332</v>
      </c>
      <c r="N676" s="450"/>
      <c r="O676" s="450"/>
      <c r="P676" s="450" t="s">
        <v>2440</v>
      </c>
      <c r="Q676" s="451" t="s">
        <v>374</v>
      </c>
      <c r="R676" s="451" t="s">
        <v>3636</v>
      </c>
      <c r="S676" s="452">
        <v>45595</v>
      </c>
      <c r="T676" s="452"/>
      <c r="U676" s="453"/>
      <c r="V676" s="454"/>
      <c r="W676" s="455" t="s">
        <v>406</v>
      </c>
      <c r="X676" s="455">
        <v>45588</v>
      </c>
      <c r="Y676" s="456" t="s">
        <v>377</v>
      </c>
      <c r="Z676" s="457"/>
      <c r="AA676" s="453"/>
    </row>
    <row r="677" spans="1:27" s="128" customFormat="1" ht="37.5">
      <c r="A677" s="443">
        <v>146</v>
      </c>
      <c r="B677" s="444" t="s">
        <v>4333</v>
      </c>
      <c r="C677" s="445" t="s">
        <v>74</v>
      </c>
      <c r="D677" s="444" t="s">
        <v>4334</v>
      </c>
      <c r="E677" s="446">
        <v>1</v>
      </c>
      <c r="F677" s="447"/>
      <c r="G677" s="448">
        <f t="shared" si="27"/>
        <v>0</v>
      </c>
      <c r="H677" s="450"/>
      <c r="I677" s="444"/>
      <c r="J677" s="450"/>
      <c r="K677" s="444" t="s">
        <v>4307</v>
      </c>
      <c r="L677" s="450" t="s">
        <v>1577</v>
      </c>
      <c r="M677" s="444" t="s">
        <v>4317</v>
      </c>
      <c r="N677" s="450"/>
      <c r="O677" s="450"/>
      <c r="P677" s="450" t="s">
        <v>2440</v>
      </c>
      <c r="Q677" s="451" t="s">
        <v>374</v>
      </c>
      <c r="R677" s="451" t="s">
        <v>2906</v>
      </c>
      <c r="S677" s="452">
        <v>45595</v>
      </c>
      <c r="T677" s="452"/>
      <c r="U677" s="453"/>
      <c r="V677" s="454"/>
      <c r="W677" s="455" t="s">
        <v>406</v>
      </c>
      <c r="X677" s="455">
        <v>45594</v>
      </c>
      <c r="Y677" s="456" t="s">
        <v>377</v>
      </c>
      <c r="Z677" s="457"/>
      <c r="AA677" s="453"/>
    </row>
    <row r="678" spans="1:27" s="128" customFormat="1" ht="37.5">
      <c r="A678" s="443">
        <v>147</v>
      </c>
      <c r="B678" s="444" t="s">
        <v>4335</v>
      </c>
      <c r="C678" s="445" t="s">
        <v>74</v>
      </c>
      <c r="D678" s="444" t="s">
        <v>4336</v>
      </c>
      <c r="E678" s="446">
        <v>1</v>
      </c>
      <c r="F678" s="447"/>
      <c r="G678" s="448">
        <f t="shared" si="27"/>
        <v>0</v>
      </c>
      <c r="H678" s="450"/>
      <c r="I678" s="444"/>
      <c r="J678" s="450"/>
      <c r="K678" s="444" t="s">
        <v>4307</v>
      </c>
      <c r="L678" s="450" t="s">
        <v>1577</v>
      </c>
      <c r="M678" s="444" t="s">
        <v>4308</v>
      </c>
      <c r="N678" s="450"/>
      <c r="O678" s="450"/>
      <c r="P678" s="450" t="s">
        <v>2440</v>
      </c>
      <c r="Q678" s="451" t="s">
        <v>374</v>
      </c>
      <c r="R678" s="451" t="s">
        <v>2967</v>
      </c>
      <c r="S678" s="452">
        <v>45588</v>
      </c>
      <c r="T678" s="452"/>
      <c r="U678" s="453"/>
      <c r="V678" s="454"/>
      <c r="W678" s="455" t="s">
        <v>406</v>
      </c>
      <c r="X678" s="455">
        <v>45587</v>
      </c>
      <c r="Y678" s="456" t="s">
        <v>377</v>
      </c>
      <c r="Z678" s="457"/>
      <c r="AA678" s="453"/>
    </row>
    <row r="679" spans="1:27" s="128" customFormat="1" ht="37.5">
      <c r="A679" s="443">
        <v>148</v>
      </c>
      <c r="B679" s="444" t="s">
        <v>4337</v>
      </c>
      <c r="C679" s="445" t="s">
        <v>74</v>
      </c>
      <c r="D679" s="444" t="s">
        <v>4338</v>
      </c>
      <c r="E679" s="446">
        <v>1</v>
      </c>
      <c r="F679" s="447"/>
      <c r="G679" s="448">
        <f t="shared" si="27"/>
        <v>0</v>
      </c>
      <c r="H679" s="450"/>
      <c r="I679" s="444"/>
      <c r="J679" s="450"/>
      <c r="K679" s="444" t="s">
        <v>4307</v>
      </c>
      <c r="L679" s="450" t="s">
        <v>1577</v>
      </c>
      <c r="M679" s="444" t="s">
        <v>4332</v>
      </c>
      <c r="N679" s="450"/>
      <c r="O679" s="450"/>
      <c r="P679" s="450" t="s">
        <v>2440</v>
      </c>
      <c r="Q679" s="451" t="s">
        <v>374</v>
      </c>
      <c r="R679" s="451" t="s">
        <v>3636</v>
      </c>
      <c r="S679" s="452">
        <v>45595</v>
      </c>
      <c r="T679" s="452"/>
      <c r="U679" s="453"/>
      <c r="V679" s="454"/>
      <c r="W679" s="455" t="s">
        <v>406</v>
      </c>
      <c r="X679" s="455">
        <v>45588</v>
      </c>
      <c r="Y679" s="456" t="s">
        <v>377</v>
      </c>
      <c r="Z679" s="457"/>
      <c r="AA679" s="453"/>
    </row>
    <row r="680" spans="1:27" s="128" customFormat="1" ht="37.5">
      <c r="A680" s="443">
        <v>149</v>
      </c>
      <c r="B680" s="444" t="s">
        <v>4339</v>
      </c>
      <c r="C680" s="445" t="s">
        <v>74</v>
      </c>
      <c r="D680" s="444" t="s">
        <v>4340</v>
      </c>
      <c r="E680" s="446">
        <v>2</v>
      </c>
      <c r="F680" s="447"/>
      <c r="G680" s="448">
        <f t="shared" si="27"/>
        <v>0</v>
      </c>
      <c r="H680" s="450"/>
      <c r="I680" s="444"/>
      <c r="J680" s="450"/>
      <c r="K680" s="444" t="s">
        <v>4307</v>
      </c>
      <c r="L680" s="450" t="s">
        <v>1577</v>
      </c>
      <c r="M680" s="444" t="s">
        <v>4332</v>
      </c>
      <c r="N680" s="450"/>
      <c r="O680" s="450"/>
      <c r="P680" s="450" t="s">
        <v>2440</v>
      </c>
      <c r="Q680" s="451" t="s">
        <v>374</v>
      </c>
      <c r="R680" s="451" t="s">
        <v>3636</v>
      </c>
      <c r="S680" s="452">
        <v>45595</v>
      </c>
      <c r="T680" s="452"/>
      <c r="U680" s="453"/>
      <c r="V680" s="454"/>
      <c r="W680" s="455" t="s">
        <v>406</v>
      </c>
      <c r="X680" s="455">
        <v>45588</v>
      </c>
      <c r="Y680" s="456" t="s">
        <v>377</v>
      </c>
      <c r="Z680" s="457"/>
      <c r="AA680" s="453"/>
    </row>
    <row r="681" spans="1:27" s="128" customFormat="1" ht="37.5">
      <c r="A681" s="443">
        <v>150</v>
      </c>
      <c r="B681" s="444" t="s">
        <v>4341</v>
      </c>
      <c r="C681" s="445" t="s">
        <v>74</v>
      </c>
      <c r="D681" s="444" t="s">
        <v>4342</v>
      </c>
      <c r="E681" s="446">
        <v>1</v>
      </c>
      <c r="F681" s="447"/>
      <c r="G681" s="448">
        <f t="shared" si="27"/>
        <v>0</v>
      </c>
      <c r="H681" s="450"/>
      <c r="I681" s="444"/>
      <c r="J681" s="450"/>
      <c r="K681" s="444" t="s">
        <v>4307</v>
      </c>
      <c r="L681" s="450" t="s">
        <v>1577</v>
      </c>
      <c r="M681" s="444" t="s">
        <v>4332</v>
      </c>
      <c r="N681" s="450"/>
      <c r="O681" s="450"/>
      <c r="P681" s="450" t="s">
        <v>2440</v>
      </c>
      <c r="Q681" s="451" t="s">
        <v>374</v>
      </c>
      <c r="R681" s="451" t="s">
        <v>3636</v>
      </c>
      <c r="S681" s="452">
        <v>45595</v>
      </c>
      <c r="T681" s="452"/>
      <c r="U681" s="453"/>
      <c r="V681" s="454"/>
      <c r="W681" s="455" t="s">
        <v>406</v>
      </c>
      <c r="X681" s="455">
        <v>45588</v>
      </c>
      <c r="Y681" s="456" t="s">
        <v>377</v>
      </c>
      <c r="Z681" s="457"/>
      <c r="AA681" s="453"/>
    </row>
    <row r="682" spans="1:27" s="128" customFormat="1" ht="37.5">
      <c r="A682" s="443">
        <v>151</v>
      </c>
      <c r="B682" s="444" t="s">
        <v>4343</v>
      </c>
      <c r="C682" s="445" t="s">
        <v>74</v>
      </c>
      <c r="D682" s="444" t="s">
        <v>4344</v>
      </c>
      <c r="E682" s="446">
        <v>1</v>
      </c>
      <c r="F682" s="447"/>
      <c r="G682" s="448">
        <f t="shared" si="27"/>
        <v>0</v>
      </c>
      <c r="H682" s="450"/>
      <c r="I682" s="444"/>
      <c r="J682" s="450"/>
      <c r="K682" s="444" t="s">
        <v>4307</v>
      </c>
      <c r="L682" s="450" t="s">
        <v>1577</v>
      </c>
      <c r="M682" s="444" t="s">
        <v>4332</v>
      </c>
      <c r="N682" s="450"/>
      <c r="O682" s="450"/>
      <c r="P682" s="450" t="s">
        <v>2440</v>
      </c>
      <c r="Q682" s="451" t="s">
        <v>374</v>
      </c>
      <c r="R682" s="451" t="s">
        <v>3636</v>
      </c>
      <c r="S682" s="452">
        <v>45595</v>
      </c>
      <c r="T682" s="452"/>
      <c r="U682" s="453"/>
      <c r="V682" s="454"/>
      <c r="W682" s="455" t="s">
        <v>406</v>
      </c>
      <c r="X682" s="455">
        <v>45588</v>
      </c>
      <c r="Y682" s="456" t="s">
        <v>377</v>
      </c>
      <c r="Z682" s="457"/>
      <c r="AA682" s="453"/>
    </row>
    <row r="683" spans="1:27" s="128" customFormat="1" ht="37.5">
      <c r="A683" s="443">
        <v>152</v>
      </c>
      <c r="B683" s="444" t="s">
        <v>4345</v>
      </c>
      <c r="C683" s="445" t="s">
        <v>74</v>
      </c>
      <c r="D683" s="444" t="s">
        <v>4346</v>
      </c>
      <c r="E683" s="446">
        <v>1</v>
      </c>
      <c r="F683" s="447"/>
      <c r="G683" s="448">
        <f t="shared" si="27"/>
        <v>0</v>
      </c>
      <c r="H683" s="450"/>
      <c r="I683" s="444"/>
      <c r="J683" s="450"/>
      <c r="K683" s="444" t="s">
        <v>4307</v>
      </c>
      <c r="L683" s="450" t="s">
        <v>1577</v>
      </c>
      <c r="M683" s="444" t="s">
        <v>4332</v>
      </c>
      <c r="N683" s="450"/>
      <c r="O683" s="450"/>
      <c r="P683" s="450" t="s">
        <v>2440</v>
      </c>
      <c r="Q683" s="451" t="s">
        <v>374</v>
      </c>
      <c r="R683" s="451" t="s">
        <v>3636</v>
      </c>
      <c r="S683" s="452">
        <v>45595</v>
      </c>
      <c r="T683" s="452"/>
      <c r="U683" s="453"/>
      <c r="V683" s="454"/>
      <c r="W683" s="455" t="s">
        <v>406</v>
      </c>
      <c r="X683" s="455">
        <v>45588</v>
      </c>
      <c r="Y683" s="456" t="s">
        <v>377</v>
      </c>
      <c r="Z683" s="457"/>
      <c r="AA683" s="453"/>
    </row>
    <row r="684" spans="1:27" s="128" customFormat="1" ht="37.5">
      <c r="A684" s="443">
        <v>153</v>
      </c>
      <c r="B684" s="444" t="s">
        <v>4347</v>
      </c>
      <c r="C684" s="445" t="s">
        <v>74</v>
      </c>
      <c r="D684" s="444" t="s">
        <v>4348</v>
      </c>
      <c r="E684" s="446">
        <v>1</v>
      </c>
      <c r="F684" s="447"/>
      <c r="G684" s="448">
        <f t="shared" si="27"/>
        <v>0</v>
      </c>
      <c r="H684" s="450"/>
      <c r="I684" s="444"/>
      <c r="J684" s="450"/>
      <c r="K684" s="444" t="s">
        <v>4307</v>
      </c>
      <c r="L684" s="450" t="s">
        <v>1577</v>
      </c>
      <c r="M684" s="444" t="s">
        <v>4317</v>
      </c>
      <c r="N684" s="450"/>
      <c r="O684" s="450"/>
      <c r="P684" s="450" t="s">
        <v>2440</v>
      </c>
      <c r="Q684" s="451" t="s">
        <v>374</v>
      </c>
      <c r="R684" s="451" t="s">
        <v>2906</v>
      </c>
      <c r="S684" s="452">
        <v>45595</v>
      </c>
      <c r="T684" s="452"/>
      <c r="U684" s="453"/>
      <c r="V684" s="454"/>
      <c r="W684" s="455" t="s">
        <v>406</v>
      </c>
      <c r="X684" s="455">
        <v>45590</v>
      </c>
      <c r="Y684" s="456" t="s">
        <v>377</v>
      </c>
      <c r="Z684" s="457"/>
      <c r="AA684" s="453"/>
    </row>
    <row r="685" spans="1:27" s="128" customFormat="1" ht="37.5">
      <c r="A685" s="443">
        <v>154</v>
      </c>
      <c r="B685" s="444" t="s">
        <v>4349</v>
      </c>
      <c r="C685" s="445" t="s">
        <v>74</v>
      </c>
      <c r="D685" s="444" t="s">
        <v>4350</v>
      </c>
      <c r="E685" s="446">
        <v>1</v>
      </c>
      <c r="F685" s="447"/>
      <c r="G685" s="448">
        <f t="shared" si="27"/>
        <v>0</v>
      </c>
      <c r="H685" s="450"/>
      <c r="I685" s="444"/>
      <c r="J685" s="450"/>
      <c r="K685" s="444" t="s">
        <v>4307</v>
      </c>
      <c r="L685" s="450" t="s">
        <v>1577</v>
      </c>
      <c r="M685" s="444" t="s">
        <v>4308</v>
      </c>
      <c r="N685" s="450"/>
      <c r="O685" s="450"/>
      <c r="P685" s="450" t="s">
        <v>2440</v>
      </c>
      <c r="Q685" s="451" t="s">
        <v>374</v>
      </c>
      <c r="R685" s="451" t="s">
        <v>2967</v>
      </c>
      <c r="S685" s="452">
        <v>45588</v>
      </c>
      <c r="T685" s="452"/>
      <c r="U685" s="453"/>
      <c r="V685" s="454"/>
      <c r="W685" s="455" t="s">
        <v>406</v>
      </c>
      <c r="X685" s="455">
        <v>45587</v>
      </c>
      <c r="Y685" s="456" t="s">
        <v>377</v>
      </c>
      <c r="Z685" s="457"/>
      <c r="AA685" s="453"/>
    </row>
    <row r="686" spans="1:27" s="128" customFormat="1" ht="37.5">
      <c r="A686" s="443">
        <v>155</v>
      </c>
      <c r="B686" s="444" t="s">
        <v>4351</v>
      </c>
      <c r="C686" s="445" t="s">
        <v>74</v>
      </c>
      <c r="D686" s="444" t="s">
        <v>4352</v>
      </c>
      <c r="E686" s="446">
        <v>1</v>
      </c>
      <c r="F686" s="447"/>
      <c r="G686" s="448">
        <f t="shared" si="27"/>
        <v>0</v>
      </c>
      <c r="H686" s="450"/>
      <c r="I686" s="444"/>
      <c r="J686" s="450"/>
      <c r="K686" s="444" t="s">
        <v>4307</v>
      </c>
      <c r="L686" s="450" t="s">
        <v>1577</v>
      </c>
      <c r="M686" s="444" t="s">
        <v>4308</v>
      </c>
      <c r="N686" s="450"/>
      <c r="O686" s="450"/>
      <c r="P686" s="450" t="s">
        <v>2440</v>
      </c>
      <c r="Q686" s="451" t="s">
        <v>374</v>
      </c>
      <c r="R686" s="451" t="s">
        <v>2967</v>
      </c>
      <c r="S686" s="452">
        <v>45588</v>
      </c>
      <c r="T686" s="452"/>
      <c r="U686" s="453"/>
      <c r="V686" s="454"/>
      <c r="W686" s="455" t="s">
        <v>406</v>
      </c>
      <c r="X686" s="455">
        <v>45587</v>
      </c>
      <c r="Y686" s="456" t="s">
        <v>377</v>
      </c>
      <c r="Z686" s="457"/>
      <c r="AA686" s="453"/>
    </row>
    <row r="687" spans="1:27" s="128" customFormat="1" ht="37.5">
      <c r="A687" s="443">
        <v>156</v>
      </c>
      <c r="B687" s="444" t="s">
        <v>4353</v>
      </c>
      <c r="C687" s="445" t="s">
        <v>74</v>
      </c>
      <c r="D687" s="444" t="s">
        <v>4354</v>
      </c>
      <c r="E687" s="446">
        <v>1</v>
      </c>
      <c r="F687" s="447"/>
      <c r="G687" s="448">
        <f t="shared" si="27"/>
        <v>0</v>
      </c>
      <c r="H687" s="450"/>
      <c r="I687" s="444"/>
      <c r="J687" s="450"/>
      <c r="K687" s="444" t="s">
        <v>4307</v>
      </c>
      <c r="L687" s="450" t="s">
        <v>1577</v>
      </c>
      <c r="M687" s="444" t="s">
        <v>4317</v>
      </c>
      <c r="N687" s="450"/>
      <c r="O687" s="450"/>
      <c r="P687" s="450" t="s">
        <v>2440</v>
      </c>
      <c r="Q687" s="451" t="s">
        <v>374</v>
      </c>
      <c r="R687" s="451" t="s">
        <v>2906</v>
      </c>
      <c r="S687" s="452">
        <v>45595</v>
      </c>
      <c r="T687" s="452"/>
      <c r="U687" s="453"/>
      <c r="V687" s="454"/>
      <c r="W687" s="455" t="s">
        <v>406</v>
      </c>
      <c r="X687" s="455">
        <v>45590</v>
      </c>
      <c r="Y687" s="456" t="s">
        <v>377</v>
      </c>
      <c r="Z687" s="457"/>
      <c r="AA687" s="453"/>
    </row>
    <row r="688" spans="1:27" s="128" customFormat="1" ht="37.5">
      <c r="A688" s="443">
        <v>157</v>
      </c>
      <c r="B688" s="444" t="s">
        <v>4355</v>
      </c>
      <c r="C688" s="445" t="s">
        <v>74</v>
      </c>
      <c r="D688" s="444" t="s">
        <v>4356</v>
      </c>
      <c r="E688" s="446">
        <v>1</v>
      </c>
      <c r="F688" s="447"/>
      <c r="G688" s="448">
        <f t="shared" si="27"/>
        <v>0</v>
      </c>
      <c r="H688" s="450"/>
      <c r="I688" s="444"/>
      <c r="J688" s="450"/>
      <c r="K688" s="444" t="s">
        <v>4307</v>
      </c>
      <c r="L688" s="450" t="s">
        <v>1577</v>
      </c>
      <c r="M688" s="444" t="s">
        <v>4308</v>
      </c>
      <c r="N688" s="450"/>
      <c r="O688" s="450"/>
      <c r="P688" s="450" t="s">
        <v>2440</v>
      </c>
      <c r="Q688" s="451" t="s">
        <v>374</v>
      </c>
      <c r="R688" s="451" t="s">
        <v>2967</v>
      </c>
      <c r="S688" s="452">
        <v>45588</v>
      </c>
      <c r="T688" s="452"/>
      <c r="U688" s="453"/>
      <c r="V688" s="454"/>
      <c r="W688" s="455" t="s">
        <v>406</v>
      </c>
      <c r="X688" s="455">
        <v>45587</v>
      </c>
      <c r="Y688" s="456" t="s">
        <v>377</v>
      </c>
      <c r="Z688" s="457"/>
      <c r="AA688" s="453"/>
    </row>
    <row r="689" spans="1:27" s="441" customFormat="1" ht="37.5">
      <c r="A689" s="427">
        <v>158</v>
      </c>
      <c r="B689" s="428" t="s">
        <v>4357</v>
      </c>
      <c r="C689" s="429" t="s">
        <v>74</v>
      </c>
      <c r="D689" s="428" t="s">
        <v>4358</v>
      </c>
      <c r="E689" s="430">
        <v>1</v>
      </c>
      <c r="F689" s="431"/>
      <c r="G689" s="432">
        <f t="shared" si="27"/>
        <v>0</v>
      </c>
      <c r="H689" s="433"/>
      <c r="I689" s="428"/>
      <c r="J689" s="433"/>
      <c r="K689" s="428" t="s">
        <v>4307</v>
      </c>
      <c r="L689" s="433" t="s">
        <v>1577</v>
      </c>
      <c r="M689" s="428" t="s">
        <v>4317</v>
      </c>
      <c r="N689" s="433"/>
      <c r="O689" s="433"/>
      <c r="P689" s="433" t="s">
        <v>2440</v>
      </c>
      <c r="Q689" s="434" t="s">
        <v>726</v>
      </c>
      <c r="R689" s="434" t="s">
        <v>2906</v>
      </c>
      <c r="S689" s="435" t="s">
        <v>444</v>
      </c>
      <c r="T689" s="435"/>
      <c r="U689" s="436"/>
      <c r="V689" s="437"/>
      <c r="W689" s="438"/>
      <c r="X689" s="438"/>
      <c r="Y689" s="439" t="s">
        <v>592</v>
      </c>
      <c r="Z689" s="440"/>
      <c r="AA689" s="436"/>
    </row>
    <row r="690" spans="1:27" s="128" customFormat="1" ht="37.5">
      <c r="A690" s="443">
        <v>159</v>
      </c>
      <c r="B690" s="444" t="s">
        <v>4359</v>
      </c>
      <c r="C690" s="445" t="s">
        <v>74</v>
      </c>
      <c r="D690" s="444" t="s">
        <v>4360</v>
      </c>
      <c r="E690" s="446">
        <v>1</v>
      </c>
      <c r="F690" s="447"/>
      <c r="G690" s="448">
        <f t="shared" si="27"/>
        <v>0</v>
      </c>
      <c r="H690" s="450"/>
      <c r="I690" s="444"/>
      <c r="J690" s="450"/>
      <c r="K690" s="444" t="s">
        <v>4307</v>
      </c>
      <c r="L690" s="450" t="s">
        <v>1577</v>
      </c>
      <c r="M690" s="444" t="s">
        <v>4317</v>
      </c>
      <c r="N690" s="450"/>
      <c r="O690" s="450"/>
      <c r="P690" s="450" t="s">
        <v>2440</v>
      </c>
      <c r="Q690" s="451" t="s">
        <v>374</v>
      </c>
      <c r="R690" s="451" t="s">
        <v>2906</v>
      </c>
      <c r="S690" s="452">
        <v>45595</v>
      </c>
      <c r="T690" s="452"/>
      <c r="U690" s="453"/>
      <c r="V690" s="454"/>
      <c r="W690" s="455" t="s">
        <v>406</v>
      </c>
      <c r="X690" s="455">
        <v>45590</v>
      </c>
      <c r="Y690" s="456" t="s">
        <v>377</v>
      </c>
      <c r="Z690" s="457"/>
      <c r="AA690" s="453"/>
    </row>
    <row r="691" spans="1:27" s="128" customFormat="1" ht="37.5">
      <c r="A691" s="443">
        <v>160</v>
      </c>
      <c r="B691" s="444" t="s">
        <v>4361</v>
      </c>
      <c r="C691" s="445" t="s">
        <v>74</v>
      </c>
      <c r="D691" s="444" t="s">
        <v>4362</v>
      </c>
      <c r="E691" s="446">
        <v>1</v>
      </c>
      <c r="F691" s="447"/>
      <c r="G691" s="448">
        <f t="shared" si="27"/>
        <v>0</v>
      </c>
      <c r="H691" s="450"/>
      <c r="I691" s="444"/>
      <c r="J691" s="450"/>
      <c r="K691" s="444" t="s">
        <v>4307</v>
      </c>
      <c r="L691" s="450" t="s">
        <v>1577</v>
      </c>
      <c r="M691" s="444" t="s">
        <v>4317</v>
      </c>
      <c r="N691" s="450"/>
      <c r="O691" s="450"/>
      <c r="P691" s="450" t="s">
        <v>2440</v>
      </c>
      <c r="Q691" s="451" t="s">
        <v>374</v>
      </c>
      <c r="R691" s="451" t="s">
        <v>2906</v>
      </c>
      <c r="S691" s="452">
        <v>45595</v>
      </c>
      <c r="T691" s="452"/>
      <c r="U691" s="453"/>
      <c r="V691" s="454"/>
      <c r="W691" s="455" t="s">
        <v>406</v>
      </c>
      <c r="X691" s="455">
        <v>45590</v>
      </c>
      <c r="Y691" s="456" t="s">
        <v>377</v>
      </c>
      <c r="Z691" s="457"/>
      <c r="AA691" s="453"/>
    </row>
    <row r="692" spans="1:27" s="128" customFormat="1" ht="37.5">
      <c r="A692" s="443">
        <v>161</v>
      </c>
      <c r="B692" s="444" t="s">
        <v>4363</v>
      </c>
      <c r="C692" s="445" t="s">
        <v>74</v>
      </c>
      <c r="D692" s="444" t="s">
        <v>4364</v>
      </c>
      <c r="E692" s="446">
        <v>1</v>
      </c>
      <c r="F692" s="447"/>
      <c r="G692" s="448">
        <f t="shared" si="27"/>
        <v>0</v>
      </c>
      <c r="H692" s="450"/>
      <c r="I692" s="444"/>
      <c r="J692" s="450"/>
      <c r="K692" s="444" t="s">
        <v>4307</v>
      </c>
      <c r="L692" s="450" t="s">
        <v>1577</v>
      </c>
      <c r="M692" s="444" t="s">
        <v>4308</v>
      </c>
      <c r="N692" s="450"/>
      <c r="O692" s="450"/>
      <c r="P692" s="450" t="s">
        <v>2440</v>
      </c>
      <c r="Q692" s="451" t="s">
        <v>374</v>
      </c>
      <c r="R692" s="451" t="s">
        <v>2967</v>
      </c>
      <c r="S692" s="452">
        <v>45588</v>
      </c>
      <c r="T692" s="452"/>
      <c r="U692" s="453"/>
      <c r="V692" s="454"/>
      <c r="W692" s="455" t="s">
        <v>406</v>
      </c>
      <c r="X692" s="455">
        <v>45587</v>
      </c>
      <c r="Y692" s="456" t="s">
        <v>377</v>
      </c>
      <c r="Z692" s="457"/>
      <c r="AA692" s="453"/>
    </row>
    <row r="693" spans="1:27" s="128" customFormat="1" ht="37.5">
      <c r="A693" s="443">
        <v>162</v>
      </c>
      <c r="B693" s="444" t="s">
        <v>4365</v>
      </c>
      <c r="C693" s="445" t="s">
        <v>74</v>
      </c>
      <c r="D693" s="444" t="s">
        <v>4366</v>
      </c>
      <c r="E693" s="446">
        <v>1</v>
      </c>
      <c r="F693" s="447"/>
      <c r="G693" s="448">
        <f t="shared" si="27"/>
        <v>0</v>
      </c>
      <c r="H693" s="450"/>
      <c r="I693" s="444"/>
      <c r="J693" s="450"/>
      <c r="K693" s="444" t="s">
        <v>4307</v>
      </c>
      <c r="L693" s="450" t="s">
        <v>1577</v>
      </c>
      <c r="M693" s="444" t="s">
        <v>4317</v>
      </c>
      <c r="N693" s="450"/>
      <c r="O693" s="450"/>
      <c r="P693" s="450" t="s">
        <v>2440</v>
      </c>
      <c r="Q693" s="451" t="s">
        <v>374</v>
      </c>
      <c r="R693" s="451" t="s">
        <v>2906</v>
      </c>
      <c r="S693" s="452">
        <v>45595</v>
      </c>
      <c r="T693" s="452"/>
      <c r="U693" s="453"/>
      <c r="V693" s="454"/>
      <c r="W693" s="455" t="s">
        <v>406</v>
      </c>
      <c r="X693" s="455">
        <v>45590</v>
      </c>
      <c r="Y693" s="456" t="s">
        <v>377</v>
      </c>
      <c r="Z693" s="457"/>
      <c r="AA693" s="453"/>
    </row>
    <row r="694" spans="1:27" s="128" customFormat="1" ht="37.5">
      <c r="A694" s="443">
        <v>163</v>
      </c>
      <c r="B694" s="444" t="s">
        <v>4367</v>
      </c>
      <c r="C694" s="445" t="s">
        <v>74</v>
      </c>
      <c r="D694" s="444" t="s">
        <v>4368</v>
      </c>
      <c r="E694" s="446">
        <v>1</v>
      </c>
      <c r="F694" s="447"/>
      <c r="G694" s="448">
        <f t="shared" si="27"/>
        <v>0</v>
      </c>
      <c r="H694" s="450"/>
      <c r="I694" s="444"/>
      <c r="J694" s="450"/>
      <c r="K694" s="444" t="s">
        <v>4307</v>
      </c>
      <c r="L694" s="450" t="s">
        <v>1577</v>
      </c>
      <c r="M694" s="444" t="s">
        <v>4332</v>
      </c>
      <c r="N694" s="450"/>
      <c r="O694" s="450"/>
      <c r="P694" s="450" t="s">
        <v>2440</v>
      </c>
      <c r="Q694" s="451" t="s">
        <v>374</v>
      </c>
      <c r="R694" s="451" t="s">
        <v>3636</v>
      </c>
      <c r="S694" s="452">
        <v>45595</v>
      </c>
      <c r="T694" s="452"/>
      <c r="U694" s="453"/>
      <c r="V694" s="454"/>
      <c r="W694" s="455" t="s">
        <v>406</v>
      </c>
      <c r="X694" s="455">
        <v>45588</v>
      </c>
      <c r="Y694" s="456" t="s">
        <v>377</v>
      </c>
      <c r="Z694" s="457"/>
      <c r="AA694" s="453"/>
    </row>
    <row r="695" spans="1:27" s="128" customFormat="1" ht="37.5">
      <c r="A695" s="443">
        <v>164</v>
      </c>
      <c r="B695" s="444" t="s">
        <v>4369</v>
      </c>
      <c r="C695" s="445" t="s">
        <v>74</v>
      </c>
      <c r="D695" s="444" t="s">
        <v>4370</v>
      </c>
      <c r="E695" s="446">
        <v>1</v>
      </c>
      <c r="F695" s="447"/>
      <c r="G695" s="448">
        <f t="shared" si="27"/>
        <v>0</v>
      </c>
      <c r="H695" s="450"/>
      <c r="I695" s="444"/>
      <c r="J695" s="450"/>
      <c r="K695" s="444" t="s">
        <v>4307</v>
      </c>
      <c r="L695" s="450" t="s">
        <v>1577</v>
      </c>
      <c r="M695" s="444" t="s">
        <v>4308</v>
      </c>
      <c r="N695" s="450"/>
      <c r="O695" s="450"/>
      <c r="P695" s="450" t="s">
        <v>2440</v>
      </c>
      <c r="Q695" s="451" t="s">
        <v>374</v>
      </c>
      <c r="R695" s="451" t="s">
        <v>2967</v>
      </c>
      <c r="S695" s="452">
        <v>45588</v>
      </c>
      <c r="T695" s="452"/>
      <c r="U695" s="453"/>
      <c r="V695" s="454"/>
      <c r="W695" s="455" t="s">
        <v>406</v>
      </c>
      <c r="X695" s="455">
        <v>45587</v>
      </c>
      <c r="Y695" s="456" t="s">
        <v>377</v>
      </c>
      <c r="Z695" s="457"/>
      <c r="AA695" s="453"/>
    </row>
    <row r="696" spans="1:27" s="128" customFormat="1" ht="37.5">
      <c r="A696" s="443">
        <v>165</v>
      </c>
      <c r="B696" s="444" t="s">
        <v>4371</v>
      </c>
      <c r="C696" s="445" t="s">
        <v>74</v>
      </c>
      <c r="D696" s="444" t="s">
        <v>4372</v>
      </c>
      <c r="E696" s="446">
        <v>1</v>
      </c>
      <c r="F696" s="447"/>
      <c r="G696" s="448">
        <f t="shared" si="27"/>
        <v>0</v>
      </c>
      <c r="H696" s="450"/>
      <c r="I696" s="444"/>
      <c r="J696" s="450"/>
      <c r="K696" s="444" t="s">
        <v>4307</v>
      </c>
      <c r="L696" s="450" t="s">
        <v>1577</v>
      </c>
      <c r="M696" s="444" t="s">
        <v>4308</v>
      </c>
      <c r="N696" s="450"/>
      <c r="O696" s="450"/>
      <c r="P696" s="450" t="s">
        <v>2440</v>
      </c>
      <c r="Q696" s="451" t="s">
        <v>374</v>
      </c>
      <c r="R696" s="451" t="s">
        <v>2967</v>
      </c>
      <c r="S696" s="452">
        <v>45588</v>
      </c>
      <c r="T696" s="452"/>
      <c r="U696" s="453"/>
      <c r="V696" s="454"/>
      <c r="W696" s="455" t="s">
        <v>406</v>
      </c>
      <c r="X696" s="455">
        <v>45587</v>
      </c>
      <c r="Y696" s="456" t="s">
        <v>377</v>
      </c>
      <c r="Z696" s="457"/>
      <c r="AA696" s="453"/>
    </row>
    <row r="697" spans="1:27" s="128" customFormat="1" ht="37.5">
      <c r="A697" s="443">
        <v>166</v>
      </c>
      <c r="B697" s="444" t="s">
        <v>4373</v>
      </c>
      <c r="C697" s="445" t="s">
        <v>74</v>
      </c>
      <c r="D697" s="444" t="s">
        <v>4374</v>
      </c>
      <c r="E697" s="446">
        <v>3</v>
      </c>
      <c r="F697" s="447"/>
      <c r="G697" s="448">
        <f t="shared" si="27"/>
        <v>0</v>
      </c>
      <c r="H697" s="450"/>
      <c r="I697" s="444"/>
      <c r="J697" s="450"/>
      <c r="K697" s="444" t="s">
        <v>4307</v>
      </c>
      <c r="L697" s="450" t="s">
        <v>1577</v>
      </c>
      <c r="M697" s="444" t="s">
        <v>4317</v>
      </c>
      <c r="N697" s="450"/>
      <c r="O697" s="450"/>
      <c r="P697" s="450" t="s">
        <v>2440</v>
      </c>
      <c r="Q697" s="451" t="s">
        <v>374</v>
      </c>
      <c r="R697" s="451" t="s">
        <v>2906</v>
      </c>
      <c r="S697" s="452">
        <v>45595</v>
      </c>
      <c r="T697" s="452">
        <v>45615</v>
      </c>
      <c r="U697" s="453"/>
      <c r="V697" s="454"/>
      <c r="W697" s="455" t="s">
        <v>406</v>
      </c>
      <c r="X697" s="455">
        <v>45604</v>
      </c>
      <c r="Y697" s="456" t="s">
        <v>377</v>
      </c>
      <c r="Z697" s="457"/>
      <c r="AA697" s="453"/>
    </row>
    <row r="698" spans="1:27" s="128" customFormat="1" ht="37.5">
      <c r="A698" s="443">
        <v>167</v>
      </c>
      <c r="B698" s="444" t="s">
        <v>4375</v>
      </c>
      <c r="C698" s="445" t="s">
        <v>74</v>
      </c>
      <c r="D698" s="444" t="s">
        <v>4376</v>
      </c>
      <c r="E698" s="446">
        <v>1</v>
      </c>
      <c r="F698" s="447"/>
      <c r="G698" s="448">
        <f t="shared" si="27"/>
        <v>0</v>
      </c>
      <c r="H698" s="450"/>
      <c r="I698" s="444"/>
      <c r="J698" s="450"/>
      <c r="K698" s="444" t="s">
        <v>4307</v>
      </c>
      <c r="L698" s="450" t="s">
        <v>1577</v>
      </c>
      <c r="M698" s="444" t="s">
        <v>4308</v>
      </c>
      <c r="N698" s="450"/>
      <c r="O698" s="450"/>
      <c r="P698" s="450" t="s">
        <v>2440</v>
      </c>
      <c r="Q698" s="451" t="s">
        <v>374</v>
      </c>
      <c r="R698" s="451" t="s">
        <v>2967</v>
      </c>
      <c r="S698" s="452">
        <v>45588</v>
      </c>
      <c r="T698" s="452"/>
      <c r="U698" s="453"/>
      <c r="V698" s="454"/>
      <c r="W698" s="455" t="s">
        <v>406</v>
      </c>
      <c r="X698" s="455">
        <v>45587</v>
      </c>
      <c r="Y698" s="456" t="s">
        <v>377</v>
      </c>
      <c r="Z698" s="457"/>
      <c r="AA698" s="453"/>
    </row>
    <row r="699" spans="1:27" s="128" customFormat="1" ht="37.5">
      <c r="A699" s="443">
        <v>168</v>
      </c>
      <c r="B699" s="444" t="s">
        <v>4377</v>
      </c>
      <c r="C699" s="445" t="s">
        <v>74</v>
      </c>
      <c r="D699" s="444" t="s">
        <v>4378</v>
      </c>
      <c r="E699" s="446">
        <v>1</v>
      </c>
      <c r="F699" s="447"/>
      <c r="G699" s="448">
        <f t="shared" si="27"/>
        <v>0</v>
      </c>
      <c r="H699" s="450"/>
      <c r="I699" s="444"/>
      <c r="J699" s="450"/>
      <c r="K699" s="444" t="s">
        <v>4307</v>
      </c>
      <c r="L699" s="450" t="s">
        <v>1577</v>
      </c>
      <c r="M699" s="444" t="s">
        <v>4379</v>
      </c>
      <c r="N699" s="450"/>
      <c r="O699" s="450"/>
      <c r="P699" s="450" t="s">
        <v>2440</v>
      </c>
      <c r="Q699" s="451" t="s">
        <v>374</v>
      </c>
      <c r="R699" s="451" t="s">
        <v>3324</v>
      </c>
      <c r="S699" s="452">
        <v>45588</v>
      </c>
      <c r="T699" s="452"/>
      <c r="U699" s="453"/>
      <c r="V699" s="454"/>
      <c r="W699" s="455" t="s">
        <v>406</v>
      </c>
      <c r="X699" s="455">
        <v>45588</v>
      </c>
      <c r="Y699" s="456" t="s">
        <v>377</v>
      </c>
      <c r="Z699" s="457"/>
      <c r="AA699" s="453"/>
    </row>
    <row r="700" spans="1:27" s="128" customFormat="1" ht="37.5">
      <c r="A700" s="443">
        <v>169</v>
      </c>
      <c r="B700" s="444" t="s">
        <v>4380</v>
      </c>
      <c r="C700" s="445" t="s">
        <v>74</v>
      </c>
      <c r="D700" s="444" t="s">
        <v>4381</v>
      </c>
      <c r="E700" s="446">
        <v>1</v>
      </c>
      <c r="F700" s="447"/>
      <c r="G700" s="448">
        <f t="shared" si="27"/>
        <v>0</v>
      </c>
      <c r="H700" s="450"/>
      <c r="I700" s="444"/>
      <c r="J700" s="450"/>
      <c r="K700" s="444" t="s">
        <v>4307</v>
      </c>
      <c r="L700" s="450" t="s">
        <v>1577</v>
      </c>
      <c r="M700" s="444" t="s">
        <v>4332</v>
      </c>
      <c r="N700" s="450"/>
      <c r="O700" s="450"/>
      <c r="P700" s="450" t="s">
        <v>2440</v>
      </c>
      <c r="Q700" s="451" t="s">
        <v>374</v>
      </c>
      <c r="R700" s="451" t="s">
        <v>3636</v>
      </c>
      <c r="S700" s="452">
        <v>45595</v>
      </c>
      <c r="T700" s="452"/>
      <c r="U700" s="453"/>
      <c r="V700" s="454"/>
      <c r="W700" s="455" t="s">
        <v>406</v>
      </c>
      <c r="X700" s="455">
        <v>45588</v>
      </c>
      <c r="Y700" s="456" t="s">
        <v>377</v>
      </c>
      <c r="Z700" s="457"/>
      <c r="AA700" s="453"/>
    </row>
    <row r="701" spans="1:27" s="128" customFormat="1" ht="37.5">
      <c r="A701" s="443">
        <v>170</v>
      </c>
      <c r="B701" s="444" t="s">
        <v>4382</v>
      </c>
      <c r="C701" s="445" t="s">
        <v>74</v>
      </c>
      <c r="D701" s="444" t="s">
        <v>4383</v>
      </c>
      <c r="E701" s="446">
        <v>1</v>
      </c>
      <c r="F701" s="447"/>
      <c r="G701" s="448">
        <f t="shared" si="27"/>
        <v>0</v>
      </c>
      <c r="H701" s="450"/>
      <c r="I701" s="444"/>
      <c r="J701" s="450"/>
      <c r="K701" s="444" t="s">
        <v>4307</v>
      </c>
      <c r="L701" s="450" t="s">
        <v>1577</v>
      </c>
      <c r="M701" s="444" t="s">
        <v>4332</v>
      </c>
      <c r="N701" s="450"/>
      <c r="O701" s="450"/>
      <c r="P701" s="450" t="s">
        <v>2440</v>
      </c>
      <c r="Q701" s="451" t="s">
        <v>374</v>
      </c>
      <c r="R701" s="451" t="s">
        <v>3636</v>
      </c>
      <c r="S701" s="452">
        <v>45595</v>
      </c>
      <c r="T701" s="452"/>
      <c r="U701" s="453"/>
      <c r="V701" s="454"/>
      <c r="W701" s="455" t="s">
        <v>406</v>
      </c>
      <c r="X701" s="455">
        <v>45588</v>
      </c>
      <c r="Y701" s="456" t="s">
        <v>377</v>
      </c>
      <c r="Z701" s="457"/>
      <c r="AA701" s="453"/>
    </row>
    <row r="702" spans="1:27" s="128" customFormat="1" ht="37.5">
      <c r="A702" s="443">
        <v>171</v>
      </c>
      <c r="B702" s="444" t="s">
        <v>4384</v>
      </c>
      <c r="C702" s="445" t="s">
        <v>74</v>
      </c>
      <c r="D702" s="444" t="s">
        <v>4385</v>
      </c>
      <c r="E702" s="446">
        <v>1</v>
      </c>
      <c r="F702" s="447"/>
      <c r="G702" s="448">
        <f t="shared" si="27"/>
        <v>0</v>
      </c>
      <c r="H702" s="450"/>
      <c r="I702" s="444"/>
      <c r="J702" s="450"/>
      <c r="K702" s="444" t="s">
        <v>4307</v>
      </c>
      <c r="L702" s="450" t="s">
        <v>1577</v>
      </c>
      <c r="M702" s="444" t="s">
        <v>4332</v>
      </c>
      <c r="N702" s="450"/>
      <c r="O702" s="450"/>
      <c r="P702" s="450" t="s">
        <v>2440</v>
      </c>
      <c r="Q702" s="451" t="s">
        <v>374</v>
      </c>
      <c r="R702" s="451" t="s">
        <v>3636</v>
      </c>
      <c r="S702" s="452">
        <v>45595</v>
      </c>
      <c r="T702" s="452"/>
      <c r="U702" s="453"/>
      <c r="V702" s="454"/>
      <c r="W702" s="455" t="s">
        <v>406</v>
      </c>
      <c r="X702" s="455">
        <v>45588</v>
      </c>
      <c r="Y702" s="456" t="s">
        <v>377</v>
      </c>
      <c r="Z702" s="457"/>
      <c r="AA702" s="453"/>
    </row>
    <row r="703" spans="1:27" s="128" customFormat="1" ht="37.5">
      <c r="A703" s="443">
        <v>172</v>
      </c>
      <c r="B703" s="444" t="s">
        <v>4386</v>
      </c>
      <c r="C703" s="445" t="s">
        <v>74</v>
      </c>
      <c r="D703" s="444" t="s">
        <v>4387</v>
      </c>
      <c r="E703" s="446">
        <v>1</v>
      </c>
      <c r="F703" s="447"/>
      <c r="G703" s="448">
        <f t="shared" si="27"/>
        <v>0</v>
      </c>
      <c r="H703" s="450"/>
      <c r="I703" s="444"/>
      <c r="J703" s="450"/>
      <c r="K703" s="444" t="s">
        <v>4307</v>
      </c>
      <c r="L703" s="450" t="s">
        <v>1577</v>
      </c>
      <c r="M703" s="444" t="s">
        <v>4388</v>
      </c>
      <c r="N703" s="450"/>
      <c r="O703" s="450"/>
      <c r="P703" s="450" t="s">
        <v>2440</v>
      </c>
      <c r="Q703" s="451" t="s">
        <v>374</v>
      </c>
      <c r="R703" s="451" t="s">
        <v>244</v>
      </c>
      <c r="S703" s="452">
        <v>45588</v>
      </c>
      <c r="T703" s="452"/>
      <c r="U703" s="453"/>
      <c r="V703" s="454"/>
      <c r="W703" s="455" t="s">
        <v>406</v>
      </c>
      <c r="X703" s="455">
        <v>45588</v>
      </c>
      <c r="Y703" s="456" t="s">
        <v>377</v>
      </c>
      <c r="Z703" s="457"/>
      <c r="AA703" s="453"/>
    </row>
    <row r="704" spans="1:27" s="128" customFormat="1" ht="37.5">
      <c r="A704" s="443">
        <v>173</v>
      </c>
      <c r="B704" s="444" t="s">
        <v>4389</v>
      </c>
      <c r="C704" s="445" t="s">
        <v>74</v>
      </c>
      <c r="D704" s="444" t="s">
        <v>4390</v>
      </c>
      <c r="E704" s="446">
        <v>1</v>
      </c>
      <c r="F704" s="447"/>
      <c r="G704" s="448">
        <f t="shared" si="27"/>
        <v>0</v>
      </c>
      <c r="H704" s="450"/>
      <c r="I704" s="444"/>
      <c r="J704" s="450"/>
      <c r="K704" s="444" t="s">
        <v>4307</v>
      </c>
      <c r="L704" s="450" t="s">
        <v>1577</v>
      </c>
      <c r="M704" s="444" t="s">
        <v>4388</v>
      </c>
      <c r="N704" s="450"/>
      <c r="O704" s="450"/>
      <c r="P704" s="450" t="s">
        <v>2440</v>
      </c>
      <c r="Q704" s="451" t="s">
        <v>374</v>
      </c>
      <c r="R704" s="451" t="s">
        <v>244</v>
      </c>
      <c r="S704" s="452">
        <v>45588</v>
      </c>
      <c r="T704" s="452"/>
      <c r="U704" s="453"/>
      <c r="V704" s="454"/>
      <c r="W704" s="455" t="s">
        <v>406</v>
      </c>
      <c r="X704" s="455">
        <v>45588</v>
      </c>
      <c r="Y704" s="456" t="s">
        <v>377</v>
      </c>
      <c r="Z704" s="457"/>
      <c r="AA704" s="453"/>
    </row>
    <row r="705" spans="1:27" s="441" customFormat="1" ht="37.5">
      <c r="A705" s="427">
        <v>174</v>
      </c>
      <c r="B705" s="428" t="s">
        <v>4391</v>
      </c>
      <c r="C705" s="429" t="s">
        <v>74</v>
      </c>
      <c r="D705" s="428" t="s">
        <v>4392</v>
      </c>
      <c r="E705" s="430">
        <v>8</v>
      </c>
      <c r="F705" s="431"/>
      <c r="G705" s="432">
        <f t="shared" si="27"/>
        <v>0</v>
      </c>
      <c r="H705" s="433"/>
      <c r="I705" s="428"/>
      <c r="J705" s="433"/>
      <c r="K705" s="428" t="s">
        <v>4307</v>
      </c>
      <c r="L705" s="433" t="s">
        <v>1577</v>
      </c>
      <c r="M705" s="428" t="s">
        <v>4393</v>
      </c>
      <c r="N705" s="433"/>
      <c r="O705" s="433"/>
      <c r="P705" s="433" t="s">
        <v>2440</v>
      </c>
      <c r="Q705" s="434" t="s">
        <v>726</v>
      </c>
      <c r="R705" s="434" t="s">
        <v>260</v>
      </c>
      <c r="S705" s="435" t="s">
        <v>444</v>
      </c>
      <c r="T705" s="435"/>
      <c r="U705" s="436"/>
      <c r="V705" s="437"/>
      <c r="W705" s="438"/>
      <c r="X705" s="438"/>
      <c r="Y705" s="439" t="s">
        <v>592</v>
      </c>
      <c r="Z705" s="440"/>
      <c r="AA705" s="436"/>
    </row>
    <row r="706" spans="1:27" s="128" customFormat="1" ht="37.5">
      <c r="A706" s="443">
        <v>175</v>
      </c>
      <c r="B706" s="444" t="s">
        <v>4394</v>
      </c>
      <c r="C706" s="445" t="s">
        <v>74</v>
      </c>
      <c r="D706" s="444" t="s">
        <v>4395</v>
      </c>
      <c r="E706" s="446">
        <v>2</v>
      </c>
      <c r="F706" s="447"/>
      <c r="G706" s="448">
        <f t="shared" si="27"/>
        <v>0</v>
      </c>
      <c r="H706" s="450"/>
      <c r="I706" s="444"/>
      <c r="J706" s="450"/>
      <c r="K706" s="444" t="s">
        <v>4307</v>
      </c>
      <c r="L706" s="450" t="s">
        <v>1577</v>
      </c>
      <c r="M706" s="444" t="s">
        <v>4317</v>
      </c>
      <c r="N706" s="450"/>
      <c r="O706" s="450"/>
      <c r="P706" s="450" t="s">
        <v>2440</v>
      </c>
      <c r="Q706" s="451" t="s">
        <v>374</v>
      </c>
      <c r="R706" s="451" t="s">
        <v>2906</v>
      </c>
      <c r="S706" s="452">
        <v>45595</v>
      </c>
      <c r="T706" s="452"/>
      <c r="U706" s="453"/>
      <c r="V706" s="454"/>
      <c r="W706" s="455" t="s">
        <v>406</v>
      </c>
      <c r="X706" s="455">
        <v>45590</v>
      </c>
      <c r="Y706" s="456" t="s">
        <v>377</v>
      </c>
      <c r="Z706" s="457"/>
      <c r="AA706" s="453"/>
    </row>
    <row r="707" spans="1:27" s="128" customFormat="1" ht="37.5">
      <c r="A707" s="443">
        <v>176</v>
      </c>
      <c r="B707" s="444" t="s">
        <v>4396</v>
      </c>
      <c r="C707" s="445" t="s">
        <v>74</v>
      </c>
      <c r="D707" s="444" t="s">
        <v>4397</v>
      </c>
      <c r="E707" s="446">
        <v>1</v>
      </c>
      <c r="F707" s="447"/>
      <c r="G707" s="448">
        <f t="shared" si="27"/>
        <v>0</v>
      </c>
      <c r="H707" s="450"/>
      <c r="I707" s="444"/>
      <c r="J707" s="450"/>
      <c r="K707" s="444" t="s">
        <v>4307</v>
      </c>
      <c r="L707" s="450" t="s">
        <v>1577</v>
      </c>
      <c r="M707" s="444" t="s">
        <v>4317</v>
      </c>
      <c r="N707" s="450"/>
      <c r="O707" s="450"/>
      <c r="P707" s="450" t="s">
        <v>2440</v>
      </c>
      <c r="Q707" s="451" t="s">
        <v>374</v>
      </c>
      <c r="R707" s="451" t="s">
        <v>2906</v>
      </c>
      <c r="S707" s="452">
        <v>45595</v>
      </c>
      <c r="T707" s="452"/>
      <c r="U707" s="453"/>
      <c r="V707" s="454"/>
      <c r="W707" s="455" t="s">
        <v>406</v>
      </c>
      <c r="X707" s="455">
        <v>45590</v>
      </c>
      <c r="Y707" s="456" t="s">
        <v>377</v>
      </c>
      <c r="Z707" s="457"/>
      <c r="AA707" s="453"/>
    </row>
    <row r="708" spans="1:27" s="128" customFormat="1" ht="37.5">
      <c r="A708" s="443">
        <v>177</v>
      </c>
      <c r="B708" s="444" t="s">
        <v>4398</v>
      </c>
      <c r="C708" s="445" t="s">
        <v>74</v>
      </c>
      <c r="D708" s="444" t="s">
        <v>4399</v>
      </c>
      <c r="E708" s="446">
        <v>1</v>
      </c>
      <c r="F708" s="447"/>
      <c r="G708" s="448">
        <f t="shared" si="27"/>
        <v>0</v>
      </c>
      <c r="H708" s="450"/>
      <c r="I708" s="444"/>
      <c r="J708" s="450"/>
      <c r="K708" s="444" t="s">
        <v>4307</v>
      </c>
      <c r="L708" s="450" t="s">
        <v>1577</v>
      </c>
      <c r="M708" s="444" t="s">
        <v>4332</v>
      </c>
      <c r="N708" s="450"/>
      <c r="O708" s="450"/>
      <c r="P708" s="450" t="s">
        <v>2440</v>
      </c>
      <c r="Q708" s="451" t="s">
        <v>374</v>
      </c>
      <c r="R708" s="451" t="s">
        <v>3636</v>
      </c>
      <c r="S708" s="452">
        <v>45595</v>
      </c>
      <c r="T708" s="452"/>
      <c r="U708" s="453"/>
      <c r="V708" s="454"/>
      <c r="W708" s="455" t="s">
        <v>406</v>
      </c>
      <c r="X708" s="455">
        <v>45588</v>
      </c>
      <c r="Y708" s="456" t="s">
        <v>377</v>
      </c>
      <c r="Z708" s="457"/>
      <c r="AA708" s="453"/>
    </row>
    <row r="709" spans="1:27" s="128" customFormat="1" ht="37.5">
      <c r="A709" s="443">
        <v>178</v>
      </c>
      <c r="B709" s="444" t="s">
        <v>4400</v>
      </c>
      <c r="C709" s="445" t="s">
        <v>74</v>
      </c>
      <c r="D709" s="444" t="s">
        <v>4401</v>
      </c>
      <c r="E709" s="446">
        <v>1</v>
      </c>
      <c r="F709" s="447"/>
      <c r="G709" s="448">
        <f t="shared" si="27"/>
        <v>0</v>
      </c>
      <c r="H709" s="450"/>
      <c r="I709" s="444"/>
      <c r="J709" s="450"/>
      <c r="K709" s="444" t="s">
        <v>4307</v>
      </c>
      <c r="L709" s="450" t="s">
        <v>1577</v>
      </c>
      <c r="M709" s="444" t="s">
        <v>4402</v>
      </c>
      <c r="N709" s="450"/>
      <c r="O709" s="450"/>
      <c r="P709" s="450" t="s">
        <v>2440</v>
      </c>
      <c r="Q709" s="451" t="s">
        <v>374</v>
      </c>
      <c r="R709" s="451" t="s">
        <v>3352</v>
      </c>
      <c r="S709" s="452">
        <v>45590</v>
      </c>
      <c r="T709" s="452"/>
      <c r="U709" s="453"/>
      <c r="V709" s="454"/>
      <c r="W709" s="455" t="s">
        <v>406</v>
      </c>
      <c r="X709" s="455">
        <v>45586</v>
      </c>
      <c r="Y709" s="456" t="s">
        <v>377</v>
      </c>
      <c r="Z709" s="457"/>
      <c r="AA709" s="453"/>
    </row>
    <row r="710" spans="1:27" s="441" customFormat="1">
      <c r="A710" s="427">
        <v>179</v>
      </c>
      <c r="B710" s="428" t="s">
        <v>4276</v>
      </c>
      <c r="C710" s="429" t="s">
        <v>74</v>
      </c>
      <c r="D710" s="428" t="s">
        <v>4277</v>
      </c>
      <c r="E710" s="430">
        <v>1</v>
      </c>
      <c r="F710" s="431"/>
      <c r="G710" s="432">
        <f t="shared" ref="G710:G715" si="28">E710*F710</f>
        <v>0</v>
      </c>
      <c r="H710" s="433"/>
      <c r="I710" s="428"/>
      <c r="J710" s="433"/>
      <c r="K710" s="428"/>
      <c r="L710" s="433"/>
      <c r="M710" s="428"/>
      <c r="N710" s="433"/>
      <c r="O710" s="433"/>
      <c r="P710" s="433"/>
      <c r="Q710" s="434"/>
      <c r="R710" s="434" t="s">
        <v>2957</v>
      </c>
      <c r="S710" s="435"/>
      <c r="T710" s="435"/>
      <c r="U710" s="436"/>
      <c r="V710" s="437"/>
      <c r="W710" s="438"/>
      <c r="X710" s="438"/>
      <c r="Y710" s="439" t="s">
        <v>592</v>
      </c>
      <c r="Z710" s="440"/>
      <c r="AA710" s="436"/>
    </row>
    <row r="711" spans="1:27" s="441" customFormat="1">
      <c r="A711" s="427">
        <v>180</v>
      </c>
      <c r="B711" s="428" t="s">
        <v>4206</v>
      </c>
      <c r="C711" s="429" t="s">
        <v>74</v>
      </c>
      <c r="D711" s="428" t="s">
        <v>4207</v>
      </c>
      <c r="E711" s="430">
        <v>1</v>
      </c>
      <c r="F711" s="431"/>
      <c r="G711" s="432">
        <f t="shared" si="28"/>
        <v>0</v>
      </c>
      <c r="H711" s="433"/>
      <c r="I711" s="428"/>
      <c r="J711" s="433"/>
      <c r="K711" s="428"/>
      <c r="L711" s="433"/>
      <c r="M711" s="428"/>
      <c r="N711" s="433"/>
      <c r="O711" s="433"/>
      <c r="P711" s="433"/>
      <c r="Q711" s="434"/>
      <c r="R711" s="434" t="s">
        <v>2906</v>
      </c>
      <c r="S711" s="435"/>
      <c r="T711" s="435"/>
      <c r="U711" s="436"/>
      <c r="V711" s="437"/>
      <c r="W711" s="438"/>
      <c r="X711" s="438"/>
      <c r="Y711" s="439" t="s">
        <v>592</v>
      </c>
      <c r="Z711" s="440"/>
      <c r="AA711" s="436"/>
    </row>
    <row r="712" spans="1:27" s="441" customFormat="1">
      <c r="A712" s="427">
        <v>181</v>
      </c>
      <c r="B712" s="428" t="s">
        <v>4226</v>
      </c>
      <c r="C712" s="429" t="s">
        <v>74</v>
      </c>
      <c r="D712" s="428" t="s">
        <v>4227</v>
      </c>
      <c r="E712" s="430">
        <v>1</v>
      </c>
      <c r="F712" s="431"/>
      <c r="G712" s="432">
        <f t="shared" si="28"/>
        <v>0</v>
      </c>
      <c r="H712" s="433"/>
      <c r="I712" s="428"/>
      <c r="J712" s="433"/>
      <c r="K712" s="428"/>
      <c r="L712" s="433"/>
      <c r="M712" s="428"/>
      <c r="N712" s="433"/>
      <c r="O712" s="433"/>
      <c r="P712" s="433"/>
      <c r="Q712" s="434"/>
      <c r="R712" s="434" t="s">
        <v>2906</v>
      </c>
      <c r="S712" s="435"/>
      <c r="T712" s="435"/>
      <c r="U712" s="436"/>
      <c r="V712" s="437"/>
      <c r="W712" s="438"/>
      <c r="X712" s="438"/>
      <c r="Y712" s="439" t="s">
        <v>592</v>
      </c>
      <c r="Z712" s="440"/>
      <c r="AA712" s="436"/>
    </row>
    <row r="713" spans="1:27" s="441" customFormat="1">
      <c r="A713" s="427">
        <v>182</v>
      </c>
      <c r="B713" s="428" t="s">
        <v>4249</v>
      </c>
      <c r="C713" s="429" t="s">
        <v>74</v>
      </c>
      <c r="D713" s="428" t="s">
        <v>4250</v>
      </c>
      <c r="E713" s="430">
        <v>1</v>
      </c>
      <c r="F713" s="431"/>
      <c r="G713" s="432">
        <f t="shared" si="28"/>
        <v>0</v>
      </c>
      <c r="H713" s="433"/>
      <c r="I713" s="428"/>
      <c r="J713" s="433"/>
      <c r="K713" s="428"/>
      <c r="L713" s="433"/>
      <c r="M713" s="428"/>
      <c r="N713" s="433"/>
      <c r="O713" s="433"/>
      <c r="P713" s="433"/>
      <c r="Q713" s="434"/>
      <c r="R713" s="434" t="s">
        <v>2906</v>
      </c>
      <c r="S713" s="435"/>
      <c r="T713" s="435"/>
      <c r="U713" s="436"/>
      <c r="V713" s="437"/>
      <c r="W713" s="438"/>
      <c r="X713" s="438"/>
      <c r="Y713" s="439" t="s">
        <v>592</v>
      </c>
      <c r="Z713" s="440"/>
      <c r="AA713" s="436"/>
    </row>
    <row r="714" spans="1:27" s="128" customFormat="1" ht="37.5">
      <c r="A714" s="443">
        <v>183</v>
      </c>
      <c r="B714" s="444" t="s">
        <v>4391</v>
      </c>
      <c r="C714" s="445" t="s">
        <v>74</v>
      </c>
      <c r="D714" s="444" t="s">
        <v>4392</v>
      </c>
      <c r="E714" s="446">
        <v>8</v>
      </c>
      <c r="F714" s="447"/>
      <c r="G714" s="448">
        <f t="shared" si="28"/>
        <v>0</v>
      </c>
      <c r="H714" s="450"/>
      <c r="I714" s="444"/>
      <c r="J714" s="450"/>
      <c r="K714" s="444" t="s">
        <v>4307</v>
      </c>
      <c r="L714" s="450" t="s">
        <v>1577</v>
      </c>
      <c r="M714" s="444" t="s">
        <v>4393</v>
      </c>
      <c r="N714" s="450"/>
      <c r="O714" s="450"/>
      <c r="P714" s="450" t="s">
        <v>2440</v>
      </c>
      <c r="Q714" s="451" t="s">
        <v>1176</v>
      </c>
      <c r="R714" s="451" t="s">
        <v>260</v>
      </c>
      <c r="S714" s="452">
        <v>45590</v>
      </c>
      <c r="T714" s="452"/>
      <c r="U714" s="453"/>
      <c r="V714" s="454"/>
      <c r="W714" s="455" t="s">
        <v>406</v>
      </c>
      <c r="X714" s="455">
        <v>45593</v>
      </c>
      <c r="Y714" s="456" t="s">
        <v>377</v>
      </c>
      <c r="Z714" s="457"/>
      <c r="AA714" s="453"/>
    </row>
    <row r="715" spans="1:27" s="128" customFormat="1" ht="37.5">
      <c r="A715" s="443">
        <v>184</v>
      </c>
      <c r="B715" s="444" t="s">
        <v>4357</v>
      </c>
      <c r="C715" s="445" t="s">
        <v>74</v>
      </c>
      <c r="D715" s="444" t="s">
        <v>4358</v>
      </c>
      <c r="E715" s="446">
        <v>1</v>
      </c>
      <c r="F715" s="447"/>
      <c r="G715" s="448">
        <f t="shared" si="28"/>
        <v>0</v>
      </c>
      <c r="H715" s="450"/>
      <c r="I715" s="444"/>
      <c r="J715" s="450"/>
      <c r="K715" s="444" t="s">
        <v>4307</v>
      </c>
      <c r="L715" s="450" t="s">
        <v>1577</v>
      </c>
      <c r="M715" s="444" t="s">
        <v>4317</v>
      </c>
      <c r="N715" s="450"/>
      <c r="O715" s="450"/>
      <c r="P715" s="450" t="s">
        <v>2440</v>
      </c>
      <c r="Q715" s="451" t="s">
        <v>374</v>
      </c>
      <c r="R715" s="451" t="s">
        <v>2906</v>
      </c>
      <c r="S715" s="452">
        <v>45595</v>
      </c>
      <c r="T715" s="452"/>
      <c r="U715" s="453"/>
      <c r="V715" s="454"/>
      <c r="W715" s="455" t="s">
        <v>406</v>
      </c>
      <c r="X715" s="455">
        <v>45595</v>
      </c>
      <c r="Y715" s="456" t="s">
        <v>377</v>
      </c>
      <c r="Z715" s="457"/>
      <c r="AA715" s="453"/>
    </row>
    <row r="716" spans="1:27">
      <c r="A716" s="389"/>
      <c r="B716" s="390" t="s">
        <v>1807</v>
      </c>
      <c r="C716" s="391"/>
      <c r="D716" s="392"/>
      <c r="E716" s="393"/>
      <c r="F716" s="394"/>
      <c r="G716" s="395">
        <f t="shared" si="21"/>
        <v>0</v>
      </c>
      <c r="H716" s="420"/>
      <c r="I716" s="392"/>
      <c r="J716" s="420"/>
      <c r="K716" s="392"/>
      <c r="L716" s="397"/>
      <c r="M716" s="392"/>
      <c r="N716" s="397"/>
      <c r="O716" s="397"/>
      <c r="P716" s="397"/>
      <c r="Q716" s="398"/>
      <c r="R716" s="398"/>
      <c r="S716" s="399"/>
      <c r="T716" s="399"/>
      <c r="U716" s="400"/>
      <c r="V716" s="401"/>
      <c r="W716" s="402"/>
      <c r="X716" s="402"/>
      <c r="Y716" s="403"/>
      <c r="Z716" s="404"/>
      <c r="AA716" s="493"/>
    </row>
    <row r="717" spans="1:27" s="128" customFormat="1" ht="56.25">
      <c r="A717" s="405">
        <v>1</v>
      </c>
      <c r="B717" s="407" t="s">
        <v>4403</v>
      </c>
      <c r="C717" s="406" t="s">
        <v>76</v>
      </c>
      <c r="D717" s="407" t="s">
        <v>4404</v>
      </c>
      <c r="E717" s="408">
        <v>1</v>
      </c>
      <c r="F717" s="409"/>
      <c r="G717" s="410">
        <f t="shared" ref="G717:G718" si="29">E717*F717</f>
        <v>0</v>
      </c>
      <c r="H717" s="412"/>
      <c r="I717" s="407"/>
      <c r="J717" s="412"/>
      <c r="K717" s="407" t="s">
        <v>4405</v>
      </c>
      <c r="L717" s="412" t="s">
        <v>2779</v>
      </c>
      <c r="M717" s="407" t="s">
        <v>4406</v>
      </c>
      <c r="N717" s="412"/>
      <c r="O717" s="412"/>
      <c r="P717" s="412" t="s">
        <v>4407</v>
      </c>
      <c r="Q717" s="413" t="s">
        <v>726</v>
      </c>
      <c r="R717" s="413" t="s">
        <v>4408</v>
      </c>
      <c r="S717" s="414">
        <v>45618</v>
      </c>
      <c r="T717" s="414" t="s">
        <v>4409</v>
      </c>
      <c r="U717" s="415"/>
      <c r="V717" s="416"/>
      <c r="W717" s="417"/>
      <c r="X717" s="417"/>
      <c r="Y717" s="418" t="s">
        <v>377</v>
      </c>
      <c r="Z717" s="496"/>
      <c r="AA717" s="415"/>
    </row>
    <row r="718" spans="1:27" s="128" customFormat="1" ht="56.25">
      <c r="A718" s="405">
        <v>2</v>
      </c>
      <c r="B718" s="407" t="s">
        <v>4410</v>
      </c>
      <c r="C718" s="406" t="s">
        <v>76</v>
      </c>
      <c r="D718" s="407" t="s">
        <v>4411</v>
      </c>
      <c r="E718" s="408">
        <v>1</v>
      </c>
      <c r="F718" s="409"/>
      <c r="G718" s="410">
        <f t="shared" si="29"/>
        <v>0</v>
      </c>
      <c r="H718" s="412"/>
      <c r="I718" s="407"/>
      <c r="J718" s="412"/>
      <c r="K718" s="407" t="s">
        <v>4405</v>
      </c>
      <c r="L718" s="412" t="s">
        <v>2779</v>
      </c>
      <c r="M718" s="407" t="s">
        <v>4406</v>
      </c>
      <c r="N718" s="412"/>
      <c r="O718" s="412"/>
      <c r="P718" s="412" t="s">
        <v>4407</v>
      </c>
      <c r="Q718" s="413" t="s">
        <v>726</v>
      </c>
      <c r="R718" s="413" t="s">
        <v>4408</v>
      </c>
      <c r="S718" s="414">
        <v>45618</v>
      </c>
      <c r="T718" s="414" t="s">
        <v>4409</v>
      </c>
      <c r="U718" s="415"/>
      <c r="V718" s="416"/>
      <c r="W718" s="417"/>
      <c r="X718" s="417"/>
      <c r="Y718" s="418" t="s">
        <v>377</v>
      </c>
      <c r="Z718" s="496"/>
      <c r="AA718" s="415"/>
    </row>
    <row r="719" spans="1:27" s="128" customFormat="1" ht="37.5">
      <c r="A719" s="405">
        <v>3</v>
      </c>
      <c r="B719" s="407" t="s">
        <v>4412</v>
      </c>
      <c r="C719" s="406" t="s">
        <v>76</v>
      </c>
      <c r="D719" s="407" t="s">
        <v>4413</v>
      </c>
      <c r="E719" s="408">
        <v>1</v>
      </c>
      <c r="F719" s="409"/>
      <c r="G719" s="410">
        <f t="shared" ref="G719:G757" si="30">E719*F719</f>
        <v>0</v>
      </c>
      <c r="H719" s="412"/>
      <c r="I719" s="407"/>
      <c r="J719" s="412"/>
      <c r="K719" s="407" t="s">
        <v>4414</v>
      </c>
      <c r="L719" s="412" t="s">
        <v>444</v>
      </c>
      <c r="M719" s="407" t="s">
        <v>444</v>
      </c>
      <c r="N719" s="412"/>
      <c r="O719" s="412"/>
      <c r="P719" s="412" t="s">
        <v>444</v>
      </c>
      <c r="Q719" s="413" t="s">
        <v>1514</v>
      </c>
      <c r="R719" s="413" t="s">
        <v>260</v>
      </c>
      <c r="S719" s="414"/>
      <c r="T719" s="414"/>
      <c r="U719" s="415"/>
      <c r="V719" s="416"/>
      <c r="W719" s="417"/>
      <c r="X719" s="417"/>
      <c r="Y719" s="418" t="s">
        <v>377</v>
      </c>
      <c r="Z719" s="496"/>
      <c r="AA719" s="415"/>
    </row>
    <row r="720" spans="1:27" s="128" customFormat="1" ht="37.5">
      <c r="A720" s="405">
        <v>4</v>
      </c>
      <c r="B720" s="407" t="s">
        <v>4415</v>
      </c>
      <c r="C720" s="406" t="s">
        <v>76</v>
      </c>
      <c r="D720" s="407" t="s">
        <v>4416</v>
      </c>
      <c r="E720" s="408">
        <v>2</v>
      </c>
      <c r="F720" s="409"/>
      <c r="G720" s="410">
        <f t="shared" si="30"/>
        <v>0</v>
      </c>
      <c r="H720" s="412"/>
      <c r="I720" s="407"/>
      <c r="J720" s="412"/>
      <c r="K720" s="407" t="s">
        <v>4414</v>
      </c>
      <c r="L720" s="412" t="s">
        <v>444</v>
      </c>
      <c r="M720" s="407" t="s">
        <v>444</v>
      </c>
      <c r="N720" s="412"/>
      <c r="O720" s="412"/>
      <c r="P720" s="412" t="s">
        <v>444</v>
      </c>
      <c r="Q720" s="413" t="s">
        <v>1514</v>
      </c>
      <c r="R720" s="413" t="s">
        <v>3363</v>
      </c>
      <c r="S720" s="414"/>
      <c r="T720" s="414"/>
      <c r="U720" s="415"/>
      <c r="V720" s="416"/>
      <c r="W720" s="417"/>
      <c r="X720" s="417"/>
      <c r="Y720" s="418" t="s">
        <v>377</v>
      </c>
      <c r="Z720" s="496"/>
      <c r="AA720" s="415"/>
    </row>
    <row r="721" spans="1:27" s="128" customFormat="1" ht="37.5">
      <c r="A721" s="405">
        <v>5</v>
      </c>
      <c r="B721" s="407" t="s">
        <v>4417</v>
      </c>
      <c r="C721" s="406" t="s">
        <v>76</v>
      </c>
      <c r="D721" s="407" t="s">
        <v>4418</v>
      </c>
      <c r="E721" s="408">
        <v>1</v>
      </c>
      <c r="F721" s="409"/>
      <c r="G721" s="410">
        <f t="shared" si="30"/>
        <v>0</v>
      </c>
      <c r="H721" s="412"/>
      <c r="I721" s="407"/>
      <c r="J721" s="412"/>
      <c r="K721" s="407" t="s">
        <v>4414</v>
      </c>
      <c r="L721" s="412" t="s">
        <v>444</v>
      </c>
      <c r="M721" s="407" t="s">
        <v>444</v>
      </c>
      <c r="N721" s="412"/>
      <c r="O721" s="412"/>
      <c r="P721" s="412" t="s">
        <v>444</v>
      </c>
      <c r="Q721" s="413" t="s">
        <v>1514</v>
      </c>
      <c r="R721" s="413" t="s">
        <v>3363</v>
      </c>
      <c r="S721" s="414"/>
      <c r="T721" s="414"/>
      <c r="U721" s="415"/>
      <c r="V721" s="416"/>
      <c r="W721" s="417"/>
      <c r="X721" s="417"/>
      <c r="Y721" s="418" t="s">
        <v>377</v>
      </c>
      <c r="Z721" s="496"/>
      <c r="AA721" s="415"/>
    </row>
    <row r="722" spans="1:27" s="128" customFormat="1" ht="37.5">
      <c r="A722" s="405">
        <v>6</v>
      </c>
      <c r="B722" s="407" t="s">
        <v>4419</v>
      </c>
      <c r="C722" s="406" t="s">
        <v>76</v>
      </c>
      <c r="D722" s="407" t="s">
        <v>4420</v>
      </c>
      <c r="E722" s="408">
        <v>1</v>
      </c>
      <c r="F722" s="409"/>
      <c r="G722" s="410">
        <f t="shared" si="30"/>
        <v>0</v>
      </c>
      <c r="H722" s="412"/>
      <c r="I722" s="407"/>
      <c r="J722" s="412"/>
      <c r="K722" s="407" t="s">
        <v>4414</v>
      </c>
      <c r="L722" s="412" t="s">
        <v>444</v>
      </c>
      <c r="M722" s="407" t="s">
        <v>444</v>
      </c>
      <c r="N722" s="412"/>
      <c r="O722" s="412"/>
      <c r="P722" s="412" t="s">
        <v>444</v>
      </c>
      <c r="Q722" s="413" t="s">
        <v>1514</v>
      </c>
      <c r="R722" s="413" t="s">
        <v>2906</v>
      </c>
      <c r="S722" s="414"/>
      <c r="T722" s="414"/>
      <c r="U722" s="415"/>
      <c r="V722" s="416"/>
      <c r="W722" s="417"/>
      <c r="X722" s="417"/>
      <c r="Y722" s="418" t="s">
        <v>377</v>
      </c>
      <c r="Z722" s="496"/>
      <c r="AA722" s="415"/>
    </row>
    <row r="723" spans="1:27" s="128" customFormat="1" ht="37.5">
      <c r="A723" s="405">
        <v>7</v>
      </c>
      <c r="B723" s="407" t="s">
        <v>4421</v>
      </c>
      <c r="C723" s="406" t="s">
        <v>76</v>
      </c>
      <c r="D723" s="407" t="s">
        <v>4422</v>
      </c>
      <c r="E723" s="408">
        <v>1</v>
      </c>
      <c r="F723" s="409"/>
      <c r="G723" s="410">
        <f t="shared" si="30"/>
        <v>0</v>
      </c>
      <c r="H723" s="412"/>
      <c r="I723" s="407"/>
      <c r="J723" s="412"/>
      <c r="K723" s="407" t="s">
        <v>4414</v>
      </c>
      <c r="L723" s="412" t="s">
        <v>444</v>
      </c>
      <c r="M723" s="407" t="s">
        <v>444</v>
      </c>
      <c r="N723" s="412"/>
      <c r="O723" s="412"/>
      <c r="P723" s="412" t="s">
        <v>444</v>
      </c>
      <c r="Q723" s="413" t="s">
        <v>1514</v>
      </c>
      <c r="R723" s="413" t="s">
        <v>2906</v>
      </c>
      <c r="S723" s="414"/>
      <c r="T723" s="414"/>
      <c r="U723" s="415"/>
      <c r="V723" s="416"/>
      <c r="W723" s="417"/>
      <c r="X723" s="417"/>
      <c r="Y723" s="418" t="s">
        <v>377</v>
      </c>
      <c r="Z723" s="496"/>
      <c r="AA723" s="415"/>
    </row>
    <row r="724" spans="1:27" s="128" customFormat="1" ht="37.5">
      <c r="A724" s="405">
        <v>8</v>
      </c>
      <c r="B724" s="407" t="s">
        <v>4423</v>
      </c>
      <c r="C724" s="406" t="s">
        <v>76</v>
      </c>
      <c r="D724" s="407" t="s">
        <v>4424</v>
      </c>
      <c r="E724" s="408">
        <v>1</v>
      </c>
      <c r="F724" s="409"/>
      <c r="G724" s="410">
        <f t="shared" si="30"/>
        <v>0</v>
      </c>
      <c r="H724" s="412"/>
      <c r="I724" s="407"/>
      <c r="J724" s="412"/>
      <c r="K724" s="407" t="s">
        <v>4414</v>
      </c>
      <c r="L724" s="412" t="s">
        <v>444</v>
      </c>
      <c r="M724" s="407" t="s">
        <v>444</v>
      </c>
      <c r="N724" s="412"/>
      <c r="O724" s="412"/>
      <c r="P724" s="412" t="s">
        <v>444</v>
      </c>
      <c r="Q724" s="413" t="s">
        <v>1514</v>
      </c>
      <c r="R724" s="413" t="s">
        <v>2909</v>
      </c>
      <c r="S724" s="414"/>
      <c r="T724" s="414"/>
      <c r="U724" s="415"/>
      <c r="V724" s="416"/>
      <c r="W724" s="417"/>
      <c r="X724" s="417"/>
      <c r="Y724" s="418" t="s">
        <v>377</v>
      </c>
      <c r="Z724" s="496"/>
      <c r="AA724" s="415"/>
    </row>
    <row r="725" spans="1:27" s="128" customFormat="1" ht="37.5">
      <c r="A725" s="405">
        <v>9</v>
      </c>
      <c r="B725" s="407" t="s">
        <v>4425</v>
      </c>
      <c r="C725" s="406" t="s">
        <v>76</v>
      </c>
      <c r="D725" s="407" t="s">
        <v>4426</v>
      </c>
      <c r="E725" s="408">
        <v>1</v>
      </c>
      <c r="F725" s="409"/>
      <c r="G725" s="410">
        <f t="shared" si="30"/>
        <v>0</v>
      </c>
      <c r="H725" s="412"/>
      <c r="I725" s="407"/>
      <c r="J725" s="412"/>
      <c r="K725" s="407" t="s">
        <v>4414</v>
      </c>
      <c r="L725" s="412" t="s">
        <v>444</v>
      </c>
      <c r="M725" s="407" t="s">
        <v>444</v>
      </c>
      <c r="N725" s="412"/>
      <c r="O725" s="412"/>
      <c r="P725" s="412" t="s">
        <v>444</v>
      </c>
      <c r="Q725" s="413" t="s">
        <v>1514</v>
      </c>
      <c r="R725" s="413" t="s">
        <v>3363</v>
      </c>
      <c r="S725" s="414"/>
      <c r="T725" s="414"/>
      <c r="U725" s="415"/>
      <c r="V725" s="416"/>
      <c r="W725" s="417"/>
      <c r="X725" s="417"/>
      <c r="Y725" s="418" t="s">
        <v>377</v>
      </c>
      <c r="Z725" s="496"/>
      <c r="AA725" s="415"/>
    </row>
    <row r="726" spans="1:27" s="128" customFormat="1" ht="37.5">
      <c r="A726" s="405">
        <v>10</v>
      </c>
      <c r="B726" s="407" t="s">
        <v>4427</v>
      </c>
      <c r="C726" s="406" t="s">
        <v>76</v>
      </c>
      <c r="D726" s="407" t="s">
        <v>4428</v>
      </c>
      <c r="E726" s="408">
        <v>1</v>
      </c>
      <c r="F726" s="409"/>
      <c r="G726" s="410">
        <f t="shared" si="30"/>
        <v>0</v>
      </c>
      <c r="H726" s="412"/>
      <c r="I726" s="407"/>
      <c r="J726" s="412"/>
      <c r="K726" s="407" t="s">
        <v>4414</v>
      </c>
      <c r="L726" s="412" t="s">
        <v>444</v>
      </c>
      <c r="M726" s="407" t="s">
        <v>444</v>
      </c>
      <c r="N726" s="412"/>
      <c r="O726" s="412"/>
      <c r="P726" s="412" t="s">
        <v>444</v>
      </c>
      <c r="Q726" s="413" t="s">
        <v>1514</v>
      </c>
      <c r="R726" s="413" t="s">
        <v>3363</v>
      </c>
      <c r="S726" s="414"/>
      <c r="T726" s="414"/>
      <c r="U726" s="415"/>
      <c r="V726" s="416"/>
      <c r="W726" s="417"/>
      <c r="X726" s="417"/>
      <c r="Y726" s="418" t="s">
        <v>377</v>
      </c>
      <c r="Z726" s="496"/>
      <c r="AA726" s="415"/>
    </row>
    <row r="727" spans="1:27" s="128" customFormat="1" ht="37.5">
      <c r="A727" s="405">
        <v>11</v>
      </c>
      <c r="B727" s="407" t="s">
        <v>4429</v>
      </c>
      <c r="C727" s="406" t="s">
        <v>76</v>
      </c>
      <c r="D727" s="407" t="s">
        <v>4430</v>
      </c>
      <c r="E727" s="408">
        <v>1</v>
      </c>
      <c r="F727" s="409"/>
      <c r="G727" s="410">
        <f t="shared" si="30"/>
        <v>0</v>
      </c>
      <c r="H727" s="412"/>
      <c r="I727" s="407"/>
      <c r="J727" s="412"/>
      <c r="K727" s="407" t="s">
        <v>4414</v>
      </c>
      <c r="L727" s="412" t="s">
        <v>444</v>
      </c>
      <c r="M727" s="407" t="s">
        <v>444</v>
      </c>
      <c r="N727" s="412"/>
      <c r="O727" s="412"/>
      <c r="P727" s="412" t="s">
        <v>444</v>
      </c>
      <c r="Q727" s="413" t="s">
        <v>1514</v>
      </c>
      <c r="R727" s="413" t="s">
        <v>3363</v>
      </c>
      <c r="S727" s="414"/>
      <c r="T727" s="414"/>
      <c r="U727" s="415"/>
      <c r="V727" s="416"/>
      <c r="W727" s="417"/>
      <c r="X727" s="417"/>
      <c r="Y727" s="418" t="s">
        <v>377</v>
      </c>
      <c r="Z727" s="496"/>
      <c r="AA727" s="415"/>
    </row>
    <row r="728" spans="1:27" s="128" customFormat="1" ht="37.5">
      <c r="A728" s="405">
        <v>12</v>
      </c>
      <c r="B728" s="407" t="s">
        <v>4431</v>
      </c>
      <c r="C728" s="406" t="s">
        <v>76</v>
      </c>
      <c r="D728" s="407" t="s">
        <v>4432</v>
      </c>
      <c r="E728" s="408">
        <v>1</v>
      </c>
      <c r="F728" s="409"/>
      <c r="G728" s="410">
        <f t="shared" si="30"/>
        <v>0</v>
      </c>
      <c r="H728" s="412"/>
      <c r="I728" s="407"/>
      <c r="J728" s="412"/>
      <c r="K728" s="407" t="s">
        <v>4414</v>
      </c>
      <c r="L728" s="412" t="s">
        <v>444</v>
      </c>
      <c r="M728" s="407" t="s">
        <v>444</v>
      </c>
      <c r="N728" s="412"/>
      <c r="O728" s="412"/>
      <c r="P728" s="412" t="s">
        <v>444</v>
      </c>
      <c r="Q728" s="413" t="s">
        <v>1514</v>
      </c>
      <c r="R728" s="413" t="s">
        <v>2909</v>
      </c>
      <c r="S728" s="414"/>
      <c r="T728" s="414"/>
      <c r="U728" s="415"/>
      <c r="V728" s="416"/>
      <c r="W728" s="417"/>
      <c r="X728" s="417"/>
      <c r="Y728" s="418" t="s">
        <v>377</v>
      </c>
      <c r="Z728" s="496"/>
      <c r="AA728" s="415"/>
    </row>
    <row r="729" spans="1:27" s="128" customFormat="1" ht="37.5">
      <c r="A729" s="405">
        <v>13</v>
      </c>
      <c r="B729" s="407" t="s">
        <v>4433</v>
      </c>
      <c r="C729" s="406" t="s">
        <v>76</v>
      </c>
      <c r="D729" s="407" t="s">
        <v>4434</v>
      </c>
      <c r="E729" s="408">
        <v>1</v>
      </c>
      <c r="F729" s="409"/>
      <c r="G729" s="410">
        <f t="shared" si="30"/>
        <v>0</v>
      </c>
      <c r="H729" s="412"/>
      <c r="I729" s="407"/>
      <c r="J729" s="412"/>
      <c r="K729" s="407" t="s">
        <v>4414</v>
      </c>
      <c r="L729" s="412" t="s">
        <v>444</v>
      </c>
      <c r="M729" s="407" t="s">
        <v>444</v>
      </c>
      <c r="N729" s="412"/>
      <c r="O729" s="412"/>
      <c r="P729" s="412" t="s">
        <v>444</v>
      </c>
      <c r="Q729" s="413" t="s">
        <v>1514</v>
      </c>
      <c r="R729" s="413" t="s">
        <v>260</v>
      </c>
      <c r="S729" s="414"/>
      <c r="T729" s="414"/>
      <c r="U729" s="415"/>
      <c r="V729" s="416"/>
      <c r="W729" s="417"/>
      <c r="X729" s="417"/>
      <c r="Y729" s="418" t="s">
        <v>377</v>
      </c>
      <c r="Z729" s="496"/>
      <c r="AA729" s="415"/>
    </row>
    <row r="730" spans="1:27" s="128" customFormat="1" ht="37.5">
      <c r="A730" s="405">
        <v>14</v>
      </c>
      <c r="B730" s="407" t="s">
        <v>4435</v>
      </c>
      <c r="C730" s="406" t="s">
        <v>76</v>
      </c>
      <c r="D730" s="407" t="s">
        <v>4436</v>
      </c>
      <c r="E730" s="408">
        <v>1</v>
      </c>
      <c r="F730" s="409"/>
      <c r="G730" s="410">
        <f t="shared" si="30"/>
        <v>0</v>
      </c>
      <c r="H730" s="412"/>
      <c r="I730" s="407"/>
      <c r="J730" s="412"/>
      <c r="K730" s="407" t="s">
        <v>4414</v>
      </c>
      <c r="L730" s="412" t="s">
        <v>444</v>
      </c>
      <c r="M730" s="407" t="s">
        <v>444</v>
      </c>
      <c r="N730" s="412"/>
      <c r="O730" s="412"/>
      <c r="P730" s="412" t="s">
        <v>444</v>
      </c>
      <c r="Q730" s="413" t="s">
        <v>1514</v>
      </c>
      <c r="R730" s="413" t="s">
        <v>260</v>
      </c>
      <c r="S730" s="414"/>
      <c r="T730" s="414"/>
      <c r="U730" s="415"/>
      <c r="V730" s="416"/>
      <c r="W730" s="417"/>
      <c r="X730" s="417"/>
      <c r="Y730" s="418" t="s">
        <v>377</v>
      </c>
      <c r="Z730" s="496"/>
      <c r="AA730" s="415"/>
    </row>
    <row r="731" spans="1:27" s="128" customFormat="1" ht="37.5">
      <c r="A731" s="405">
        <v>15</v>
      </c>
      <c r="B731" s="407" t="s">
        <v>4437</v>
      </c>
      <c r="C731" s="406" t="s">
        <v>76</v>
      </c>
      <c r="D731" s="407" t="s">
        <v>4438</v>
      </c>
      <c r="E731" s="408">
        <v>1</v>
      </c>
      <c r="F731" s="409"/>
      <c r="G731" s="410">
        <f t="shared" si="30"/>
        <v>0</v>
      </c>
      <c r="H731" s="412"/>
      <c r="I731" s="407"/>
      <c r="J731" s="412"/>
      <c r="K731" s="407" t="s">
        <v>4414</v>
      </c>
      <c r="L731" s="412" t="s">
        <v>444</v>
      </c>
      <c r="M731" s="407" t="s">
        <v>444</v>
      </c>
      <c r="N731" s="412"/>
      <c r="O731" s="412"/>
      <c r="P731" s="412" t="s">
        <v>444</v>
      </c>
      <c r="Q731" s="413" t="s">
        <v>1514</v>
      </c>
      <c r="R731" s="413" t="s">
        <v>3363</v>
      </c>
      <c r="S731" s="414"/>
      <c r="T731" s="414"/>
      <c r="U731" s="415"/>
      <c r="V731" s="416"/>
      <c r="W731" s="417"/>
      <c r="X731" s="417"/>
      <c r="Y731" s="418" t="s">
        <v>377</v>
      </c>
      <c r="Z731" s="496"/>
      <c r="AA731" s="415"/>
    </row>
    <row r="732" spans="1:27" s="128" customFormat="1" ht="37.5">
      <c r="A732" s="405">
        <v>16</v>
      </c>
      <c r="B732" s="407" t="s">
        <v>4439</v>
      </c>
      <c r="C732" s="406" t="s">
        <v>76</v>
      </c>
      <c r="D732" s="407" t="s">
        <v>4440</v>
      </c>
      <c r="E732" s="408">
        <v>3</v>
      </c>
      <c r="F732" s="409"/>
      <c r="G732" s="410">
        <f t="shared" si="30"/>
        <v>0</v>
      </c>
      <c r="H732" s="412"/>
      <c r="I732" s="407"/>
      <c r="J732" s="412"/>
      <c r="K732" s="407" t="s">
        <v>4414</v>
      </c>
      <c r="L732" s="412" t="s">
        <v>444</v>
      </c>
      <c r="M732" s="407" t="s">
        <v>444</v>
      </c>
      <c r="N732" s="412"/>
      <c r="O732" s="412"/>
      <c r="P732" s="412" t="s">
        <v>444</v>
      </c>
      <c r="Q732" s="413" t="s">
        <v>1514</v>
      </c>
      <c r="R732" s="413" t="s">
        <v>2967</v>
      </c>
      <c r="S732" s="414"/>
      <c r="T732" s="414"/>
      <c r="U732" s="415"/>
      <c r="V732" s="416"/>
      <c r="W732" s="417"/>
      <c r="X732" s="417"/>
      <c r="Y732" s="418" t="s">
        <v>377</v>
      </c>
      <c r="Z732" s="496"/>
      <c r="AA732" s="415"/>
    </row>
    <row r="733" spans="1:27" s="128" customFormat="1" ht="37.5">
      <c r="A733" s="405">
        <v>17</v>
      </c>
      <c r="B733" s="407" t="s">
        <v>4441</v>
      </c>
      <c r="C733" s="406" t="s">
        <v>76</v>
      </c>
      <c r="D733" s="407" t="s">
        <v>4442</v>
      </c>
      <c r="E733" s="408">
        <v>1</v>
      </c>
      <c r="F733" s="409"/>
      <c r="G733" s="410">
        <f t="shared" si="30"/>
        <v>0</v>
      </c>
      <c r="H733" s="412"/>
      <c r="I733" s="407"/>
      <c r="J733" s="412"/>
      <c r="K733" s="407" t="s">
        <v>4414</v>
      </c>
      <c r="L733" s="412" t="s">
        <v>444</v>
      </c>
      <c r="M733" s="407" t="s">
        <v>444</v>
      </c>
      <c r="N733" s="412"/>
      <c r="O733" s="412"/>
      <c r="P733" s="412" t="s">
        <v>444</v>
      </c>
      <c r="Q733" s="413" t="s">
        <v>1514</v>
      </c>
      <c r="R733" s="413" t="s">
        <v>2967</v>
      </c>
      <c r="S733" s="414"/>
      <c r="T733" s="414"/>
      <c r="U733" s="415"/>
      <c r="V733" s="416"/>
      <c r="W733" s="417"/>
      <c r="X733" s="417"/>
      <c r="Y733" s="418" t="s">
        <v>377</v>
      </c>
      <c r="Z733" s="496"/>
      <c r="AA733" s="415"/>
    </row>
    <row r="734" spans="1:27" s="128" customFormat="1" ht="37.5">
      <c r="A734" s="405">
        <v>18</v>
      </c>
      <c r="B734" s="407" t="s">
        <v>4443</v>
      </c>
      <c r="C734" s="406" t="s">
        <v>76</v>
      </c>
      <c r="D734" s="407" t="s">
        <v>4444</v>
      </c>
      <c r="E734" s="408">
        <v>1</v>
      </c>
      <c r="F734" s="409"/>
      <c r="G734" s="410">
        <f t="shared" si="30"/>
        <v>0</v>
      </c>
      <c r="H734" s="412"/>
      <c r="I734" s="407"/>
      <c r="J734" s="412"/>
      <c r="K734" s="407" t="s">
        <v>4414</v>
      </c>
      <c r="L734" s="412" t="s">
        <v>444</v>
      </c>
      <c r="M734" s="407" t="s">
        <v>444</v>
      </c>
      <c r="N734" s="412"/>
      <c r="O734" s="412"/>
      <c r="P734" s="412" t="s">
        <v>444</v>
      </c>
      <c r="Q734" s="413" t="s">
        <v>1514</v>
      </c>
      <c r="R734" s="413" t="s">
        <v>2909</v>
      </c>
      <c r="S734" s="414"/>
      <c r="T734" s="414"/>
      <c r="U734" s="415"/>
      <c r="V734" s="416"/>
      <c r="W734" s="417"/>
      <c r="X734" s="417"/>
      <c r="Y734" s="418" t="s">
        <v>377</v>
      </c>
      <c r="Z734" s="496"/>
      <c r="AA734" s="415"/>
    </row>
    <row r="735" spans="1:27" s="128" customFormat="1" ht="37.5">
      <c r="A735" s="405">
        <v>19</v>
      </c>
      <c r="B735" s="407" t="s">
        <v>4445</v>
      </c>
      <c r="C735" s="406" t="s">
        <v>76</v>
      </c>
      <c r="D735" s="407" t="s">
        <v>4446</v>
      </c>
      <c r="E735" s="408">
        <v>1</v>
      </c>
      <c r="F735" s="409"/>
      <c r="G735" s="410">
        <f t="shared" si="30"/>
        <v>0</v>
      </c>
      <c r="H735" s="412"/>
      <c r="I735" s="407"/>
      <c r="J735" s="412"/>
      <c r="K735" s="407" t="s">
        <v>4414</v>
      </c>
      <c r="L735" s="412" t="s">
        <v>444</v>
      </c>
      <c r="M735" s="407" t="s">
        <v>444</v>
      </c>
      <c r="N735" s="412"/>
      <c r="O735" s="412"/>
      <c r="P735" s="412" t="s">
        <v>444</v>
      </c>
      <c r="Q735" s="413" t="s">
        <v>1514</v>
      </c>
      <c r="R735" s="413" t="s">
        <v>2909</v>
      </c>
      <c r="S735" s="414"/>
      <c r="T735" s="414"/>
      <c r="U735" s="415"/>
      <c r="V735" s="416"/>
      <c r="W735" s="417"/>
      <c r="X735" s="417"/>
      <c r="Y735" s="418" t="s">
        <v>377</v>
      </c>
      <c r="Z735" s="496"/>
      <c r="AA735" s="415"/>
    </row>
    <row r="736" spans="1:27" s="128" customFormat="1" ht="37.5">
      <c r="A736" s="405">
        <v>20</v>
      </c>
      <c r="B736" s="407" t="s">
        <v>4447</v>
      </c>
      <c r="C736" s="406" t="s">
        <v>76</v>
      </c>
      <c r="D736" s="407" t="s">
        <v>4448</v>
      </c>
      <c r="E736" s="408">
        <v>1</v>
      </c>
      <c r="F736" s="409"/>
      <c r="G736" s="410">
        <f t="shared" si="30"/>
        <v>0</v>
      </c>
      <c r="H736" s="412"/>
      <c r="I736" s="407"/>
      <c r="J736" s="412"/>
      <c r="K736" s="407" t="s">
        <v>4414</v>
      </c>
      <c r="L736" s="412" t="s">
        <v>444</v>
      </c>
      <c r="M736" s="407" t="s">
        <v>444</v>
      </c>
      <c r="N736" s="412"/>
      <c r="O736" s="412"/>
      <c r="P736" s="412" t="s">
        <v>444</v>
      </c>
      <c r="Q736" s="413" t="s">
        <v>1514</v>
      </c>
      <c r="R736" s="413" t="s">
        <v>260</v>
      </c>
      <c r="S736" s="414"/>
      <c r="T736" s="414"/>
      <c r="U736" s="415"/>
      <c r="V736" s="416"/>
      <c r="W736" s="417"/>
      <c r="X736" s="417"/>
      <c r="Y736" s="418" t="s">
        <v>377</v>
      </c>
      <c r="Z736" s="496"/>
      <c r="AA736" s="415"/>
    </row>
    <row r="737" spans="1:27" s="128" customFormat="1" ht="37.5">
      <c r="A737" s="405">
        <v>21</v>
      </c>
      <c r="B737" s="407" t="s">
        <v>4449</v>
      </c>
      <c r="C737" s="406" t="s">
        <v>76</v>
      </c>
      <c r="D737" s="407" t="s">
        <v>4450</v>
      </c>
      <c r="E737" s="408">
        <v>1</v>
      </c>
      <c r="F737" s="409"/>
      <c r="G737" s="410">
        <f t="shared" si="30"/>
        <v>0</v>
      </c>
      <c r="H737" s="412"/>
      <c r="I737" s="407"/>
      <c r="J737" s="412"/>
      <c r="K737" s="407" t="s">
        <v>4414</v>
      </c>
      <c r="L737" s="412" t="s">
        <v>444</v>
      </c>
      <c r="M737" s="407" t="s">
        <v>444</v>
      </c>
      <c r="N737" s="412"/>
      <c r="O737" s="412"/>
      <c r="P737" s="412" t="s">
        <v>444</v>
      </c>
      <c r="Q737" s="413" t="s">
        <v>1514</v>
      </c>
      <c r="R737" s="413" t="s">
        <v>260</v>
      </c>
      <c r="S737" s="414"/>
      <c r="T737" s="414"/>
      <c r="U737" s="415"/>
      <c r="V737" s="416"/>
      <c r="W737" s="417"/>
      <c r="X737" s="417"/>
      <c r="Y737" s="418" t="s">
        <v>377</v>
      </c>
      <c r="Z737" s="496"/>
      <c r="AA737" s="415"/>
    </row>
    <row r="738" spans="1:27" s="128" customFormat="1" ht="37.5">
      <c r="A738" s="405">
        <v>22</v>
      </c>
      <c r="B738" s="407" t="s">
        <v>4451</v>
      </c>
      <c r="C738" s="406" t="s">
        <v>76</v>
      </c>
      <c r="D738" s="407" t="s">
        <v>4452</v>
      </c>
      <c r="E738" s="408">
        <v>1</v>
      </c>
      <c r="F738" s="409"/>
      <c r="G738" s="410">
        <f t="shared" si="30"/>
        <v>0</v>
      </c>
      <c r="H738" s="412"/>
      <c r="I738" s="407"/>
      <c r="J738" s="412"/>
      <c r="K738" s="407" t="s">
        <v>4414</v>
      </c>
      <c r="L738" s="412" t="s">
        <v>444</v>
      </c>
      <c r="M738" s="407" t="s">
        <v>444</v>
      </c>
      <c r="N738" s="412"/>
      <c r="O738" s="412"/>
      <c r="P738" s="412" t="s">
        <v>444</v>
      </c>
      <c r="Q738" s="413" t="s">
        <v>1514</v>
      </c>
      <c r="R738" s="413" t="s">
        <v>3363</v>
      </c>
      <c r="S738" s="414"/>
      <c r="T738" s="414"/>
      <c r="U738" s="415"/>
      <c r="V738" s="416"/>
      <c r="W738" s="417"/>
      <c r="X738" s="417"/>
      <c r="Y738" s="418" t="s">
        <v>377</v>
      </c>
      <c r="Z738" s="496"/>
      <c r="AA738" s="415"/>
    </row>
    <row r="739" spans="1:27" s="128" customFormat="1" ht="37.5">
      <c r="A739" s="405">
        <v>23</v>
      </c>
      <c r="B739" s="407" t="s">
        <v>4453</v>
      </c>
      <c r="C739" s="406" t="s">
        <v>76</v>
      </c>
      <c r="D739" s="407" t="s">
        <v>4454</v>
      </c>
      <c r="E739" s="408">
        <v>1</v>
      </c>
      <c r="F739" s="409"/>
      <c r="G739" s="410">
        <f t="shared" si="30"/>
        <v>0</v>
      </c>
      <c r="H739" s="412"/>
      <c r="I739" s="407"/>
      <c r="J739" s="412"/>
      <c r="K739" s="407" t="s">
        <v>4414</v>
      </c>
      <c r="L739" s="412" t="s">
        <v>444</v>
      </c>
      <c r="M739" s="407" t="s">
        <v>444</v>
      </c>
      <c r="N739" s="412"/>
      <c r="O739" s="412"/>
      <c r="P739" s="412" t="s">
        <v>444</v>
      </c>
      <c r="Q739" s="413" t="s">
        <v>1514</v>
      </c>
      <c r="R739" s="413" t="s">
        <v>3103</v>
      </c>
      <c r="S739" s="414"/>
      <c r="T739" s="414"/>
      <c r="U739" s="415"/>
      <c r="V739" s="416"/>
      <c r="W739" s="417"/>
      <c r="X739" s="417"/>
      <c r="Y739" s="418" t="s">
        <v>377</v>
      </c>
      <c r="Z739" s="496"/>
      <c r="AA739" s="415"/>
    </row>
    <row r="740" spans="1:27" s="128" customFormat="1" ht="37.5">
      <c r="A740" s="405">
        <v>24</v>
      </c>
      <c r="B740" s="407" t="s">
        <v>4455</v>
      </c>
      <c r="C740" s="406" t="s">
        <v>76</v>
      </c>
      <c r="D740" s="407" t="s">
        <v>4456</v>
      </c>
      <c r="E740" s="408">
        <v>1</v>
      </c>
      <c r="F740" s="409"/>
      <c r="G740" s="410">
        <f t="shared" si="30"/>
        <v>0</v>
      </c>
      <c r="H740" s="412"/>
      <c r="I740" s="407"/>
      <c r="J740" s="412"/>
      <c r="K740" s="407" t="s">
        <v>4414</v>
      </c>
      <c r="L740" s="412" t="s">
        <v>444</v>
      </c>
      <c r="M740" s="407" t="s">
        <v>444</v>
      </c>
      <c r="N740" s="412"/>
      <c r="O740" s="412"/>
      <c r="P740" s="412" t="s">
        <v>444</v>
      </c>
      <c r="Q740" s="413" t="s">
        <v>1514</v>
      </c>
      <c r="R740" s="413" t="s">
        <v>3363</v>
      </c>
      <c r="S740" s="414"/>
      <c r="T740" s="414"/>
      <c r="U740" s="415"/>
      <c r="V740" s="416"/>
      <c r="W740" s="417"/>
      <c r="X740" s="417"/>
      <c r="Y740" s="418" t="s">
        <v>377</v>
      </c>
      <c r="Z740" s="496"/>
      <c r="AA740" s="415"/>
    </row>
    <row r="741" spans="1:27" s="128" customFormat="1" ht="37.5">
      <c r="A741" s="405">
        <v>25</v>
      </c>
      <c r="B741" s="407" t="s">
        <v>4457</v>
      </c>
      <c r="C741" s="406" t="s">
        <v>76</v>
      </c>
      <c r="D741" s="407" t="s">
        <v>4458</v>
      </c>
      <c r="E741" s="408">
        <v>1</v>
      </c>
      <c r="F741" s="409"/>
      <c r="G741" s="410">
        <f t="shared" si="30"/>
        <v>0</v>
      </c>
      <c r="H741" s="412"/>
      <c r="I741" s="407"/>
      <c r="J741" s="412"/>
      <c r="K741" s="407" t="s">
        <v>4414</v>
      </c>
      <c r="L741" s="412" t="s">
        <v>444</v>
      </c>
      <c r="M741" s="407" t="s">
        <v>444</v>
      </c>
      <c r="N741" s="412"/>
      <c r="O741" s="412"/>
      <c r="P741" s="412" t="s">
        <v>444</v>
      </c>
      <c r="Q741" s="413" t="s">
        <v>1514</v>
      </c>
      <c r="R741" s="413" t="s">
        <v>2906</v>
      </c>
      <c r="S741" s="414"/>
      <c r="T741" s="414"/>
      <c r="U741" s="415"/>
      <c r="V741" s="416"/>
      <c r="W741" s="417"/>
      <c r="X741" s="417"/>
      <c r="Y741" s="418" t="s">
        <v>377</v>
      </c>
      <c r="Z741" s="496"/>
      <c r="AA741" s="415"/>
    </row>
    <row r="742" spans="1:27" s="128" customFormat="1" ht="37.5">
      <c r="A742" s="405">
        <v>26</v>
      </c>
      <c r="B742" s="407" t="s">
        <v>4459</v>
      </c>
      <c r="C742" s="406" t="s">
        <v>76</v>
      </c>
      <c r="D742" s="407" t="s">
        <v>4460</v>
      </c>
      <c r="E742" s="408">
        <v>1</v>
      </c>
      <c r="F742" s="409"/>
      <c r="G742" s="410">
        <f t="shared" si="30"/>
        <v>0</v>
      </c>
      <c r="H742" s="412"/>
      <c r="I742" s="407"/>
      <c r="J742" s="412"/>
      <c r="K742" s="407" t="s">
        <v>4414</v>
      </c>
      <c r="L742" s="412" t="s">
        <v>444</v>
      </c>
      <c r="M742" s="407" t="s">
        <v>444</v>
      </c>
      <c r="N742" s="412"/>
      <c r="O742" s="412"/>
      <c r="P742" s="412" t="s">
        <v>444</v>
      </c>
      <c r="Q742" s="413" t="s">
        <v>1514</v>
      </c>
      <c r="R742" s="413" t="s">
        <v>2906</v>
      </c>
      <c r="S742" s="414"/>
      <c r="T742" s="414"/>
      <c r="U742" s="415"/>
      <c r="V742" s="416"/>
      <c r="W742" s="417"/>
      <c r="X742" s="417"/>
      <c r="Y742" s="418" t="s">
        <v>377</v>
      </c>
      <c r="Z742" s="496"/>
      <c r="AA742" s="415"/>
    </row>
    <row r="743" spans="1:27" s="128" customFormat="1" ht="37.5">
      <c r="A743" s="405">
        <v>27</v>
      </c>
      <c r="B743" s="407" t="s">
        <v>4461</v>
      </c>
      <c r="C743" s="406" t="s">
        <v>76</v>
      </c>
      <c r="D743" s="407" t="s">
        <v>4462</v>
      </c>
      <c r="E743" s="408">
        <v>1</v>
      </c>
      <c r="F743" s="409"/>
      <c r="G743" s="410">
        <f t="shared" si="30"/>
        <v>0</v>
      </c>
      <c r="H743" s="412"/>
      <c r="I743" s="407"/>
      <c r="J743" s="412"/>
      <c r="K743" s="407" t="s">
        <v>4414</v>
      </c>
      <c r="L743" s="412" t="s">
        <v>444</v>
      </c>
      <c r="M743" s="407" t="s">
        <v>444</v>
      </c>
      <c r="N743" s="412"/>
      <c r="O743" s="412"/>
      <c r="P743" s="412" t="s">
        <v>444</v>
      </c>
      <c r="Q743" s="413" t="s">
        <v>1514</v>
      </c>
      <c r="R743" s="413" t="s">
        <v>2909</v>
      </c>
      <c r="S743" s="414"/>
      <c r="T743" s="414"/>
      <c r="U743" s="415"/>
      <c r="V743" s="416"/>
      <c r="W743" s="417"/>
      <c r="X743" s="417"/>
      <c r="Y743" s="418" t="s">
        <v>377</v>
      </c>
      <c r="Z743" s="496"/>
      <c r="AA743" s="415"/>
    </row>
    <row r="744" spans="1:27" s="128" customFormat="1" ht="37.5">
      <c r="A744" s="405">
        <v>28</v>
      </c>
      <c r="B744" s="407" t="s">
        <v>4463</v>
      </c>
      <c r="C744" s="406" t="s">
        <v>76</v>
      </c>
      <c r="D744" s="407" t="s">
        <v>4464</v>
      </c>
      <c r="E744" s="408">
        <v>1</v>
      </c>
      <c r="F744" s="409"/>
      <c r="G744" s="410">
        <f t="shared" si="30"/>
        <v>0</v>
      </c>
      <c r="H744" s="412"/>
      <c r="I744" s="407"/>
      <c r="J744" s="412"/>
      <c r="K744" s="407" t="s">
        <v>4414</v>
      </c>
      <c r="L744" s="412" t="s">
        <v>444</v>
      </c>
      <c r="M744" s="407" t="s">
        <v>444</v>
      </c>
      <c r="N744" s="412"/>
      <c r="O744" s="412"/>
      <c r="P744" s="412" t="s">
        <v>444</v>
      </c>
      <c r="Q744" s="413" t="s">
        <v>1514</v>
      </c>
      <c r="R744" s="413" t="s">
        <v>260</v>
      </c>
      <c r="S744" s="414"/>
      <c r="T744" s="414"/>
      <c r="U744" s="415"/>
      <c r="V744" s="416"/>
      <c r="W744" s="417"/>
      <c r="X744" s="417"/>
      <c r="Y744" s="418" t="s">
        <v>377</v>
      </c>
      <c r="Z744" s="496"/>
      <c r="AA744" s="415"/>
    </row>
    <row r="745" spans="1:27" s="128" customFormat="1" ht="37.5">
      <c r="A745" s="405">
        <v>29</v>
      </c>
      <c r="B745" s="407" t="s">
        <v>4465</v>
      </c>
      <c r="C745" s="406" t="s">
        <v>76</v>
      </c>
      <c r="D745" s="407" t="s">
        <v>4466</v>
      </c>
      <c r="E745" s="408">
        <v>1</v>
      </c>
      <c r="F745" s="409"/>
      <c r="G745" s="410">
        <f t="shared" si="30"/>
        <v>0</v>
      </c>
      <c r="H745" s="412"/>
      <c r="I745" s="407"/>
      <c r="J745" s="412"/>
      <c r="K745" s="407" t="s">
        <v>4414</v>
      </c>
      <c r="L745" s="412" t="s">
        <v>444</v>
      </c>
      <c r="M745" s="407" t="s">
        <v>444</v>
      </c>
      <c r="N745" s="412"/>
      <c r="O745" s="412"/>
      <c r="P745" s="412" t="s">
        <v>444</v>
      </c>
      <c r="Q745" s="413" t="s">
        <v>1514</v>
      </c>
      <c r="R745" s="413" t="s">
        <v>3103</v>
      </c>
      <c r="S745" s="414"/>
      <c r="T745" s="414"/>
      <c r="U745" s="415"/>
      <c r="V745" s="416"/>
      <c r="W745" s="417"/>
      <c r="X745" s="417"/>
      <c r="Y745" s="418" t="s">
        <v>377</v>
      </c>
      <c r="Z745" s="496"/>
      <c r="AA745" s="415"/>
    </row>
    <row r="746" spans="1:27" s="128" customFormat="1" ht="37.5">
      <c r="A746" s="405">
        <v>30</v>
      </c>
      <c r="B746" s="407" t="s">
        <v>4467</v>
      </c>
      <c r="C746" s="406" t="s">
        <v>76</v>
      </c>
      <c r="D746" s="407" t="s">
        <v>4468</v>
      </c>
      <c r="E746" s="408">
        <v>1</v>
      </c>
      <c r="F746" s="409"/>
      <c r="G746" s="410">
        <f t="shared" si="30"/>
        <v>0</v>
      </c>
      <c r="H746" s="412"/>
      <c r="I746" s="407"/>
      <c r="J746" s="412"/>
      <c r="K746" s="407" t="s">
        <v>4414</v>
      </c>
      <c r="L746" s="412" t="s">
        <v>444</v>
      </c>
      <c r="M746" s="407" t="s">
        <v>444</v>
      </c>
      <c r="N746" s="412"/>
      <c r="O746" s="412"/>
      <c r="P746" s="412" t="s">
        <v>444</v>
      </c>
      <c r="Q746" s="413" t="s">
        <v>1514</v>
      </c>
      <c r="R746" s="413" t="s">
        <v>3363</v>
      </c>
      <c r="S746" s="414"/>
      <c r="T746" s="414"/>
      <c r="U746" s="415"/>
      <c r="V746" s="416"/>
      <c r="W746" s="417"/>
      <c r="X746" s="417"/>
      <c r="Y746" s="418" t="s">
        <v>377</v>
      </c>
      <c r="Z746" s="496"/>
      <c r="AA746" s="415"/>
    </row>
    <row r="747" spans="1:27" s="128" customFormat="1" ht="37.5">
      <c r="A747" s="405">
        <v>31</v>
      </c>
      <c r="B747" s="407" t="s">
        <v>4469</v>
      </c>
      <c r="C747" s="406" t="s">
        <v>76</v>
      </c>
      <c r="D747" s="407" t="s">
        <v>4470</v>
      </c>
      <c r="E747" s="408">
        <v>1</v>
      </c>
      <c r="F747" s="409"/>
      <c r="G747" s="410">
        <f t="shared" si="30"/>
        <v>0</v>
      </c>
      <c r="H747" s="412"/>
      <c r="I747" s="407"/>
      <c r="J747" s="412"/>
      <c r="K747" s="407" t="s">
        <v>4414</v>
      </c>
      <c r="L747" s="412" t="s">
        <v>444</v>
      </c>
      <c r="M747" s="407" t="s">
        <v>444</v>
      </c>
      <c r="N747" s="412"/>
      <c r="O747" s="412"/>
      <c r="P747" s="412" t="s">
        <v>444</v>
      </c>
      <c r="Q747" s="413" t="s">
        <v>1514</v>
      </c>
      <c r="R747" s="413" t="s">
        <v>3363</v>
      </c>
      <c r="S747" s="414"/>
      <c r="T747" s="414"/>
      <c r="U747" s="415"/>
      <c r="V747" s="416"/>
      <c r="W747" s="417"/>
      <c r="X747" s="417"/>
      <c r="Y747" s="418" t="s">
        <v>377</v>
      </c>
      <c r="Z747" s="496"/>
      <c r="AA747" s="415"/>
    </row>
    <row r="748" spans="1:27" s="128" customFormat="1" ht="37.5">
      <c r="A748" s="405">
        <v>32</v>
      </c>
      <c r="B748" s="407" t="s">
        <v>4471</v>
      </c>
      <c r="C748" s="406" t="s">
        <v>76</v>
      </c>
      <c r="D748" s="407" t="s">
        <v>4472</v>
      </c>
      <c r="E748" s="408">
        <v>1</v>
      </c>
      <c r="F748" s="409"/>
      <c r="G748" s="410">
        <f t="shared" si="30"/>
        <v>0</v>
      </c>
      <c r="H748" s="412"/>
      <c r="I748" s="407"/>
      <c r="J748" s="412"/>
      <c r="K748" s="407" t="s">
        <v>4414</v>
      </c>
      <c r="L748" s="412" t="s">
        <v>444</v>
      </c>
      <c r="M748" s="407" t="s">
        <v>444</v>
      </c>
      <c r="N748" s="412"/>
      <c r="O748" s="412"/>
      <c r="P748" s="412" t="s">
        <v>444</v>
      </c>
      <c r="Q748" s="413" t="s">
        <v>1514</v>
      </c>
      <c r="R748" s="413" t="s">
        <v>2909</v>
      </c>
      <c r="S748" s="414"/>
      <c r="T748" s="414"/>
      <c r="U748" s="415"/>
      <c r="V748" s="416"/>
      <c r="W748" s="417"/>
      <c r="X748" s="417"/>
      <c r="Y748" s="418" t="s">
        <v>377</v>
      </c>
      <c r="Z748" s="496"/>
      <c r="AA748" s="415"/>
    </row>
    <row r="749" spans="1:27" s="128" customFormat="1" ht="37.5">
      <c r="A749" s="405">
        <v>33</v>
      </c>
      <c r="B749" s="407" t="s">
        <v>4473</v>
      </c>
      <c r="C749" s="406" t="s">
        <v>76</v>
      </c>
      <c r="D749" s="407" t="s">
        <v>4474</v>
      </c>
      <c r="E749" s="408">
        <v>1</v>
      </c>
      <c r="F749" s="409"/>
      <c r="G749" s="410">
        <f t="shared" si="30"/>
        <v>0</v>
      </c>
      <c r="H749" s="412"/>
      <c r="I749" s="407"/>
      <c r="J749" s="412"/>
      <c r="K749" s="407" t="s">
        <v>4414</v>
      </c>
      <c r="L749" s="412" t="s">
        <v>444</v>
      </c>
      <c r="M749" s="407" t="s">
        <v>444</v>
      </c>
      <c r="N749" s="412"/>
      <c r="O749" s="412"/>
      <c r="P749" s="412" t="s">
        <v>444</v>
      </c>
      <c r="Q749" s="413" t="s">
        <v>1514</v>
      </c>
      <c r="R749" s="413" t="s">
        <v>2909</v>
      </c>
      <c r="S749" s="414"/>
      <c r="T749" s="414"/>
      <c r="U749" s="415"/>
      <c r="V749" s="416"/>
      <c r="W749" s="417"/>
      <c r="X749" s="417"/>
      <c r="Y749" s="418" t="s">
        <v>377</v>
      </c>
      <c r="Z749" s="496"/>
      <c r="AA749" s="415"/>
    </row>
    <row r="750" spans="1:27" s="128" customFormat="1" ht="37.5">
      <c r="A750" s="405">
        <v>34</v>
      </c>
      <c r="B750" s="407" t="s">
        <v>4475</v>
      </c>
      <c r="C750" s="406" t="s">
        <v>76</v>
      </c>
      <c r="D750" s="407" t="s">
        <v>4476</v>
      </c>
      <c r="E750" s="408">
        <v>1</v>
      </c>
      <c r="F750" s="409"/>
      <c r="G750" s="410">
        <f t="shared" si="30"/>
        <v>0</v>
      </c>
      <c r="H750" s="412"/>
      <c r="I750" s="407"/>
      <c r="J750" s="412"/>
      <c r="K750" s="407" t="s">
        <v>4414</v>
      </c>
      <c r="L750" s="412" t="s">
        <v>444</v>
      </c>
      <c r="M750" s="407" t="s">
        <v>444</v>
      </c>
      <c r="N750" s="412"/>
      <c r="O750" s="412"/>
      <c r="P750" s="412" t="s">
        <v>444</v>
      </c>
      <c r="Q750" s="413" t="s">
        <v>1514</v>
      </c>
      <c r="R750" s="413" t="s">
        <v>3363</v>
      </c>
      <c r="S750" s="414"/>
      <c r="T750" s="414"/>
      <c r="U750" s="415"/>
      <c r="V750" s="416"/>
      <c r="W750" s="417"/>
      <c r="X750" s="417"/>
      <c r="Y750" s="418" t="s">
        <v>377</v>
      </c>
      <c r="Z750" s="496"/>
      <c r="AA750" s="415"/>
    </row>
    <row r="751" spans="1:27" s="128" customFormat="1" ht="37.5">
      <c r="A751" s="405">
        <v>35</v>
      </c>
      <c r="B751" s="407" t="s">
        <v>4477</v>
      </c>
      <c r="C751" s="406" t="s">
        <v>76</v>
      </c>
      <c r="D751" s="407" t="s">
        <v>4478</v>
      </c>
      <c r="E751" s="408">
        <v>1</v>
      </c>
      <c r="F751" s="409"/>
      <c r="G751" s="410">
        <f t="shared" si="30"/>
        <v>0</v>
      </c>
      <c r="H751" s="412"/>
      <c r="I751" s="407"/>
      <c r="J751" s="412"/>
      <c r="K751" s="407" t="s">
        <v>4414</v>
      </c>
      <c r="L751" s="412" t="s">
        <v>444</v>
      </c>
      <c r="M751" s="407" t="s">
        <v>444</v>
      </c>
      <c r="N751" s="412"/>
      <c r="O751" s="412"/>
      <c r="P751" s="412" t="s">
        <v>444</v>
      </c>
      <c r="Q751" s="413" t="s">
        <v>1514</v>
      </c>
      <c r="R751" s="413" t="s">
        <v>3363</v>
      </c>
      <c r="S751" s="414"/>
      <c r="T751" s="414"/>
      <c r="U751" s="415"/>
      <c r="V751" s="416"/>
      <c r="W751" s="417"/>
      <c r="X751" s="417"/>
      <c r="Y751" s="418" t="s">
        <v>377</v>
      </c>
      <c r="Z751" s="496"/>
      <c r="AA751" s="415"/>
    </row>
    <row r="752" spans="1:27" s="128" customFormat="1" ht="37.5">
      <c r="A752" s="405">
        <v>36</v>
      </c>
      <c r="B752" s="407" t="s">
        <v>4479</v>
      </c>
      <c r="C752" s="406" t="s">
        <v>76</v>
      </c>
      <c r="D752" s="407" t="s">
        <v>4480</v>
      </c>
      <c r="E752" s="408">
        <v>1</v>
      </c>
      <c r="F752" s="409"/>
      <c r="G752" s="410">
        <f t="shared" si="30"/>
        <v>0</v>
      </c>
      <c r="H752" s="412"/>
      <c r="I752" s="407"/>
      <c r="J752" s="412"/>
      <c r="K752" s="407" t="s">
        <v>4414</v>
      </c>
      <c r="L752" s="412" t="s">
        <v>444</v>
      </c>
      <c r="M752" s="407" t="s">
        <v>444</v>
      </c>
      <c r="N752" s="412"/>
      <c r="O752" s="412"/>
      <c r="P752" s="412" t="s">
        <v>444</v>
      </c>
      <c r="Q752" s="413" t="s">
        <v>1514</v>
      </c>
      <c r="R752" s="413" t="s">
        <v>3363</v>
      </c>
      <c r="S752" s="414"/>
      <c r="T752" s="414"/>
      <c r="U752" s="415"/>
      <c r="V752" s="416"/>
      <c r="W752" s="417"/>
      <c r="X752" s="417"/>
      <c r="Y752" s="418" t="s">
        <v>377</v>
      </c>
      <c r="Z752" s="496"/>
      <c r="AA752" s="415"/>
    </row>
    <row r="753" spans="1:27" s="128" customFormat="1" ht="37.5">
      <c r="A753" s="405">
        <v>37</v>
      </c>
      <c r="B753" s="407" t="s">
        <v>4481</v>
      </c>
      <c r="C753" s="406" t="s">
        <v>76</v>
      </c>
      <c r="D753" s="407" t="s">
        <v>4482</v>
      </c>
      <c r="E753" s="408">
        <v>1</v>
      </c>
      <c r="F753" s="409"/>
      <c r="G753" s="410">
        <f t="shared" si="30"/>
        <v>0</v>
      </c>
      <c r="H753" s="412"/>
      <c r="I753" s="407"/>
      <c r="J753" s="412"/>
      <c r="K753" s="407" t="s">
        <v>4414</v>
      </c>
      <c r="L753" s="412" t="s">
        <v>444</v>
      </c>
      <c r="M753" s="407" t="s">
        <v>444</v>
      </c>
      <c r="N753" s="412"/>
      <c r="O753" s="412"/>
      <c r="P753" s="412" t="s">
        <v>444</v>
      </c>
      <c r="Q753" s="413" t="s">
        <v>1514</v>
      </c>
      <c r="R753" s="413" t="s">
        <v>2906</v>
      </c>
      <c r="S753" s="414"/>
      <c r="T753" s="414"/>
      <c r="U753" s="415"/>
      <c r="V753" s="416"/>
      <c r="W753" s="417"/>
      <c r="X753" s="417"/>
      <c r="Y753" s="418" t="s">
        <v>377</v>
      </c>
      <c r="Z753" s="496"/>
      <c r="AA753" s="415"/>
    </row>
    <row r="754" spans="1:27" s="128" customFormat="1" ht="37.5">
      <c r="A754" s="405">
        <v>38</v>
      </c>
      <c r="B754" s="407" t="s">
        <v>4483</v>
      </c>
      <c r="C754" s="406" t="s">
        <v>76</v>
      </c>
      <c r="D754" s="407" t="s">
        <v>4484</v>
      </c>
      <c r="E754" s="408">
        <v>1</v>
      </c>
      <c r="F754" s="409"/>
      <c r="G754" s="410">
        <f t="shared" si="30"/>
        <v>0</v>
      </c>
      <c r="H754" s="412"/>
      <c r="I754" s="407"/>
      <c r="J754" s="412"/>
      <c r="K754" s="407" t="s">
        <v>4414</v>
      </c>
      <c r="L754" s="412" t="s">
        <v>444</v>
      </c>
      <c r="M754" s="407" t="s">
        <v>444</v>
      </c>
      <c r="N754" s="412"/>
      <c r="O754" s="412"/>
      <c r="P754" s="412" t="s">
        <v>444</v>
      </c>
      <c r="Q754" s="413" t="s">
        <v>1514</v>
      </c>
      <c r="R754" s="413" t="s">
        <v>2957</v>
      </c>
      <c r="S754" s="414"/>
      <c r="T754" s="414"/>
      <c r="U754" s="415"/>
      <c r="V754" s="416"/>
      <c r="W754" s="417"/>
      <c r="X754" s="417"/>
      <c r="Y754" s="418" t="s">
        <v>377</v>
      </c>
      <c r="Z754" s="496"/>
      <c r="AA754" s="415"/>
    </row>
    <row r="755" spans="1:27" s="128" customFormat="1" ht="37.5">
      <c r="A755" s="405">
        <v>39</v>
      </c>
      <c r="B755" s="407" t="s">
        <v>4485</v>
      </c>
      <c r="C755" s="406" t="s">
        <v>76</v>
      </c>
      <c r="D755" s="407" t="s">
        <v>4486</v>
      </c>
      <c r="E755" s="408">
        <v>1</v>
      </c>
      <c r="F755" s="409"/>
      <c r="G755" s="410">
        <f t="shared" si="30"/>
        <v>0</v>
      </c>
      <c r="H755" s="412"/>
      <c r="I755" s="407"/>
      <c r="J755" s="412"/>
      <c r="K755" s="407" t="s">
        <v>4414</v>
      </c>
      <c r="L755" s="412" t="s">
        <v>444</v>
      </c>
      <c r="M755" s="407" t="s">
        <v>444</v>
      </c>
      <c r="N755" s="412"/>
      <c r="O755" s="412"/>
      <c r="P755" s="412" t="s">
        <v>444</v>
      </c>
      <c r="Q755" s="413" t="s">
        <v>1514</v>
      </c>
      <c r="R755" s="413" t="s">
        <v>2957</v>
      </c>
      <c r="S755" s="414"/>
      <c r="T755" s="414"/>
      <c r="U755" s="415"/>
      <c r="V755" s="416"/>
      <c r="W755" s="417"/>
      <c r="X755" s="417"/>
      <c r="Y755" s="418" t="s">
        <v>377</v>
      </c>
      <c r="Z755" s="496"/>
      <c r="AA755" s="415"/>
    </row>
    <row r="756" spans="1:27" s="441" customFormat="1" ht="37.5">
      <c r="A756" s="427">
        <v>40</v>
      </c>
      <c r="B756" s="428" t="s">
        <v>4487</v>
      </c>
      <c r="C756" s="429" t="s">
        <v>76</v>
      </c>
      <c r="D756" s="428" t="s">
        <v>4488</v>
      </c>
      <c r="E756" s="430">
        <v>1</v>
      </c>
      <c r="F756" s="431"/>
      <c r="G756" s="432">
        <f t="shared" si="30"/>
        <v>0</v>
      </c>
      <c r="H756" s="433"/>
      <c r="I756" s="428"/>
      <c r="J756" s="433"/>
      <c r="K756" s="428" t="s">
        <v>4414</v>
      </c>
      <c r="L756" s="433" t="s">
        <v>444</v>
      </c>
      <c r="M756" s="428" t="s">
        <v>444</v>
      </c>
      <c r="N756" s="433"/>
      <c r="O756" s="433"/>
      <c r="P756" s="433" t="s">
        <v>444</v>
      </c>
      <c r="Q756" s="434" t="s">
        <v>1514</v>
      </c>
      <c r="R756" s="434"/>
      <c r="S756" s="435"/>
      <c r="T756" s="435"/>
      <c r="U756" s="436"/>
      <c r="V756" s="437"/>
      <c r="W756" s="438"/>
      <c r="X756" s="438"/>
      <c r="Y756" s="439" t="s">
        <v>592</v>
      </c>
      <c r="Z756" s="499"/>
      <c r="AA756" s="436"/>
    </row>
    <row r="757" spans="1:27" s="128" customFormat="1" ht="37.5">
      <c r="A757" s="405">
        <v>41</v>
      </c>
      <c r="B757" s="407" t="s">
        <v>4489</v>
      </c>
      <c r="C757" s="406" t="s">
        <v>76</v>
      </c>
      <c r="D757" s="407" t="s">
        <v>4490</v>
      </c>
      <c r="E757" s="408">
        <v>1</v>
      </c>
      <c r="F757" s="409"/>
      <c r="G757" s="410">
        <f t="shared" si="30"/>
        <v>0</v>
      </c>
      <c r="H757" s="412"/>
      <c r="I757" s="407"/>
      <c r="J757" s="412"/>
      <c r="K757" s="407" t="s">
        <v>4414</v>
      </c>
      <c r="L757" s="412" t="s">
        <v>444</v>
      </c>
      <c r="M757" s="407" t="s">
        <v>444</v>
      </c>
      <c r="N757" s="412"/>
      <c r="O757" s="412"/>
      <c r="P757" s="412" t="s">
        <v>444</v>
      </c>
      <c r="Q757" s="413" t="s">
        <v>1514</v>
      </c>
      <c r="R757" s="413" t="s">
        <v>3313</v>
      </c>
      <c r="S757" s="414"/>
      <c r="T757" s="414"/>
      <c r="U757" s="415"/>
      <c r="V757" s="416"/>
      <c r="W757" s="417"/>
      <c r="X757" s="417"/>
      <c r="Y757" s="418" t="s">
        <v>377</v>
      </c>
      <c r="Z757" s="496"/>
      <c r="AA757" s="415"/>
    </row>
    <row r="758" spans="1:27" s="128" customFormat="1" ht="37.5">
      <c r="A758" s="405">
        <v>42</v>
      </c>
      <c r="B758" s="407" t="s">
        <v>4491</v>
      </c>
      <c r="C758" s="406" t="s">
        <v>76</v>
      </c>
      <c r="D758" s="407" t="s">
        <v>4492</v>
      </c>
      <c r="E758" s="408">
        <v>1</v>
      </c>
      <c r="F758" s="409"/>
      <c r="G758" s="410">
        <f t="shared" ref="G758:G771" si="31">E758*F758</f>
        <v>0</v>
      </c>
      <c r="H758" s="412"/>
      <c r="I758" s="407"/>
      <c r="J758" s="412"/>
      <c r="K758" s="407" t="s">
        <v>4493</v>
      </c>
      <c r="L758" s="412" t="s">
        <v>444</v>
      </c>
      <c r="M758" s="407" t="s">
        <v>444</v>
      </c>
      <c r="N758" s="412"/>
      <c r="O758" s="412"/>
      <c r="P758" s="412" t="s">
        <v>444</v>
      </c>
      <c r="Q758" s="413" t="s">
        <v>1514</v>
      </c>
      <c r="R758" s="413"/>
      <c r="S758" s="414"/>
      <c r="T758" s="414" t="s">
        <v>4493</v>
      </c>
      <c r="U758" s="415"/>
      <c r="V758" s="416"/>
      <c r="W758" s="417"/>
      <c r="X758" s="417"/>
      <c r="Y758" s="418" t="s">
        <v>377</v>
      </c>
      <c r="Z758" s="496"/>
      <c r="AA758" s="415"/>
    </row>
    <row r="759" spans="1:27" s="128" customFormat="1" ht="37.5">
      <c r="A759" s="405">
        <v>43</v>
      </c>
      <c r="B759" s="407" t="s">
        <v>4494</v>
      </c>
      <c r="C759" s="406" t="s">
        <v>76</v>
      </c>
      <c r="D759" s="407" t="s">
        <v>4495</v>
      </c>
      <c r="E759" s="408">
        <v>1</v>
      </c>
      <c r="F759" s="409"/>
      <c r="G759" s="410">
        <f t="shared" si="31"/>
        <v>0</v>
      </c>
      <c r="H759" s="412"/>
      <c r="I759" s="407"/>
      <c r="J759" s="412"/>
      <c r="K759" s="407" t="s">
        <v>4493</v>
      </c>
      <c r="L759" s="412" t="s">
        <v>444</v>
      </c>
      <c r="M759" s="407" t="s">
        <v>444</v>
      </c>
      <c r="N759" s="412"/>
      <c r="O759" s="412"/>
      <c r="P759" s="412" t="s">
        <v>444</v>
      </c>
      <c r="Q759" s="413" t="s">
        <v>1514</v>
      </c>
      <c r="R759" s="413"/>
      <c r="S759" s="414"/>
      <c r="T759" s="414" t="s">
        <v>4493</v>
      </c>
      <c r="U759" s="415"/>
      <c r="V759" s="416"/>
      <c r="W759" s="417"/>
      <c r="X759" s="417"/>
      <c r="Y759" s="418" t="s">
        <v>377</v>
      </c>
      <c r="Z759" s="496"/>
      <c r="AA759" s="415"/>
    </row>
    <row r="760" spans="1:27" s="128" customFormat="1" ht="37.5">
      <c r="A760" s="405">
        <v>44</v>
      </c>
      <c r="B760" s="407" t="s">
        <v>4496</v>
      </c>
      <c r="C760" s="406" t="s">
        <v>76</v>
      </c>
      <c r="D760" s="407" t="s">
        <v>4497</v>
      </c>
      <c r="E760" s="408">
        <v>1</v>
      </c>
      <c r="F760" s="409"/>
      <c r="G760" s="410">
        <f t="shared" si="31"/>
        <v>0</v>
      </c>
      <c r="H760" s="412"/>
      <c r="I760" s="407"/>
      <c r="J760" s="412"/>
      <c r="K760" s="407" t="s">
        <v>4493</v>
      </c>
      <c r="L760" s="412" t="s">
        <v>444</v>
      </c>
      <c r="M760" s="407" t="s">
        <v>444</v>
      </c>
      <c r="N760" s="412"/>
      <c r="O760" s="412"/>
      <c r="P760" s="412" t="s">
        <v>444</v>
      </c>
      <c r="Q760" s="413" t="s">
        <v>1514</v>
      </c>
      <c r="R760" s="413"/>
      <c r="S760" s="414"/>
      <c r="T760" s="414" t="s">
        <v>4493</v>
      </c>
      <c r="U760" s="415"/>
      <c r="V760" s="416"/>
      <c r="W760" s="417"/>
      <c r="X760" s="417"/>
      <c r="Y760" s="418" t="s">
        <v>377</v>
      </c>
      <c r="Z760" s="496"/>
      <c r="AA760" s="415"/>
    </row>
    <row r="761" spans="1:27" s="128" customFormat="1" ht="37.5">
      <c r="A761" s="405">
        <v>45</v>
      </c>
      <c r="B761" s="407" t="s">
        <v>4498</v>
      </c>
      <c r="C761" s="406" t="s">
        <v>76</v>
      </c>
      <c r="D761" s="407" t="s">
        <v>4499</v>
      </c>
      <c r="E761" s="408">
        <v>1</v>
      </c>
      <c r="F761" s="409"/>
      <c r="G761" s="410">
        <f t="shared" si="31"/>
        <v>0</v>
      </c>
      <c r="H761" s="412"/>
      <c r="I761" s="407"/>
      <c r="J761" s="412"/>
      <c r="K761" s="407" t="s">
        <v>4493</v>
      </c>
      <c r="L761" s="412" t="s">
        <v>444</v>
      </c>
      <c r="M761" s="407" t="s">
        <v>444</v>
      </c>
      <c r="N761" s="412"/>
      <c r="O761" s="412"/>
      <c r="P761" s="412" t="s">
        <v>444</v>
      </c>
      <c r="Q761" s="413" t="s">
        <v>1514</v>
      </c>
      <c r="R761" s="413"/>
      <c r="S761" s="414"/>
      <c r="T761" s="414" t="s">
        <v>4493</v>
      </c>
      <c r="U761" s="415"/>
      <c r="V761" s="416"/>
      <c r="W761" s="417"/>
      <c r="X761" s="417"/>
      <c r="Y761" s="418" t="s">
        <v>377</v>
      </c>
      <c r="Z761" s="496"/>
      <c r="AA761" s="415"/>
    </row>
    <row r="762" spans="1:27" s="128" customFormat="1" ht="37.5">
      <c r="A762" s="405">
        <v>46</v>
      </c>
      <c r="B762" s="407" t="s">
        <v>4500</v>
      </c>
      <c r="C762" s="406" t="s">
        <v>76</v>
      </c>
      <c r="D762" s="407" t="s">
        <v>4501</v>
      </c>
      <c r="E762" s="408">
        <v>1</v>
      </c>
      <c r="F762" s="409"/>
      <c r="G762" s="410">
        <f t="shared" si="31"/>
        <v>0</v>
      </c>
      <c r="H762" s="412"/>
      <c r="I762" s="407"/>
      <c r="J762" s="412"/>
      <c r="K762" s="407" t="s">
        <v>4493</v>
      </c>
      <c r="L762" s="412" t="s">
        <v>444</v>
      </c>
      <c r="M762" s="407" t="s">
        <v>444</v>
      </c>
      <c r="N762" s="412"/>
      <c r="O762" s="412"/>
      <c r="P762" s="412" t="s">
        <v>444</v>
      </c>
      <c r="Q762" s="413" t="s">
        <v>1514</v>
      </c>
      <c r="R762" s="413"/>
      <c r="S762" s="414"/>
      <c r="T762" s="414" t="s">
        <v>4493</v>
      </c>
      <c r="U762" s="415"/>
      <c r="V762" s="416"/>
      <c r="W762" s="417"/>
      <c r="X762" s="417"/>
      <c r="Y762" s="418" t="s">
        <v>377</v>
      </c>
      <c r="Z762" s="496"/>
      <c r="AA762" s="415"/>
    </row>
    <row r="763" spans="1:27" s="128" customFormat="1" ht="37.5">
      <c r="A763" s="405">
        <v>47</v>
      </c>
      <c r="B763" s="407" t="s">
        <v>4502</v>
      </c>
      <c r="C763" s="406" t="s">
        <v>76</v>
      </c>
      <c r="D763" s="407" t="s">
        <v>4503</v>
      </c>
      <c r="E763" s="408">
        <v>3</v>
      </c>
      <c r="F763" s="409"/>
      <c r="G763" s="410">
        <f t="shared" si="31"/>
        <v>0</v>
      </c>
      <c r="H763" s="412"/>
      <c r="I763" s="407"/>
      <c r="J763" s="412"/>
      <c r="K763" s="407" t="s">
        <v>4493</v>
      </c>
      <c r="L763" s="412" t="s">
        <v>444</v>
      </c>
      <c r="M763" s="407" t="s">
        <v>444</v>
      </c>
      <c r="N763" s="412"/>
      <c r="O763" s="412"/>
      <c r="P763" s="412" t="s">
        <v>444</v>
      </c>
      <c r="Q763" s="413" t="s">
        <v>1514</v>
      </c>
      <c r="R763" s="413"/>
      <c r="S763" s="414"/>
      <c r="T763" s="414" t="s">
        <v>4493</v>
      </c>
      <c r="U763" s="415"/>
      <c r="V763" s="416"/>
      <c r="W763" s="417"/>
      <c r="X763" s="417"/>
      <c r="Y763" s="418" t="s">
        <v>377</v>
      </c>
      <c r="Z763" s="496"/>
      <c r="AA763" s="415"/>
    </row>
    <row r="764" spans="1:27" s="128" customFormat="1" ht="37.5">
      <c r="A764" s="405">
        <v>48</v>
      </c>
      <c r="B764" s="407" t="s">
        <v>4504</v>
      </c>
      <c r="C764" s="406" t="s">
        <v>76</v>
      </c>
      <c r="D764" s="407" t="s">
        <v>4505</v>
      </c>
      <c r="E764" s="408">
        <v>1</v>
      </c>
      <c r="F764" s="409"/>
      <c r="G764" s="410">
        <f t="shared" si="31"/>
        <v>0</v>
      </c>
      <c r="H764" s="412"/>
      <c r="I764" s="407"/>
      <c r="J764" s="412"/>
      <c r="K764" s="407" t="s">
        <v>4493</v>
      </c>
      <c r="L764" s="412" t="s">
        <v>444</v>
      </c>
      <c r="M764" s="407" t="s">
        <v>444</v>
      </c>
      <c r="N764" s="412"/>
      <c r="O764" s="412"/>
      <c r="P764" s="412" t="s">
        <v>444</v>
      </c>
      <c r="Q764" s="413" t="s">
        <v>1514</v>
      </c>
      <c r="R764" s="413"/>
      <c r="S764" s="414"/>
      <c r="T764" s="414" t="s">
        <v>4493</v>
      </c>
      <c r="U764" s="415"/>
      <c r="V764" s="416"/>
      <c r="W764" s="417"/>
      <c r="X764" s="417"/>
      <c r="Y764" s="418" t="s">
        <v>377</v>
      </c>
      <c r="Z764" s="496"/>
      <c r="AA764" s="415"/>
    </row>
    <row r="765" spans="1:27" s="128" customFormat="1" ht="37.5">
      <c r="A765" s="405">
        <v>49</v>
      </c>
      <c r="B765" s="407" t="s">
        <v>4506</v>
      </c>
      <c r="C765" s="406" t="s">
        <v>76</v>
      </c>
      <c r="D765" s="407" t="s">
        <v>4507</v>
      </c>
      <c r="E765" s="408">
        <v>1</v>
      </c>
      <c r="F765" s="409"/>
      <c r="G765" s="410">
        <f t="shared" si="31"/>
        <v>0</v>
      </c>
      <c r="H765" s="412"/>
      <c r="I765" s="407"/>
      <c r="J765" s="412"/>
      <c r="K765" s="407" t="s">
        <v>4493</v>
      </c>
      <c r="L765" s="412" t="s">
        <v>444</v>
      </c>
      <c r="M765" s="407" t="s">
        <v>444</v>
      </c>
      <c r="N765" s="412"/>
      <c r="O765" s="412"/>
      <c r="P765" s="412" t="s">
        <v>444</v>
      </c>
      <c r="Q765" s="413" t="s">
        <v>1514</v>
      </c>
      <c r="R765" s="413"/>
      <c r="S765" s="414"/>
      <c r="T765" s="414" t="s">
        <v>4493</v>
      </c>
      <c r="U765" s="415"/>
      <c r="V765" s="416"/>
      <c r="W765" s="417"/>
      <c r="X765" s="417"/>
      <c r="Y765" s="418" t="s">
        <v>377</v>
      </c>
      <c r="Z765" s="496"/>
      <c r="AA765" s="415"/>
    </row>
    <row r="766" spans="1:27" s="128" customFormat="1" ht="37.5">
      <c r="A766" s="405">
        <v>50</v>
      </c>
      <c r="B766" s="407" t="s">
        <v>4508</v>
      </c>
      <c r="C766" s="406" t="s">
        <v>76</v>
      </c>
      <c r="D766" s="407" t="s">
        <v>4509</v>
      </c>
      <c r="E766" s="408">
        <v>1</v>
      </c>
      <c r="F766" s="409"/>
      <c r="G766" s="410">
        <f t="shared" si="31"/>
        <v>0</v>
      </c>
      <c r="H766" s="412"/>
      <c r="I766" s="407"/>
      <c r="J766" s="412"/>
      <c r="K766" s="407" t="s">
        <v>4493</v>
      </c>
      <c r="L766" s="412" t="s">
        <v>444</v>
      </c>
      <c r="M766" s="407" t="s">
        <v>444</v>
      </c>
      <c r="N766" s="412"/>
      <c r="O766" s="412"/>
      <c r="P766" s="412" t="s">
        <v>444</v>
      </c>
      <c r="Q766" s="413" t="s">
        <v>1514</v>
      </c>
      <c r="R766" s="413"/>
      <c r="S766" s="414"/>
      <c r="T766" s="414" t="s">
        <v>4493</v>
      </c>
      <c r="U766" s="415"/>
      <c r="V766" s="416"/>
      <c r="W766" s="417"/>
      <c r="X766" s="417"/>
      <c r="Y766" s="418" t="s">
        <v>377</v>
      </c>
      <c r="Z766" s="496"/>
      <c r="AA766" s="415"/>
    </row>
    <row r="767" spans="1:27" s="128" customFormat="1" ht="37.5">
      <c r="A767" s="405">
        <v>51</v>
      </c>
      <c r="B767" s="407" t="s">
        <v>4510</v>
      </c>
      <c r="C767" s="406" t="s">
        <v>76</v>
      </c>
      <c r="D767" s="407" t="s">
        <v>4511</v>
      </c>
      <c r="E767" s="408">
        <v>1</v>
      </c>
      <c r="F767" s="409"/>
      <c r="G767" s="410">
        <f t="shared" si="31"/>
        <v>0</v>
      </c>
      <c r="H767" s="412"/>
      <c r="I767" s="407"/>
      <c r="J767" s="412"/>
      <c r="K767" s="407" t="s">
        <v>4493</v>
      </c>
      <c r="L767" s="412" t="s">
        <v>444</v>
      </c>
      <c r="M767" s="407" t="s">
        <v>444</v>
      </c>
      <c r="N767" s="412"/>
      <c r="O767" s="412"/>
      <c r="P767" s="412" t="s">
        <v>444</v>
      </c>
      <c r="Q767" s="413" t="s">
        <v>1514</v>
      </c>
      <c r="R767" s="413"/>
      <c r="S767" s="414"/>
      <c r="T767" s="414" t="s">
        <v>4493</v>
      </c>
      <c r="U767" s="415"/>
      <c r="V767" s="416"/>
      <c r="W767" s="417"/>
      <c r="X767" s="417"/>
      <c r="Y767" s="418" t="s">
        <v>377</v>
      </c>
      <c r="Z767" s="496"/>
      <c r="AA767" s="415"/>
    </row>
    <row r="768" spans="1:27" s="128" customFormat="1" ht="37.5">
      <c r="A768" s="405">
        <v>52</v>
      </c>
      <c r="B768" s="407" t="s">
        <v>4512</v>
      </c>
      <c r="C768" s="406" t="s">
        <v>76</v>
      </c>
      <c r="D768" s="407" t="s">
        <v>4513</v>
      </c>
      <c r="E768" s="408">
        <v>1</v>
      </c>
      <c r="F768" s="409"/>
      <c r="G768" s="410">
        <f t="shared" si="31"/>
        <v>0</v>
      </c>
      <c r="H768" s="412"/>
      <c r="I768" s="407"/>
      <c r="J768" s="412"/>
      <c r="K768" s="407" t="s">
        <v>4493</v>
      </c>
      <c r="L768" s="412" t="s">
        <v>444</v>
      </c>
      <c r="M768" s="407" t="s">
        <v>444</v>
      </c>
      <c r="N768" s="412"/>
      <c r="O768" s="412"/>
      <c r="P768" s="412" t="s">
        <v>444</v>
      </c>
      <c r="Q768" s="413" t="s">
        <v>1514</v>
      </c>
      <c r="R768" s="413"/>
      <c r="S768" s="414"/>
      <c r="T768" s="414" t="s">
        <v>4493</v>
      </c>
      <c r="U768" s="415"/>
      <c r="V768" s="416"/>
      <c r="W768" s="417"/>
      <c r="X768" s="417"/>
      <c r="Y768" s="418" t="s">
        <v>377</v>
      </c>
      <c r="Z768" s="496"/>
      <c r="AA768" s="415"/>
    </row>
    <row r="769" spans="1:27" s="128" customFormat="1">
      <c r="A769" s="405">
        <v>53</v>
      </c>
      <c r="B769" s="407" t="s">
        <v>4514</v>
      </c>
      <c r="C769" s="406" t="s">
        <v>76</v>
      </c>
      <c r="D769" s="407" t="s">
        <v>4515</v>
      </c>
      <c r="E769" s="408">
        <v>1</v>
      </c>
      <c r="F769" s="409"/>
      <c r="G769" s="410">
        <f t="shared" si="31"/>
        <v>0</v>
      </c>
      <c r="H769" s="412"/>
      <c r="I769" s="407"/>
      <c r="J769" s="412"/>
      <c r="K769" s="407"/>
      <c r="L769" s="412"/>
      <c r="M769" s="407"/>
      <c r="N769" s="412"/>
      <c r="O769" s="412"/>
      <c r="P769" s="412"/>
      <c r="Q769" s="413"/>
      <c r="R769" s="413"/>
      <c r="S769" s="414"/>
      <c r="T769" s="414" t="s">
        <v>4493</v>
      </c>
      <c r="U769" s="415"/>
      <c r="V769" s="416"/>
      <c r="W769" s="417"/>
      <c r="X769" s="417"/>
      <c r="Y769" s="418" t="s">
        <v>377</v>
      </c>
      <c r="Z769" s="496"/>
      <c r="AA769" s="415"/>
    </row>
    <row r="770" spans="1:27" s="128" customFormat="1" ht="37.5">
      <c r="A770" s="405">
        <v>54</v>
      </c>
      <c r="B770" s="407" t="s">
        <v>4516</v>
      </c>
      <c r="C770" s="406" t="s">
        <v>76</v>
      </c>
      <c r="D770" s="407" t="s">
        <v>4517</v>
      </c>
      <c r="E770" s="408">
        <v>1</v>
      </c>
      <c r="F770" s="409"/>
      <c r="G770" s="410">
        <f t="shared" si="31"/>
        <v>0</v>
      </c>
      <c r="H770" s="412"/>
      <c r="I770" s="407"/>
      <c r="J770" s="412"/>
      <c r="K770" s="407" t="s">
        <v>4493</v>
      </c>
      <c r="L770" s="412" t="s">
        <v>444</v>
      </c>
      <c r="M770" s="407" t="s">
        <v>444</v>
      </c>
      <c r="N770" s="412"/>
      <c r="O770" s="412"/>
      <c r="P770" s="412" t="s">
        <v>444</v>
      </c>
      <c r="Q770" s="413" t="s">
        <v>1514</v>
      </c>
      <c r="R770" s="413"/>
      <c r="S770" s="414"/>
      <c r="T770" s="414" t="s">
        <v>4493</v>
      </c>
      <c r="U770" s="415"/>
      <c r="V770" s="416"/>
      <c r="W770" s="417"/>
      <c r="X770" s="417"/>
      <c r="Y770" s="418" t="s">
        <v>377</v>
      </c>
      <c r="Z770" s="496"/>
      <c r="AA770" s="415"/>
    </row>
    <row r="771" spans="1:27" s="128" customFormat="1" ht="37.5">
      <c r="A771" s="405">
        <v>55</v>
      </c>
      <c r="B771" s="407" t="s">
        <v>4518</v>
      </c>
      <c r="C771" s="406" t="s">
        <v>76</v>
      </c>
      <c r="D771" s="407" t="s">
        <v>4519</v>
      </c>
      <c r="E771" s="408">
        <v>1</v>
      </c>
      <c r="F771" s="409"/>
      <c r="G771" s="410">
        <f t="shared" si="31"/>
        <v>0</v>
      </c>
      <c r="H771" s="412"/>
      <c r="I771" s="407"/>
      <c r="J771" s="412"/>
      <c r="K771" s="407" t="s">
        <v>4493</v>
      </c>
      <c r="L771" s="412" t="s">
        <v>444</v>
      </c>
      <c r="M771" s="407" t="s">
        <v>444</v>
      </c>
      <c r="N771" s="412"/>
      <c r="O771" s="412"/>
      <c r="P771" s="412" t="s">
        <v>444</v>
      </c>
      <c r="Q771" s="413" t="s">
        <v>1514</v>
      </c>
      <c r="R771" s="413"/>
      <c r="S771" s="414"/>
      <c r="T771" s="414" t="s">
        <v>4493</v>
      </c>
      <c r="U771" s="415"/>
      <c r="V771" s="416"/>
      <c r="W771" s="417"/>
      <c r="X771" s="417"/>
      <c r="Y771" s="418" t="s">
        <v>377</v>
      </c>
      <c r="Z771" s="496"/>
      <c r="AA771" s="415"/>
    </row>
    <row r="772" spans="1:27">
      <c r="A772" s="389"/>
      <c r="B772" s="390" t="s">
        <v>1883</v>
      </c>
      <c r="C772" s="391"/>
      <c r="D772" s="392"/>
      <c r="E772" s="393"/>
      <c r="F772" s="394"/>
      <c r="G772" s="395">
        <f t="shared" si="21"/>
        <v>0</v>
      </c>
      <c r="H772" s="420"/>
      <c r="I772" s="392"/>
      <c r="J772" s="420"/>
      <c r="K772" s="392"/>
      <c r="L772" s="397"/>
      <c r="M772" s="392"/>
      <c r="N772" s="397"/>
      <c r="O772" s="397"/>
      <c r="P772" s="397"/>
      <c r="Q772" s="398"/>
      <c r="R772" s="398"/>
      <c r="S772" s="399"/>
      <c r="T772" s="399"/>
      <c r="U772" s="400"/>
      <c r="V772" s="401"/>
      <c r="W772" s="402"/>
      <c r="X772" s="402"/>
      <c r="Y772" s="403"/>
      <c r="Z772" s="404"/>
      <c r="AA772" s="493"/>
    </row>
    <row r="773" spans="1:27" s="128" customFormat="1" ht="37.5">
      <c r="A773" s="405">
        <v>1</v>
      </c>
      <c r="B773" s="407" t="s">
        <v>4520</v>
      </c>
      <c r="C773" s="406" t="s">
        <v>78</v>
      </c>
      <c r="D773" s="407" t="s">
        <v>4521</v>
      </c>
      <c r="E773" s="408">
        <v>1</v>
      </c>
      <c r="F773" s="409"/>
      <c r="G773" s="410">
        <f t="shared" ref="G773:G804" si="32">E773*F773</f>
        <v>0</v>
      </c>
      <c r="H773" s="412"/>
      <c r="I773" s="407"/>
      <c r="J773" s="412"/>
      <c r="K773" s="407" t="s">
        <v>4522</v>
      </c>
      <c r="L773" s="412" t="s">
        <v>444</v>
      </c>
      <c r="M773" s="407" t="s">
        <v>444</v>
      </c>
      <c r="N773" s="412"/>
      <c r="O773" s="412"/>
      <c r="P773" s="412" t="s">
        <v>444</v>
      </c>
      <c r="Q773" s="413" t="s">
        <v>1514</v>
      </c>
      <c r="R773" s="413" t="s">
        <v>2906</v>
      </c>
      <c r="S773" s="414"/>
      <c r="T773" s="414"/>
      <c r="U773" s="415"/>
      <c r="V773" s="416"/>
      <c r="W773" s="417"/>
      <c r="X773" s="417"/>
      <c r="Y773" s="418" t="s">
        <v>377</v>
      </c>
      <c r="Z773" s="419"/>
      <c r="AA773" s="415">
        <v>1</v>
      </c>
    </row>
    <row r="774" spans="1:27" s="128" customFormat="1" ht="37.5">
      <c r="A774" s="405">
        <v>2</v>
      </c>
      <c r="B774" s="407" t="s">
        <v>4523</v>
      </c>
      <c r="C774" s="406" t="s">
        <v>78</v>
      </c>
      <c r="D774" s="407" t="s">
        <v>4524</v>
      </c>
      <c r="E774" s="408">
        <v>1</v>
      </c>
      <c r="F774" s="409"/>
      <c r="G774" s="410">
        <f t="shared" si="32"/>
        <v>0</v>
      </c>
      <c r="H774" s="412"/>
      <c r="I774" s="407"/>
      <c r="J774" s="412"/>
      <c r="K774" s="407" t="s">
        <v>4525</v>
      </c>
      <c r="L774" s="412" t="s">
        <v>444</v>
      </c>
      <c r="M774" s="407" t="s">
        <v>444</v>
      </c>
      <c r="N774" s="412"/>
      <c r="O774" s="412"/>
      <c r="P774" s="412" t="s">
        <v>444</v>
      </c>
      <c r="Q774" s="413" t="s">
        <v>1514</v>
      </c>
      <c r="R774" s="413" t="s">
        <v>4526</v>
      </c>
      <c r="S774" s="414"/>
      <c r="T774" s="414"/>
      <c r="U774" s="415"/>
      <c r="V774" s="416"/>
      <c r="W774" s="417"/>
      <c r="X774" s="417"/>
      <c r="Y774" s="418" t="s">
        <v>377</v>
      </c>
      <c r="Z774" s="419"/>
      <c r="AA774" s="415"/>
    </row>
    <row r="775" spans="1:27" s="128" customFormat="1" ht="37.5">
      <c r="A775" s="405">
        <v>3</v>
      </c>
      <c r="B775" s="407" t="s">
        <v>4527</v>
      </c>
      <c r="C775" s="406" t="s">
        <v>78</v>
      </c>
      <c r="D775" s="407" t="s">
        <v>4528</v>
      </c>
      <c r="E775" s="408">
        <v>1</v>
      </c>
      <c r="F775" s="409"/>
      <c r="G775" s="410">
        <f t="shared" si="32"/>
        <v>0</v>
      </c>
      <c r="H775" s="412"/>
      <c r="I775" s="407"/>
      <c r="J775" s="412"/>
      <c r="K775" s="407" t="s">
        <v>4525</v>
      </c>
      <c r="L775" s="412" t="s">
        <v>444</v>
      </c>
      <c r="M775" s="407" t="s">
        <v>444</v>
      </c>
      <c r="N775" s="412"/>
      <c r="O775" s="412"/>
      <c r="P775" s="412" t="s">
        <v>444</v>
      </c>
      <c r="Q775" s="413" t="s">
        <v>1514</v>
      </c>
      <c r="R775" s="413" t="s">
        <v>2963</v>
      </c>
      <c r="S775" s="414"/>
      <c r="T775" s="414"/>
      <c r="U775" s="415"/>
      <c r="V775" s="416"/>
      <c r="W775" s="417"/>
      <c r="X775" s="417"/>
      <c r="Y775" s="418" t="s">
        <v>377</v>
      </c>
      <c r="Z775" s="419"/>
      <c r="AA775" s="415"/>
    </row>
    <row r="776" spans="1:27" s="128" customFormat="1" ht="37.5">
      <c r="A776" s="405">
        <v>4</v>
      </c>
      <c r="B776" s="407" t="s">
        <v>4274</v>
      </c>
      <c r="C776" s="406" t="s">
        <v>78</v>
      </c>
      <c r="D776" s="407" t="s">
        <v>4275</v>
      </c>
      <c r="E776" s="408">
        <v>1</v>
      </c>
      <c r="F776" s="409"/>
      <c r="G776" s="410">
        <f t="shared" si="32"/>
        <v>0</v>
      </c>
      <c r="H776" s="412"/>
      <c r="I776" s="407"/>
      <c r="J776" s="412"/>
      <c r="K776" s="407" t="s">
        <v>4525</v>
      </c>
      <c r="L776" s="412" t="s">
        <v>444</v>
      </c>
      <c r="M776" s="407" t="s">
        <v>444</v>
      </c>
      <c r="N776" s="412"/>
      <c r="O776" s="412"/>
      <c r="P776" s="412" t="s">
        <v>444</v>
      </c>
      <c r="Q776" s="413" t="s">
        <v>1514</v>
      </c>
      <c r="R776" s="413" t="s">
        <v>2906</v>
      </c>
      <c r="S776" s="414"/>
      <c r="T776" s="414"/>
      <c r="U776" s="415"/>
      <c r="V776" s="416"/>
      <c r="W776" s="417"/>
      <c r="X776" s="417"/>
      <c r="Y776" s="418" t="s">
        <v>377</v>
      </c>
      <c r="Z776" s="419"/>
      <c r="AA776" s="415"/>
    </row>
    <row r="777" spans="1:27" s="128" customFormat="1" ht="37.5">
      <c r="A777" s="405">
        <v>5</v>
      </c>
      <c r="B777" s="407" t="s">
        <v>4529</v>
      </c>
      <c r="C777" s="406" t="s">
        <v>78</v>
      </c>
      <c r="D777" s="407" t="s">
        <v>4530</v>
      </c>
      <c r="E777" s="408">
        <v>1</v>
      </c>
      <c r="F777" s="409"/>
      <c r="G777" s="410">
        <f t="shared" si="32"/>
        <v>0</v>
      </c>
      <c r="H777" s="412"/>
      <c r="I777" s="407"/>
      <c r="J777" s="412"/>
      <c r="K777" s="407" t="s">
        <v>4525</v>
      </c>
      <c r="L777" s="412" t="s">
        <v>444</v>
      </c>
      <c r="M777" s="407" t="s">
        <v>444</v>
      </c>
      <c r="N777" s="412"/>
      <c r="O777" s="412"/>
      <c r="P777" s="412" t="s">
        <v>444</v>
      </c>
      <c r="Q777" s="413" t="s">
        <v>1514</v>
      </c>
      <c r="R777" s="413" t="s">
        <v>260</v>
      </c>
      <c r="S777" s="414"/>
      <c r="T777" s="414"/>
      <c r="U777" s="415"/>
      <c r="V777" s="416"/>
      <c r="W777" s="417"/>
      <c r="X777" s="417"/>
      <c r="Y777" s="418" t="s">
        <v>377</v>
      </c>
      <c r="Z777" s="419"/>
      <c r="AA777" s="415"/>
    </row>
    <row r="778" spans="1:27" s="128" customFormat="1" ht="37.5">
      <c r="A778" s="405">
        <v>6</v>
      </c>
      <c r="B778" s="407" t="s">
        <v>4531</v>
      </c>
      <c r="C778" s="406" t="s">
        <v>78</v>
      </c>
      <c r="D778" s="407" t="s">
        <v>4532</v>
      </c>
      <c r="E778" s="408">
        <v>1</v>
      </c>
      <c r="F778" s="409"/>
      <c r="G778" s="410">
        <f t="shared" si="32"/>
        <v>0</v>
      </c>
      <c r="H778" s="412"/>
      <c r="I778" s="407"/>
      <c r="J778" s="412"/>
      <c r="K778" s="407" t="s">
        <v>4525</v>
      </c>
      <c r="L778" s="412" t="s">
        <v>444</v>
      </c>
      <c r="M778" s="407" t="s">
        <v>444</v>
      </c>
      <c r="N778" s="412"/>
      <c r="O778" s="412"/>
      <c r="P778" s="412" t="s">
        <v>444</v>
      </c>
      <c r="Q778" s="413" t="s">
        <v>1514</v>
      </c>
      <c r="R778" s="413" t="s">
        <v>2963</v>
      </c>
      <c r="S778" s="414"/>
      <c r="T778" s="414"/>
      <c r="U778" s="415"/>
      <c r="V778" s="416"/>
      <c r="W778" s="417"/>
      <c r="X778" s="417"/>
      <c r="Y778" s="418" t="s">
        <v>377</v>
      </c>
      <c r="Z778" s="419"/>
      <c r="AA778" s="415"/>
    </row>
    <row r="779" spans="1:27" s="128" customFormat="1" ht="37.5">
      <c r="A779" s="405">
        <v>7</v>
      </c>
      <c r="B779" s="407" t="s">
        <v>4533</v>
      </c>
      <c r="C779" s="406" t="s">
        <v>78</v>
      </c>
      <c r="D779" s="407" t="s">
        <v>4534</v>
      </c>
      <c r="E779" s="408">
        <v>1</v>
      </c>
      <c r="F779" s="409"/>
      <c r="G779" s="410">
        <f t="shared" si="32"/>
        <v>0</v>
      </c>
      <c r="H779" s="412"/>
      <c r="I779" s="407"/>
      <c r="J779" s="412"/>
      <c r="K779" s="407" t="s">
        <v>4525</v>
      </c>
      <c r="L779" s="412" t="s">
        <v>444</v>
      </c>
      <c r="M779" s="407" t="s">
        <v>444</v>
      </c>
      <c r="N779" s="412"/>
      <c r="O779" s="412"/>
      <c r="P779" s="412" t="s">
        <v>444</v>
      </c>
      <c r="Q779" s="413" t="s">
        <v>1514</v>
      </c>
      <c r="R779" s="413" t="s">
        <v>2963</v>
      </c>
      <c r="S779" s="414"/>
      <c r="T779" s="414"/>
      <c r="U779" s="415"/>
      <c r="V779" s="416"/>
      <c r="W779" s="417"/>
      <c r="X779" s="417"/>
      <c r="Y779" s="418" t="s">
        <v>377</v>
      </c>
      <c r="Z779" s="419"/>
      <c r="AA779" s="415"/>
    </row>
    <row r="780" spans="1:27" s="128" customFormat="1" ht="37.5">
      <c r="A780" s="405">
        <v>8</v>
      </c>
      <c r="B780" s="407" t="s">
        <v>4535</v>
      </c>
      <c r="C780" s="406" t="s">
        <v>78</v>
      </c>
      <c r="D780" s="407" t="s">
        <v>4536</v>
      </c>
      <c r="E780" s="408">
        <v>1</v>
      </c>
      <c r="F780" s="409"/>
      <c r="G780" s="410">
        <f t="shared" si="32"/>
        <v>0</v>
      </c>
      <c r="H780" s="412"/>
      <c r="I780" s="407"/>
      <c r="J780" s="412"/>
      <c r="K780" s="407" t="s">
        <v>4525</v>
      </c>
      <c r="L780" s="412" t="s">
        <v>444</v>
      </c>
      <c r="M780" s="407" t="s">
        <v>444</v>
      </c>
      <c r="N780" s="412"/>
      <c r="O780" s="412"/>
      <c r="P780" s="412" t="s">
        <v>444</v>
      </c>
      <c r="Q780" s="413" t="s">
        <v>1514</v>
      </c>
      <c r="R780" s="413" t="s">
        <v>2963</v>
      </c>
      <c r="S780" s="414"/>
      <c r="T780" s="414"/>
      <c r="U780" s="415"/>
      <c r="V780" s="416"/>
      <c r="W780" s="417"/>
      <c r="X780" s="417"/>
      <c r="Y780" s="418" t="s">
        <v>377</v>
      </c>
      <c r="Z780" s="419"/>
      <c r="AA780" s="415"/>
    </row>
    <row r="781" spans="1:27" s="128" customFormat="1" ht="37.5">
      <c r="A781" s="405">
        <v>9</v>
      </c>
      <c r="B781" s="407" t="s">
        <v>4537</v>
      </c>
      <c r="C781" s="406" t="s">
        <v>78</v>
      </c>
      <c r="D781" s="407" t="s">
        <v>4538</v>
      </c>
      <c r="E781" s="408">
        <v>1</v>
      </c>
      <c r="F781" s="409"/>
      <c r="G781" s="410">
        <f t="shared" si="32"/>
        <v>0</v>
      </c>
      <c r="H781" s="412"/>
      <c r="I781" s="407"/>
      <c r="J781" s="412"/>
      <c r="K781" s="407" t="s">
        <v>4525</v>
      </c>
      <c r="L781" s="412" t="s">
        <v>444</v>
      </c>
      <c r="M781" s="407" t="s">
        <v>444</v>
      </c>
      <c r="N781" s="412"/>
      <c r="O781" s="412"/>
      <c r="P781" s="412" t="s">
        <v>444</v>
      </c>
      <c r="Q781" s="413" t="s">
        <v>1514</v>
      </c>
      <c r="R781" s="413" t="s">
        <v>2963</v>
      </c>
      <c r="S781" s="414"/>
      <c r="T781" s="414"/>
      <c r="U781" s="415"/>
      <c r="V781" s="416"/>
      <c r="W781" s="417"/>
      <c r="X781" s="417"/>
      <c r="Y781" s="418" t="s">
        <v>377</v>
      </c>
      <c r="Z781" s="419"/>
      <c r="AA781" s="415"/>
    </row>
    <row r="782" spans="1:27" s="128" customFormat="1" ht="37.5">
      <c r="A782" s="405">
        <v>10</v>
      </c>
      <c r="B782" s="407" t="s">
        <v>4539</v>
      </c>
      <c r="C782" s="406" t="s">
        <v>78</v>
      </c>
      <c r="D782" s="407" t="s">
        <v>4540</v>
      </c>
      <c r="E782" s="408">
        <v>1</v>
      </c>
      <c r="F782" s="409"/>
      <c r="G782" s="410">
        <f t="shared" si="32"/>
        <v>0</v>
      </c>
      <c r="H782" s="412"/>
      <c r="I782" s="407"/>
      <c r="J782" s="412"/>
      <c r="K782" s="407" t="s">
        <v>4525</v>
      </c>
      <c r="L782" s="412" t="s">
        <v>444</v>
      </c>
      <c r="M782" s="407" t="s">
        <v>444</v>
      </c>
      <c r="N782" s="412"/>
      <c r="O782" s="412"/>
      <c r="P782" s="412" t="s">
        <v>444</v>
      </c>
      <c r="Q782" s="413" t="s">
        <v>1514</v>
      </c>
      <c r="R782" s="413" t="s">
        <v>2963</v>
      </c>
      <c r="S782" s="414"/>
      <c r="T782" s="414"/>
      <c r="U782" s="415"/>
      <c r="V782" s="416"/>
      <c r="W782" s="417"/>
      <c r="X782" s="417"/>
      <c r="Y782" s="418" t="s">
        <v>377</v>
      </c>
      <c r="Z782" s="419"/>
      <c r="AA782" s="415"/>
    </row>
    <row r="783" spans="1:27" s="128" customFormat="1" ht="37.5">
      <c r="A783" s="405">
        <v>11</v>
      </c>
      <c r="B783" s="407" t="s">
        <v>4541</v>
      </c>
      <c r="C783" s="406" t="s">
        <v>78</v>
      </c>
      <c r="D783" s="407" t="s">
        <v>4542</v>
      </c>
      <c r="E783" s="408">
        <v>2</v>
      </c>
      <c r="F783" s="409"/>
      <c r="G783" s="410">
        <f t="shared" si="32"/>
        <v>0</v>
      </c>
      <c r="H783" s="412"/>
      <c r="I783" s="407"/>
      <c r="J783" s="412"/>
      <c r="K783" s="407" t="s">
        <v>4525</v>
      </c>
      <c r="L783" s="412" t="s">
        <v>444</v>
      </c>
      <c r="M783" s="407" t="s">
        <v>444</v>
      </c>
      <c r="N783" s="412"/>
      <c r="O783" s="412"/>
      <c r="P783" s="412" t="s">
        <v>444</v>
      </c>
      <c r="Q783" s="413" t="s">
        <v>1514</v>
      </c>
      <c r="R783" s="413" t="s">
        <v>4026</v>
      </c>
      <c r="S783" s="414"/>
      <c r="T783" s="414"/>
      <c r="U783" s="415"/>
      <c r="V783" s="416"/>
      <c r="W783" s="417"/>
      <c r="X783" s="417"/>
      <c r="Y783" s="418" t="s">
        <v>377</v>
      </c>
      <c r="Z783" s="419"/>
      <c r="AA783" s="415"/>
    </row>
    <row r="784" spans="1:27" s="128" customFormat="1" ht="37.5">
      <c r="A784" s="405">
        <v>12</v>
      </c>
      <c r="B784" s="407" t="s">
        <v>4543</v>
      </c>
      <c r="C784" s="406" t="s">
        <v>78</v>
      </c>
      <c r="D784" s="407" t="s">
        <v>4544</v>
      </c>
      <c r="E784" s="408">
        <v>2</v>
      </c>
      <c r="F784" s="409"/>
      <c r="G784" s="410">
        <f t="shared" si="32"/>
        <v>0</v>
      </c>
      <c r="H784" s="412"/>
      <c r="I784" s="407"/>
      <c r="J784" s="412"/>
      <c r="K784" s="407" t="s">
        <v>4525</v>
      </c>
      <c r="L784" s="412" t="s">
        <v>444</v>
      </c>
      <c r="M784" s="407" t="s">
        <v>444</v>
      </c>
      <c r="N784" s="412"/>
      <c r="O784" s="412"/>
      <c r="P784" s="412" t="s">
        <v>444</v>
      </c>
      <c r="Q784" s="413" t="s">
        <v>1514</v>
      </c>
      <c r="R784" s="413" t="s">
        <v>3103</v>
      </c>
      <c r="S784" s="414"/>
      <c r="T784" s="414"/>
      <c r="U784" s="415"/>
      <c r="V784" s="416"/>
      <c r="W784" s="417"/>
      <c r="X784" s="417"/>
      <c r="Y784" s="418" t="s">
        <v>377</v>
      </c>
      <c r="Z784" s="419"/>
      <c r="AA784" s="415"/>
    </row>
    <row r="785" spans="1:27" s="128" customFormat="1" ht="37.5">
      <c r="A785" s="405">
        <v>13</v>
      </c>
      <c r="B785" s="407" t="s">
        <v>4545</v>
      </c>
      <c r="C785" s="406" t="s">
        <v>78</v>
      </c>
      <c r="D785" s="407" t="s">
        <v>4546</v>
      </c>
      <c r="E785" s="408">
        <v>1</v>
      </c>
      <c r="F785" s="409"/>
      <c r="G785" s="410">
        <f t="shared" si="32"/>
        <v>0</v>
      </c>
      <c r="H785" s="412"/>
      <c r="I785" s="407"/>
      <c r="J785" s="412"/>
      <c r="K785" s="407" t="s">
        <v>4525</v>
      </c>
      <c r="L785" s="412" t="s">
        <v>444</v>
      </c>
      <c r="M785" s="407" t="s">
        <v>444</v>
      </c>
      <c r="N785" s="412"/>
      <c r="O785" s="412"/>
      <c r="P785" s="412" t="s">
        <v>444</v>
      </c>
      <c r="Q785" s="413" t="s">
        <v>1514</v>
      </c>
      <c r="R785" s="413" t="s">
        <v>2922</v>
      </c>
      <c r="S785" s="414"/>
      <c r="T785" s="414"/>
      <c r="U785" s="415"/>
      <c r="V785" s="416"/>
      <c r="W785" s="417"/>
      <c r="X785" s="417"/>
      <c r="Y785" s="418" t="s">
        <v>377</v>
      </c>
      <c r="Z785" s="419"/>
      <c r="AA785" s="415"/>
    </row>
    <row r="786" spans="1:27" s="128" customFormat="1" ht="37.5">
      <c r="A786" s="405">
        <v>14</v>
      </c>
      <c r="B786" s="407" t="s">
        <v>4547</v>
      </c>
      <c r="C786" s="406" t="s">
        <v>78</v>
      </c>
      <c r="D786" s="407" t="s">
        <v>4548</v>
      </c>
      <c r="E786" s="408">
        <v>1</v>
      </c>
      <c r="F786" s="409"/>
      <c r="G786" s="410">
        <f t="shared" si="32"/>
        <v>0</v>
      </c>
      <c r="H786" s="412"/>
      <c r="I786" s="407"/>
      <c r="J786" s="412"/>
      <c r="K786" s="407" t="s">
        <v>4522</v>
      </c>
      <c r="L786" s="412" t="s">
        <v>444</v>
      </c>
      <c r="M786" s="407" t="s">
        <v>444</v>
      </c>
      <c r="N786" s="412"/>
      <c r="O786" s="412"/>
      <c r="P786" s="412" t="s">
        <v>444</v>
      </c>
      <c r="Q786" s="413" t="s">
        <v>1514</v>
      </c>
      <c r="R786" s="413" t="s">
        <v>4549</v>
      </c>
      <c r="S786" s="414"/>
      <c r="T786" s="414"/>
      <c r="U786" s="415"/>
      <c r="V786" s="416"/>
      <c r="W786" s="417"/>
      <c r="X786" s="417"/>
      <c r="Y786" s="418" t="s">
        <v>377</v>
      </c>
      <c r="Z786" s="419"/>
      <c r="AA786" s="415">
        <v>1</v>
      </c>
    </row>
    <row r="787" spans="1:27" s="128" customFormat="1" ht="37.5">
      <c r="A787" s="405">
        <v>15</v>
      </c>
      <c r="B787" s="407" t="s">
        <v>4550</v>
      </c>
      <c r="C787" s="406" t="s">
        <v>78</v>
      </c>
      <c r="D787" s="407" t="s">
        <v>4551</v>
      </c>
      <c r="E787" s="408">
        <v>1</v>
      </c>
      <c r="F787" s="409"/>
      <c r="G787" s="410">
        <f t="shared" si="32"/>
        <v>0</v>
      </c>
      <c r="H787" s="412"/>
      <c r="I787" s="407"/>
      <c r="J787" s="412"/>
      <c r="K787" s="407" t="s">
        <v>4525</v>
      </c>
      <c r="L787" s="412" t="s">
        <v>444</v>
      </c>
      <c r="M787" s="407" t="s">
        <v>444</v>
      </c>
      <c r="N787" s="412"/>
      <c r="O787" s="412"/>
      <c r="P787" s="412" t="s">
        <v>444</v>
      </c>
      <c r="Q787" s="413" t="s">
        <v>1514</v>
      </c>
      <c r="R787" s="413"/>
      <c r="S787" s="414"/>
      <c r="T787" s="414"/>
      <c r="U787" s="415"/>
      <c r="V787" s="416"/>
      <c r="W787" s="417"/>
      <c r="X787" s="417"/>
      <c r="Y787" s="418" t="s">
        <v>377</v>
      </c>
      <c r="Z787" s="419"/>
      <c r="AA787" s="415"/>
    </row>
    <row r="788" spans="1:27" s="128" customFormat="1" ht="37.5">
      <c r="A788" s="405">
        <v>16</v>
      </c>
      <c r="B788" s="407" t="s">
        <v>4552</v>
      </c>
      <c r="C788" s="406" t="s">
        <v>78</v>
      </c>
      <c r="D788" s="407" t="s">
        <v>4553</v>
      </c>
      <c r="E788" s="408">
        <v>1</v>
      </c>
      <c r="F788" s="409"/>
      <c r="G788" s="410">
        <f t="shared" si="32"/>
        <v>0</v>
      </c>
      <c r="H788" s="412"/>
      <c r="I788" s="407"/>
      <c r="J788" s="412"/>
      <c r="K788" s="407" t="s">
        <v>4525</v>
      </c>
      <c r="L788" s="412" t="s">
        <v>444</v>
      </c>
      <c r="M788" s="407" t="s">
        <v>444</v>
      </c>
      <c r="N788" s="412"/>
      <c r="O788" s="412"/>
      <c r="P788" s="412" t="s">
        <v>444</v>
      </c>
      <c r="Q788" s="413" t="s">
        <v>1514</v>
      </c>
      <c r="R788" s="413" t="s">
        <v>2963</v>
      </c>
      <c r="S788" s="414"/>
      <c r="T788" s="414"/>
      <c r="U788" s="415"/>
      <c r="V788" s="416"/>
      <c r="W788" s="417"/>
      <c r="X788" s="417"/>
      <c r="Y788" s="418" t="s">
        <v>377</v>
      </c>
      <c r="Z788" s="419"/>
      <c r="AA788" s="415"/>
    </row>
    <row r="789" spans="1:27" s="128" customFormat="1" ht="37.5">
      <c r="A789" s="405">
        <v>17</v>
      </c>
      <c r="B789" s="407" t="s">
        <v>4554</v>
      </c>
      <c r="C789" s="406" t="s">
        <v>78</v>
      </c>
      <c r="D789" s="407" t="s">
        <v>4555</v>
      </c>
      <c r="E789" s="408">
        <v>1</v>
      </c>
      <c r="F789" s="409"/>
      <c r="G789" s="410">
        <f t="shared" si="32"/>
        <v>0</v>
      </c>
      <c r="H789" s="412"/>
      <c r="I789" s="407"/>
      <c r="J789" s="412"/>
      <c r="K789" s="407" t="s">
        <v>4525</v>
      </c>
      <c r="L789" s="412" t="s">
        <v>444</v>
      </c>
      <c r="M789" s="407" t="s">
        <v>444</v>
      </c>
      <c r="N789" s="412"/>
      <c r="O789" s="412"/>
      <c r="P789" s="412" t="s">
        <v>444</v>
      </c>
      <c r="Q789" s="413" t="s">
        <v>1514</v>
      </c>
      <c r="R789" s="413" t="s">
        <v>2963</v>
      </c>
      <c r="S789" s="414"/>
      <c r="T789" s="414"/>
      <c r="U789" s="415"/>
      <c r="V789" s="416"/>
      <c r="W789" s="417"/>
      <c r="X789" s="417"/>
      <c r="Y789" s="418" t="s">
        <v>377</v>
      </c>
      <c r="Z789" s="419"/>
      <c r="AA789" s="415"/>
    </row>
    <row r="790" spans="1:27" s="128" customFormat="1" ht="37.5">
      <c r="A790" s="405">
        <v>18</v>
      </c>
      <c r="B790" s="407" t="s">
        <v>4556</v>
      </c>
      <c r="C790" s="406" t="s">
        <v>78</v>
      </c>
      <c r="D790" s="407" t="s">
        <v>4557</v>
      </c>
      <c r="E790" s="408">
        <v>1</v>
      </c>
      <c r="F790" s="409"/>
      <c r="G790" s="410">
        <f t="shared" si="32"/>
        <v>0</v>
      </c>
      <c r="H790" s="412"/>
      <c r="I790" s="407"/>
      <c r="J790" s="412"/>
      <c r="K790" s="407" t="s">
        <v>4525</v>
      </c>
      <c r="L790" s="412" t="s">
        <v>444</v>
      </c>
      <c r="M790" s="407" t="s">
        <v>444</v>
      </c>
      <c r="N790" s="412"/>
      <c r="O790" s="412"/>
      <c r="P790" s="412" t="s">
        <v>444</v>
      </c>
      <c r="Q790" s="413" t="s">
        <v>1514</v>
      </c>
      <c r="R790" s="413" t="s">
        <v>2963</v>
      </c>
      <c r="S790" s="414"/>
      <c r="T790" s="414"/>
      <c r="U790" s="415"/>
      <c r="V790" s="416"/>
      <c r="W790" s="417"/>
      <c r="X790" s="417"/>
      <c r="Y790" s="418" t="s">
        <v>377</v>
      </c>
      <c r="Z790" s="419"/>
      <c r="AA790" s="415"/>
    </row>
    <row r="791" spans="1:27" s="128" customFormat="1" ht="37.5">
      <c r="A791" s="405">
        <v>19</v>
      </c>
      <c r="B791" s="407" t="s">
        <v>4558</v>
      </c>
      <c r="C791" s="406" t="s">
        <v>78</v>
      </c>
      <c r="D791" s="407" t="s">
        <v>4559</v>
      </c>
      <c r="E791" s="408">
        <v>1</v>
      </c>
      <c r="F791" s="409"/>
      <c r="G791" s="410">
        <f t="shared" si="32"/>
        <v>0</v>
      </c>
      <c r="H791" s="412"/>
      <c r="I791" s="407"/>
      <c r="J791" s="412"/>
      <c r="K791" s="407" t="s">
        <v>4525</v>
      </c>
      <c r="L791" s="412" t="s">
        <v>444</v>
      </c>
      <c r="M791" s="407" t="s">
        <v>444</v>
      </c>
      <c r="N791" s="412"/>
      <c r="O791" s="412"/>
      <c r="P791" s="412" t="s">
        <v>444</v>
      </c>
      <c r="Q791" s="413" t="s">
        <v>1514</v>
      </c>
      <c r="R791" s="413" t="s">
        <v>2963</v>
      </c>
      <c r="S791" s="414"/>
      <c r="T791" s="414"/>
      <c r="U791" s="415"/>
      <c r="V791" s="416"/>
      <c r="W791" s="417"/>
      <c r="X791" s="417"/>
      <c r="Y791" s="418" t="s">
        <v>377</v>
      </c>
      <c r="Z791" s="419"/>
      <c r="AA791" s="415"/>
    </row>
    <row r="792" spans="1:27" s="128" customFormat="1" ht="37.5">
      <c r="A792" s="405">
        <v>20</v>
      </c>
      <c r="B792" s="407" t="s">
        <v>4560</v>
      </c>
      <c r="C792" s="406" t="s">
        <v>78</v>
      </c>
      <c r="D792" s="407" t="s">
        <v>4561</v>
      </c>
      <c r="E792" s="408">
        <v>4</v>
      </c>
      <c r="F792" s="409"/>
      <c r="G792" s="410">
        <f t="shared" si="32"/>
        <v>0</v>
      </c>
      <c r="H792" s="412"/>
      <c r="I792" s="407"/>
      <c r="J792" s="412"/>
      <c r="K792" s="407" t="s">
        <v>4525</v>
      </c>
      <c r="L792" s="412" t="s">
        <v>444</v>
      </c>
      <c r="M792" s="407" t="s">
        <v>444</v>
      </c>
      <c r="N792" s="412"/>
      <c r="O792" s="412"/>
      <c r="P792" s="412" t="s">
        <v>444</v>
      </c>
      <c r="Q792" s="413" t="s">
        <v>1514</v>
      </c>
      <c r="R792" s="413" t="s">
        <v>2922</v>
      </c>
      <c r="S792" s="414"/>
      <c r="T792" s="414"/>
      <c r="U792" s="415"/>
      <c r="V792" s="416"/>
      <c r="W792" s="417"/>
      <c r="X792" s="417"/>
      <c r="Y792" s="418" t="s">
        <v>377</v>
      </c>
      <c r="Z792" s="419"/>
      <c r="AA792" s="415"/>
    </row>
    <row r="793" spans="1:27" s="128" customFormat="1" ht="37.5">
      <c r="A793" s="405">
        <v>21</v>
      </c>
      <c r="B793" s="407" t="s">
        <v>4562</v>
      </c>
      <c r="C793" s="406" t="s">
        <v>78</v>
      </c>
      <c r="D793" s="407" t="s">
        <v>4563</v>
      </c>
      <c r="E793" s="408">
        <v>4</v>
      </c>
      <c r="F793" s="409"/>
      <c r="G793" s="410">
        <f t="shared" si="32"/>
        <v>0</v>
      </c>
      <c r="H793" s="412"/>
      <c r="I793" s="407"/>
      <c r="J793" s="412"/>
      <c r="K793" s="407" t="s">
        <v>4525</v>
      </c>
      <c r="L793" s="412" t="s">
        <v>444</v>
      </c>
      <c r="M793" s="407" t="s">
        <v>444</v>
      </c>
      <c r="N793" s="412"/>
      <c r="O793" s="412"/>
      <c r="P793" s="412" t="s">
        <v>444</v>
      </c>
      <c r="Q793" s="413" t="s">
        <v>1514</v>
      </c>
      <c r="R793" s="413" t="s">
        <v>2922</v>
      </c>
      <c r="S793" s="414"/>
      <c r="T793" s="414"/>
      <c r="U793" s="415"/>
      <c r="V793" s="416"/>
      <c r="W793" s="417"/>
      <c r="X793" s="417"/>
      <c r="Y793" s="418" t="s">
        <v>377</v>
      </c>
      <c r="Z793" s="419"/>
      <c r="AA793" s="415"/>
    </row>
    <row r="794" spans="1:27" s="128" customFormat="1" ht="37.5">
      <c r="A794" s="405">
        <v>22</v>
      </c>
      <c r="B794" s="407" t="s">
        <v>4564</v>
      </c>
      <c r="C794" s="406" t="s">
        <v>78</v>
      </c>
      <c r="D794" s="407" t="s">
        <v>4565</v>
      </c>
      <c r="E794" s="408">
        <v>1</v>
      </c>
      <c r="F794" s="409"/>
      <c r="G794" s="410">
        <f t="shared" si="32"/>
        <v>0</v>
      </c>
      <c r="H794" s="412"/>
      <c r="I794" s="407"/>
      <c r="J794" s="412"/>
      <c r="K794" s="407" t="s">
        <v>4525</v>
      </c>
      <c r="L794" s="412" t="s">
        <v>444</v>
      </c>
      <c r="M794" s="407" t="s">
        <v>444</v>
      </c>
      <c r="N794" s="412"/>
      <c r="O794" s="412"/>
      <c r="P794" s="412" t="s">
        <v>444</v>
      </c>
      <c r="Q794" s="413" t="s">
        <v>1514</v>
      </c>
      <c r="R794" s="413" t="s">
        <v>2963</v>
      </c>
      <c r="S794" s="414"/>
      <c r="T794" s="414"/>
      <c r="U794" s="415"/>
      <c r="V794" s="416"/>
      <c r="W794" s="417"/>
      <c r="X794" s="417"/>
      <c r="Y794" s="418" t="s">
        <v>377</v>
      </c>
      <c r="Z794" s="419"/>
      <c r="AA794" s="415"/>
    </row>
    <row r="795" spans="1:27" s="128" customFormat="1" ht="37.5">
      <c r="A795" s="405">
        <v>23</v>
      </c>
      <c r="B795" s="407" t="s">
        <v>4566</v>
      </c>
      <c r="C795" s="406" t="s">
        <v>78</v>
      </c>
      <c r="D795" s="407" t="s">
        <v>4567</v>
      </c>
      <c r="E795" s="408">
        <v>1</v>
      </c>
      <c r="F795" s="409"/>
      <c r="G795" s="410">
        <f t="shared" si="32"/>
        <v>0</v>
      </c>
      <c r="H795" s="412"/>
      <c r="I795" s="407"/>
      <c r="J795" s="412"/>
      <c r="K795" s="407" t="s">
        <v>4525</v>
      </c>
      <c r="L795" s="412" t="s">
        <v>444</v>
      </c>
      <c r="M795" s="407" t="s">
        <v>444</v>
      </c>
      <c r="N795" s="412"/>
      <c r="O795" s="412"/>
      <c r="P795" s="412" t="s">
        <v>444</v>
      </c>
      <c r="Q795" s="413" t="s">
        <v>1514</v>
      </c>
      <c r="R795" s="413" t="s">
        <v>3103</v>
      </c>
      <c r="S795" s="414"/>
      <c r="T795" s="414"/>
      <c r="U795" s="415"/>
      <c r="V795" s="416"/>
      <c r="W795" s="417"/>
      <c r="X795" s="417"/>
      <c r="Y795" s="418" t="s">
        <v>377</v>
      </c>
      <c r="Z795" s="419"/>
      <c r="AA795" s="415"/>
    </row>
    <row r="796" spans="1:27" s="128" customFormat="1" ht="37.5">
      <c r="A796" s="405">
        <v>24</v>
      </c>
      <c r="B796" s="407" t="s">
        <v>4568</v>
      </c>
      <c r="C796" s="406" t="s">
        <v>78</v>
      </c>
      <c r="D796" s="407" t="s">
        <v>4569</v>
      </c>
      <c r="E796" s="408">
        <v>6</v>
      </c>
      <c r="F796" s="409"/>
      <c r="G796" s="410">
        <f t="shared" si="32"/>
        <v>0</v>
      </c>
      <c r="H796" s="412"/>
      <c r="I796" s="407"/>
      <c r="J796" s="412"/>
      <c r="K796" s="407" t="s">
        <v>4525</v>
      </c>
      <c r="L796" s="412" t="s">
        <v>444</v>
      </c>
      <c r="M796" s="407" t="s">
        <v>444</v>
      </c>
      <c r="N796" s="412"/>
      <c r="O796" s="412"/>
      <c r="P796" s="412" t="s">
        <v>444</v>
      </c>
      <c r="Q796" s="413" t="s">
        <v>1514</v>
      </c>
      <c r="R796" s="413" t="s">
        <v>4026</v>
      </c>
      <c r="S796" s="414"/>
      <c r="T796" s="414"/>
      <c r="U796" s="415"/>
      <c r="V796" s="416"/>
      <c r="W796" s="417"/>
      <c r="X796" s="417"/>
      <c r="Y796" s="418" t="s">
        <v>377</v>
      </c>
      <c r="Z796" s="419"/>
      <c r="AA796" s="415"/>
    </row>
    <row r="797" spans="1:27" s="128" customFormat="1" ht="37.5">
      <c r="A797" s="405">
        <v>25</v>
      </c>
      <c r="B797" s="407" t="s">
        <v>4570</v>
      </c>
      <c r="C797" s="406" t="s">
        <v>78</v>
      </c>
      <c r="D797" s="407" t="s">
        <v>4571</v>
      </c>
      <c r="E797" s="408">
        <v>1</v>
      </c>
      <c r="F797" s="409"/>
      <c r="G797" s="410">
        <f t="shared" si="32"/>
        <v>0</v>
      </c>
      <c r="H797" s="412"/>
      <c r="I797" s="407"/>
      <c r="J797" s="412"/>
      <c r="K797" s="407" t="s">
        <v>4525</v>
      </c>
      <c r="L797" s="412" t="s">
        <v>444</v>
      </c>
      <c r="M797" s="407" t="s">
        <v>444</v>
      </c>
      <c r="N797" s="412"/>
      <c r="O797" s="412"/>
      <c r="P797" s="412" t="s">
        <v>444</v>
      </c>
      <c r="Q797" s="413" t="s">
        <v>1514</v>
      </c>
      <c r="R797" s="413" t="s">
        <v>2957</v>
      </c>
      <c r="S797" s="414"/>
      <c r="T797" s="414"/>
      <c r="U797" s="415"/>
      <c r="V797" s="416"/>
      <c r="W797" s="417"/>
      <c r="X797" s="417"/>
      <c r="Y797" s="418" t="s">
        <v>377</v>
      </c>
      <c r="Z797" s="419"/>
      <c r="AA797" s="415"/>
    </row>
    <row r="798" spans="1:27" s="441" customFormat="1" ht="37.5">
      <c r="A798" s="427">
        <v>26</v>
      </c>
      <c r="B798" s="428" t="s">
        <v>4572</v>
      </c>
      <c r="C798" s="429" t="s">
        <v>78</v>
      </c>
      <c r="D798" s="428" t="s">
        <v>4573</v>
      </c>
      <c r="E798" s="430">
        <v>1</v>
      </c>
      <c r="F798" s="431"/>
      <c r="G798" s="432">
        <f t="shared" si="32"/>
        <v>0</v>
      </c>
      <c r="H798" s="433"/>
      <c r="I798" s="428"/>
      <c r="J798" s="433"/>
      <c r="K798" s="428" t="s">
        <v>4525</v>
      </c>
      <c r="L798" s="433" t="s">
        <v>444</v>
      </c>
      <c r="M798" s="428" t="s">
        <v>444</v>
      </c>
      <c r="N798" s="433"/>
      <c r="O798" s="433"/>
      <c r="P798" s="433" t="s">
        <v>444</v>
      </c>
      <c r="Q798" s="434" t="s">
        <v>1514</v>
      </c>
      <c r="R798" s="434" t="s">
        <v>2963</v>
      </c>
      <c r="S798" s="435"/>
      <c r="T798" s="435"/>
      <c r="U798" s="436"/>
      <c r="V798" s="437"/>
      <c r="W798" s="438"/>
      <c r="X798" s="438"/>
      <c r="Y798" s="439" t="s">
        <v>592</v>
      </c>
      <c r="Z798" s="440"/>
      <c r="AA798" s="436"/>
    </row>
    <row r="799" spans="1:27" s="128" customFormat="1" ht="37.5">
      <c r="A799" s="405">
        <v>27</v>
      </c>
      <c r="B799" s="407" t="s">
        <v>4574</v>
      </c>
      <c r="C799" s="406" t="s">
        <v>78</v>
      </c>
      <c r="D799" s="407" t="s">
        <v>4575</v>
      </c>
      <c r="E799" s="408">
        <v>1</v>
      </c>
      <c r="F799" s="409"/>
      <c r="G799" s="410">
        <f t="shared" si="32"/>
        <v>0</v>
      </c>
      <c r="H799" s="412"/>
      <c r="I799" s="407"/>
      <c r="J799" s="412"/>
      <c r="K799" s="407" t="s">
        <v>4525</v>
      </c>
      <c r="L799" s="412" t="s">
        <v>444</v>
      </c>
      <c r="M799" s="407" t="s">
        <v>444</v>
      </c>
      <c r="N799" s="412"/>
      <c r="O799" s="412"/>
      <c r="P799" s="412" t="s">
        <v>444</v>
      </c>
      <c r="Q799" s="413" t="s">
        <v>1514</v>
      </c>
      <c r="R799" s="413" t="s">
        <v>2957</v>
      </c>
      <c r="S799" s="414"/>
      <c r="T799" s="414"/>
      <c r="U799" s="415"/>
      <c r="V799" s="416"/>
      <c r="W799" s="417"/>
      <c r="X799" s="417"/>
      <c r="Y799" s="418" t="s">
        <v>377</v>
      </c>
      <c r="Z799" s="419"/>
      <c r="AA799" s="415"/>
    </row>
    <row r="800" spans="1:27" s="128" customFormat="1" ht="37.5">
      <c r="A800" s="405">
        <v>28</v>
      </c>
      <c r="B800" s="407" t="s">
        <v>4576</v>
      </c>
      <c r="C800" s="406" t="s">
        <v>78</v>
      </c>
      <c r="D800" s="407" t="s">
        <v>4577</v>
      </c>
      <c r="E800" s="408">
        <v>1</v>
      </c>
      <c r="F800" s="409"/>
      <c r="G800" s="410">
        <f t="shared" si="32"/>
        <v>0</v>
      </c>
      <c r="H800" s="412"/>
      <c r="I800" s="407"/>
      <c r="J800" s="412"/>
      <c r="K800" s="407" t="s">
        <v>4525</v>
      </c>
      <c r="L800" s="412" t="s">
        <v>444</v>
      </c>
      <c r="M800" s="407" t="s">
        <v>444</v>
      </c>
      <c r="N800" s="412"/>
      <c r="O800" s="412"/>
      <c r="P800" s="412" t="s">
        <v>444</v>
      </c>
      <c r="Q800" s="413" t="s">
        <v>1514</v>
      </c>
      <c r="R800" s="413" t="s">
        <v>2957</v>
      </c>
      <c r="S800" s="414"/>
      <c r="T800" s="414"/>
      <c r="U800" s="415"/>
      <c r="V800" s="416"/>
      <c r="W800" s="417"/>
      <c r="X800" s="417"/>
      <c r="Y800" s="418" t="s">
        <v>377</v>
      </c>
      <c r="Z800" s="419"/>
      <c r="AA800" s="415"/>
    </row>
    <row r="801" spans="1:27" s="128" customFormat="1" ht="37.5">
      <c r="A801" s="405">
        <v>29</v>
      </c>
      <c r="B801" s="407" t="s">
        <v>4578</v>
      </c>
      <c r="C801" s="406" t="s">
        <v>78</v>
      </c>
      <c r="D801" s="407" t="s">
        <v>4579</v>
      </c>
      <c r="E801" s="408">
        <v>1</v>
      </c>
      <c r="F801" s="409"/>
      <c r="G801" s="410">
        <f t="shared" si="32"/>
        <v>0</v>
      </c>
      <c r="H801" s="412"/>
      <c r="I801" s="407"/>
      <c r="J801" s="412"/>
      <c r="K801" s="407" t="s">
        <v>4525</v>
      </c>
      <c r="L801" s="412" t="s">
        <v>444</v>
      </c>
      <c r="M801" s="407" t="s">
        <v>444</v>
      </c>
      <c r="N801" s="412"/>
      <c r="O801" s="412"/>
      <c r="P801" s="412" t="s">
        <v>444</v>
      </c>
      <c r="Q801" s="413" t="s">
        <v>1514</v>
      </c>
      <c r="R801" s="413" t="s">
        <v>2957</v>
      </c>
      <c r="S801" s="414"/>
      <c r="T801" s="414"/>
      <c r="U801" s="415"/>
      <c r="V801" s="416"/>
      <c r="W801" s="417"/>
      <c r="X801" s="417"/>
      <c r="Y801" s="418" t="s">
        <v>377</v>
      </c>
      <c r="Z801" s="419"/>
      <c r="AA801" s="415"/>
    </row>
    <row r="802" spans="1:27" s="128" customFormat="1" ht="37.5">
      <c r="A802" s="405">
        <v>30</v>
      </c>
      <c r="B802" s="407" t="s">
        <v>4580</v>
      </c>
      <c r="C802" s="406" t="s">
        <v>78</v>
      </c>
      <c r="D802" s="407" t="s">
        <v>4581</v>
      </c>
      <c r="E802" s="408">
        <v>1</v>
      </c>
      <c r="F802" s="409"/>
      <c r="G802" s="410">
        <f t="shared" si="32"/>
        <v>0</v>
      </c>
      <c r="H802" s="412"/>
      <c r="I802" s="407"/>
      <c r="J802" s="412"/>
      <c r="K802" s="407" t="s">
        <v>4525</v>
      </c>
      <c r="L802" s="412" t="s">
        <v>444</v>
      </c>
      <c r="M802" s="407" t="s">
        <v>444</v>
      </c>
      <c r="N802" s="412"/>
      <c r="O802" s="412"/>
      <c r="P802" s="412" t="s">
        <v>444</v>
      </c>
      <c r="Q802" s="413" t="s">
        <v>1514</v>
      </c>
      <c r="R802" s="413" t="s">
        <v>2957</v>
      </c>
      <c r="S802" s="414"/>
      <c r="T802" s="414"/>
      <c r="U802" s="415"/>
      <c r="V802" s="416"/>
      <c r="W802" s="417"/>
      <c r="X802" s="417"/>
      <c r="Y802" s="418" t="s">
        <v>377</v>
      </c>
      <c r="Z802" s="419"/>
      <c r="AA802" s="415"/>
    </row>
    <row r="803" spans="1:27" s="128" customFormat="1" ht="37.5">
      <c r="A803" s="405">
        <v>31</v>
      </c>
      <c r="B803" s="407" t="s">
        <v>4582</v>
      </c>
      <c r="C803" s="406" t="s">
        <v>78</v>
      </c>
      <c r="D803" s="407" t="s">
        <v>4583</v>
      </c>
      <c r="E803" s="408">
        <v>1</v>
      </c>
      <c r="F803" s="409"/>
      <c r="G803" s="410">
        <f t="shared" si="32"/>
        <v>0</v>
      </c>
      <c r="H803" s="412"/>
      <c r="I803" s="407"/>
      <c r="J803" s="412"/>
      <c r="K803" s="407" t="s">
        <v>4525</v>
      </c>
      <c r="L803" s="412" t="s">
        <v>444</v>
      </c>
      <c r="M803" s="407" t="s">
        <v>444</v>
      </c>
      <c r="N803" s="412"/>
      <c r="O803" s="412"/>
      <c r="P803" s="412" t="s">
        <v>444</v>
      </c>
      <c r="Q803" s="413" t="s">
        <v>1514</v>
      </c>
      <c r="R803" s="413" t="s">
        <v>2957</v>
      </c>
      <c r="S803" s="414"/>
      <c r="T803" s="414"/>
      <c r="U803" s="415"/>
      <c r="V803" s="416"/>
      <c r="W803" s="417"/>
      <c r="X803" s="417"/>
      <c r="Y803" s="418" t="s">
        <v>377</v>
      </c>
      <c r="Z803" s="419"/>
      <c r="AA803" s="415"/>
    </row>
    <row r="804" spans="1:27" s="128" customFormat="1" ht="37.5">
      <c r="A804" s="405">
        <v>32</v>
      </c>
      <c r="B804" s="407" t="s">
        <v>4584</v>
      </c>
      <c r="C804" s="406" t="s">
        <v>78</v>
      </c>
      <c r="D804" s="407" t="s">
        <v>4585</v>
      </c>
      <c r="E804" s="408">
        <v>1</v>
      </c>
      <c r="F804" s="409"/>
      <c r="G804" s="410">
        <f t="shared" si="32"/>
        <v>0</v>
      </c>
      <c r="H804" s="412"/>
      <c r="I804" s="407"/>
      <c r="J804" s="412"/>
      <c r="K804" s="407" t="s">
        <v>4525</v>
      </c>
      <c r="L804" s="412" t="s">
        <v>444</v>
      </c>
      <c r="M804" s="407" t="s">
        <v>444</v>
      </c>
      <c r="N804" s="412"/>
      <c r="O804" s="412"/>
      <c r="P804" s="412" t="s">
        <v>444</v>
      </c>
      <c r="Q804" s="413" t="s">
        <v>1514</v>
      </c>
      <c r="R804" s="413" t="s">
        <v>4026</v>
      </c>
      <c r="S804" s="414"/>
      <c r="T804" s="414"/>
      <c r="U804" s="415"/>
      <c r="V804" s="416"/>
      <c r="W804" s="417"/>
      <c r="X804" s="417"/>
      <c r="Y804" s="418" t="s">
        <v>377</v>
      </c>
      <c r="Z804" s="419"/>
      <c r="AA804" s="415"/>
    </row>
    <row r="805" spans="1:27" s="441" customFormat="1" ht="37.5">
      <c r="A805" s="427">
        <v>33</v>
      </c>
      <c r="B805" s="428" t="s">
        <v>4586</v>
      </c>
      <c r="C805" s="429" t="s">
        <v>78</v>
      </c>
      <c r="D805" s="428" t="s">
        <v>4587</v>
      </c>
      <c r="E805" s="430">
        <v>1</v>
      </c>
      <c r="F805" s="431"/>
      <c r="G805" s="432">
        <f t="shared" ref="G805:G836" si="33">E805*F805</f>
        <v>0</v>
      </c>
      <c r="H805" s="433"/>
      <c r="I805" s="428"/>
      <c r="J805" s="433"/>
      <c r="K805" s="428" t="s">
        <v>4525</v>
      </c>
      <c r="L805" s="433" t="s">
        <v>444</v>
      </c>
      <c r="M805" s="428" t="s">
        <v>444</v>
      </c>
      <c r="N805" s="433"/>
      <c r="O805" s="433"/>
      <c r="P805" s="433" t="s">
        <v>444</v>
      </c>
      <c r="Q805" s="434" t="s">
        <v>1514</v>
      </c>
      <c r="R805" s="434" t="s">
        <v>2963</v>
      </c>
      <c r="S805" s="435"/>
      <c r="T805" s="435"/>
      <c r="U805" s="436"/>
      <c r="V805" s="437"/>
      <c r="W805" s="438"/>
      <c r="X805" s="438"/>
      <c r="Y805" s="439" t="s">
        <v>592</v>
      </c>
      <c r="Z805" s="440"/>
      <c r="AA805" s="436"/>
    </row>
    <row r="806" spans="1:27" s="441" customFormat="1" ht="37.5">
      <c r="A806" s="427">
        <v>34</v>
      </c>
      <c r="B806" s="428" t="s">
        <v>4588</v>
      </c>
      <c r="C806" s="429" t="s">
        <v>78</v>
      </c>
      <c r="D806" s="428" t="s">
        <v>4589</v>
      </c>
      <c r="E806" s="430">
        <v>1</v>
      </c>
      <c r="F806" s="431"/>
      <c r="G806" s="432">
        <f t="shared" si="33"/>
        <v>0</v>
      </c>
      <c r="H806" s="433"/>
      <c r="I806" s="428"/>
      <c r="J806" s="433"/>
      <c r="K806" s="428" t="s">
        <v>4525</v>
      </c>
      <c r="L806" s="433" t="s">
        <v>444</v>
      </c>
      <c r="M806" s="428" t="s">
        <v>444</v>
      </c>
      <c r="N806" s="433"/>
      <c r="O806" s="433"/>
      <c r="P806" s="433" t="s">
        <v>444</v>
      </c>
      <c r="Q806" s="434" t="s">
        <v>1514</v>
      </c>
      <c r="R806" s="434" t="s">
        <v>2963</v>
      </c>
      <c r="S806" s="435"/>
      <c r="T806" s="435"/>
      <c r="U806" s="436"/>
      <c r="V806" s="437"/>
      <c r="W806" s="438"/>
      <c r="X806" s="438"/>
      <c r="Y806" s="439" t="s">
        <v>592</v>
      </c>
      <c r="Z806" s="440"/>
      <c r="AA806" s="436"/>
    </row>
    <row r="807" spans="1:27" s="128" customFormat="1" ht="37.5">
      <c r="A807" s="405">
        <v>35</v>
      </c>
      <c r="B807" s="407" t="s">
        <v>4590</v>
      </c>
      <c r="C807" s="406" t="s">
        <v>78</v>
      </c>
      <c r="D807" s="407" t="s">
        <v>4591</v>
      </c>
      <c r="E807" s="408">
        <v>1</v>
      </c>
      <c r="F807" s="409"/>
      <c r="G807" s="410">
        <f t="shared" si="33"/>
        <v>0</v>
      </c>
      <c r="H807" s="412"/>
      <c r="I807" s="407"/>
      <c r="J807" s="412"/>
      <c r="K807" s="407" t="s">
        <v>4525</v>
      </c>
      <c r="L807" s="412" t="s">
        <v>444</v>
      </c>
      <c r="M807" s="407" t="s">
        <v>444</v>
      </c>
      <c r="N807" s="412"/>
      <c r="O807" s="412"/>
      <c r="P807" s="412" t="s">
        <v>444</v>
      </c>
      <c r="Q807" s="413" t="s">
        <v>1514</v>
      </c>
      <c r="R807" s="413" t="s">
        <v>2957</v>
      </c>
      <c r="S807" s="414"/>
      <c r="T807" s="414"/>
      <c r="U807" s="415"/>
      <c r="V807" s="416"/>
      <c r="W807" s="417"/>
      <c r="X807" s="417"/>
      <c r="Y807" s="418" t="s">
        <v>377</v>
      </c>
      <c r="Z807" s="419"/>
      <c r="AA807" s="415"/>
    </row>
    <row r="808" spans="1:27" s="128" customFormat="1" ht="37.5">
      <c r="A808" s="405">
        <v>36</v>
      </c>
      <c r="B808" s="407" t="s">
        <v>4592</v>
      </c>
      <c r="C808" s="406" t="s">
        <v>78</v>
      </c>
      <c r="D808" s="407" t="s">
        <v>4593</v>
      </c>
      <c r="E808" s="408">
        <v>1</v>
      </c>
      <c r="F808" s="409"/>
      <c r="G808" s="410">
        <f t="shared" si="33"/>
        <v>0</v>
      </c>
      <c r="H808" s="412"/>
      <c r="I808" s="407"/>
      <c r="J808" s="412"/>
      <c r="K808" s="407" t="s">
        <v>4525</v>
      </c>
      <c r="L808" s="412" t="s">
        <v>444</v>
      </c>
      <c r="M808" s="407" t="s">
        <v>444</v>
      </c>
      <c r="N808" s="412"/>
      <c r="O808" s="412"/>
      <c r="P808" s="412" t="s">
        <v>444</v>
      </c>
      <c r="Q808" s="413" t="s">
        <v>1514</v>
      </c>
      <c r="R808" s="413" t="s">
        <v>4026</v>
      </c>
      <c r="S808" s="414"/>
      <c r="T808" s="414"/>
      <c r="U808" s="415"/>
      <c r="V808" s="416"/>
      <c r="W808" s="417"/>
      <c r="X808" s="417"/>
      <c r="Y808" s="418" t="s">
        <v>377</v>
      </c>
      <c r="Z808" s="419"/>
      <c r="AA808" s="415"/>
    </row>
    <row r="809" spans="1:27" s="128" customFormat="1" ht="37.5">
      <c r="A809" s="405">
        <v>37</v>
      </c>
      <c r="B809" s="407" t="s">
        <v>4594</v>
      </c>
      <c r="C809" s="406" t="s">
        <v>78</v>
      </c>
      <c r="D809" s="407" t="s">
        <v>4595</v>
      </c>
      <c r="E809" s="408">
        <v>1</v>
      </c>
      <c r="F809" s="409"/>
      <c r="G809" s="410">
        <f t="shared" si="33"/>
        <v>0</v>
      </c>
      <c r="H809" s="412"/>
      <c r="I809" s="407"/>
      <c r="J809" s="412"/>
      <c r="K809" s="407" t="s">
        <v>4525</v>
      </c>
      <c r="L809" s="412" t="s">
        <v>444</v>
      </c>
      <c r="M809" s="407" t="s">
        <v>444</v>
      </c>
      <c r="N809" s="412"/>
      <c r="O809" s="412"/>
      <c r="P809" s="412" t="s">
        <v>444</v>
      </c>
      <c r="Q809" s="413" t="s">
        <v>1514</v>
      </c>
      <c r="R809" s="413" t="s">
        <v>4526</v>
      </c>
      <c r="S809" s="414"/>
      <c r="T809" s="414"/>
      <c r="U809" s="415"/>
      <c r="V809" s="416"/>
      <c r="W809" s="417"/>
      <c r="X809" s="417"/>
      <c r="Y809" s="418" t="s">
        <v>377</v>
      </c>
      <c r="Z809" s="419"/>
      <c r="AA809" s="415"/>
    </row>
    <row r="810" spans="1:27" s="128" customFormat="1" ht="37.5">
      <c r="A810" s="405">
        <v>38</v>
      </c>
      <c r="B810" s="407" t="s">
        <v>4596</v>
      </c>
      <c r="C810" s="406" t="s">
        <v>78</v>
      </c>
      <c r="D810" s="407" t="s">
        <v>4597</v>
      </c>
      <c r="E810" s="408">
        <v>1</v>
      </c>
      <c r="F810" s="409"/>
      <c r="G810" s="410">
        <f t="shared" si="33"/>
        <v>0</v>
      </c>
      <c r="H810" s="412"/>
      <c r="I810" s="407"/>
      <c r="J810" s="412"/>
      <c r="K810" s="407" t="s">
        <v>4525</v>
      </c>
      <c r="L810" s="412" t="s">
        <v>444</v>
      </c>
      <c r="M810" s="407" t="s">
        <v>444</v>
      </c>
      <c r="N810" s="412"/>
      <c r="O810" s="412"/>
      <c r="P810" s="412" t="s">
        <v>444</v>
      </c>
      <c r="Q810" s="413" t="s">
        <v>1514</v>
      </c>
      <c r="R810" s="413" t="s">
        <v>2963</v>
      </c>
      <c r="S810" s="414"/>
      <c r="T810" s="414"/>
      <c r="U810" s="415"/>
      <c r="V810" s="416"/>
      <c r="W810" s="417"/>
      <c r="X810" s="417"/>
      <c r="Y810" s="418" t="s">
        <v>377</v>
      </c>
      <c r="Z810" s="419"/>
      <c r="AA810" s="415"/>
    </row>
    <row r="811" spans="1:27" s="128" customFormat="1" ht="37.5">
      <c r="A811" s="405">
        <v>39</v>
      </c>
      <c r="B811" s="407" t="s">
        <v>4598</v>
      </c>
      <c r="C811" s="406" t="s">
        <v>78</v>
      </c>
      <c r="D811" s="407" t="s">
        <v>4599</v>
      </c>
      <c r="E811" s="408">
        <v>2</v>
      </c>
      <c r="F811" s="409"/>
      <c r="G811" s="410">
        <f t="shared" si="33"/>
        <v>0</v>
      </c>
      <c r="H811" s="412"/>
      <c r="I811" s="407"/>
      <c r="J811" s="412"/>
      <c r="K811" s="407" t="s">
        <v>4525</v>
      </c>
      <c r="L811" s="412" t="s">
        <v>444</v>
      </c>
      <c r="M811" s="407" t="s">
        <v>444</v>
      </c>
      <c r="N811" s="412"/>
      <c r="O811" s="412"/>
      <c r="P811" s="412" t="s">
        <v>444</v>
      </c>
      <c r="Q811" s="413" t="s">
        <v>1514</v>
      </c>
      <c r="R811" s="413" t="s">
        <v>4026</v>
      </c>
      <c r="S811" s="414"/>
      <c r="T811" s="414"/>
      <c r="U811" s="415"/>
      <c r="V811" s="416"/>
      <c r="W811" s="417"/>
      <c r="X811" s="417"/>
      <c r="Y811" s="418" t="s">
        <v>377</v>
      </c>
      <c r="Z811" s="419"/>
      <c r="AA811" s="415"/>
    </row>
    <row r="812" spans="1:27" s="128" customFormat="1" ht="37.5">
      <c r="A812" s="405">
        <v>40</v>
      </c>
      <c r="B812" s="407" t="s">
        <v>4600</v>
      </c>
      <c r="C812" s="406" t="s">
        <v>78</v>
      </c>
      <c r="D812" s="407" t="s">
        <v>4601</v>
      </c>
      <c r="E812" s="408">
        <v>1</v>
      </c>
      <c r="F812" s="409"/>
      <c r="G812" s="410">
        <f t="shared" si="33"/>
        <v>0</v>
      </c>
      <c r="H812" s="412"/>
      <c r="I812" s="407"/>
      <c r="J812" s="412"/>
      <c r="K812" s="407" t="s">
        <v>4525</v>
      </c>
      <c r="L812" s="412" t="s">
        <v>444</v>
      </c>
      <c r="M812" s="407" t="s">
        <v>444</v>
      </c>
      <c r="N812" s="412"/>
      <c r="O812" s="412"/>
      <c r="P812" s="412" t="s">
        <v>444</v>
      </c>
      <c r="Q812" s="413" t="s">
        <v>1514</v>
      </c>
      <c r="R812" s="413" t="s">
        <v>4026</v>
      </c>
      <c r="S812" s="414"/>
      <c r="T812" s="414"/>
      <c r="U812" s="415"/>
      <c r="V812" s="416"/>
      <c r="W812" s="417"/>
      <c r="X812" s="417"/>
      <c r="Y812" s="418" t="s">
        <v>377</v>
      </c>
      <c r="Z812" s="419"/>
      <c r="AA812" s="415"/>
    </row>
    <row r="813" spans="1:27" s="128" customFormat="1" ht="37.5">
      <c r="A813" s="405">
        <v>41</v>
      </c>
      <c r="B813" s="407" t="s">
        <v>4602</v>
      </c>
      <c r="C813" s="406" t="s">
        <v>78</v>
      </c>
      <c r="D813" s="407" t="s">
        <v>4603</v>
      </c>
      <c r="E813" s="408">
        <v>2</v>
      </c>
      <c r="F813" s="409"/>
      <c r="G813" s="410">
        <f t="shared" si="33"/>
        <v>0</v>
      </c>
      <c r="H813" s="412"/>
      <c r="I813" s="407"/>
      <c r="J813" s="412"/>
      <c r="K813" s="407" t="s">
        <v>4525</v>
      </c>
      <c r="L813" s="412" t="s">
        <v>444</v>
      </c>
      <c r="M813" s="407" t="s">
        <v>444</v>
      </c>
      <c r="N813" s="412"/>
      <c r="O813" s="412"/>
      <c r="P813" s="412" t="s">
        <v>444</v>
      </c>
      <c r="Q813" s="413" t="s">
        <v>1514</v>
      </c>
      <c r="R813" s="413" t="s">
        <v>260</v>
      </c>
      <c r="S813" s="414"/>
      <c r="T813" s="414"/>
      <c r="U813" s="415"/>
      <c r="V813" s="416"/>
      <c r="W813" s="417"/>
      <c r="X813" s="417"/>
      <c r="Y813" s="418" t="s">
        <v>377</v>
      </c>
      <c r="Z813" s="419"/>
      <c r="AA813" s="415"/>
    </row>
    <row r="814" spans="1:27" s="128" customFormat="1" ht="37.5">
      <c r="A814" s="405">
        <v>42</v>
      </c>
      <c r="B814" s="407" t="s">
        <v>4604</v>
      </c>
      <c r="C814" s="406" t="s">
        <v>78</v>
      </c>
      <c r="D814" s="407" t="s">
        <v>4605</v>
      </c>
      <c r="E814" s="408">
        <v>4</v>
      </c>
      <c r="F814" s="409"/>
      <c r="G814" s="410">
        <f t="shared" si="33"/>
        <v>0</v>
      </c>
      <c r="H814" s="412"/>
      <c r="I814" s="407"/>
      <c r="J814" s="412"/>
      <c r="K814" s="407" t="s">
        <v>4525</v>
      </c>
      <c r="L814" s="412" t="s">
        <v>444</v>
      </c>
      <c r="M814" s="407" t="s">
        <v>444</v>
      </c>
      <c r="N814" s="412"/>
      <c r="O814" s="412"/>
      <c r="P814" s="412" t="s">
        <v>444</v>
      </c>
      <c r="Q814" s="413" t="s">
        <v>1514</v>
      </c>
      <c r="R814" s="413" t="s">
        <v>4026</v>
      </c>
      <c r="S814" s="414"/>
      <c r="T814" s="414"/>
      <c r="U814" s="415"/>
      <c r="V814" s="416"/>
      <c r="W814" s="417"/>
      <c r="X814" s="417"/>
      <c r="Y814" s="418" t="s">
        <v>377</v>
      </c>
      <c r="Z814" s="419"/>
      <c r="AA814" s="415"/>
    </row>
    <row r="815" spans="1:27" s="128" customFormat="1" ht="37.5">
      <c r="A815" s="405">
        <v>43</v>
      </c>
      <c r="B815" s="407" t="s">
        <v>4606</v>
      </c>
      <c r="C815" s="406" t="s">
        <v>78</v>
      </c>
      <c r="D815" s="407" t="s">
        <v>4607</v>
      </c>
      <c r="E815" s="408">
        <v>1</v>
      </c>
      <c r="F815" s="409"/>
      <c r="G815" s="410">
        <f t="shared" si="33"/>
        <v>0</v>
      </c>
      <c r="H815" s="412"/>
      <c r="I815" s="407"/>
      <c r="J815" s="412"/>
      <c r="K815" s="407" t="s">
        <v>4525</v>
      </c>
      <c r="L815" s="412" t="s">
        <v>444</v>
      </c>
      <c r="M815" s="407" t="s">
        <v>444</v>
      </c>
      <c r="N815" s="412"/>
      <c r="O815" s="412"/>
      <c r="P815" s="412" t="s">
        <v>444</v>
      </c>
      <c r="Q815" s="413" t="s">
        <v>1514</v>
      </c>
      <c r="R815" s="413" t="s">
        <v>2957</v>
      </c>
      <c r="S815" s="414"/>
      <c r="T815" s="414"/>
      <c r="U815" s="415"/>
      <c r="V815" s="416"/>
      <c r="W815" s="417"/>
      <c r="X815" s="417"/>
      <c r="Y815" s="418" t="s">
        <v>377</v>
      </c>
      <c r="Z815" s="419"/>
      <c r="AA815" s="415"/>
    </row>
    <row r="816" spans="1:27" s="128" customFormat="1" ht="37.5">
      <c r="A816" s="405">
        <v>44</v>
      </c>
      <c r="B816" s="407" t="s">
        <v>4608</v>
      </c>
      <c r="C816" s="406" t="s">
        <v>78</v>
      </c>
      <c r="D816" s="407" t="s">
        <v>4609</v>
      </c>
      <c r="E816" s="408">
        <v>1</v>
      </c>
      <c r="F816" s="409"/>
      <c r="G816" s="410">
        <f t="shared" si="33"/>
        <v>0</v>
      </c>
      <c r="H816" s="412"/>
      <c r="I816" s="407"/>
      <c r="J816" s="412"/>
      <c r="K816" s="407" t="s">
        <v>4525</v>
      </c>
      <c r="L816" s="412" t="s">
        <v>444</v>
      </c>
      <c r="M816" s="407" t="s">
        <v>444</v>
      </c>
      <c r="N816" s="412"/>
      <c r="O816" s="412"/>
      <c r="P816" s="412" t="s">
        <v>444</v>
      </c>
      <c r="Q816" s="413" t="s">
        <v>1514</v>
      </c>
      <c r="R816" s="413" t="s">
        <v>2957</v>
      </c>
      <c r="S816" s="414"/>
      <c r="T816" s="414"/>
      <c r="U816" s="415"/>
      <c r="V816" s="416"/>
      <c r="W816" s="417"/>
      <c r="X816" s="417"/>
      <c r="Y816" s="418" t="s">
        <v>377</v>
      </c>
      <c r="Z816" s="419"/>
      <c r="AA816" s="415"/>
    </row>
    <row r="817" spans="1:27" s="128" customFormat="1" ht="37.5">
      <c r="A817" s="405">
        <v>45</v>
      </c>
      <c r="B817" s="407" t="s">
        <v>4610</v>
      </c>
      <c r="C817" s="406" t="s">
        <v>78</v>
      </c>
      <c r="D817" s="407" t="s">
        <v>4611</v>
      </c>
      <c r="E817" s="408">
        <v>1</v>
      </c>
      <c r="F817" s="409"/>
      <c r="G817" s="410">
        <f t="shared" si="33"/>
        <v>0</v>
      </c>
      <c r="H817" s="412"/>
      <c r="I817" s="407"/>
      <c r="J817" s="412"/>
      <c r="K817" s="407" t="s">
        <v>4525</v>
      </c>
      <c r="L817" s="412" t="s">
        <v>444</v>
      </c>
      <c r="M817" s="407" t="s">
        <v>444</v>
      </c>
      <c r="N817" s="412"/>
      <c r="O817" s="412"/>
      <c r="P817" s="412" t="s">
        <v>444</v>
      </c>
      <c r="Q817" s="413" t="s">
        <v>1514</v>
      </c>
      <c r="R817" s="413" t="s">
        <v>2957</v>
      </c>
      <c r="S817" s="414"/>
      <c r="T817" s="414"/>
      <c r="U817" s="415"/>
      <c r="V817" s="416"/>
      <c r="W817" s="417"/>
      <c r="X817" s="417"/>
      <c r="Y817" s="418" t="s">
        <v>377</v>
      </c>
      <c r="Z817" s="419"/>
      <c r="AA817" s="415"/>
    </row>
    <row r="818" spans="1:27" s="128" customFormat="1" ht="37.5">
      <c r="A818" s="405">
        <v>46</v>
      </c>
      <c r="B818" s="407" t="s">
        <v>4612</v>
      </c>
      <c r="C818" s="406" t="s">
        <v>78</v>
      </c>
      <c r="D818" s="407" t="s">
        <v>4613</v>
      </c>
      <c r="E818" s="408">
        <v>1</v>
      </c>
      <c r="F818" s="409"/>
      <c r="G818" s="410">
        <f t="shared" si="33"/>
        <v>0</v>
      </c>
      <c r="H818" s="412"/>
      <c r="I818" s="407"/>
      <c r="J818" s="412"/>
      <c r="K818" s="407" t="s">
        <v>4525</v>
      </c>
      <c r="L818" s="412" t="s">
        <v>444</v>
      </c>
      <c r="M818" s="407" t="s">
        <v>444</v>
      </c>
      <c r="N818" s="412"/>
      <c r="O818" s="412"/>
      <c r="P818" s="412" t="s">
        <v>444</v>
      </c>
      <c r="Q818" s="413" t="s">
        <v>1514</v>
      </c>
      <c r="R818" s="413" t="s">
        <v>2957</v>
      </c>
      <c r="S818" s="414"/>
      <c r="T818" s="414"/>
      <c r="U818" s="415"/>
      <c r="V818" s="416"/>
      <c r="W818" s="417"/>
      <c r="X818" s="417"/>
      <c r="Y818" s="418" t="s">
        <v>377</v>
      </c>
      <c r="Z818" s="419"/>
      <c r="AA818" s="415"/>
    </row>
    <row r="819" spans="1:27" s="128" customFormat="1" ht="37.5">
      <c r="A819" s="405">
        <v>47</v>
      </c>
      <c r="B819" s="407" t="s">
        <v>4614</v>
      </c>
      <c r="C819" s="406" t="s">
        <v>78</v>
      </c>
      <c r="D819" s="407" t="s">
        <v>4615</v>
      </c>
      <c r="E819" s="408">
        <v>1</v>
      </c>
      <c r="F819" s="409"/>
      <c r="G819" s="410">
        <f t="shared" si="33"/>
        <v>0</v>
      </c>
      <c r="H819" s="412"/>
      <c r="I819" s="407"/>
      <c r="J819" s="412"/>
      <c r="K819" s="407" t="s">
        <v>4525</v>
      </c>
      <c r="L819" s="412" t="s">
        <v>444</v>
      </c>
      <c r="M819" s="407" t="s">
        <v>444</v>
      </c>
      <c r="N819" s="412"/>
      <c r="O819" s="412"/>
      <c r="P819" s="412" t="s">
        <v>444</v>
      </c>
      <c r="Q819" s="413" t="s">
        <v>1514</v>
      </c>
      <c r="R819" s="413" t="s">
        <v>2957</v>
      </c>
      <c r="S819" s="414"/>
      <c r="T819" s="414"/>
      <c r="U819" s="415"/>
      <c r="V819" s="416"/>
      <c r="W819" s="417"/>
      <c r="X819" s="417"/>
      <c r="Y819" s="418" t="s">
        <v>377</v>
      </c>
      <c r="Z819" s="419"/>
      <c r="AA819" s="415"/>
    </row>
    <row r="820" spans="1:27" s="128" customFormat="1" ht="37.5">
      <c r="A820" s="405">
        <v>48</v>
      </c>
      <c r="B820" s="407" t="s">
        <v>4616</v>
      </c>
      <c r="C820" s="406" t="s">
        <v>78</v>
      </c>
      <c r="D820" s="407" t="s">
        <v>4617</v>
      </c>
      <c r="E820" s="408">
        <v>1</v>
      </c>
      <c r="F820" s="409"/>
      <c r="G820" s="410">
        <f t="shared" si="33"/>
        <v>0</v>
      </c>
      <c r="H820" s="412"/>
      <c r="I820" s="407"/>
      <c r="J820" s="412"/>
      <c r="K820" s="407" t="s">
        <v>4525</v>
      </c>
      <c r="L820" s="412" t="s">
        <v>444</v>
      </c>
      <c r="M820" s="407" t="s">
        <v>444</v>
      </c>
      <c r="N820" s="412"/>
      <c r="O820" s="412"/>
      <c r="P820" s="412" t="s">
        <v>444</v>
      </c>
      <c r="Q820" s="413" t="s">
        <v>1514</v>
      </c>
      <c r="R820" s="413" t="s">
        <v>2957</v>
      </c>
      <c r="S820" s="414"/>
      <c r="T820" s="414"/>
      <c r="U820" s="415"/>
      <c r="V820" s="416"/>
      <c r="W820" s="417"/>
      <c r="X820" s="417"/>
      <c r="Y820" s="418" t="s">
        <v>377</v>
      </c>
      <c r="Z820" s="419"/>
      <c r="AA820" s="415"/>
    </row>
    <row r="821" spans="1:27" s="441" customFormat="1">
      <c r="A821" s="427">
        <v>49</v>
      </c>
      <c r="B821" s="428" t="s">
        <v>4618</v>
      </c>
      <c r="C821" s="429" t="s">
        <v>78</v>
      </c>
      <c r="D821" s="428" t="s">
        <v>4619</v>
      </c>
      <c r="E821" s="430">
        <v>1</v>
      </c>
      <c r="F821" s="431"/>
      <c r="G821" s="432">
        <f t="shared" si="33"/>
        <v>0</v>
      </c>
      <c r="H821" s="433"/>
      <c r="I821" s="428"/>
      <c r="J821" s="433"/>
      <c r="K821" s="428"/>
      <c r="L821" s="433"/>
      <c r="M821" s="428"/>
      <c r="N821" s="433"/>
      <c r="O821" s="433"/>
      <c r="P821" s="433"/>
      <c r="Q821" s="434"/>
      <c r="R821" s="434"/>
      <c r="S821" s="435"/>
      <c r="T821" s="435"/>
      <c r="U821" s="436"/>
      <c r="V821" s="437"/>
      <c r="W821" s="438"/>
      <c r="X821" s="438"/>
      <c r="Y821" s="439" t="s">
        <v>592</v>
      </c>
      <c r="Z821" s="440"/>
      <c r="AA821" s="436"/>
    </row>
    <row r="822" spans="1:27" s="128" customFormat="1" ht="37.5">
      <c r="A822" s="405">
        <v>50</v>
      </c>
      <c r="B822" s="407" t="s">
        <v>4620</v>
      </c>
      <c r="C822" s="406" t="s">
        <v>78</v>
      </c>
      <c r="D822" s="407" t="s">
        <v>4621</v>
      </c>
      <c r="E822" s="408">
        <v>2</v>
      </c>
      <c r="F822" s="409"/>
      <c r="G822" s="410">
        <f t="shared" si="33"/>
        <v>0</v>
      </c>
      <c r="H822" s="412"/>
      <c r="I822" s="407"/>
      <c r="J822" s="412"/>
      <c r="K822" s="407" t="s">
        <v>4525</v>
      </c>
      <c r="L822" s="412" t="s">
        <v>444</v>
      </c>
      <c r="M822" s="407" t="s">
        <v>444</v>
      </c>
      <c r="N822" s="412"/>
      <c r="O822" s="412"/>
      <c r="P822" s="412" t="s">
        <v>444</v>
      </c>
      <c r="Q822" s="413" t="s">
        <v>1514</v>
      </c>
      <c r="R822" s="413" t="s">
        <v>2963</v>
      </c>
      <c r="S822" s="414"/>
      <c r="T822" s="414"/>
      <c r="U822" s="415"/>
      <c r="V822" s="416"/>
      <c r="W822" s="417"/>
      <c r="X822" s="417"/>
      <c r="Y822" s="418" t="s">
        <v>377</v>
      </c>
      <c r="Z822" s="419"/>
      <c r="AA822" s="415"/>
    </row>
    <row r="823" spans="1:27" s="128" customFormat="1">
      <c r="A823" s="443">
        <v>51</v>
      </c>
      <c r="B823" s="444" t="s">
        <v>4622</v>
      </c>
      <c r="C823" s="445" t="s">
        <v>78</v>
      </c>
      <c r="D823" s="444" t="s">
        <v>4623</v>
      </c>
      <c r="E823" s="446">
        <v>1</v>
      </c>
      <c r="F823" s="447"/>
      <c r="G823" s="448">
        <f t="shared" si="33"/>
        <v>0</v>
      </c>
      <c r="H823" s="450"/>
      <c r="I823" s="444"/>
      <c r="J823" s="450"/>
      <c r="K823" s="444"/>
      <c r="L823" s="450"/>
      <c r="M823" s="444"/>
      <c r="N823" s="450"/>
      <c r="O823" s="450"/>
      <c r="P823" s="450"/>
      <c r="Q823" s="451" t="s">
        <v>374</v>
      </c>
      <c r="R823" s="451" t="s">
        <v>2963</v>
      </c>
      <c r="S823" s="452"/>
      <c r="T823" s="452" t="s">
        <v>481</v>
      </c>
      <c r="U823" s="453"/>
      <c r="V823" s="454"/>
      <c r="W823" s="455" t="s">
        <v>406</v>
      </c>
      <c r="X823" s="455">
        <v>45601</v>
      </c>
      <c r="Y823" s="456" t="s">
        <v>377</v>
      </c>
      <c r="Z823" s="457"/>
      <c r="AA823" s="453"/>
    </row>
    <row r="824" spans="1:27" s="128" customFormat="1">
      <c r="A824" s="443">
        <v>52</v>
      </c>
      <c r="B824" s="444" t="s">
        <v>4624</v>
      </c>
      <c r="C824" s="445" t="s">
        <v>78</v>
      </c>
      <c r="D824" s="444" t="s">
        <v>4625</v>
      </c>
      <c r="E824" s="446">
        <v>1</v>
      </c>
      <c r="F824" s="447"/>
      <c r="G824" s="448">
        <f t="shared" si="33"/>
        <v>0</v>
      </c>
      <c r="H824" s="450"/>
      <c r="I824" s="444"/>
      <c r="J824" s="450"/>
      <c r="K824" s="444"/>
      <c r="L824" s="450"/>
      <c r="M824" s="444"/>
      <c r="N824" s="450"/>
      <c r="O824" s="450"/>
      <c r="P824" s="450"/>
      <c r="Q824" s="451" t="s">
        <v>374</v>
      </c>
      <c r="R824" s="451" t="s">
        <v>2963</v>
      </c>
      <c r="S824" s="452"/>
      <c r="T824" s="452" t="s">
        <v>481</v>
      </c>
      <c r="U824" s="453"/>
      <c r="V824" s="454"/>
      <c r="W824" s="455" t="s">
        <v>406</v>
      </c>
      <c r="X824" s="455">
        <v>45601</v>
      </c>
      <c r="Y824" s="456" t="s">
        <v>377</v>
      </c>
      <c r="Z824" s="457"/>
      <c r="AA824" s="453"/>
    </row>
    <row r="825" spans="1:27" s="128" customFormat="1" ht="37.5">
      <c r="A825" s="443">
        <v>53</v>
      </c>
      <c r="B825" s="444" t="s">
        <v>4626</v>
      </c>
      <c r="C825" s="445" t="s">
        <v>78</v>
      </c>
      <c r="D825" s="444" t="s">
        <v>4627</v>
      </c>
      <c r="E825" s="446">
        <v>6</v>
      </c>
      <c r="F825" s="447"/>
      <c r="G825" s="448">
        <f t="shared" si="33"/>
        <v>0</v>
      </c>
      <c r="H825" s="450"/>
      <c r="I825" s="444"/>
      <c r="J825" s="450"/>
      <c r="K825" s="444" t="s">
        <v>4525</v>
      </c>
      <c r="L825" s="450" t="s">
        <v>444</v>
      </c>
      <c r="M825" s="444" t="s">
        <v>444</v>
      </c>
      <c r="N825" s="450"/>
      <c r="O825" s="450"/>
      <c r="P825" s="450" t="s">
        <v>444</v>
      </c>
      <c r="Q825" s="451" t="s">
        <v>374</v>
      </c>
      <c r="R825" s="451" t="s">
        <v>2963</v>
      </c>
      <c r="S825" s="452"/>
      <c r="T825" s="452" t="s">
        <v>481</v>
      </c>
      <c r="U825" s="453"/>
      <c r="V825" s="454"/>
      <c r="W825" s="455" t="s">
        <v>406</v>
      </c>
      <c r="X825" s="455">
        <v>45601</v>
      </c>
      <c r="Y825" s="456" t="s">
        <v>377</v>
      </c>
      <c r="Z825" s="457"/>
      <c r="AA825" s="453"/>
    </row>
    <row r="826" spans="1:27" s="128" customFormat="1" ht="37.5">
      <c r="A826" s="405">
        <v>54</v>
      </c>
      <c r="B826" s="407" t="s">
        <v>4628</v>
      </c>
      <c r="C826" s="406" t="s">
        <v>78</v>
      </c>
      <c r="D826" s="407" t="s">
        <v>4629</v>
      </c>
      <c r="E826" s="408">
        <v>2</v>
      </c>
      <c r="F826" s="409"/>
      <c r="G826" s="410">
        <f t="shared" si="33"/>
        <v>0</v>
      </c>
      <c r="H826" s="412"/>
      <c r="I826" s="407"/>
      <c r="J826" s="412"/>
      <c r="K826" s="407" t="s">
        <v>4525</v>
      </c>
      <c r="L826" s="412" t="s">
        <v>444</v>
      </c>
      <c r="M826" s="407" t="s">
        <v>444</v>
      </c>
      <c r="N826" s="412"/>
      <c r="O826" s="412"/>
      <c r="P826" s="412" t="s">
        <v>444</v>
      </c>
      <c r="Q826" s="413" t="s">
        <v>1514</v>
      </c>
      <c r="R826" s="413" t="s">
        <v>2963</v>
      </c>
      <c r="S826" s="414"/>
      <c r="T826" s="414"/>
      <c r="U826" s="415"/>
      <c r="V826" s="416"/>
      <c r="W826" s="417"/>
      <c r="X826" s="417"/>
      <c r="Y826" s="418" t="s">
        <v>377</v>
      </c>
      <c r="Z826" s="419"/>
      <c r="AA826" s="415"/>
    </row>
    <row r="827" spans="1:27" s="128" customFormat="1" ht="37.5">
      <c r="A827" s="405">
        <v>55</v>
      </c>
      <c r="B827" s="407" t="s">
        <v>4630</v>
      </c>
      <c r="C827" s="406" t="s">
        <v>78</v>
      </c>
      <c r="D827" s="407" t="s">
        <v>4631</v>
      </c>
      <c r="E827" s="408">
        <v>1</v>
      </c>
      <c r="F827" s="409"/>
      <c r="G827" s="410">
        <f t="shared" si="33"/>
        <v>0</v>
      </c>
      <c r="H827" s="412"/>
      <c r="I827" s="407"/>
      <c r="J827" s="412"/>
      <c r="K827" s="407" t="s">
        <v>4525</v>
      </c>
      <c r="L827" s="412" t="s">
        <v>444</v>
      </c>
      <c r="M827" s="407" t="s">
        <v>444</v>
      </c>
      <c r="N827" s="412"/>
      <c r="O827" s="412"/>
      <c r="P827" s="412" t="s">
        <v>444</v>
      </c>
      <c r="Q827" s="413" t="s">
        <v>1514</v>
      </c>
      <c r="R827" s="413" t="s">
        <v>2957</v>
      </c>
      <c r="S827" s="414"/>
      <c r="T827" s="414"/>
      <c r="U827" s="415"/>
      <c r="V827" s="416"/>
      <c r="W827" s="417"/>
      <c r="X827" s="417"/>
      <c r="Y827" s="418" t="s">
        <v>377</v>
      </c>
      <c r="Z827" s="419"/>
      <c r="AA827" s="415"/>
    </row>
    <row r="828" spans="1:27" s="128" customFormat="1" ht="37.5">
      <c r="A828" s="405">
        <v>56</v>
      </c>
      <c r="B828" s="407" t="s">
        <v>4632</v>
      </c>
      <c r="C828" s="406" t="s">
        <v>78</v>
      </c>
      <c r="D828" s="407" t="s">
        <v>4633</v>
      </c>
      <c r="E828" s="408">
        <v>1</v>
      </c>
      <c r="F828" s="409"/>
      <c r="G828" s="410">
        <f t="shared" si="33"/>
        <v>0</v>
      </c>
      <c r="H828" s="412"/>
      <c r="I828" s="407"/>
      <c r="J828" s="412"/>
      <c r="K828" s="407" t="s">
        <v>4525</v>
      </c>
      <c r="L828" s="412" t="s">
        <v>444</v>
      </c>
      <c r="M828" s="407" t="s">
        <v>444</v>
      </c>
      <c r="N828" s="412"/>
      <c r="O828" s="412"/>
      <c r="P828" s="412" t="s">
        <v>444</v>
      </c>
      <c r="Q828" s="413" t="s">
        <v>1514</v>
      </c>
      <c r="R828" s="413" t="s">
        <v>2957</v>
      </c>
      <c r="S828" s="414"/>
      <c r="T828" s="414"/>
      <c r="U828" s="415"/>
      <c r="V828" s="416"/>
      <c r="W828" s="417"/>
      <c r="X828" s="417"/>
      <c r="Y828" s="418" t="s">
        <v>377</v>
      </c>
      <c r="Z828" s="419"/>
      <c r="AA828" s="415"/>
    </row>
    <row r="829" spans="1:27" s="128" customFormat="1" ht="37.5">
      <c r="A829" s="405">
        <v>57</v>
      </c>
      <c r="B829" s="407" t="s">
        <v>4634</v>
      </c>
      <c r="C829" s="406" t="s">
        <v>78</v>
      </c>
      <c r="D829" s="407" t="s">
        <v>4635</v>
      </c>
      <c r="E829" s="408">
        <v>2</v>
      </c>
      <c r="F829" s="409"/>
      <c r="G829" s="410">
        <f t="shared" si="33"/>
        <v>0</v>
      </c>
      <c r="H829" s="412"/>
      <c r="I829" s="407"/>
      <c r="J829" s="412"/>
      <c r="K829" s="407" t="s">
        <v>4525</v>
      </c>
      <c r="L829" s="412" t="s">
        <v>444</v>
      </c>
      <c r="M829" s="407" t="s">
        <v>444</v>
      </c>
      <c r="N829" s="412"/>
      <c r="O829" s="412"/>
      <c r="P829" s="412" t="s">
        <v>444</v>
      </c>
      <c r="Q829" s="413" t="s">
        <v>1514</v>
      </c>
      <c r="R829" s="413" t="s">
        <v>2922</v>
      </c>
      <c r="S829" s="414"/>
      <c r="T829" s="414"/>
      <c r="U829" s="415"/>
      <c r="V829" s="416"/>
      <c r="W829" s="417"/>
      <c r="X829" s="417"/>
      <c r="Y829" s="418" t="s">
        <v>377</v>
      </c>
      <c r="Z829" s="419"/>
      <c r="AA829" s="415"/>
    </row>
    <row r="830" spans="1:27" s="128" customFormat="1" ht="37.5">
      <c r="A830" s="405">
        <v>58</v>
      </c>
      <c r="B830" s="407" t="s">
        <v>4636</v>
      </c>
      <c r="C830" s="406" t="s">
        <v>78</v>
      </c>
      <c r="D830" s="407" t="s">
        <v>4637</v>
      </c>
      <c r="E830" s="408">
        <v>4</v>
      </c>
      <c r="F830" s="409"/>
      <c r="G830" s="410">
        <f t="shared" si="33"/>
        <v>0</v>
      </c>
      <c r="H830" s="412"/>
      <c r="I830" s="407"/>
      <c r="J830" s="412"/>
      <c r="K830" s="407" t="s">
        <v>4525</v>
      </c>
      <c r="L830" s="412" t="s">
        <v>444</v>
      </c>
      <c r="M830" s="407" t="s">
        <v>444</v>
      </c>
      <c r="N830" s="412"/>
      <c r="O830" s="412"/>
      <c r="P830" s="412" t="s">
        <v>444</v>
      </c>
      <c r="Q830" s="413" t="s">
        <v>1514</v>
      </c>
      <c r="R830" s="413" t="s">
        <v>2963</v>
      </c>
      <c r="S830" s="414"/>
      <c r="T830" s="414"/>
      <c r="U830" s="415"/>
      <c r="V830" s="416"/>
      <c r="W830" s="417"/>
      <c r="X830" s="417"/>
      <c r="Y830" s="418" t="s">
        <v>377</v>
      </c>
      <c r="Z830" s="419"/>
      <c r="AA830" s="415"/>
    </row>
    <row r="831" spans="1:27" s="128" customFormat="1" ht="37.5">
      <c r="A831" s="405">
        <v>59</v>
      </c>
      <c r="B831" s="407" t="s">
        <v>4638</v>
      </c>
      <c r="C831" s="406" t="s">
        <v>78</v>
      </c>
      <c r="D831" s="407" t="s">
        <v>4639</v>
      </c>
      <c r="E831" s="408">
        <v>1</v>
      </c>
      <c r="F831" s="409"/>
      <c r="G831" s="410">
        <f t="shared" si="33"/>
        <v>0</v>
      </c>
      <c r="H831" s="412"/>
      <c r="I831" s="407"/>
      <c r="J831" s="412"/>
      <c r="K831" s="407" t="s">
        <v>4525</v>
      </c>
      <c r="L831" s="412" t="s">
        <v>444</v>
      </c>
      <c r="M831" s="407" t="s">
        <v>444</v>
      </c>
      <c r="N831" s="412"/>
      <c r="O831" s="412"/>
      <c r="P831" s="412" t="s">
        <v>444</v>
      </c>
      <c r="Q831" s="413" t="s">
        <v>1514</v>
      </c>
      <c r="R831" s="413" t="s">
        <v>2963</v>
      </c>
      <c r="S831" s="414"/>
      <c r="T831" s="414"/>
      <c r="U831" s="415"/>
      <c r="V831" s="416"/>
      <c r="W831" s="417"/>
      <c r="X831" s="417"/>
      <c r="Y831" s="418" t="s">
        <v>377</v>
      </c>
      <c r="Z831" s="419"/>
      <c r="AA831" s="415"/>
    </row>
    <row r="832" spans="1:27" s="128" customFormat="1" ht="37.5">
      <c r="A832" s="405">
        <v>60</v>
      </c>
      <c r="B832" s="407" t="s">
        <v>4640</v>
      </c>
      <c r="C832" s="406" t="s">
        <v>78</v>
      </c>
      <c r="D832" s="407" t="s">
        <v>4641</v>
      </c>
      <c r="E832" s="408">
        <v>1</v>
      </c>
      <c r="F832" s="409"/>
      <c r="G832" s="410">
        <f t="shared" si="33"/>
        <v>0</v>
      </c>
      <c r="H832" s="412"/>
      <c r="I832" s="407"/>
      <c r="J832" s="412"/>
      <c r="K832" s="407" t="s">
        <v>4525</v>
      </c>
      <c r="L832" s="412" t="s">
        <v>444</v>
      </c>
      <c r="M832" s="407" t="s">
        <v>444</v>
      </c>
      <c r="N832" s="412"/>
      <c r="O832" s="412"/>
      <c r="P832" s="412" t="s">
        <v>444</v>
      </c>
      <c r="Q832" s="413" t="s">
        <v>1514</v>
      </c>
      <c r="R832" s="413" t="s">
        <v>4526</v>
      </c>
      <c r="S832" s="414"/>
      <c r="T832" s="414"/>
      <c r="U832" s="415"/>
      <c r="V832" s="416"/>
      <c r="W832" s="417"/>
      <c r="X832" s="417"/>
      <c r="Y832" s="418" t="s">
        <v>377</v>
      </c>
      <c r="Z832" s="419"/>
      <c r="AA832" s="415"/>
    </row>
    <row r="833" spans="1:27" s="128" customFormat="1" ht="37.5">
      <c r="A833" s="405">
        <v>61</v>
      </c>
      <c r="B833" s="407" t="s">
        <v>4642</v>
      </c>
      <c r="C833" s="406" t="s">
        <v>78</v>
      </c>
      <c r="D833" s="407" t="s">
        <v>4643</v>
      </c>
      <c r="E833" s="408">
        <v>2</v>
      </c>
      <c r="F833" s="409"/>
      <c r="G833" s="410">
        <f t="shared" si="33"/>
        <v>0</v>
      </c>
      <c r="H833" s="412"/>
      <c r="I833" s="407"/>
      <c r="J833" s="412"/>
      <c r="K833" s="407" t="s">
        <v>4525</v>
      </c>
      <c r="L833" s="412" t="s">
        <v>444</v>
      </c>
      <c r="M833" s="407" t="s">
        <v>444</v>
      </c>
      <c r="N833" s="412"/>
      <c r="O833" s="412"/>
      <c r="P833" s="412" t="s">
        <v>444</v>
      </c>
      <c r="Q833" s="413" t="s">
        <v>1176</v>
      </c>
      <c r="R833" s="413" t="s">
        <v>2963</v>
      </c>
      <c r="S833" s="414"/>
      <c r="T833" s="414" t="s">
        <v>4644</v>
      </c>
      <c r="U833" s="415"/>
      <c r="V833" s="416"/>
      <c r="W833" s="417"/>
      <c r="X833" s="417"/>
      <c r="Y833" s="418" t="s">
        <v>377</v>
      </c>
      <c r="Z833" s="419" t="s">
        <v>4645</v>
      </c>
      <c r="AA833" s="415"/>
    </row>
    <row r="834" spans="1:27" s="128" customFormat="1" ht="37.5">
      <c r="A834" s="443">
        <v>62</v>
      </c>
      <c r="B834" s="444" t="s">
        <v>4646</v>
      </c>
      <c r="C834" s="445" t="s">
        <v>78</v>
      </c>
      <c r="D834" s="444" t="s">
        <v>4647</v>
      </c>
      <c r="E834" s="446">
        <v>1</v>
      </c>
      <c r="F834" s="447"/>
      <c r="G834" s="448">
        <f t="shared" si="33"/>
        <v>0</v>
      </c>
      <c r="H834" s="450"/>
      <c r="I834" s="444"/>
      <c r="J834" s="450"/>
      <c r="K834" s="444" t="s">
        <v>4525</v>
      </c>
      <c r="L834" s="450" t="s">
        <v>444</v>
      </c>
      <c r="M834" s="444" t="s">
        <v>444</v>
      </c>
      <c r="N834" s="450"/>
      <c r="O834" s="450"/>
      <c r="P834" s="450" t="s">
        <v>444</v>
      </c>
      <c r="Q834" s="451" t="s">
        <v>374</v>
      </c>
      <c r="R834" s="451" t="s">
        <v>2922</v>
      </c>
      <c r="S834" s="452"/>
      <c r="T834" s="452" t="s">
        <v>481</v>
      </c>
      <c r="U834" s="453"/>
      <c r="V834" s="454"/>
      <c r="W834" s="455" t="s">
        <v>406</v>
      </c>
      <c r="X834" s="455">
        <v>45601</v>
      </c>
      <c r="Y834" s="456" t="s">
        <v>377</v>
      </c>
      <c r="Z834" s="457"/>
      <c r="AA834" s="453"/>
    </row>
    <row r="835" spans="1:27" s="128" customFormat="1" ht="37.5">
      <c r="A835" s="405">
        <v>63</v>
      </c>
      <c r="B835" s="407" t="s">
        <v>4648</v>
      </c>
      <c r="C835" s="406" t="s">
        <v>78</v>
      </c>
      <c r="D835" s="407" t="s">
        <v>4649</v>
      </c>
      <c r="E835" s="408">
        <v>2</v>
      </c>
      <c r="F835" s="409"/>
      <c r="G835" s="410">
        <f t="shared" si="33"/>
        <v>0</v>
      </c>
      <c r="H835" s="412"/>
      <c r="I835" s="407"/>
      <c r="J835" s="412"/>
      <c r="K835" s="407" t="s">
        <v>4525</v>
      </c>
      <c r="L835" s="412" t="s">
        <v>444</v>
      </c>
      <c r="M835" s="407" t="s">
        <v>444</v>
      </c>
      <c r="N835" s="412"/>
      <c r="O835" s="412"/>
      <c r="P835" s="412" t="s">
        <v>444</v>
      </c>
      <c r="Q835" s="413" t="s">
        <v>1176</v>
      </c>
      <c r="R835" s="413" t="s">
        <v>2906</v>
      </c>
      <c r="S835" s="414"/>
      <c r="T835" s="414" t="s">
        <v>4644</v>
      </c>
      <c r="U835" s="415"/>
      <c r="V835" s="416"/>
      <c r="W835" s="417"/>
      <c r="X835" s="417"/>
      <c r="Y835" s="418" t="s">
        <v>377</v>
      </c>
      <c r="Z835" s="419" t="s">
        <v>4645</v>
      </c>
      <c r="AA835" s="415"/>
    </row>
    <row r="836" spans="1:27" s="128" customFormat="1" ht="37.5">
      <c r="A836" s="405">
        <v>64</v>
      </c>
      <c r="B836" s="407" t="s">
        <v>4650</v>
      </c>
      <c r="C836" s="406" t="s">
        <v>78</v>
      </c>
      <c r="D836" s="407" t="s">
        <v>4651</v>
      </c>
      <c r="E836" s="408">
        <v>2</v>
      </c>
      <c r="F836" s="409"/>
      <c r="G836" s="410">
        <f t="shared" si="33"/>
        <v>0</v>
      </c>
      <c r="H836" s="412"/>
      <c r="I836" s="407"/>
      <c r="J836" s="412"/>
      <c r="K836" s="407" t="s">
        <v>4525</v>
      </c>
      <c r="L836" s="412" t="s">
        <v>444</v>
      </c>
      <c r="M836" s="407" t="s">
        <v>444</v>
      </c>
      <c r="N836" s="412"/>
      <c r="O836" s="412"/>
      <c r="P836" s="412" t="s">
        <v>444</v>
      </c>
      <c r="Q836" s="413" t="s">
        <v>1514</v>
      </c>
      <c r="R836" s="413" t="s">
        <v>2963</v>
      </c>
      <c r="S836" s="414"/>
      <c r="T836" s="414"/>
      <c r="U836" s="415"/>
      <c r="V836" s="416"/>
      <c r="W836" s="417"/>
      <c r="X836" s="417"/>
      <c r="Y836" s="418" t="s">
        <v>377</v>
      </c>
      <c r="Z836" s="419"/>
      <c r="AA836" s="415"/>
    </row>
    <row r="837" spans="1:27" s="128" customFormat="1" ht="37.5">
      <c r="A837" s="405">
        <v>65</v>
      </c>
      <c r="B837" s="407" t="s">
        <v>4652</v>
      </c>
      <c r="C837" s="406" t="s">
        <v>78</v>
      </c>
      <c r="D837" s="407" t="s">
        <v>4653</v>
      </c>
      <c r="E837" s="408">
        <v>2</v>
      </c>
      <c r="F837" s="409"/>
      <c r="G837" s="410">
        <f t="shared" ref="G837:G868" si="34">E837*F837</f>
        <v>0</v>
      </c>
      <c r="H837" s="412"/>
      <c r="I837" s="407"/>
      <c r="J837" s="412"/>
      <c r="K837" s="407" t="s">
        <v>4525</v>
      </c>
      <c r="L837" s="412" t="s">
        <v>444</v>
      </c>
      <c r="M837" s="407" t="s">
        <v>444</v>
      </c>
      <c r="N837" s="412"/>
      <c r="O837" s="412"/>
      <c r="P837" s="412" t="s">
        <v>444</v>
      </c>
      <c r="Q837" s="413" t="s">
        <v>1514</v>
      </c>
      <c r="R837" s="413" t="s">
        <v>2922</v>
      </c>
      <c r="S837" s="414"/>
      <c r="T837" s="414"/>
      <c r="U837" s="415"/>
      <c r="V837" s="416"/>
      <c r="W837" s="417"/>
      <c r="X837" s="417"/>
      <c r="Y837" s="418" t="s">
        <v>377</v>
      </c>
      <c r="Z837" s="419"/>
      <c r="AA837" s="415"/>
    </row>
    <row r="838" spans="1:27" s="128" customFormat="1">
      <c r="A838" s="405">
        <v>66</v>
      </c>
      <c r="B838" s="407" t="s">
        <v>4626</v>
      </c>
      <c r="C838" s="406" t="s">
        <v>78</v>
      </c>
      <c r="D838" s="407" t="s">
        <v>4627</v>
      </c>
      <c r="E838" s="408">
        <v>2</v>
      </c>
      <c r="F838" s="409"/>
      <c r="G838" s="410">
        <f t="shared" si="34"/>
        <v>0</v>
      </c>
      <c r="H838" s="412"/>
      <c r="I838" s="407"/>
      <c r="J838" s="412"/>
      <c r="K838" s="407"/>
      <c r="L838" s="412"/>
      <c r="M838" s="407"/>
      <c r="N838" s="412"/>
      <c r="O838" s="412"/>
      <c r="P838" s="412"/>
      <c r="Q838" s="413" t="s">
        <v>1176</v>
      </c>
      <c r="R838" s="413" t="s">
        <v>2963</v>
      </c>
      <c r="S838" s="414"/>
      <c r="T838" s="414" t="s">
        <v>4644</v>
      </c>
      <c r="U838" s="415"/>
      <c r="V838" s="416"/>
      <c r="W838" s="417"/>
      <c r="X838" s="417"/>
      <c r="Y838" s="418" t="s">
        <v>377</v>
      </c>
      <c r="Z838" s="419" t="s">
        <v>4645</v>
      </c>
      <c r="AA838" s="415"/>
    </row>
    <row r="839" spans="1:27" s="128" customFormat="1" ht="37.5">
      <c r="A839" s="405">
        <v>67</v>
      </c>
      <c r="B839" s="407" t="s">
        <v>4642</v>
      </c>
      <c r="C839" s="406" t="s">
        <v>78</v>
      </c>
      <c r="D839" s="407" t="s">
        <v>4643</v>
      </c>
      <c r="E839" s="408">
        <v>1</v>
      </c>
      <c r="F839" s="409"/>
      <c r="G839" s="410">
        <f t="shared" si="34"/>
        <v>0</v>
      </c>
      <c r="H839" s="412"/>
      <c r="I839" s="407"/>
      <c r="J839" s="412"/>
      <c r="K839" s="407" t="s">
        <v>4525</v>
      </c>
      <c r="L839" s="412" t="s">
        <v>444</v>
      </c>
      <c r="M839" s="407" t="s">
        <v>444</v>
      </c>
      <c r="N839" s="412"/>
      <c r="O839" s="412"/>
      <c r="P839" s="412" t="s">
        <v>444</v>
      </c>
      <c r="Q839" s="413" t="s">
        <v>1514</v>
      </c>
      <c r="R839" s="413" t="s">
        <v>2963</v>
      </c>
      <c r="S839" s="414"/>
      <c r="T839" s="414"/>
      <c r="U839" s="415"/>
      <c r="V839" s="416"/>
      <c r="W839" s="417"/>
      <c r="X839" s="417"/>
      <c r="Y839" s="418" t="s">
        <v>377</v>
      </c>
      <c r="Z839" s="419"/>
      <c r="AA839" s="415"/>
    </row>
    <row r="840" spans="1:27" s="128" customFormat="1" ht="37.5">
      <c r="A840" s="405">
        <v>68</v>
      </c>
      <c r="B840" s="407" t="s">
        <v>4650</v>
      </c>
      <c r="C840" s="406" t="s">
        <v>78</v>
      </c>
      <c r="D840" s="407" t="s">
        <v>4651</v>
      </c>
      <c r="E840" s="408">
        <v>1</v>
      </c>
      <c r="F840" s="409"/>
      <c r="G840" s="410">
        <f t="shared" si="34"/>
        <v>0</v>
      </c>
      <c r="H840" s="412"/>
      <c r="I840" s="407"/>
      <c r="J840" s="412"/>
      <c r="K840" s="407" t="s">
        <v>4525</v>
      </c>
      <c r="L840" s="412" t="s">
        <v>444</v>
      </c>
      <c r="M840" s="407" t="s">
        <v>444</v>
      </c>
      <c r="N840" s="412"/>
      <c r="O840" s="412"/>
      <c r="P840" s="412" t="s">
        <v>444</v>
      </c>
      <c r="Q840" s="413" t="s">
        <v>1514</v>
      </c>
      <c r="R840" s="413" t="s">
        <v>2963</v>
      </c>
      <c r="S840" s="414"/>
      <c r="T840" s="414"/>
      <c r="U840" s="415"/>
      <c r="V840" s="416"/>
      <c r="W840" s="417"/>
      <c r="X840" s="417"/>
      <c r="Y840" s="418" t="s">
        <v>377</v>
      </c>
      <c r="Z840" s="419"/>
      <c r="AA840" s="415"/>
    </row>
    <row r="841" spans="1:27" s="128" customFormat="1" ht="37.5">
      <c r="A841" s="405">
        <v>69</v>
      </c>
      <c r="B841" s="407" t="s">
        <v>4654</v>
      </c>
      <c r="C841" s="406" t="s">
        <v>78</v>
      </c>
      <c r="D841" s="407" t="s">
        <v>4655</v>
      </c>
      <c r="E841" s="408">
        <v>1</v>
      </c>
      <c r="F841" s="409"/>
      <c r="G841" s="410">
        <f t="shared" si="34"/>
        <v>0</v>
      </c>
      <c r="H841" s="412"/>
      <c r="I841" s="407"/>
      <c r="J841" s="412"/>
      <c r="K841" s="407" t="s">
        <v>4525</v>
      </c>
      <c r="L841" s="412" t="s">
        <v>444</v>
      </c>
      <c r="M841" s="407" t="s">
        <v>444</v>
      </c>
      <c r="N841" s="412"/>
      <c r="O841" s="412"/>
      <c r="P841" s="412" t="s">
        <v>444</v>
      </c>
      <c r="Q841" s="413" t="s">
        <v>1514</v>
      </c>
      <c r="R841" s="413" t="s">
        <v>3103</v>
      </c>
      <c r="S841" s="414"/>
      <c r="T841" s="414"/>
      <c r="U841" s="415"/>
      <c r="V841" s="416"/>
      <c r="W841" s="417"/>
      <c r="X841" s="417"/>
      <c r="Y841" s="418" t="s">
        <v>377</v>
      </c>
      <c r="Z841" s="419"/>
      <c r="AA841" s="415"/>
    </row>
    <row r="842" spans="1:27" s="128" customFormat="1" ht="37.5">
      <c r="A842" s="405">
        <v>70</v>
      </c>
      <c r="B842" s="407" t="s">
        <v>4656</v>
      </c>
      <c r="C842" s="406" t="s">
        <v>78</v>
      </c>
      <c r="D842" s="407" t="s">
        <v>4657</v>
      </c>
      <c r="E842" s="408">
        <v>1</v>
      </c>
      <c r="F842" s="409"/>
      <c r="G842" s="410">
        <f t="shared" si="34"/>
        <v>0</v>
      </c>
      <c r="H842" s="412"/>
      <c r="I842" s="407"/>
      <c r="J842" s="412"/>
      <c r="K842" s="407" t="s">
        <v>4525</v>
      </c>
      <c r="L842" s="412" t="s">
        <v>444</v>
      </c>
      <c r="M842" s="407" t="s">
        <v>444</v>
      </c>
      <c r="N842" s="412"/>
      <c r="O842" s="412"/>
      <c r="P842" s="412" t="s">
        <v>444</v>
      </c>
      <c r="Q842" s="413" t="s">
        <v>1514</v>
      </c>
      <c r="R842" s="413" t="s">
        <v>2963</v>
      </c>
      <c r="S842" s="414"/>
      <c r="T842" s="414"/>
      <c r="U842" s="415"/>
      <c r="V842" s="416"/>
      <c r="W842" s="417"/>
      <c r="X842" s="417"/>
      <c r="Y842" s="418" t="s">
        <v>377</v>
      </c>
      <c r="Z842" s="419"/>
      <c r="AA842" s="415"/>
    </row>
    <row r="843" spans="1:27" s="128" customFormat="1" ht="37.5">
      <c r="A843" s="405">
        <v>71</v>
      </c>
      <c r="B843" s="407" t="s">
        <v>4658</v>
      </c>
      <c r="C843" s="406" t="s">
        <v>78</v>
      </c>
      <c r="D843" s="407" t="s">
        <v>4659</v>
      </c>
      <c r="E843" s="408">
        <v>1</v>
      </c>
      <c r="F843" s="409"/>
      <c r="G843" s="410">
        <f t="shared" si="34"/>
        <v>0</v>
      </c>
      <c r="H843" s="412"/>
      <c r="I843" s="407"/>
      <c r="J843" s="412"/>
      <c r="K843" s="407" t="s">
        <v>4525</v>
      </c>
      <c r="L843" s="412" t="s">
        <v>444</v>
      </c>
      <c r="M843" s="407" t="s">
        <v>444</v>
      </c>
      <c r="N843" s="412"/>
      <c r="O843" s="412"/>
      <c r="P843" s="412" t="s">
        <v>444</v>
      </c>
      <c r="Q843" s="413" t="s">
        <v>1514</v>
      </c>
      <c r="R843" s="413" t="s">
        <v>2922</v>
      </c>
      <c r="S843" s="414"/>
      <c r="T843" s="414"/>
      <c r="U843" s="415"/>
      <c r="V843" s="416"/>
      <c r="W843" s="417"/>
      <c r="X843" s="417"/>
      <c r="Y843" s="418" t="s">
        <v>377</v>
      </c>
      <c r="Z843" s="419"/>
      <c r="AA843" s="415"/>
    </row>
    <row r="844" spans="1:27" s="128" customFormat="1" ht="37.5">
      <c r="A844" s="405">
        <v>72</v>
      </c>
      <c r="B844" s="407" t="s">
        <v>4660</v>
      </c>
      <c r="C844" s="406" t="s">
        <v>78</v>
      </c>
      <c r="D844" s="407" t="s">
        <v>4661</v>
      </c>
      <c r="E844" s="408">
        <v>1</v>
      </c>
      <c r="F844" s="409"/>
      <c r="G844" s="410">
        <f t="shared" si="34"/>
        <v>0</v>
      </c>
      <c r="H844" s="412"/>
      <c r="I844" s="407"/>
      <c r="J844" s="412"/>
      <c r="K844" s="407" t="s">
        <v>4525</v>
      </c>
      <c r="L844" s="412" t="s">
        <v>444</v>
      </c>
      <c r="M844" s="407" t="s">
        <v>444</v>
      </c>
      <c r="N844" s="412"/>
      <c r="O844" s="412"/>
      <c r="P844" s="412" t="s">
        <v>444</v>
      </c>
      <c r="Q844" s="413" t="s">
        <v>1514</v>
      </c>
      <c r="R844" s="413" t="s">
        <v>2922</v>
      </c>
      <c r="S844" s="414"/>
      <c r="T844" s="414"/>
      <c r="U844" s="415"/>
      <c r="V844" s="416"/>
      <c r="W844" s="417"/>
      <c r="X844" s="417"/>
      <c r="Y844" s="418" t="s">
        <v>377</v>
      </c>
      <c r="Z844" s="419"/>
      <c r="AA844" s="415"/>
    </row>
    <row r="845" spans="1:27" s="128" customFormat="1" ht="37.5">
      <c r="A845" s="405">
        <v>73</v>
      </c>
      <c r="B845" s="407" t="s">
        <v>4662</v>
      </c>
      <c r="C845" s="406" t="s">
        <v>78</v>
      </c>
      <c r="D845" s="407" t="s">
        <v>4663</v>
      </c>
      <c r="E845" s="408">
        <v>1</v>
      </c>
      <c r="F845" s="409"/>
      <c r="G845" s="410">
        <f t="shared" si="34"/>
        <v>0</v>
      </c>
      <c r="H845" s="412"/>
      <c r="I845" s="407"/>
      <c r="J845" s="412"/>
      <c r="K845" s="407" t="s">
        <v>4525</v>
      </c>
      <c r="L845" s="412" t="s">
        <v>444</v>
      </c>
      <c r="M845" s="407" t="s">
        <v>444</v>
      </c>
      <c r="N845" s="412"/>
      <c r="O845" s="412"/>
      <c r="P845" s="412" t="s">
        <v>444</v>
      </c>
      <c r="Q845" s="413" t="s">
        <v>1514</v>
      </c>
      <c r="R845" s="413" t="s">
        <v>2957</v>
      </c>
      <c r="S845" s="414"/>
      <c r="T845" s="414"/>
      <c r="U845" s="415"/>
      <c r="V845" s="416"/>
      <c r="W845" s="417"/>
      <c r="X845" s="417"/>
      <c r="Y845" s="418" t="s">
        <v>377</v>
      </c>
      <c r="Z845" s="419"/>
      <c r="AA845" s="415"/>
    </row>
    <row r="846" spans="1:27" s="128" customFormat="1" ht="37.5">
      <c r="A846" s="405">
        <v>74</v>
      </c>
      <c r="B846" s="407" t="s">
        <v>4664</v>
      </c>
      <c r="C846" s="406" t="s">
        <v>78</v>
      </c>
      <c r="D846" s="407" t="s">
        <v>4665</v>
      </c>
      <c r="E846" s="408">
        <v>1</v>
      </c>
      <c r="F846" s="409"/>
      <c r="G846" s="410">
        <f t="shared" si="34"/>
        <v>0</v>
      </c>
      <c r="H846" s="412"/>
      <c r="I846" s="407"/>
      <c r="J846" s="412"/>
      <c r="K846" s="407" t="s">
        <v>4525</v>
      </c>
      <c r="L846" s="412" t="s">
        <v>444</v>
      </c>
      <c r="M846" s="407" t="s">
        <v>444</v>
      </c>
      <c r="N846" s="412"/>
      <c r="O846" s="412"/>
      <c r="P846" s="412" t="s">
        <v>444</v>
      </c>
      <c r="Q846" s="413" t="s">
        <v>1514</v>
      </c>
      <c r="R846" s="413" t="s">
        <v>4526</v>
      </c>
      <c r="S846" s="414"/>
      <c r="T846" s="414"/>
      <c r="U846" s="415"/>
      <c r="V846" s="416"/>
      <c r="W846" s="417"/>
      <c r="X846" s="417"/>
      <c r="Y846" s="418" t="s">
        <v>377</v>
      </c>
      <c r="Z846" s="419"/>
      <c r="AA846" s="415"/>
    </row>
    <row r="847" spans="1:27" s="128" customFormat="1" ht="37.5">
      <c r="A847" s="405">
        <v>75</v>
      </c>
      <c r="B847" s="407" t="s">
        <v>4666</v>
      </c>
      <c r="C847" s="406" t="s">
        <v>78</v>
      </c>
      <c r="D847" s="407" t="s">
        <v>4667</v>
      </c>
      <c r="E847" s="408">
        <v>1</v>
      </c>
      <c r="F847" s="409"/>
      <c r="G847" s="410">
        <f t="shared" si="34"/>
        <v>0</v>
      </c>
      <c r="H847" s="412"/>
      <c r="I847" s="407"/>
      <c r="J847" s="412"/>
      <c r="K847" s="407" t="s">
        <v>4525</v>
      </c>
      <c r="L847" s="412" t="s">
        <v>444</v>
      </c>
      <c r="M847" s="407" t="s">
        <v>444</v>
      </c>
      <c r="N847" s="412"/>
      <c r="O847" s="412"/>
      <c r="P847" s="412" t="s">
        <v>444</v>
      </c>
      <c r="Q847" s="413" t="s">
        <v>1514</v>
      </c>
      <c r="R847" s="413" t="s">
        <v>260</v>
      </c>
      <c r="S847" s="414"/>
      <c r="T847" s="414"/>
      <c r="U847" s="415"/>
      <c r="V847" s="416"/>
      <c r="W847" s="417"/>
      <c r="X847" s="417"/>
      <c r="Y847" s="418" t="s">
        <v>377</v>
      </c>
      <c r="Z847" s="419"/>
      <c r="AA847" s="415"/>
    </row>
    <row r="848" spans="1:27" s="128" customFormat="1" ht="37.5">
      <c r="A848" s="405">
        <v>76</v>
      </c>
      <c r="B848" s="407" t="s">
        <v>4668</v>
      </c>
      <c r="C848" s="406" t="s">
        <v>78</v>
      </c>
      <c r="D848" s="407" t="s">
        <v>4669</v>
      </c>
      <c r="E848" s="408">
        <v>4</v>
      </c>
      <c r="F848" s="409"/>
      <c r="G848" s="410">
        <f t="shared" si="34"/>
        <v>0</v>
      </c>
      <c r="H848" s="412"/>
      <c r="I848" s="407"/>
      <c r="J848" s="412"/>
      <c r="K848" s="407" t="s">
        <v>4525</v>
      </c>
      <c r="L848" s="412" t="s">
        <v>444</v>
      </c>
      <c r="M848" s="407" t="s">
        <v>444</v>
      </c>
      <c r="N848" s="412"/>
      <c r="O848" s="412"/>
      <c r="P848" s="412" t="s">
        <v>444</v>
      </c>
      <c r="Q848" s="413" t="s">
        <v>1514</v>
      </c>
      <c r="R848" s="413" t="s">
        <v>2963</v>
      </c>
      <c r="S848" s="414"/>
      <c r="T848" s="414"/>
      <c r="U848" s="415"/>
      <c r="V848" s="416"/>
      <c r="W848" s="417"/>
      <c r="X848" s="417"/>
      <c r="Y848" s="418" t="s">
        <v>377</v>
      </c>
      <c r="Z848" s="419"/>
      <c r="AA848" s="415"/>
    </row>
    <row r="849" spans="1:27" s="128" customFormat="1" ht="37.5">
      <c r="A849" s="405">
        <v>77</v>
      </c>
      <c r="B849" s="407" t="s">
        <v>4670</v>
      </c>
      <c r="C849" s="406" t="s">
        <v>78</v>
      </c>
      <c r="D849" s="407" t="s">
        <v>4671</v>
      </c>
      <c r="E849" s="408">
        <v>4</v>
      </c>
      <c r="F849" s="409"/>
      <c r="G849" s="410">
        <f t="shared" si="34"/>
        <v>0</v>
      </c>
      <c r="H849" s="412"/>
      <c r="I849" s="407"/>
      <c r="J849" s="412"/>
      <c r="K849" s="407" t="s">
        <v>4525</v>
      </c>
      <c r="L849" s="412" t="s">
        <v>444</v>
      </c>
      <c r="M849" s="407" t="s">
        <v>444</v>
      </c>
      <c r="N849" s="412"/>
      <c r="O849" s="412"/>
      <c r="P849" s="412" t="s">
        <v>444</v>
      </c>
      <c r="Q849" s="413" t="s">
        <v>1514</v>
      </c>
      <c r="R849" s="413" t="s">
        <v>2963</v>
      </c>
      <c r="S849" s="414"/>
      <c r="T849" s="414"/>
      <c r="U849" s="415"/>
      <c r="V849" s="416"/>
      <c r="W849" s="417"/>
      <c r="X849" s="417"/>
      <c r="Y849" s="418" t="s">
        <v>377</v>
      </c>
      <c r="Z849" s="419"/>
      <c r="AA849" s="415"/>
    </row>
    <row r="850" spans="1:27" s="128" customFormat="1" ht="37.5">
      <c r="A850" s="405">
        <v>78</v>
      </c>
      <c r="B850" s="407" t="s">
        <v>4672</v>
      </c>
      <c r="C850" s="406" t="s">
        <v>78</v>
      </c>
      <c r="D850" s="407" t="s">
        <v>4673</v>
      </c>
      <c r="E850" s="408">
        <v>1</v>
      </c>
      <c r="F850" s="409"/>
      <c r="G850" s="410">
        <f t="shared" si="34"/>
        <v>0</v>
      </c>
      <c r="H850" s="412"/>
      <c r="I850" s="407"/>
      <c r="J850" s="412"/>
      <c r="K850" s="407" t="s">
        <v>4525</v>
      </c>
      <c r="L850" s="412" t="s">
        <v>444</v>
      </c>
      <c r="M850" s="407" t="s">
        <v>444</v>
      </c>
      <c r="N850" s="412"/>
      <c r="O850" s="412"/>
      <c r="P850" s="412" t="s">
        <v>444</v>
      </c>
      <c r="Q850" s="413" t="s">
        <v>1514</v>
      </c>
      <c r="R850" s="413" t="s">
        <v>2963</v>
      </c>
      <c r="S850" s="414"/>
      <c r="T850" s="414"/>
      <c r="U850" s="415"/>
      <c r="V850" s="416"/>
      <c r="W850" s="417"/>
      <c r="X850" s="417"/>
      <c r="Y850" s="418" t="s">
        <v>377</v>
      </c>
      <c r="Z850" s="419"/>
      <c r="AA850" s="415"/>
    </row>
    <row r="851" spans="1:27" s="128" customFormat="1" ht="37.5">
      <c r="A851" s="405">
        <v>79</v>
      </c>
      <c r="B851" s="407" t="s">
        <v>4674</v>
      </c>
      <c r="C851" s="406" t="s">
        <v>78</v>
      </c>
      <c r="D851" s="407" t="s">
        <v>4675</v>
      </c>
      <c r="E851" s="408">
        <v>1</v>
      </c>
      <c r="F851" s="409"/>
      <c r="G851" s="410">
        <f t="shared" si="34"/>
        <v>0</v>
      </c>
      <c r="H851" s="412"/>
      <c r="I851" s="407"/>
      <c r="J851" s="412"/>
      <c r="K851" s="407" t="s">
        <v>4525</v>
      </c>
      <c r="L851" s="412" t="s">
        <v>444</v>
      </c>
      <c r="M851" s="407" t="s">
        <v>444</v>
      </c>
      <c r="N851" s="412"/>
      <c r="O851" s="412"/>
      <c r="P851" s="412" t="s">
        <v>444</v>
      </c>
      <c r="Q851" s="413" t="s">
        <v>1514</v>
      </c>
      <c r="R851" s="413" t="s">
        <v>260</v>
      </c>
      <c r="S851" s="414"/>
      <c r="T851" s="414"/>
      <c r="U851" s="415"/>
      <c r="V851" s="416"/>
      <c r="W851" s="417"/>
      <c r="X851" s="417"/>
      <c r="Y851" s="418" t="s">
        <v>377</v>
      </c>
      <c r="Z851" s="419"/>
      <c r="AA851" s="415"/>
    </row>
    <row r="852" spans="1:27" s="128" customFormat="1" ht="37.5">
      <c r="A852" s="405">
        <v>80</v>
      </c>
      <c r="B852" s="407" t="s">
        <v>4676</v>
      </c>
      <c r="C852" s="406" t="s">
        <v>78</v>
      </c>
      <c r="D852" s="407" t="s">
        <v>4677</v>
      </c>
      <c r="E852" s="408">
        <v>2</v>
      </c>
      <c r="F852" s="409"/>
      <c r="G852" s="410">
        <f t="shared" si="34"/>
        <v>0</v>
      </c>
      <c r="H852" s="412"/>
      <c r="I852" s="407"/>
      <c r="J852" s="412"/>
      <c r="K852" s="407" t="s">
        <v>4525</v>
      </c>
      <c r="L852" s="412" t="s">
        <v>444</v>
      </c>
      <c r="M852" s="407" t="s">
        <v>444</v>
      </c>
      <c r="N852" s="412"/>
      <c r="O852" s="412"/>
      <c r="P852" s="412" t="s">
        <v>444</v>
      </c>
      <c r="Q852" s="413" t="s">
        <v>1514</v>
      </c>
      <c r="R852" s="413" t="s">
        <v>3324</v>
      </c>
      <c r="S852" s="414"/>
      <c r="T852" s="414"/>
      <c r="U852" s="415"/>
      <c r="V852" s="416"/>
      <c r="W852" s="417"/>
      <c r="X852" s="417"/>
      <c r="Y852" s="418" t="s">
        <v>377</v>
      </c>
      <c r="Z852" s="419"/>
      <c r="AA852" s="415"/>
    </row>
    <row r="853" spans="1:27" s="128" customFormat="1" ht="37.5">
      <c r="A853" s="405">
        <v>81</v>
      </c>
      <c r="B853" s="407" t="s">
        <v>4678</v>
      </c>
      <c r="C853" s="406" t="s">
        <v>78</v>
      </c>
      <c r="D853" s="407" t="s">
        <v>4679</v>
      </c>
      <c r="E853" s="408">
        <v>1</v>
      </c>
      <c r="F853" s="409"/>
      <c r="G853" s="410">
        <f t="shared" si="34"/>
        <v>0</v>
      </c>
      <c r="H853" s="412"/>
      <c r="I853" s="407"/>
      <c r="J853" s="412"/>
      <c r="K853" s="407" t="s">
        <v>4525</v>
      </c>
      <c r="L853" s="412" t="s">
        <v>444</v>
      </c>
      <c r="M853" s="407" t="s">
        <v>444</v>
      </c>
      <c r="N853" s="412"/>
      <c r="O853" s="412"/>
      <c r="P853" s="412" t="s">
        <v>444</v>
      </c>
      <c r="Q853" s="413" t="s">
        <v>1514</v>
      </c>
      <c r="R853" s="413" t="s">
        <v>260</v>
      </c>
      <c r="S853" s="414"/>
      <c r="T853" s="414"/>
      <c r="U853" s="415"/>
      <c r="V853" s="416"/>
      <c r="W853" s="417"/>
      <c r="X853" s="417"/>
      <c r="Y853" s="418" t="s">
        <v>377</v>
      </c>
      <c r="Z853" s="419"/>
      <c r="AA853" s="415"/>
    </row>
    <row r="854" spans="1:27" s="128" customFormat="1" ht="37.5">
      <c r="A854" s="405">
        <v>82</v>
      </c>
      <c r="B854" s="407" t="s">
        <v>4680</v>
      </c>
      <c r="C854" s="406" t="s">
        <v>78</v>
      </c>
      <c r="D854" s="407" t="s">
        <v>4681</v>
      </c>
      <c r="E854" s="408">
        <v>1</v>
      </c>
      <c r="F854" s="409"/>
      <c r="G854" s="410">
        <f t="shared" si="34"/>
        <v>0</v>
      </c>
      <c r="H854" s="412"/>
      <c r="I854" s="407"/>
      <c r="J854" s="412"/>
      <c r="K854" s="407" t="s">
        <v>4525</v>
      </c>
      <c r="L854" s="412" t="s">
        <v>444</v>
      </c>
      <c r="M854" s="407" t="s">
        <v>444</v>
      </c>
      <c r="N854" s="412"/>
      <c r="O854" s="412"/>
      <c r="P854" s="412" t="s">
        <v>444</v>
      </c>
      <c r="Q854" s="413" t="s">
        <v>1514</v>
      </c>
      <c r="R854" s="413" t="s">
        <v>260</v>
      </c>
      <c r="S854" s="414"/>
      <c r="T854" s="414"/>
      <c r="U854" s="415"/>
      <c r="V854" s="416"/>
      <c r="W854" s="417"/>
      <c r="X854" s="417"/>
      <c r="Y854" s="418" t="s">
        <v>377</v>
      </c>
      <c r="Z854" s="419"/>
      <c r="AA854" s="415"/>
    </row>
    <row r="855" spans="1:27" s="128" customFormat="1" ht="37.5">
      <c r="A855" s="405">
        <v>83</v>
      </c>
      <c r="B855" s="407" t="s">
        <v>4682</v>
      </c>
      <c r="C855" s="406" t="s">
        <v>78</v>
      </c>
      <c r="D855" s="407" t="s">
        <v>4683</v>
      </c>
      <c r="E855" s="408">
        <v>1</v>
      </c>
      <c r="F855" s="409"/>
      <c r="G855" s="410">
        <f t="shared" si="34"/>
        <v>0</v>
      </c>
      <c r="H855" s="412"/>
      <c r="I855" s="407"/>
      <c r="J855" s="412"/>
      <c r="K855" s="407" t="s">
        <v>4525</v>
      </c>
      <c r="L855" s="412" t="s">
        <v>444</v>
      </c>
      <c r="M855" s="407" t="s">
        <v>444</v>
      </c>
      <c r="N855" s="412"/>
      <c r="O855" s="412"/>
      <c r="P855" s="412" t="s">
        <v>444</v>
      </c>
      <c r="Q855" s="413" t="s">
        <v>1514</v>
      </c>
      <c r="R855" s="413" t="s">
        <v>2906</v>
      </c>
      <c r="S855" s="414"/>
      <c r="T855" s="414"/>
      <c r="U855" s="415"/>
      <c r="V855" s="416"/>
      <c r="W855" s="417"/>
      <c r="X855" s="417"/>
      <c r="Y855" s="418" t="s">
        <v>377</v>
      </c>
      <c r="Z855" s="419"/>
      <c r="AA855" s="415"/>
    </row>
    <row r="856" spans="1:27" s="128" customFormat="1" ht="37.5">
      <c r="A856" s="405">
        <v>84</v>
      </c>
      <c r="B856" s="407" t="s">
        <v>4684</v>
      </c>
      <c r="C856" s="406" t="s">
        <v>78</v>
      </c>
      <c r="D856" s="407" t="s">
        <v>4685</v>
      </c>
      <c r="E856" s="408">
        <v>1</v>
      </c>
      <c r="F856" s="409"/>
      <c r="G856" s="410">
        <f t="shared" si="34"/>
        <v>0</v>
      </c>
      <c r="H856" s="412"/>
      <c r="I856" s="407"/>
      <c r="J856" s="412"/>
      <c r="K856" s="407" t="s">
        <v>4525</v>
      </c>
      <c r="L856" s="412" t="s">
        <v>444</v>
      </c>
      <c r="M856" s="407" t="s">
        <v>444</v>
      </c>
      <c r="N856" s="412"/>
      <c r="O856" s="412"/>
      <c r="P856" s="412" t="s">
        <v>444</v>
      </c>
      <c r="Q856" s="413" t="s">
        <v>1514</v>
      </c>
      <c r="R856" s="413" t="s">
        <v>3313</v>
      </c>
      <c r="S856" s="414"/>
      <c r="T856" s="414"/>
      <c r="U856" s="415"/>
      <c r="V856" s="416"/>
      <c r="W856" s="417"/>
      <c r="X856" s="417"/>
      <c r="Y856" s="418" t="s">
        <v>377</v>
      </c>
      <c r="Z856" s="419"/>
      <c r="AA856" s="415"/>
    </row>
    <row r="857" spans="1:27" s="128" customFormat="1" ht="37.5">
      <c r="A857" s="405">
        <v>85</v>
      </c>
      <c r="B857" s="407" t="s">
        <v>4686</v>
      </c>
      <c r="C857" s="406" t="s">
        <v>78</v>
      </c>
      <c r="D857" s="407" t="s">
        <v>4687</v>
      </c>
      <c r="E857" s="408">
        <v>1</v>
      </c>
      <c r="F857" s="409"/>
      <c r="G857" s="410">
        <f t="shared" si="34"/>
        <v>0</v>
      </c>
      <c r="H857" s="412"/>
      <c r="I857" s="407"/>
      <c r="J857" s="412"/>
      <c r="K857" s="407" t="s">
        <v>4525</v>
      </c>
      <c r="L857" s="412" t="s">
        <v>444</v>
      </c>
      <c r="M857" s="407" t="s">
        <v>444</v>
      </c>
      <c r="N857" s="412"/>
      <c r="O857" s="412"/>
      <c r="P857" s="412" t="s">
        <v>444</v>
      </c>
      <c r="Q857" s="413" t="s">
        <v>1514</v>
      </c>
      <c r="R857" s="413" t="s">
        <v>3313</v>
      </c>
      <c r="S857" s="414"/>
      <c r="T857" s="414"/>
      <c r="U857" s="415"/>
      <c r="V857" s="416"/>
      <c r="W857" s="417"/>
      <c r="X857" s="417"/>
      <c r="Y857" s="418" t="s">
        <v>377</v>
      </c>
      <c r="Z857" s="419"/>
      <c r="AA857" s="415"/>
    </row>
    <row r="858" spans="1:27" s="128" customFormat="1" ht="37.5">
      <c r="A858" s="405">
        <v>86</v>
      </c>
      <c r="B858" s="407" t="s">
        <v>4688</v>
      </c>
      <c r="C858" s="406" t="s">
        <v>78</v>
      </c>
      <c r="D858" s="407" t="s">
        <v>4689</v>
      </c>
      <c r="E858" s="408">
        <v>3</v>
      </c>
      <c r="F858" s="409"/>
      <c r="G858" s="410">
        <f t="shared" si="34"/>
        <v>0</v>
      </c>
      <c r="H858" s="412"/>
      <c r="I858" s="407"/>
      <c r="J858" s="412"/>
      <c r="K858" s="407" t="s">
        <v>4525</v>
      </c>
      <c r="L858" s="412" t="s">
        <v>444</v>
      </c>
      <c r="M858" s="407" t="s">
        <v>444</v>
      </c>
      <c r="N858" s="412"/>
      <c r="O858" s="412"/>
      <c r="P858" s="412" t="s">
        <v>444</v>
      </c>
      <c r="Q858" s="413" t="s">
        <v>1514</v>
      </c>
      <c r="R858" s="413" t="s">
        <v>3324</v>
      </c>
      <c r="S858" s="414"/>
      <c r="T858" s="414"/>
      <c r="U858" s="415"/>
      <c r="V858" s="416"/>
      <c r="W858" s="417"/>
      <c r="X858" s="417"/>
      <c r="Y858" s="418" t="s">
        <v>377</v>
      </c>
      <c r="Z858" s="419"/>
      <c r="AA858" s="415"/>
    </row>
    <row r="859" spans="1:27" s="128" customFormat="1" ht="37.5">
      <c r="A859" s="405">
        <v>87</v>
      </c>
      <c r="B859" s="407" t="s">
        <v>4690</v>
      </c>
      <c r="C859" s="406" t="s">
        <v>78</v>
      </c>
      <c r="D859" s="407" t="s">
        <v>4691</v>
      </c>
      <c r="E859" s="408">
        <v>1</v>
      </c>
      <c r="F859" s="409"/>
      <c r="G859" s="410">
        <f t="shared" si="34"/>
        <v>0</v>
      </c>
      <c r="H859" s="412"/>
      <c r="I859" s="407"/>
      <c r="J859" s="412"/>
      <c r="K859" s="407" t="s">
        <v>4525</v>
      </c>
      <c r="L859" s="412" t="s">
        <v>444</v>
      </c>
      <c r="M859" s="407" t="s">
        <v>444</v>
      </c>
      <c r="N859" s="412"/>
      <c r="O859" s="412"/>
      <c r="P859" s="412" t="s">
        <v>444</v>
      </c>
      <c r="Q859" s="413" t="s">
        <v>1514</v>
      </c>
      <c r="R859" s="413" t="s">
        <v>3324</v>
      </c>
      <c r="S859" s="414"/>
      <c r="T859" s="414"/>
      <c r="U859" s="415"/>
      <c r="V859" s="416"/>
      <c r="W859" s="417"/>
      <c r="X859" s="417"/>
      <c r="Y859" s="418" t="s">
        <v>377</v>
      </c>
      <c r="Z859" s="419"/>
      <c r="AA859" s="415"/>
    </row>
    <row r="860" spans="1:27" s="128" customFormat="1" ht="37.5">
      <c r="A860" s="405">
        <v>88</v>
      </c>
      <c r="B860" s="407" t="s">
        <v>4294</v>
      </c>
      <c r="C860" s="406" t="s">
        <v>78</v>
      </c>
      <c r="D860" s="407" t="s">
        <v>4295</v>
      </c>
      <c r="E860" s="408">
        <v>2</v>
      </c>
      <c r="F860" s="409"/>
      <c r="G860" s="410">
        <f t="shared" si="34"/>
        <v>0</v>
      </c>
      <c r="H860" s="412"/>
      <c r="I860" s="407"/>
      <c r="J860" s="412"/>
      <c r="K860" s="407" t="s">
        <v>4525</v>
      </c>
      <c r="L860" s="412" t="s">
        <v>444</v>
      </c>
      <c r="M860" s="407" t="s">
        <v>444</v>
      </c>
      <c r="N860" s="412"/>
      <c r="O860" s="412"/>
      <c r="P860" s="412" t="s">
        <v>444</v>
      </c>
      <c r="Q860" s="413" t="s">
        <v>1514</v>
      </c>
      <c r="R860" s="413" t="s">
        <v>2963</v>
      </c>
      <c r="S860" s="414"/>
      <c r="T860" s="414"/>
      <c r="U860" s="415"/>
      <c r="V860" s="416"/>
      <c r="W860" s="417"/>
      <c r="X860" s="417"/>
      <c r="Y860" s="418" t="s">
        <v>377</v>
      </c>
      <c r="Z860" s="419"/>
      <c r="AA860" s="415"/>
    </row>
    <row r="861" spans="1:27" s="128" customFormat="1" ht="37.5">
      <c r="A861" s="405">
        <v>89</v>
      </c>
      <c r="B861" s="407" t="s">
        <v>4692</v>
      </c>
      <c r="C861" s="406" t="s">
        <v>78</v>
      </c>
      <c r="D861" s="407" t="s">
        <v>4693</v>
      </c>
      <c r="E861" s="408">
        <v>1</v>
      </c>
      <c r="F861" s="409"/>
      <c r="G861" s="410">
        <f t="shared" si="34"/>
        <v>0</v>
      </c>
      <c r="H861" s="412"/>
      <c r="I861" s="407"/>
      <c r="J861" s="412"/>
      <c r="K861" s="407" t="s">
        <v>4525</v>
      </c>
      <c r="L861" s="412" t="s">
        <v>444</v>
      </c>
      <c r="M861" s="407" t="s">
        <v>444</v>
      </c>
      <c r="N861" s="412"/>
      <c r="O861" s="412"/>
      <c r="P861" s="412" t="s">
        <v>444</v>
      </c>
      <c r="Q861" s="413" t="s">
        <v>1514</v>
      </c>
      <c r="R861" s="413" t="s">
        <v>2963</v>
      </c>
      <c r="S861" s="414"/>
      <c r="T861" s="414"/>
      <c r="U861" s="415"/>
      <c r="V861" s="416"/>
      <c r="W861" s="417"/>
      <c r="X861" s="417"/>
      <c r="Y861" s="418" t="s">
        <v>377</v>
      </c>
      <c r="Z861" s="419"/>
      <c r="AA861" s="415"/>
    </row>
    <row r="862" spans="1:27" s="128" customFormat="1" ht="37.5">
      <c r="A862" s="405">
        <v>90</v>
      </c>
      <c r="B862" s="407" t="s">
        <v>4694</v>
      </c>
      <c r="C862" s="406" t="s">
        <v>78</v>
      </c>
      <c r="D862" s="407" t="s">
        <v>4695</v>
      </c>
      <c r="E862" s="408">
        <v>1</v>
      </c>
      <c r="F862" s="409"/>
      <c r="G862" s="410">
        <f t="shared" si="34"/>
        <v>0</v>
      </c>
      <c r="H862" s="412"/>
      <c r="I862" s="407"/>
      <c r="J862" s="412"/>
      <c r="K862" s="407" t="s">
        <v>4525</v>
      </c>
      <c r="L862" s="412" t="s">
        <v>444</v>
      </c>
      <c r="M862" s="407" t="s">
        <v>444</v>
      </c>
      <c r="N862" s="412"/>
      <c r="O862" s="412"/>
      <c r="P862" s="412" t="s">
        <v>444</v>
      </c>
      <c r="Q862" s="413" t="s">
        <v>1514</v>
      </c>
      <c r="R862" s="413" t="s">
        <v>2957</v>
      </c>
      <c r="S862" s="414"/>
      <c r="T862" s="414"/>
      <c r="U862" s="415"/>
      <c r="V862" s="416"/>
      <c r="W862" s="417"/>
      <c r="X862" s="417"/>
      <c r="Y862" s="418" t="s">
        <v>377</v>
      </c>
      <c r="Z862" s="419"/>
      <c r="AA862" s="415"/>
    </row>
    <row r="863" spans="1:27" s="128" customFormat="1" ht="37.5">
      <c r="A863" s="405">
        <v>91</v>
      </c>
      <c r="B863" s="407" t="s">
        <v>4696</v>
      </c>
      <c r="C863" s="406" t="s">
        <v>78</v>
      </c>
      <c r="D863" s="407" t="s">
        <v>4697</v>
      </c>
      <c r="E863" s="408">
        <v>1</v>
      </c>
      <c r="F863" s="409"/>
      <c r="G863" s="410">
        <f t="shared" si="34"/>
        <v>0</v>
      </c>
      <c r="H863" s="412"/>
      <c r="I863" s="407"/>
      <c r="J863" s="412"/>
      <c r="K863" s="407" t="s">
        <v>4525</v>
      </c>
      <c r="L863" s="412" t="s">
        <v>444</v>
      </c>
      <c r="M863" s="407" t="s">
        <v>444</v>
      </c>
      <c r="N863" s="412"/>
      <c r="O863" s="412"/>
      <c r="P863" s="412" t="s">
        <v>444</v>
      </c>
      <c r="Q863" s="413" t="s">
        <v>1514</v>
      </c>
      <c r="R863" s="413" t="s">
        <v>260</v>
      </c>
      <c r="S863" s="414"/>
      <c r="T863" s="414"/>
      <c r="U863" s="415"/>
      <c r="V863" s="416"/>
      <c r="W863" s="417"/>
      <c r="X863" s="417"/>
      <c r="Y863" s="418" t="s">
        <v>377</v>
      </c>
      <c r="Z863" s="419"/>
      <c r="AA863" s="415"/>
    </row>
    <row r="864" spans="1:27" s="128" customFormat="1" ht="37.5">
      <c r="A864" s="405">
        <v>92</v>
      </c>
      <c r="B864" s="407" t="s">
        <v>4698</v>
      </c>
      <c r="C864" s="406" t="s">
        <v>78</v>
      </c>
      <c r="D864" s="407" t="s">
        <v>4699</v>
      </c>
      <c r="E864" s="408">
        <v>1</v>
      </c>
      <c r="F864" s="409"/>
      <c r="G864" s="410">
        <f t="shared" si="34"/>
        <v>0</v>
      </c>
      <c r="H864" s="412"/>
      <c r="I864" s="407"/>
      <c r="J864" s="412"/>
      <c r="K864" s="407" t="s">
        <v>4525</v>
      </c>
      <c r="L864" s="412" t="s">
        <v>444</v>
      </c>
      <c r="M864" s="407" t="s">
        <v>444</v>
      </c>
      <c r="N864" s="412"/>
      <c r="O864" s="412"/>
      <c r="P864" s="412" t="s">
        <v>444</v>
      </c>
      <c r="Q864" s="413" t="s">
        <v>1514</v>
      </c>
      <c r="R864" s="413" t="s">
        <v>260</v>
      </c>
      <c r="S864" s="414"/>
      <c r="T864" s="414"/>
      <c r="U864" s="415"/>
      <c r="V864" s="416"/>
      <c r="W864" s="417"/>
      <c r="X864" s="417"/>
      <c r="Y864" s="418" t="s">
        <v>377</v>
      </c>
      <c r="Z864" s="419"/>
      <c r="AA864" s="415"/>
    </row>
    <row r="865" spans="1:27" s="128" customFormat="1" ht="37.5">
      <c r="A865" s="405">
        <v>93</v>
      </c>
      <c r="B865" s="407" t="s">
        <v>4700</v>
      </c>
      <c r="C865" s="406" t="s">
        <v>78</v>
      </c>
      <c r="D865" s="407" t="s">
        <v>4701</v>
      </c>
      <c r="E865" s="408">
        <v>1</v>
      </c>
      <c r="F865" s="409"/>
      <c r="G865" s="410">
        <f t="shared" si="34"/>
        <v>0</v>
      </c>
      <c r="H865" s="412"/>
      <c r="I865" s="407"/>
      <c r="J865" s="412"/>
      <c r="K865" s="407" t="s">
        <v>4525</v>
      </c>
      <c r="L865" s="412" t="s">
        <v>444</v>
      </c>
      <c r="M865" s="407" t="s">
        <v>444</v>
      </c>
      <c r="N865" s="412"/>
      <c r="O865" s="412"/>
      <c r="P865" s="412" t="s">
        <v>444</v>
      </c>
      <c r="Q865" s="413" t="s">
        <v>1514</v>
      </c>
      <c r="R865" s="413" t="s">
        <v>2906</v>
      </c>
      <c r="S865" s="414"/>
      <c r="T865" s="414"/>
      <c r="U865" s="415"/>
      <c r="V865" s="416"/>
      <c r="W865" s="417"/>
      <c r="X865" s="417"/>
      <c r="Y865" s="418" t="s">
        <v>377</v>
      </c>
      <c r="Z865" s="419"/>
      <c r="AA865" s="415"/>
    </row>
    <row r="866" spans="1:27" s="128" customFormat="1" ht="37.5">
      <c r="A866" s="405">
        <v>94</v>
      </c>
      <c r="B866" s="407" t="s">
        <v>4702</v>
      </c>
      <c r="C866" s="406" t="s">
        <v>78</v>
      </c>
      <c r="D866" s="407" t="s">
        <v>4703</v>
      </c>
      <c r="E866" s="408">
        <v>1</v>
      </c>
      <c r="F866" s="409"/>
      <c r="G866" s="410">
        <f t="shared" si="34"/>
        <v>0</v>
      </c>
      <c r="H866" s="412"/>
      <c r="I866" s="407"/>
      <c r="J866" s="412"/>
      <c r="K866" s="407" t="s">
        <v>4525</v>
      </c>
      <c r="L866" s="412" t="s">
        <v>444</v>
      </c>
      <c r="M866" s="407" t="s">
        <v>444</v>
      </c>
      <c r="N866" s="412"/>
      <c r="O866" s="412"/>
      <c r="P866" s="412" t="s">
        <v>444</v>
      </c>
      <c r="Q866" s="413" t="s">
        <v>1514</v>
      </c>
      <c r="R866" s="413" t="s">
        <v>2906</v>
      </c>
      <c r="S866" s="414"/>
      <c r="T866" s="414"/>
      <c r="U866" s="415"/>
      <c r="V866" s="416"/>
      <c r="W866" s="417"/>
      <c r="X866" s="417"/>
      <c r="Y866" s="418" t="s">
        <v>377</v>
      </c>
      <c r="Z866" s="419"/>
      <c r="AA866" s="415"/>
    </row>
    <row r="867" spans="1:27" s="128" customFormat="1" ht="37.5">
      <c r="A867" s="405">
        <v>95</v>
      </c>
      <c r="B867" s="407" t="s">
        <v>4704</v>
      </c>
      <c r="C867" s="406" t="s">
        <v>78</v>
      </c>
      <c r="D867" s="407" t="s">
        <v>4705</v>
      </c>
      <c r="E867" s="408">
        <v>1</v>
      </c>
      <c r="F867" s="409"/>
      <c r="G867" s="410">
        <f t="shared" si="34"/>
        <v>0</v>
      </c>
      <c r="H867" s="412"/>
      <c r="I867" s="407"/>
      <c r="J867" s="412"/>
      <c r="K867" s="407" t="s">
        <v>4525</v>
      </c>
      <c r="L867" s="412" t="s">
        <v>444</v>
      </c>
      <c r="M867" s="407" t="s">
        <v>444</v>
      </c>
      <c r="N867" s="412"/>
      <c r="O867" s="412"/>
      <c r="P867" s="412" t="s">
        <v>444</v>
      </c>
      <c r="Q867" s="413" t="s">
        <v>1514</v>
      </c>
      <c r="R867" s="413" t="s">
        <v>236</v>
      </c>
      <c r="S867" s="414"/>
      <c r="T867" s="414"/>
      <c r="U867" s="415"/>
      <c r="V867" s="416"/>
      <c r="W867" s="417"/>
      <c r="X867" s="417"/>
      <c r="Y867" s="418" t="s">
        <v>377</v>
      </c>
      <c r="Z867" s="419"/>
      <c r="AA867" s="415"/>
    </row>
    <row r="868" spans="1:27" s="128" customFormat="1" ht="37.5">
      <c r="A868" s="405">
        <v>96</v>
      </c>
      <c r="B868" s="407" t="s">
        <v>4706</v>
      </c>
      <c r="C868" s="406" t="s">
        <v>78</v>
      </c>
      <c r="D868" s="407" t="s">
        <v>4707</v>
      </c>
      <c r="E868" s="408">
        <v>1</v>
      </c>
      <c r="F868" s="409"/>
      <c r="G868" s="410">
        <f t="shared" si="34"/>
        <v>0</v>
      </c>
      <c r="H868" s="412"/>
      <c r="I868" s="407"/>
      <c r="J868" s="412"/>
      <c r="K868" s="407" t="s">
        <v>4525</v>
      </c>
      <c r="L868" s="412" t="s">
        <v>444</v>
      </c>
      <c r="M868" s="407" t="s">
        <v>444</v>
      </c>
      <c r="N868" s="412"/>
      <c r="O868" s="412"/>
      <c r="P868" s="412" t="s">
        <v>444</v>
      </c>
      <c r="Q868" s="413" t="s">
        <v>1514</v>
      </c>
      <c r="R868" s="413" t="s">
        <v>2957</v>
      </c>
      <c r="S868" s="414"/>
      <c r="T868" s="414"/>
      <c r="U868" s="415"/>
      <c r="V868" s="416"/>
      <c r="W868" s="417"/>
      <c r="X868" s="417"/>
      <c r="Y868" s="418" t="s">
        <v>377</v>
      </c>
      <c r="Z868" s="419"/>
      <c r="AA868" s="415"/>
    </row>
    <row r="869" spans="1:27" s="128" customFormat="1" ht="37.5">
      <c r="A869" s="405">
        <v>97</v>
      </c>
      <c r="B869" s="407" t="s">
        <v>4708</v>
      </c>
      <c r="C869" s="406" t="s">
        <v>78</v>
      </c>
      <c r="D869" s="407" t="s">
        <v>4709</v>
      </c>
      <c r="E869" s="408">
        <v>1</v>
      </c>
      <c r="F869" s="409"/>
      <c r="G869" s="410">
        <f t="shared" ref="G869:G874" si="35">E869*F869</f>
        <v>0</v>
      </c>
      <c r="H869" s="412"/>
      <c r="I869" s="407"/>
      <c r="J869" s="412"/>
      <c r="K869" s="407" t="s">
        <v>4525</v>
      </c>
      <c r="L869" s="412" t="s">
        <v>444</v>
      </c>
      <c r="M869" s="407" t="s">
        <v>444</v>
      </c>
      <c r="N869" s="412"/>
      <c r="O869" s="412"/>
      <c r="P869" s="412" t="s">
        <v>444</v>
      </c>
      <c r="Q869" s="413" t="s">
        <v>1514</v>
      </c>
      <c r="R869" s="413" t="s">
        <v>2957</v>
      </c>
      <c r="S869" s="414"/>
      <c r="T869" s="414"/>
      <c r="U869" s="415"/>
      <c r="V869" s="416"/>
      <c r="W869" s="417"/>
      <c r="X869" s="417"/>
      <c r="Y869" s="418" t="s">
        <v>377</v>
      </c>
      <c r="Z869" s="419"/>
      <c r="AA869" s="415"/>
    </row>
    <row r="870" spans="1:27" s="128" customFormat="1" ht="37.5">
      <c r="A870" s="405">
        <v>98</v>
      </c>
      <c r="B870" s="407" t="s">
        <v>4710</v>
      </c>
      <c r="C870" s="406" t="s">
        <v>78</v>
      </c>
      <c r="D870" s="407" t="s">
        <v>4711</v>
      </c>
      <c r="E870" s="408">
        <v>1</v>
      </c>
      <c r="F870" s="409"/>
      <c r="G870" s="410">
        <f t="shared" si="35"/>
        <v>0</v>
      </c>
      <c r="H870" s="412"/>
      <c r="I870" s="407"/>
      <c r="J870" s="412"/>
      <c r="K870" s="407" t="s">
        <v>4525</v>
      </c>
      <c r="L870" s="412" t="s">
        <v>444</v>
      </c>
      <c r="M870" s="407" t="s">
        <v>444</v>
      </c>
      <c r="N870" s="412"/>
      <c r="O870" s="412"/>
      <c r="P870" s="412" t="s">
        <v>444</v>
      </c>
      <c r="Q870" s="413" t="s">
        <v>1514</v>
      </c>
      <c r="R870" s="413" t="s">
        <v>3313</v>
      </c>
      <c r="S870" s="414"/>
      <c r="T870" s="414"/>
      <c r="U870" s="415"/>
      <c r="V870" s="416"/>
      <c r="W870" s="417"/>
      <c r="X870" s="417"/>
      <c r="Y870" s="418" t="s">
        <v>377</v>
      </c>
      <c r="Z870" s="419"/>
      <c r="AA870" s="415"/>
    </row>
    <row r="871" spans="1:27" s="128" customFormat="1" ht="37.5">
      <c r="A871" s="405">
        <v>99</v>
      </c>
      <c r="B871" s="407" t="s">
        <v>4712</v>
      </c>
      <c r="C871" s="406" t="s">
        <v>78</v>
      </c>
      <c r="D871" s="407" t="s">
        <v>4713</v>
      </c>
      <c r="E871" s="408">
        <v>1</v>
      </c>
      <c r="F871" s="409"/>
      <c r="G871" s="410">
        <f t="shared" si="35"/>
        <v>0</v>
      </c>
      <c r="H871" s="412"/>
      <c r="I871" s="407"/>
      <c r="J871" s="412"/>
      <c r="K871" s="407" t="s">
        <v>4525</v>
      </c>
      <c r="L871" s="412" t="s">
        <v>444</v>
      </c>
      <c r="M871" s="407" t="s">
        <v>444</v>
      </c>
      <c r="N871" s="412"/>
      <c r="O871" s="412"/>
      <c r="P871" s="412" t="s">
        <v>444</v>
      </c>
      <c r="Q871" s="413" t="s">
        <v>1514</v>
      </c>
      <c r="R871" s="413" t="s">
        <v>3313</v>
      </c>
      <c r="S871" s="414"/>
      <c r="T871" s="414"/>
      <c r="U871" s="415"/>
      <c r="V871" s="416"/>
      <c r="W871" s="417"/>
      <c r="X871" s="417"/>
      <c r="Y871" s="418" t="s">
        <v>377</v>
      </c>
      <c r="Z871" s="419"/>
      <c r="AA871" s="415"/>
    </row>
    <row r="872" spans="1:27" s="128" customFormat="1" ht="37.5">
      <c r="A872" s="405">
        <v>100</v>
      </c>
      <c r="B872" s="407" t="s">
        <v>4714</v>
      </c>
      <c r="C872" s="406" t="s">
        <v>78</v>
      </c>
      <c r="D872" s="407" t="s">
        <v>4715</v>
      </c>
      <c r="E872" s="408">
        <v>1</v>
      </c>
      <c r="F872" s="409"/>
      <c r="G872" s="410">
        <f t="shared" si="35"/>
        <v>0</v>
      </c>
      <c r="H872" s="412"/>
      <c r="I872" s="407"/>
      <c r="J872" s="412"/>
      <c r="K872" s="407" t="s">
        <v>4525</v>
      </c>
      <c r="L872" s="412" t="s">
        <v>444</v>
      </c>
      <c r="M872" s="407" t="s">
        <v>444</v>
      </c>
      <c r="N872" s="412"/>
      <c r="O872" s="412"/>
      <c r="P872" s="412" t="s">
        <v>444</v>
      </c>
      <c r="Q872" s="413" t="s">
        <v>1514</v>
      </c>
      <c r="R872" s="413" t="s">
        <v>2957</v>
      </c>
      <c r="S872" s="414"/>
      <c r="T872" s="414"/>
      <c r="U872" s="415"/>
      <c r="V872" s="416"/>
      <c r="W872" s="417"/>
      <c r="X872" s="417"/>
      <c r="Y872" s="418" t="s">
        <v>377</v>
      </c>
      <c r="Z872" s="419"/>
      <c r="AA872" s="415"/>
    </row>
    <row r="873" spans="1:27" s="128" customFormat="1" ht="37.5">
      <c r="A873" s="405">
        <v>101</v>
      </c>
      <c r="B873" s="407" t="s">
        <v>4716</v>
      </c>
      <c r="C873" s="406" t="s">
        <v>78</v>
      </c>
      <c r="D873" s="407" t="s">
        <v>4717</v>
      </c>
      <c r="E873" s="408">
        <v>1</v>
      </c>
      <c r="F873" s="409"/>
      <c r="G873" s="410">
        <f t="shared" si="35"/>
        <v>0</v>
      </c>
      <c r="H873" s="412"/>
      <c r="I873" s="407"/>
      <c r="J873" s="412"/>
      <c r="K873" s="407" t="s">
        <v>4525</v>
      </c>
      <c r="L873" s="412" t="s">
        <v>444</v>
      </c>
      <c r="M873" s="407" t="s">
        <v>444</v>
      </c>
      <c r="N873" s="412"/>
      <c r="O873" s="412"/>
      <c r="P873" s="412" t="s">
        <v>444</v>
      </c>
      <c r="Q873" s="413" t="s">
        <v>1514</v>
      </c>
      <c r="R873" s="413" t="s">
        <v>2957</v>
      </c>
      <c r="S873" s="414"/>
      <c r="T873" s="414"/>
      <c r="U873" s="415"/>
      <c r="V873" s="416"/>
      <c r="W873" s="417"/>
      <c r="X873" s="417"/>
      <c r="Y873" s="418" t="s">
        <v>377</v>
      </c>
      <c r="Z873" s="419"/>
      <c r="AA873" s="415"/>
    </row>
    <row r="874" spans="1:27" s="441" customFormat="1">
      <c r="A874" s="427">
        <v>102</v>
      </c>
      <c r="B874" s="428" t="s">
        <v>4718</v>
      </c>
      <c r="C874" s="429" t="s">
        <v>78</v>
      </c>
      <c r="D874" s="428" t="s">
        <v>4719</v>
      </c>
      <c r="E874" s="430">
        <v>1</v>
      </c>
      <c r="F874" s="431"/>
      <c r="G874" s="432">
        <f t="shared" si="35"/>
        <v>0</v>
      </c>
      <c r="H874" s="433"/>
      <c r="I874" s="428"/>
      <c r="J874" s="433"/>
      <c r="K874" s="428"/>
      <c r="L874" s="433"/>
      <c r="M874" s="428"/>
      <c r="N874" s="433"/>
      <c r="O874" s="433"/>
      <c r="P874" s="433"/>
      <c r="Q874" s="434"/>
      <c r="R874" s="434" t="s">
        <v>2957</v>
      </c>
      <c r="S874" s="435"/>
      <c r="T874" s="435"/>
      <c r="U874" s="436"/>
      <c r="V874" s="437"/>
      <c r="W874" s="438"/>
      <c r="X874" s="438"/>
      <c r="Y874" s="439" t="s">
        <v>592</v>
      </c>
      <c r="Z874" s="440"/>
      <c r="AA874" s="436"/>
    </row>
    <row r="875" spans="1:27" s="128" customFormat="1" ht="37.5">
      <c r="A875" s="405">
        <v>103</v>
      </c>
      <c r="B875" s="407" t="s">
        <v>4720</v>
      </c>
      <c r="C875" s="406" t="s">
        <v>78</v>
      </c>
      <c r="D875" s="407" t="s">
        <v>4721</v>
      </c>
      <c r="E875" s="408">
        <v>1</v>
      </c>
      <c r="F875" s="409"/>
      <c r="G875" s="410">
        <f t="shared" ref="G875:G884" si="36">E875*F875</f>
        <v>0</v>
      </c>
      <c r="H875" s="412"/>
      <c r="I875" s="407"/>
      <c r="J875" s="412"/>
      <c r="K875" s="407" t="s">
        <v>4525</v>
      </c>
      <c r="L875" s="412" t="s">
        <v>444</v>
      </c>
      <c r="M875" s="407" t="s">
        <v>444</v>
      </c>
      <c r="N875" s="412"/>
      <c r="O875" s="412"/>
      <c r="P875" s="412" t="s">
        <v>444</v>
      </c>
      <c r="Q875" s="413" t="s">
        <v>1514</v>
      </c>
      <c r="R875" s="413" t="s">
        <v>260</v>
      </c>
      <c r="S875" s="414"/>
      <c r="T875" s="414"/>
      <c r="U875" s="415"/>
      <c r="V875" s="416"/>
      <c r="W875" s="417"/>
      <c r="X875" s="417"/>
      <c r="Y875" s="418" t="s">
        <v>377</v>
      </c>
      <c r="Z875" s="419"/>
      <c r="AA875" s="415"/>
    </row>
    <row r="876" spans="1:27" s="128" customFormat="1" ht="37.5">
      <c r="A876" s="405">
        <v>104</v>
      </c>
      <c r="B876" s="407" t="s">
        <v>4722</v>
      </c>
      <c r="C876" s="406" t="s">
        <v>78</v>
      </c>
      <c r="D876" s="407" t="s">
        <v>4723</v>
      </c>
      <c r="E876" s="408">
        <v>1</v>
      </c>
      <c r="F876" s="409"/>
      <c r="G876" s="410">
        <f t="shared" si="36"/>
        <v>0</v>
      </c>
      <c r="H876" s="412"/>
      <c r="I876" s="407"/>
      <c r="J876" s="412"/>
      <c r="K876" s="407" t="s">
        <v>4525</v>
      </c>
      <c r="L876" s="412" t="s">
        <v>444</v>
      </c>
      <c r="M876" s="407" t="s">
        <v>444</v>
      </c>
      <c r="N876" s="412"/>
      <c r="O876" s="412"/>
      <c r="P876" s="412" t="s">
        <v>444</v>
      </c>
      <c r="Q876" s="413" t="s">
        <v>1514</v>
      </c>
      <c r="R876" s="413" t="s">
        <v>260</v>
      </c>
      <c r="S876" s="414"/>
      <c r="T876" s="414"/>
      <c r="U876" s="415"/>
      <c r="V876" s="416"/>
      <c r="W876" s="417"/>
      <c r="X876" s="417"/>
      <c r="Y876" s="418" t="s">
        <v>377</v>
      </c>
      <c r="Z876" s="419"/>
      <c r="AA876" s="415"/>
    </row>
    <row r="877" spans="1:27" s="128" customFormat="1" ht="37.5">
      <c r="A877" s="405">
        <v>105</v>
      </c>
      <c r="B877" s="407" t="s">
        <v>4724</v>
      </c>
      <c r="C877" s="406" t="s">
        <v>78</v>
      </c>
      <c r="D877" s="407" t="s">
        <v>4725</v>
      </c>
      <c r="E877" s="408">
        <v>1</v>
      </c>
      <c r="F877" s="409"/>
      <c r="G877" s="410">
        <f t="shared" si="36"/>
        <v>0</v>
      </c>
      <c r="H877" s="412"/>
      <c r="I877" s="407"/>
      <c r="J877" s="412"/>
      <c r="K877" s="407" t="s">
        <v>4525</v>
      </c>
      <c r="L877" s="412" t="s">
        <v>444</v>
      </c>
      <c r="M877" s="407" t="s">
        <v>444</v>
      </c>
      <c r="N877" s="412"/>
      <c r="O877" s="412"/>
      <c r="P877" s="412" t="s">
        <v>444</v>
      </c>
      <c r="Q877" s="413" t="s">
        <v>1514</v>
      </c>
      <c r="R877" s="413" t="s">
        <v>260</v>
      </c>
      <c r="S877" s="414"/>
      <c r="T877" s="414"/>
      <c r="U877" s="415"/>
      <c r="V877" s="416"/>
      <c r="W877" s="417"/>
      <c r="X877" s="417"/>
      <c r="Y877" s="418" t="s">
        <v>377</v>
      </c>
      <c r="Z877" s="419"/>
      <c r="AA877" s="415"/>
    </row>
    <row r="878" spans="1:27" s="128" customFormat="1" ht="37.5">
      <c r="A878" s="405">
        <v>106</v>
      </c>
      <c r="B878" s="407" t="s">
        <v>4726</v>
      </c>
      <c r="C878" s="406" t="s">
        <v>78</v>
      </c>
      <c r="D878" s="407" t="s">
        <v>4727</v>
      </c>
      <c r="E878" s="408">
        <v>1</v>
      </c>
      <c r="F878" s="409"/>
      <c r="G878" s="410">
        <f t="shared" si="36"/>
        <v>0</v>
      </c>
      <c r="H878" s="412"/>
      <c r="I878" s="407"/>
      <c r="J878" s="412"/>
      <c r="K878" s="407" t="s">
        <v>4525</v>
      </c>
      <c r="L878" s="412" t="s">
        <v>444</v>
      </c>
      <c r="M878" s="407" t="s">
        <v>444</v>
      </c>
      <c r="N878" s="412"/>
      <c r="O878" s="412"/>
      <c r="P878" s="412" t="s">
        <v>444</v>
      </c>
      <c r="Q878" s="413" t="s">
        <v>1514</v>
      </c>
      <c r="R878" s="413" t="s">
        <v>260</v>
      </c>
      <c r="S878" s="414"/>
      <c r="T878" s="414"/>
      <c r="U878" s="415"/>
      <c r="V878" s="416"/>
      <c r="W878" s="417"/>
      <c r="X878" s="417"/>
      <c r="Y878" s="418" t="s">
        <v>377</v>
      </c>
      <c r="Z878" s="419"/>
      <c r="AA878" s="415"/>
    </row>
    <row r="879" spans="1:27" s="128" customFormat="1" ht="37.5">
      <c r="A879" s="405">
        <v>107</v>
      </c>
      <c r="B879" s="407" t="s">
        <v>4728</v>
      </c>
      <c r="C879" s="406" t="s">
        <v>78</v>
      </c>
      <c r="D879" s="407" t="s">
        <v>4729</v>
      </c>
      <c r="E879" s="408">
        <v>1</v>
      </c>
      <c r="F879" s="409"/>
      <c r="G879" s="410">
        <f t="shared" si="36"/>
        <v>0</v>
      </c>
      <c r="H879" s="412"/>
      <c r="I879" s="407"/>
      <c r="J879" s="412"/>
      <c r="K879" s="407" t="s">
        <v>4525</v>
      </c>
      <c r="L879" s="412" t="s">
        <v>444</v>
      </c>
      <c r="M879" s="407" t="s">
        <v>444</v>
      </c>
      <c r="N879" s="412"/>
      <c r="O879" s="412"/>
      <c r="P879" s="412" t="s">
        <v>444</v>
      </c>
      <c r="Q879" s="413" t="s">
        <v>1514</v>
      </c>
      <c r="R879" s="413" t="s">
        <v>2957</v>
      </c>
      <c r="S879" s="414"/>
      <c r="T879" s="414"/>
      <c r="U879" s="415"/>
      <c r="V879" s="416"/>
      <c r="W879" s="417"/>
      <c r="X879" s="417"/>
      <c r="Y879" s="418" t="s">
        <v>377</v>
      </c>
      <c r="Z879" s="419"/>
      <c r="AA879" s="415"/>
    </row>
    <row r="880" spans="1:27" s="128" customFormat="1" ht="37.5">
      <c r="A880" s="405">
        <v>108</v>
      </c>
      <c r="B880" s="407" t="s">
        <v>4730</v>
      </c>
      <c r="C880" s="406" t="s">
        <v>78</v>
      </c>
      <c r="D880" s="407" t="s">
        <v>4731</v>
      </c>
      <c r="E880" s="408">
        <v>1</v>
      </c>
      <c r="F880" s="409"/>
      <c r="G880" s="410">
        <f t="shared" si="36"/>
        <v>0</v>
      </c>
      <c r="H880" s="412"/>
      <c r="I880" s="407"/>
      <c r="J880" s="412"/>
      <c r="K880" s="407" t="s">
        <v>4525</v>
      </c>
      <c r="L880" s="412" t="s">
        <v>444</v>
      </c>
      <c r="M880" s="407" t="s">
        <v>444</v>
      </c>
      <c r="N880" s="412"/>
      <c r="O880" s="412"/>
      <c r="P880" s="412" t="s">
        <v>444</v>
      </c>
      <c r="Q880" s="413" t="s">
        <v>1514</v>
      </c>
      <c r="R880" s="413" t="s">
        <v>2957</v>
      </c>
      <c r="S880" s="414"/>
      <c r="T880" s="414"/>
      <c r="U880" s="415"/>
      <c r="V880" s="416"/>
      <c r="W880" s="417"/>
      <c r="X880" s="417"/>
      <c r="Y880" s="418" t="s">
        <v>377</v>
      </c>
      <c r="Z880" s="419"/>
      <c r="AA880" s="415"/>
    </row>
    <row r="881" spans="1:27" s="128" customFormat="1" ht="37.5">
      <c r="A881" s="405">
        <v>109</v>
      </c>
      <c r="B881" s="407" t="s">
        <v>4732</v>
      </c>
      <c r="C881" s="406" t="s">
        <v>78</v>
      </c>
      <c r="D881" s="407" t="s">
        <v>4733</v>
      </c>
      <c r="E881" s="408">
        <v>1</v>
      </c>
      <c r="F881" s="409"/>
      <c r="G881" s="410">
        <f t="shared" si="36"/>
        <v>0</v>
      </c>
      <c r="H881" s="412"/>
      <c r="I881" s="407"/>
      <c r="J881" s="412"/>
      <c r="K881" s="407" t="s">
        <v>4525</v>
      </c>
      <c r="L881" s="412" t="s">
        <v>444</v>
      </c>
      <c r="M881" s="407" t="s">
        <v>444</v>
      </c>
      <c r="N881" s="412"/>
      <c r="O881" s="412"/>
      <c r="P881" s="412" t="s">
        <v>444</v>
      </c>
      <c r="Q881" s="413" t="s">
        <v>1514</v>
      </c>
      <c r="R881" s="413" t="s">
        <v>2906</v>
      </c>
      <c r="S881" s="414"/>
      <c r="T881" s="414"/>
      <c r="U881" s="415"/>
      <c r="V881" s="416"/>
      <c r="W881" s="417"/>
      <c r="X881" s="417"/>
      <c r="Y881" s="418" t="s">
        <v>377</v>
      </c>
      <c r="Z881" s="419"/>
      <c r="AA881" s="415"/>
    </row>
    <row r="882" spans="1:27" s="128" customFormat="1" ht="37.5">
      <c r="A882" s="405">
        <v>110</v>
      </c>
      <c r="B882" s="407" t="s">
        <v>4734</v>
      </c>
      <c r="C882" s="406" t="s">
        <v>78</v>
      </c>
      <c r="D882" s="407" t="s">
        <v>4735</v>
      </c>
      <c r="E882" s="408">
        <v>1</v>
      </c>
      <c r="F882" s="409"/>
      <c r="G882" s="410">
        <f t="shared" si="36"/>
        <v>0</v>
      </c>
      <c r="H882" s="412"/>
      <c r="I882" s="407"/>
      <c r="J882" s="412"/>
      <c r="K882" s="407" t="s">
        <v>4525</v>
      </c>
      <c r="L882" s="412" t="s">
        <v>444</v>
      </c>
      <c r="M882" s="407" t="s">
        <v>444</v>
      </c>
      <c r="N882" s="412"/>
      <c r="O882" s="412"/>
      <c r="P882" s="412" t="s">
        <v>444</v>
      </c>
      <c r="Q882" s="413" t="s">
        <v>1514</v>
      </c>
      <c r="R882" s="413" t="s">
        <v>2957</v>
      </c>
      <c r="S882" s="414"/>
      <c r="T882" s="414"/>
      <c r="U882" s="415"/>
      <c r="V882" s="416"/>
      <c r="W882" s="417"/>
      <c r="X882" s="417"/>
      <c r="Y882" s="418" t="s">
        <v>377</v>
      </c>
      <c r="Z882" s="419"/>
      <c r="AA882" s="415"/>
    </row>
    <row r="883" spans="1:27" s="128" customFormat="1" ht="37.5">
      <c r="A883" s="405">
        <v>111</v>
      </c>
      <c r="B883" s="407" t="s">
        <v>4736</v>
      </c>
      <c r="C883" s="406" t="s">
        <v>78</v>
      </c>
      <c r="D883" s="407" t="s">
        <v>4737</v>
      </c>
      <c r="E883" s="408">
        <v>1</v>
      </c>
      <c r="F883" s="409"/>
      <c r="G883" s="410">
        <f t="shared" si="36"/>
        <v>0</v>
      </c>
      <c r="H883" s="412"/>
      <c r="I883" s="407"/>
      <c r="J883" s="412"/>
      <c r="K883" s="407" t="s">
        <v>4525</v>
      </c>
      <c r="L883" s="412" t="s">
        <v>444</v>
      </c>
      <c r="M883" s="407" t="s">
        <v>444</v>
      </c>
      <c r="N883" s="412"/>
      <c r="O883" s="412"/>
      <c r="P883" s="412" t="s">
        <v>444</v>
      </c>
      <c r="Q883" s="413" t="s">
        <v>1514</v>
      </c>
      <c r="R883" s="413" t="s">
        <v>2957</v>
      </c>
      <c r="S883" s="414"/>
      <c r="T883" s="414"/>
      <c r="U883" s="415"/>
      <c r="V883" s="416"/>
      <c r="W883" s="417"/>
      <c r="X883" s="417"/>
      <c r="Y883" s="418" t="s">
        <v>377</v>
      </c>
      <c r="Z883" s="419"/>
      <c r="AA883" s="415"/>
    </row>
    <row r="884" spans="1:27" s="128" customFormat="1" ht="37.5">
      <c r="A884" s="405">
        <v>112</v>
      </c>
      <c r="B884" s="407" t="s">
        <v>4738</v>
      </c>
      <c r="C884" s="406" t="s">
        <v>78</v>
      </c>
      <c r="D884" s="407" t="s">
        <v>4739</v>
      </c>
      <c r="E884" s="408">
        <v>1</v>
      </c>
      <c r="F884" s="409"/>
      <c r="G884" s="410">
        <f t="shared" si="36"/>
        <v>0</v>
      </c>
      <c r="H884" s="412"/>
      <c r="I884" s="407"/>
      <c r="J884" s="412"/>
      <c r="K884" s="407" t="s">
        <v>4525</v>
      </c>
      <c r="L884" s="412" t="s">
        <v>444</v>
      </c>
      <c r="M884" s="407" t="s">
        <v>444</v>
      </c>
      <c r="N884" s="412"/>
      <c r="O884" s="412"/>
      <c r="P884" s="412" t="s">
        <v>444</v>
      </c>
      <c r="Q884" s="413" t="s">
        <v>1514</v>
      </c>
      <c r="R884" s="413" t="s">
        <v>260</v>
      </c>
      <c r="S884" s="414"/>
      <c r="T884" s="414"/>
      <c r="U884" s="415"/>
      <c r="V884" s="416"/>
      <c r="W884" s="417"/>
      <c r="X884" s="417"/>
      <c r="Y884" s="418" t="s">
        <v>377</v>
      </c>
      <c r="Z884" s="419"/>
      <c r="AA884" s="415"/>
    </row>
    <row r="885" spans="1:27" s="441" customFormat="1" ht="37.5">
      <c r="A885" s="427">
        <v>113</v>
      </c>
      <c r="B885" s="428" t="s">
        <v>4740</v>
      </c>
      <c r="C885" s="429" t="s">
        <v>78</v>
      </c>
      <c r="D885" s="428" t="s">
        <v>4741</v>
      </c>
      <c r="E885" s="430">
        <v>1</v>
      </c>
      <c r="F885" s="431"/>
      <c r="G885" s="432">
        <f t="shared" ref="G885:G892" si="37">E885*F885</f>
        <v>0</v>
      </c>
      <c r="H885" s="433"/>
      <c r="I885" s="428"/>
      <c r="J885" s="433"/>
      <c r="K885" s="428" t="s">
        <v>4525</v>
      </c>
      <c r="L885" s="433" t="s">
        <v>444</v>
      </c>
      <c r="M885" s="428" t="s">
        <v>444</v>
      </c>
      <c r="N885" s="433"/>
      <c r="O885" s="433"/>
      <c r="P885" s="433" t="s">
        <v>444</v>
      </c>
      <c r="Q885" s="434" t="s">
        <v>1514</v>
      </c>
      <c r="R885" s="434"/>
      <c r="S885" s="435"/>
      <c r="T885" s="435"/>
      <c r="U885" s="436"/>
      <c r="V885" s="437"/>
      <c r="W885" s="438"/>
      <c r="X885" s="438"/>
      <c r="Y885" s="439" t="s">
        <v>592</v>
      </c>
      <c r="Z885" s="440"/>
      <c r="AA885" s="436"/>
    </row>
    <row r="886" spans="1:27" s="128" customFormat="1" ht="37.5">
      <c r="A886" s="405">
        <v>114</v>
      </c>
      <c r="B886" s="407" t="s">
        <v>4742</v>
      </c>
      <c r="C886" s="406" t="s">
        <v>78</v>
      </c>
      <c r="D886" s="407" t="s">
        <v>4743</v>
      </c>
      <c r="E886" s="408">
        <v>1</v>
      </c>
      <c r="F886" s="409"/>
      <c r="G886" s="410">
        <f t="shared" si="37"/>
        <v>0</v>
      </c>
      <c r="H886" s="412"/>
      <c r="I886" s="407"/>
      <c r="J886" s="412"/>
      <c r="K886" s="407" t="s">
        <v>4525</v>
      </c>
      <c r="L886" s="412" t="s">
        <v>444</v>
      </c>
      <c r="M886" s="407" t="s">
        <v>444</v>
      </c>
      <c r="N886" s="412"/>
      <c r="O886" s="412"/>
      <c r="P886" s="412" t="s">
        <v>444</v>
      </c>
      <c r="Q886" s="413" t="s">
        <v>1514</v>
      </c>
      <c r="R886" s="413" t="s">
        <v>260</v>
      </c>
      <c r="S886" s="414"/>
      <c r="T886" s="414"/>
      <c r="U886" s="415"/>
      <c r="V886" s="416"/>
      <c r="W886" s="417"/>
      <c r="X886" s="417"/>
      <c r="Y886" s="418" t="s">
        <v>377</v>
      </c>
      <c r="Z886" s="419"/>
      <c r="AA886" s="415"/>
    </row>
    <row r="887" spans="1:27" s="128" customFormat="1" ht="37.5">
      <c r="A887" s="405">
        <v>115</v>
      </c>
      <c r="B887" s="407" t="s">
        <v>4744</v>
      </c>
      <c r="C887" s="406" t="s">
        <v>78</v>
      </c>
      <c r="D887" s="407" t="s">
        <v>4745</v>
      </c>
      <c r="E887" s="408">
        <v>1</v>
      </c>
      <c r="F887" s="409"/>
      <c r="G887" s="410">
        <f t="shared" si="37"/>
        <v>0</v>
      </c>
      <c r="H887" s="412"/>
      <c r="I887" s="407"/>
      <c r="J887" s="412"/>
      <c r="K887" s="407" t="s">
        <v>4525</v>
      </c>
      <c r="L887" s="412" t="s">
        <v>444</v>
      </c>
      <c r="M887" s="407" t="s">
        <v>444</v>
      </c>
      <c r="N887" s="412"/>
      <c r="O887" s="412"/>
      <c r="P887" s="412" t="s">
        <v>444</v>
      </c>
      <c r="Q887" s="413" t="s">
        <v>1514</v>
      </c>
      <c r="R887" s="413" t="s">
        <v>2957</v>
      </c>
      <c r="S887" s="414"/>
      <c r="T887" s="414"/>
      <c r="U887" s="415"/>
      <c r="V887" s="416"/>
      <c r="W887" s="417"/>
      <c r="X887" s="417"/>
      <c r="Y887" s="418" t="s">
        <v>377</v>
      </c>
      <c r="Z887" s="419"/>
      <c r="AA887" s="415"/>
    </row>
    <row r="888" spans="1:27" s="128" customFormat="1" ht="37.5">
      <c r="A888" s="405">
        <v>116</v>
      </c>
      <c r="B888" s="407" t="s">
        <v>4746</v>
      </c>
      <c r="C888" s="406" t="s">
        <v>78</v>
      </c>
      <c r="D888" s="407" t="s">
        <v>4747</v>
      </c>
      <c r="E888" s="408">
        <v>4</v>
      </c>
      <c r="F888" s="409"/>
      <c r="G888" s="410">
        <f t="shared" si="37"/>
        <v>0</v>
      </c>
      <c r="H888" s="412"/>
      <c r="I888" s="407"/>
      <c r="J888" s="412"/>
      <c r="K888" s="407" t="s">
        <v>4748</v>
      </c>
      <c r="L888" s="412" t="s">
        <v>444</v>
      </c>
      <c r="M888" s="407" t="s">
        <v>444</v>
      </c>
      <c r="N888" s="412"/>
      <c r="O888" s="412"/>
      <c r="P888" s="412" t="s">
        <v>444</v>
      </c>
      <c r="Q888" s="413" t="s">
        <v>1514</v>
      </c>
      <c r="R888" s="413" t="s">
        <v>2906</v>
      </c>
      <c r="S888" s="414"/>
      <c r="T888" s="414" t="s">
        <v>4748</v>
      </c>
      <c r="U888" s="415"/>
      <c r="V888" s="416"/>
      <c r="W888" s="417"/>
      <c r="X888" s="417"/>
      <c r="Y888" s="418" t="s">
        <v>377</v>
      </c>
      <c r="Z888" s="496"/>
      <c r="AA888" s="415"/>
    </row>
    <row r="889" spans="1:27" s="128" customFormat="1">
      <c r="A889" s="405">
        <v>117</v>
      </c>
      <c r="B889" s="407" t="s">
        <v>4749</v>
      </c>
      <c r="C889" s="406" t="s">
        <v>78</v>
      </c>
      <c r="D889" s="407" t="s">
        <v>4750</v>
      </c>
      <c r="E889" s="408">
        <v>1</v>
      </c>
      <c r="F889" s="409"/>
      <c r="G889" s="410">
        <f t="shared" si="37"/>
        <v>0</v>
      </c>
      <c r="H889" s="412"/>
      <c r="I889" s="407"/>
      <c r="J889" s="412"/>
      <c r="K889" s="407"/>
      <c r="L889" s="412"/>
      <c r="M889" s="407"/>
      <c r="N889" s="412"/>
      <c r="O889" s="412"/>
      <c r="P889" s="412"/>
      <c r="Q889" s="413"/>
      <c r="R889" s="413" t="s">
        <v>2906</v>
      </c>
      <c r="S889" s="414"/>
      <c r="T889" s="414" t="s">
        <v>4770</v>
      </c>
      <c r="U889" s="415"/>
      <c r="V889" s="416"/>
      <c r="W889" s="417"/>
      <c r="X889" s="417"/>
      <c r="Y889" s="418" t="s">
        <v>377</v>
      </c>
      <c r="Z889" s="496"/>
      <c r="AA889" s="415"/>
    </row>
    <row r="890" spans="1:27" s="128" customFormat="1">
      <c r="A890" s="405">
        <v>118</v>
      </c>
      <c r="B890" s="407" t="s">
        <v>4751</v>
      </c>
      <c r="C890" s="406" t="s">
        <v>78</v>
      </c>
      <c r="D890" s="407" t="s">
        <v>4752</v>
      </c>
      <c r="E890" s="408">
        <v>1</v>
      </c>
      <c r="F890" s="409"/>
      <c r="G890" s="410">
        <f t="shared" si="37"/>
        <v>0</v>
      </c>
      <c r="H890" s="412"/>
      <c r="I890" s="407"/>
      <c r="J890" s="412"/>
      <c r="K890" s="407"/>
      <c r="L890" s="412"/>
      <c r="M890" s="407"/>
      <c r="N890" s="412"/>
      <c r="O890" s="412"/>
      <c r="P890" s="412"/>
      <c r="Q890" s="413"/>
      <c r="R890" s="413" t="s">
        <v>2963</v>
      </c>
      <c r="S890" s="414"/>
      <c r="T890" s="414" t="s">
        <v>4770</v>
      </c>
      <c r="U890" s="415"/>
      <c r="V890" s="416"/>
      <c r="W890" s="417"/>
      <c r="X890" s="417"/>
      <c r="Y890" s="418" t="s">
        <v>377</v>
      </c>
      <c r="Z890" s="496"/>
      <c r="AA890" s="415"/>
    </row>
    <row r="891" spans="1:27" s="128" customFormat="1">
      <c r="A891" s="405">
        <v>119</v>
      </c>
      <c r="B891" s="407" t="s">
        <v>4753</v>
      </c>
      <c r="C891" s="406" t="s">
        <v>78</v>
      </c>
      <c r="D891" s="407" t="s">
        <v>4754</v>
      </c>
      <c r="E891" s="408">
        <v>1</v>
      </c>
      <c r="F891" s="409"/>
      <c r="G891" s="410">
        <f t="shared" si="37"/>
        <v>0</v>
      </c>
      <c r="H891" s="412"/>
      <c r="I891" s="407"/>
      <c r="J891" s="412"/>
      <c r="K891" s="407"/>
      <c r="L891" s="412"/>
      <c r="M891" s="407"/>
      <c r="N891" s="412"/>
      <c r="O891" s="412"/>
      <c r="P891" s="412"/>
      <c r="Q891" s="413"/>
      <c r="R891" s="413" t="s">
        <v>2963</v>
      </c>
      <c r="S891" s="414"/>
      <c r="T891" s="414" t="s">
        <v>4770</v>
      </c>
      <c r="U891" s="415"/>
      <c r="V891" s="416"/>
      <c r="W891" s="417"/>
      <c r="X891" s="417"/>
      <c r="Y891" s="418" t="s">
        <v>377</v>
      </c>
      <c r="Z891" s="496"/>
      <c r="AA891" s="415"/>
    </row>
    <row r="892" spans="1:27" s="128" customFormat="1">
      <c r="A892" s="405">
        <v>120</v>
      </c>
      <c r="B892" s="407" t="s">
        <v>4755</v>
      </c>
      <c r="C892" s="406" t="s">
        <v>78</v>
      </c>
      <c r="D892" s="407" t="s">
        <v>4756</v>
      </c>
      <c r="E892" s="408">
        <v>1</v>
      </c>
      <c r="F892" s="409"/>
      <c r="G892" s="410">
        <f t="shared" si="37"/>
        <v>0</v>
      </c>
      <c r="H892" s="412"/>
      <c r="I892" s="407"/>
      <c r="J892" s="412"/>
      <c r="K892" s="407"/>
      <c r="L892" s="412"/>
      <c r="M892" s="407"/>
      <c r="N892" s="412"/>
      <c r="O892" s="412"/>
      <c r="P892" s="412"/>
      <c r="Q892" s="413"/>
      <c r="R892" s="413" t="s">
        <v>2963</v>
      </c>
      <c r="S892" s="414"/>
      <c r="T892" s="414" t="s">
        <v>4770</v>
      </c>
      <c r="U892" s="415"/>
      <c r="V892" s="416"/>
      <c r="W892" s="417"/>
      <c r="X892" s="417"/>
      <c r="Y892" s="418" t="s">
        <v>377</v>
      </c>
      <c r="Z892" s="496"/>
      <c r="AA892" s="415"/>
    </row>
    <row r="893" spans="1:27">
      <c r="A893" s="389"/>
      <c r="B893" s="390" t="s">
        <v>2010</v>
      </c>
      <c r="C893" s="391"/>
      <c r="D893" s="392"/>
      <c r="E893" s="393"/>
      <c r="F893" s="394"/>
      <c r="G893" s="395">
        <f t="shared" si="21"/>
        <v>0</v>
      </c>
      <c r="H893" s="420"/>
      <c r="I893" s="392"/>
      <c r="J893" s="420"/>
      <c r="K893" s="392"/>
      <c r="L893" s="397"/>
      <c r="M893" s="392"/>
      <c r="N893" s="397"/>
      <c r="O893" s="397"/>
      <c r="P893" s="397"/>
      <c r="Q893" s="398"/>
      <c r="R893" s="398"/>
      <c r="S893" s="399"/>
      <c r="T893" s="399"/>
      <c r="U893" s="400"/>
      <c r="V893" s="401"/>
      <c r="W893" s="402"/>
      <c r="X893" s="402"/>
      <c r="Y893" s="403"/>
      <c r="Z893" s="404"/>
      <c r="AA893" s="493"/>
    </row>
    <row r="894" spans="1:27">
      <c r="A894" s="389"/>
      <c r="B894" s="390" t="s">
        <v>2162</v>
      </c>
      <c r="C894" s="391"/>
      <c r="D894" s="392"/>
      <c r="E894" s="393"/>
      <c r="F894" s="394"/>
      <c r="G894" s="395">
        <f t="shared" si="21"/>
        <v>0</v>
      </c>
      <c r="H894" s="420"/>
      <c r="I894" s="392"/>
      <c r="J894" s="420"/>
      <c r="K894" s="392"/>
      <c r="L894" s="397"/>
      <c r="M894" s="392"/>
      <c r="N894" s="397"/>
      <c r="O894" s="397"/>
      <c r="P894" s="397"/>
      <c r="Q894" s="398"/>
      <c r="R894" s="398"/>
      <c r="S894" s="399"/>
      <c r="T894" s="399"/>
      <c r="U894" s="400"/>
      <c r="V894" s="401"/>
      <c r="W894" s="402"/>
      <c r="X894" s="402"/>
      <c r="Y894" s="403"/>
      <c r="Z894" s="404"/>
      <c r="AA894" s="493"/>
    </row>
    <row r="895" spans="1:27" s="128" customFormat="1" ht="37.5">
      <c r="A895" s="443">
        <v>1</v>
      </c>
      <c r="B895" s="444" t="s">
        <v>4757</v>
      </c>
      <c r="C895" s="445" t="s">
        <v>82</v>
      </c>
      <c r="D895" s="444" t="s">
        <v>4758</v>
      </c>
      <c r="E895" s="446">
        <v>1</v>
      </c>
      <c r="F895" s="447"/>
      <c r="G895" s="448">
        <f t="shared" ref="G895:G898" si="38">E895*F895</f>
        <v>0</v>
      </c>
      <c r="H895" s="450"/>
      <c r="I895" s="444"/>
      <c r="J895" s="450"/>
      <c r="K895" s="444" t="s">
        <v>4759</v>
      </c>
      <c r="L895" s="450" t="s">
        <v>477</v>
      </c>
      <c r="M895" s="444" t="s">
        <v>4760</v>
      </c>
      <c r="N895" s="450"/>
      <c r="O895" s="450"/>
      <c r="P895" s="450" t="s">
        <v>923</v>
      </c>
      <c r="Q895" s="451" t="s">
        <v>374</v>
      </c>
      <c r="R895" s="451" t="s">
        <v>3313</v>
      </c>
      <c r="S895" s="452">
        <v>45569</v>
      </c>
      <c r="T895" s="452"/>
      <c r="U895" s="453"/>
      <c r="V895" s="454"/>
      <c r="W895" s="455" t="s">
        <v>406</v>
      </c>
      <c r="X895" s="455">
        <v>45561</v>
      </c>
      <c r="Y895" s="456" t="s">
        <v>377</v>
      </c>
      <c r="Z895" s="457"/>
      <c r="AA895" s="453"/>
    </row>
    <row r="896" spans="1:27" s="128" customFormat="1" ht="37.5">
      <c r="A896" s="443">
        <v>2</v>
      </c>
      <c r="B896" s="444" t="s">
        <v>4761</v>
      </c>
      <c r="C896" s="445" t="s">
        <v>82</v>
      </c>
      <c r="D896" s="444" t="s">
        <v>4762</v>
      </c>
      <c r="E896" s="446">
        <v>1</v>
      </c>
      <c r="F896" s="447"/>
      <c r="G896" s="448">
        <f t="shared" si="38"/>
        <v>0</v>
      </c>
      <c r="H896" s="450"/>
      <c r="I896" s="444"/>
      <c r="J896" s="450"/>
      <c r="K896" s="444" t="s">
        <v>4759</v>
      </c>
      <c r="L896" s="450" t="s">
        <v>477</v>
      </c>
      <c r="M896" s="444" t="s">
        <v>4763</v>
      </c>
      <c r="N896" s="450"/>
      <c r="O896" s="450"/>
      <c r="P896" s="450" t="s">
        <v>923</v>
      </c>
      <c r="Q896" s="451" t="s">
        <v>374</v>
      </c>
      <c r="R896" s="451" t="s">
        <v>2967</v>
      </c>
      <c r="S896" s="452">
        <v>45569</v>
      </c>
      <c r="T896" s="452"/>
      <c r="U896" s="453"/>
      <c r="V896" s="454"/>
      <c r="W896" s="455" t="s">
        <v>406</v>
      </c>
      <c r="X896" s="455">
        <v>45566</v>
      </c>
      <c r="Y896" s="456" t="s">
        <v>377</v>
      </c>
      <c r="Z896" s="457"/>
      <c r="AA896" s="453"/>
    </row>
    <row r="897" spans="1:27" s="128" customFormat="1" ht="37.5">
      <c r="A897" s="443">
        <v>3</v>
      </c>
      <c r="B897" s="444" t="s">
        <v>4764</v>
      </c>
      <c r="C897" s="445" t="s">
        <v>82</v>
      </c>
      <c r="D897" s="444" t="s">
        <v>4765</v>
      </c>
      <c r="E897" s="446">
        <v>1</v>
      </c>
      <c r="F897" s="447"/>
      <c r="G897" s="448">
        <f t="shared" si="38"/>
        <v>0</v>
      </c>
      <c r="H897" s="450"/>
      <c r="I897" s="444"/>
      <c r="J897" s="450"/>
      <c r="K897" s="444" t="s">
        <v>4759</v>
      </c>
      <c r="L897" s="450" t="s">
        <v>477</v>
      </c>
      <c r="M897" s="444" t="s">
        <v>4760</v>
      </c>
      <c r="N897" s="450"/>
      <c r="O897" s="450"/>
      <c r="P897" s="450" t="s">
        <v>923</v>
      </c>
      <c r="Q897" s="451" t="s">
        <v>374</v>
      </c>
      <c r="R897" s="451" t="s">
        <v>3313</v>
      </c>
      <c r="S897" s="452">
        <v>45569</v>
      </c>
      <c r="T897" s="452"/>
      <c r="U897" s="453"/>
      <c r="V897" s="454"/>
      <c r="W897" s="455" t="s">
        <v>406</v>
      </c>
      <c r="X897" s="455">
        <v>45561</v>
      </c>
      <c r="Y897" s="456" t="s">
        <v>377</v>
      </c>
      <c r="Z897" s="457"/>
      <c r="AA897" s="453"/>
    </row>
    <row r="898" spans="1:27" s="128" customFormat="1" ht="37.5">
      <c r="A898" s="443">
        <v>4</v>
      </c>
      <c r="B898" s="444" t="s">
        <v>4766</v>
      </c>
      <c r="C898" s="445" t="s">
        <v>82</v>
      </c>
      <c r="D898" s="444" t="s">
        <v>4767</v>
      </c>
      <c r="E898" s="446">
        <v>1</v>
      </c>
      <c r="F898" s="447"/>
      <c r="G898" s="448">
        <f t="shared" si="38"/>
        <v>0</v>
      </c>
      <c r="H898" s="450"/>
      <c r="I898" s="444"/>
      <c r="J898" s="450"/>
      <c r="K898" s="444" t="s">
        <v>4759</v>
      </c>
      <c r="L898" s="450" t="s">
        <v>477</v>
      </c>
      <c r="M898" s="444" t="s">
        <v>4768</v>
      </c>
      <c r="N898" s="450"/>
      <c r="O898" s="450"/>
      <c r="P898" s="450" t="s">
        <v>923</v>
      </c>
      <c r="Q898" s="451" t="s">
        <v>374</v>
      </c>
      <c r="R898" s="451" t="s">
        <v>2906</v>
      </c>
      <c r="S898" s="452">
        <v>45569</v>
      </c>
      <c r="T898" s="452"/>
      <c r="U898" s="453"/>
      <c r="V898" s="454"/>
      <c r="W898" s="455" t="s">
        <v>406</v>
      </c>
      <c r="X898" s="455">
        <v>45573</v>
      </c>
      <c r="Y898" s="456" t="s">
        <v>377</v>
      </c>
      <c r="Z898" s="457"/>
      <c r="AA898" s="453"/>
    </row>
    <row r="899" spans="1:27">
      <c r="A899" s="389"/>
      <c r="B899" s="390" t="s">
        <v>2173</v>
      </c>
      <c r="C899" s="391"/>
      <c r="D899" s="392"/>
      <c r="E899" s="393"/>
      <c r="F899" s="394"/>
      <c r="G899" s="395">
        <f t="shared" si="21"/>
        <v>0</v>
      </c>
      <c r="H899" s="420"/>
      <c r="I899" s="392"/>
      <c r="J899" s="420"/>
      <c r="K899" s="392"/>
      <c r="L899" s="397"/>
      <c r="M899" s="392"/>
      <c r="N899" s="397"/>
      <c r="O899" s="397"/>
      <c r="P899" s="397"/>
      <c r="Q899" s="398"/>
      <c r="R899" s="398"/>
      <c r="S899" s="399"/>
      <c r="T899" s="399"/>
      <c r="U899" s="400"/>
      <c r="V899" s="401"/>
      <c r="W899" s="402"/>
      <c r="X899" s="402"/>
      <c r="Y899" s="403"/>
      <c r="Z899" s="404"/>
      <c r="AA899" s="493"/>
    </row>
    <row r="900" spans="1:27">
      <c r="A900" s="389"/>
      <c r="B900" s="390" t="s">
        <v>2310</v>
      </c>
      <c r="C900" s="391"/>
      <c r="D900" s="392"/>
      <c r="E900" s="393"/>
      <c r="F900" s="394"/>
      <c r="G900" s="395">
        <f t="shared" si="21"/>
        <v>0</v>
      </c>
      <c r="H900" s="420"/>
      <c r="I900" s="392"/>
      <c r="J900" s="420"/>
      <c r="K900" s="392"/>
      <c r="L900" s="397"/>
      <c r="M900" s="392"/>
      <c r="N900" s="397"/>
      <c r="O900" s="397"/>
      <c r="P900" s="397"/>
      <c r="Q900" s="398"/>
      <c r="R900" s="398"/>
      <c r="S900" s="399"/>
      <c r="T900" s="399"/>
      <c r="U900" s="400"/>
      <c r="V900" s="401"/>
      <c r="W900" s="402"/>
      <c r="X900" s="402"/>
      <c r="Y900" s="403"/>
      <c r="Z900" s="404"/>
      <c r="AA900" s="493"/>
    </row>
    <row r="901" spans="1:27">
      <c r="A901" s="389"/>
      <c r="B901" s="390" t="s">
        <v>2399</v>
      </c>
      <c r="C901" s="391"/>
      <c r="D901" s="392"/>
      <c r="E901" s="393"/>
      <c r="F901" s="394"/>
      <c r="G901" s="395">
        <f t="shared" si="21"/>
        <v>0</v>
      </c>
      <c r="H901" s="420"/>
      <c r="I901" s="392"/>
      <c r="J901" s="420"/>
      <c r="K901" s="392"/>
      <c r="L901" s="397"/>
      <c r="M901" s="392"/>
      <c r="N901" s="397"/>
      <c r="O901" s="397"/>
      <c r="P901" s="397"/>
      <c r="Q901" s="398"/>
      <c r="R901" s="398"/>
      <c r="S901" s="399"/>
      <c r="T901" s="399"/>
      <c r="U901" s="400"/>
      <c r="V901" s="401"/>
      <c r="W901" s="402"/>
      <c r="X901" s="402"/>
      <c r="Y901" s="403"/>
      <c r="Z901" s="404"/>
      <c r="AA901" s="493"/>
    </row>
    <row r="902" spans="1:27">
      <c r="A902" s="389"/>
      <c r="B902" s="390" t="s">
        <v>2406</v>
      </c>
      <c r="C902" s="391"/>
      <c r="D902" s="392"/>
      <c r="E902" s="393"/>
      <c r="F902" s="394"/>
      <c r="G902" s="395">
        <f t="shared" si="21"/>
        <v>0</v>
      </c>
      <c r="H902" s="420"/>
      <c r="I902" s="392"/>
      <c r="J902" s="420"/>
      <c r="K902" s="392"/>
      <c r="L902" s="397"/>
      <c r="M902" s="392"/>
      <c r="N902" s="397"/>
      <c r="O902" s="397"/>
      <c r="P902" s="397"/>
      <c r="Q902" s="398"/>
      <c r="R902" s="398"/>
      <c r="S902" s="399"/>
      <c r="T902" s="399"/>
      <c r="U902" s="400"/>
      <c r="V902" s="401"/>
      <c r="W902" s="402"/>
      <c r="X902" s="402"/>
      <c r="Y902" s="403"/>
      <c r="Z902" s="404"/>
      <c r="AA902" s="493"/>
    </row>
    <row r="903" spans="1:27">
      <c r="A903" s="389"/>
      <c r="B903" s="390" t="s">
        <v>2422</v>
      </c>
      <c r="C903" s="391"/>
      <c r="D903" s="392"/>
      <c r="E903" s="393"/>
      <c r="F903" s="394"/>
      <c r="G903" s="395">
        <f t="shared" si="21"/>
        <v>0</v>
      </c>
      <c r="H903" s="420"/>
      <c r="I903" s="392"/>
      <c r="J903" s="420"/>
      <c r="K903" s="392"/>
      <c r="L903" s="397"/>
      <c r="M903" s="392"/>
      <c r="N903" s="397"/>
      <c r="O903" s="397"/>
      <c r="P903" s="397"/>
      <c r="Q903" s="398"/>
      <c r="R903" s="398"/>
      <c r="S903" s="399"/>
      <c r="T903" s="399"/>
      <c r="U903" s="400"/>
      <c r="V903" s="401"/>
      <c r="W903" s="402"/>
      <c r="X903" s="402"/>
      <c r="Y903" s="403"/>
      <c r="Z903" s="404"/>
      <c r="AA903" s="493"/>
    </row>
    <row r="911" spans="1:27">
      <c r="X911" s="99"/>
    </row>
  </sheetData>
  <sheetProtection password="83EF" sheet="1" objects="1" scenarios="1" formatColumns="0" autoFilter="0"/>
  <mergeCells count="2">
    <mergeCell ref="A1:B1"/>
    <mergeCell ref="A2:B2"/>
  </mergeCells>
  <pageMargins left="0.23622047244094491" right="0.23622047244094491" top="0.74803149606299213" bottom="0.74803149606299213" header="0.31496062992125984" footer="0.31496062992125984"/>
  <pageSetup paperSize="9" scale="1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FabParts_Button1_Click">
                <anchor>
                  <from>
                    <xdr:col>1</xdr:col>
                    <xdr:colOff>838200</xdr:colOff>
                    <xdr:row>1</xdr:row>
                    <xdr:rowOff>19050</xdr:rowOff>
                  </from>
                  <to>
                    <xdr:col>1</xdr:col>
                    <xdr:colOff>2266950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A1183"/>
  <sheetViews>
    <sheetView tabSelected="1" zoomScale="90" zoomScaleNormal="90" workbookViewId="0">
      <selection activeCell="X1176" sqref="X1176"/>
    </sheetView>
  </sheetViews>
  <sheetFormatPr defaultColWidth="9" defaultRowHeight="18.75"/>
  <cols>
    <col min="1" max="1" width="8.7109375" style="79" customWidth="1"/>
    <col min="2" max="2" width="151.140625" style="14" bestFit="1" customWidth="1"/>
    <col min="3" max="3" width="16.7109375" style="14" bestFit="1" customWidth="1"/>
    <col min="4" max="4" width="25.7109375" style="14" customWidth="1"/>
    <col min="5" max="5" width="11.140625" style="14" bestFit="1" customWidth="1"/>
    <col min="6" max="6" width="20.7109375" style="65" hidden="1" customWidth="1"/>
    <col min="7" max="7" width="29.7109375" style="48" hidden="1" customWidth="1"/>
    <col min="8" max="8" width="35.7109375" style="41" hidden="1" customWidth="1"/>
    <col min="9" max="9" width="15" style="14" hidden="1" customWidth="1"/>
    <col min="10" max="10" width="41.7109375" style="41" hidden="1" customWidth="1"/>
    <col min="11" max="11" width="14.7109375" style="14" hidden="1" customWidth="1"/>
    <col min="12" max="12" width="41.28515625" style="41" hidden="1" customWidth="1"/>
    <col min="13" max="13" width="11.5703125" style="14" hidden="1" customWidth="1"/>
    <col min="14" max="14" width="40" style="41" hidden="1" customWidth="1"/>
    <col min="15" max="15" width="46.28515625" style="41" hidden="1" customWidth="1"/>
    <col min="16" max="16" width="21.28515625" style="41" hidden="1" customWidth="1"/>
    <col min="17" max="17" width="18.85546875" style="14" bestFit="1" customWidth="1"/>
    <col min="18" max="18" width="57.85546875" style="66" bestFit="1" customWidth="1"/>
    <col min="19" max="19" width="15.28515625" style="99" bestFit="1" customWidth="1"/>
    <col min="20" max="20" width="49" style="99" bestFit="1" customWidth="1"/>
    <col min="21" max="21" width="30.28515625" style="90" hidden="1" customWidth="1"/>
    <col min="22" max="22" width="0.28515625" style="91" hidden="1" customWidth="1"/>
    <col min="23" max="23" width="17.42578125" style="90" bestFit="1" customWidth="1"/>
    <col min="24" max="24" width="20.42578125" style="100" bestFit="1" customWidth="1"/>
    <col min="25" max="25" width="18.140625" style="90" bestFit="1" customWidth="1"/>
    <col min="26" max="26" width="43.5703125" style="90" customWidth="1"/>
    <col min="27" max="27" width="9" style="90" customWidth="1"/>
    <col min="28" max="46" width="9" style="14" customWidth="1"/>
    <col min="47" max="16384" width="9" style="14"/>
  </cols>
  <sheetData>
    <row r="1" spans="1:27" ht="19.5" customHeight="1">
      <c r="A1" s="552" t="s">
        <v>0</v>
      </c>
      <c r="B1" s="552"/>
      <c r="C1" s="35"/>
      <c r="D1" s="36" t="s">
        <v>333</v>
      </c>
      <c r="E1" s="37"/>
      <c r="F1" s="38"/>
      <c r="G1" s="39"/>
      <c r="H1" s="40"/>
      <c r="K1" s="42"/>
      <c r="L1" s="40"/>
      <c r="M1" s="42"/>
      <c r="N1" s="40"/>
      <c r="O1" s="40"/>
      <c r="P1" s="40"/>
      <c r="Q1" s="43"/>
      <c r="R1" s="43"/>
      <c r="S1" s="89"/>
      <c r="T1" s="89"/>
      <c r="Z1" s="93"/>
    </row>
    <row r="2" spans="1:27" ht="19.5" customHeight="1">
      <c r="A2" s="552" t="s">
        <v>1</v>
      </c>
      <c r="B2" s="552"/>
      <c r="C2" s="44"/>
      <c r="D2" s="36" t="s">
        <v>334</v>
      </c>
      <c r="E2" s="37"/>
      <c r="F2" s="38"/>
      <c r="G2" s="39"/>
      <c r="H2" s="40"/>
      <c r="K2" s="42"/>
      <c r="L2" s="40"/>
      <c r="M2" s="42"/>
      <c r="N2" s="40"/>
      <c r="O2" s="40"/>
      <c r="P2" s="40"/>
      <c r="Q2" s="43"/>
      <c r="R2" s="43"/>
      <c r="S2" s="89"/>
      <c r="T2" s="89"/>
      <c r="Z2" s="93"/>
    </row>
    <row r="3" spans="1:27">
      <c r="A3" s="67"/>
      <c r="B3" s="46"/>
      <c r="C3" s="47"/>
      <c r="D3" s="36" t="s">
        <v>335</v>
      </c>
      <c r="E3" s="37"/>
      <c r="F3" s="38"/>
      <c r="H3" s="40"/>
      <c r="K3" s="42"/>
      <c r="L3" s="40"/>
      <c r="M3" s="42"/>
      <c r="N3" s="40"/>
      <c r="O3" s="40"/>
      <c r="P3" s="40"/>
      <c r="Q3" s="43"/>
      <c r="R3" s="43"/>
      <c r="S3" s="89"/>
      <c r="T3" s="89"/>
      <c r="Z3" s="93"/>
    </row>
    <row r="4" spans="1:27" ht="19.5" customHeight="1">
      <c r="A4" s="553" t="s">
        <v>336</v>
      </c>
      <c r="B4" s="553"/>
      <c r="C4" s="50"/>
      <c r="D4" s="46" t="s">
        <v>337</v>
      </c>
      <c r="E4" s="37"/>
      <c r="F4" s="38"/>
      <c r="G4" s="39"/>
      <c r="H4" s="40"/>
      <c r="K4" s="42"/>
      <c r="L4" s="40"/>
      <c r="M4" s="42"/>
      <c r="N4" s="40"/>
      <c r="O4" s="40"/>
      <c r="P4" s="40"/>
      <c r="Q4" s="43"/>
      <c r="R4" s="43"/>
      <c r="S4" s="89"/>
      <c r="T4" s="89"/>
      <c r="Z4" s="93"/>
    </row>
    <row r="5" spans="1:27">
      <c r="A5" s="68"/>
      <c r="B5" s="37"/>
      <c r="C5" s="69"/>
      <c r="D5" s="46" t="s">
        <v>338</v>
      </c>
      <c r="E5" s="37"/>
      <c r="F5" s="38"/>
      <c r="G5" s="39"/>
      <c r="H5" s="40"/>
      <c r="K5" s="42"/>
      <c r="L5" s="40"/>
      <c r="M5" s="42"/>
      <c r="N5" s="40"/>
      <c r="O5" s="40"/>
      <c r="P5" s="40"/>
      <c r="Q5" s="43"/>
      <c r="R5" s="43"/>
      <c r="S5" s="89"/>
      <c r="T5" s="89"/>
      <c r="Z5" s="93"/>
    </row>
    <row r="6" spans="1:27">
      <c r="A6" s="68"/>
      <c r="B6" s="37"/>
      <c r="C6" s="53"/>
      <c r="D6" s="46" t="s">
        <v>339</v>
      </c>
      <c r="E6" s="37"/>
      <c r="F6" s="38" t="s">
        <v>340</v>
      </c>
      <c r="G6" s="39"/>
      <c r="H6" s="40"/>
      <c r="I6" s="42"/>
      <c r="J6" s="40"/>
      <c r="K6" s="42"/>
      <c r="L6" s="40"/>
      <c r="M6" s="42"/>
      <c r="N6" s="40"/>
      <c r="O6" s="40"/>
      <c r="P6" s="40"/>
      <c r="Q6" s="43"/>
      <c r="R6" s="43"/>
      <c r="S6" s="89"/>
      <c r="T6" s="89"/>
      <c r="Z6" s="93"/>
    </row>
    <row r="7" spans="1:27">
      <c r="A7" s="68"/>
      <c r="B7" s="37"/>
      <c r="C7" s="54"/>
      <c r="D7" s="46" t="s">
        <v>341</v>
      </c>
      <c r="E7" s="37"/>
      <c r="F7" s="38"/>
      <c r="G7" s="39"/>
      <c r="H7" s="40"/>
      <c r="I7" s="42"/>
      <c r="J7" s="40"/>
      <c r="K7" s="42"/>
      <c r="L7" s="40"/>
      <c r="M7" s="42"/>
      <c r="N7" s="40"/>
      <c r="O7" s="40"/>
      <c r="P7" s="40"/>
      <c r="Q7" s="43"/>
      <c r="R7" s="43"/>
      <c r="S7" s="89"/>
      <c r="T7" s="89"/>
      <c r="Z7" s="93"/>
    </row>
    <row r="8" spans="1:27">
      <c r="A8" s="70"/>
      <c r="B8" s="37"/>
      <c r="C8" s="37"/>
      <c r="D8" s="37"/>
      <c r="E8" s="37"/>
      <c r="F8" s="38"/>
      <c r="G8" s="39"/>
      <c r="H8" s="40"/>
      <c r="I8" s="42"/>
      <c r="J8" s="40"/>
      <c r="K8" s="42"/>
      <c r="L8" s="40"/>
      <c r="M8" s="42"/>
      <c r="N8" s="40"/>
      <c r="O8" s="40"/>
      <c r="P8" s="40"/>
      <c r="Q8" s="43"/>
      <c r="R8" s="43"/>
      <c r="S8" s="89"/>
      <c r="T8" s="89"/>
      <c r="Z8" s="93"/>
    </row>
    <row r="9" spans="1:27" ht="47.25" customHeight="1">
      <c r="A9" s="71" t="s">
        <v>217</v>
      </c>
      <c r="B9" s="56" t="s">
        <v>342</v>
      </c>
      <c r="C9" s="56" t="s">
        <v>343</v>
      </c>
      <c r="D9" s="56" t="s">
        <v>344</v>
      </c>
      <c r="E9" s="56" t="s">
        <v>345</v>
      </c>
      <c r="F9" s="57" t="s">
        <v>346</v>
      </c>
      <c r="G9" s="58" t="s">
        <v>347</v>
      </c>
      <c r="H9" s="59" t="s">
        <v>348</v>
      </c>
      <c r="I9" s="60" t="s">
        <v>349</v>
      </c>
      <c r="J9" s="59" t="s">
        <v>350</v>
      </c>
      <c r="K9" s="60" t="s">
        <v>351</v>
      </c>
      <c r="L9" s="59" t="s">
        <v>352</v>
      </c>
      <c r="M9" s="60" t="s">
        <v>353</v>
      </c>
      <c r="N9" s="59" t="s">
        <v>354</v>
      </c>
      <c r="O9" s="59" t="s">
        <v>355</v>
      </c>
      <c r="P9" s="59" t="s">
        <v>356</v>
      </c>
      <c r="Q9" s="61" t="s">
        <v>357</v>
      </c>
      <c r="R9" s="61" t="s">
        <v>358</v>
      </c>
      <c r="S9" s="95" t="s">
        <v>329</v>
      </c>
      <c r="T9" s="104" t="s">
        <v>359</v>
      </c>
      <c r="U9" s="105" t="s">
        <v>360</v>
      </c>
      <c r="V9" s="106" t="s">
        <v>361</v>
      </c>
      <c r="W9" s="105" t="s">
        <v>362</v>
      </c>
      <c r="X9" s="110" t="s">
        <v>363</v>
      </c>
      <c r="Y9" s="108" t="s">
        <v>364</v>
      </c>
      <c r="Z9" s="109" t="s">
        <v>365</v>
      </c>
      <c r="AA9" s="491" t="s">
        <v>331</v>
      </c>
    </row>
    <row r="10" spans="1:27" s="128" customFormat="1" ht="18" customHeight="1">
      <c r="A10" s="112"/>
      <c r="B10" s="113" t="s">
        <v>366</v>
      </c>
      <c r="C10" s="114"/>
      <c r="D10" s="115"/>
      <c r="E10" s="116"/>
      <c r="F10" s="117"/>
      <c r="G10" s="118">
        <f>E10*F10</f>
        <v>0</v>
      </c>
      <c r="H10" s="111"/>
      <c r="I10" s="115"/>
      <c r="J10" s="111"/>
      <c r="K10" s="115"/>
      <c r="L10" s="119"/>
      <c r="M10" s="115"/>
      <c r="N10" s="119"/>
      <c r="O10" s="119"/>
      <c r="P10" s="119"/>
      <c r="Q10" s="120"/>
      <c r="R10" s="120"/>
      <c r="S10" s="121"/>
      <c r="T10" s="121"/>
      <c r="U10" s="122"/>
      <c r="V10" s="123"/>
      <c r="W10" s="124"/>
      <c r="X10" s="124"/>
      <c r="Y10" s="125"/>
      <c r="Z10" s="126"/>
      <c r="AA10" s="492"/>
    </row>
    <row r="11" spans="1:27" ht="18" customHeight="1">
      <c r="A11" s="389"/>
      <c r="B11" s="390" t="s">
        <v>367</v>
      </c>
      <c r="C11" s="391"/>
      <c r="D11" s="392"/>
      <c r="E11" s="393"/>
      <c r="F11" s="394"/>
      <c r="G11" s="395">
        <f>E11*F11</f>
        <v>0</v>
      </c>
      <c r="H11" s="396"/>
      <c r="I11" s="392"/>
      <c r="J11" s="396"/>
      <c r="K11" s="392"/>
      <c r="L11" s="397"/>
      <c r="M11" s="392"/>
      <c r="N11" s="397"/>
      <c r="O11" s="397"/>
      <c r="P11" s="397"/>
      <c r="Q11" s="398"/>
      <c r="R11" s="398"/>
      <c r="S11" s="399"/>
      <c r="T11" s="399"/>
      <c r="U11" s="400"/>
      <c r="V11" s="401"/>
      <c r="W11" s="402"/>
      <c r="X11" s="402"/>
      <c r="Y11" s="403"/>
      <c r="Z11" s="404"/>
      <c r="AA11" s="492"/>
    </row>
    <row r="12" spans="1:27" s="128" customFormat="1" ht="36" customHeight="1">
      <c r="A12" s="443">
        <v>1</v>
      </c>
      <c r="B12" s="444" t="s">
        <v>368</v>
      </c>
      <c r="C12" s="445" t="s">
        <v>55</v>
      </c>
      <c r="D12" s="444" t="s">
        <v>369</v>
      </c>
      <c r="E12" s="446">
        <v>12</v>
      </c>
      <c r="F12" s="447"/>
      <c r="G12" s="448">
        <f t="shared" ref="G12:G43" si="0">E12*F12</f>
        <v>0</v>
      </c>
      <c r="H12" s="449"/>
      <c r="I12" s="444"/>
      <c r="J12" s="449"/>
      <c r="K12" s="444" t="s">
        <v>370</v>
      </c>
      <c r="L12" s="450" t="s">
        <v>371</v>
      </c>
      <c r="M12" s="444" t="s">
        <v>372</v>
      </c>
      <c r="N12" s="450"/>
      <c r="O12" s="450"/>
      <c r="P12" s="450" t="s">
        <v>373</v>
      </c>
      <c r="Q12" s="451" t="s">
        <v>374</v>
      </c>
      <c r="R12" s="451" t="s">
        <v>249</v>
      </c>
      <c r="S12" s="452" t="s">
        <v>375</v>
      </c>
      <c r="T12" s="452">
        <v>45553</v>
      </c>
      <c r="U12" s="453"/>
      <c r="V12" s="454"/>
      <c r="W12" s="455" t="s">
        <v>376</v>
      </c>
      <c r="X12" s="455">
        <v>45558</v>
      </c>
      <c r="Y12" s="456" t="s">
        <v>377</v>
      </c>
      <c r="Z12" s="457"/>
      <c r="AA12" s="494"/>
    </row>
    <row r="13" spans="1:27" s="128" customFormat="1" ht="36" customHeight="1">
      <c r="A13" s="443">
        <v>2</v>
      </c>
      <c r="B13" s="444" t="s">
        <v>378</v>
      </c>
      <c r="C13" s="445" t="s">
        <v>55</v>
      </c>
      <c r="D13" s="444" t="s">
        <v>379</v>
      </c>
      <c r="E13" s="446">
        <v>3</v>
      </c>
      <c r="F13" s="447"/>
      <c r="G13" s="448">
        <f t="shared" si="0"/>
        <v>0</v>
      </c>
      <c r="H13" s="449"/>
      <c r="I13" s="444"/>
      <c r="J13" s="449"/>
      <c r="K13" s="444" t="s">
        <v>370</v>
      </c>
      <c r="L13" s="450" t="s">
        <v>371</v>
      </c>
      <c r="M13" s="444" t="s">
        <v>372</v>
      </c>
      <c r="N13" s="450"/>
      <c r="O13" s="450"/>
      <c r="P13" s="450" t="s">
        <v>373</v>
      </c>
      <c r="Q13" s="451" t="s">
        <v>374</v>
      </c>
      <c r="R13" s="451" t="s">
        <v>249</v>
      </c>
      <c r="S13" s="452" t="s">
        <v>375</v>
      </c>
      <c r="T13" s="452"/>
      <c r="U13" s="453"/>
      <c r="V13" s="454"/>
      <c r="W13" s="455" t="s">
        <v>376</v>
      </c>
      <c r="X13" s="455">
        <v>45558</v>
      </c>
      <c r="Y13" s="456" t="s">
        <v>377</v>
      </c>
      <c r="Z13" s="457"/>
      <c r="AA13" s="494"/>
    </row>
    <row r="14" spans="1:27" s="128" customFormat="1" ht="36" customHeight="1">
      <c r="A14" s="443">
        <v>3</v>
      </c>
      <c r="B14" s="444" t="s">
        <v>380</v>
      </c>
      <c r="C14" s="445" t="s">
        <v>55</v>
      </c>
      <c r="D14" s="444" t="s">
        <v>381</v>
      </c>
      <c r="E14" s="446">
        <v>24</v>
      </c>
      <c r="F14" s="447"/>
      <c r="G14" s="448">
        <f t="shared" si="0"/>
        <v>0</v>
      </c>
      <c r="H14" s="449"/>
      <c r="I14" s="444"/>
      <c r="J14" s="449"/>
      <c r="K14" s="444" t="s">
        <v>370</v>
      </c>
      <c r="L14" s="450" t="s">
        <v>371</v>
      </c>
      <c r="M14" s="444" t="s">
        <v>372</v>
      </c>
      <c r="N14" s="450"/>
      <c r="O14" s="450"/>
      <c r="P14" s="450" t="s">
        <v>373</v>
      </c>
      <c r="Q14" s="451" t="s">
        <v>374</v>
      </c>
      <c r="R14" s="451" t="s">
        <v>249</v>
      </c>
      <c r="S14" s="452" t="s">
        <v>375</v>
      </c>
      <c r="T14" s="452">
        <v>45553</v>
      </c>
      <c r="U14" s="453"/>
      <c r="V14" s="454"/>
      <c r="W14" s="455" t="s">
        <v>376</v>
      </c>
      <c r="X14" s="455">
        <v>45558</v>
      </c>
      <c r="Y14" s="456" t="s">
        <v>377</v>
      </c>
      <c r="Z14" s="457"/>
      <c r="AA14" s="494"/>
    </row>
    <row r="15" spans="1:27" s="128" customFormat="1" ht="36" customHeight="1">
      <c r="A15" s="443">
        <v>4</v>
      </c>
      <c r="B15" s="444" t="s">
        <v>382</v>
      </c>
      <c r="C15" s="445" t="s">
        <v>55</v>
      </c>
      <c r="D15" s="444" t="s">
        <v>383</v>
      </c>
      <c r="E15" s="446">
        <v>3</v>
      </c>
      <c r="F15" s="447"/>
      <c r="G15" s="448">
        <f t="shared" si="0"/>
        <v>0</v>
      </c>
      <c r="H15" s="449"/>
      <c r="I15" s="444"/>
      <c r="J15" s="449"/>
      <c r="K15" s="444" t="s">
        <v>370</v>
      </c>
      <c r="L15" s="450" t="s">
        <v>371</v>
      </c>
      <c r="M15" s="444" t="s">
        <v>384</v>
      </c>
      <c r="N15" s="450"/>
      <c r="O15" s="450"/>
      <c r="P15" s="450" t="s">
        <v>373</v>
      </c>
      <c r="Q15" s="451" t="s">
        <v>374</v>
      </c>
      <c r="R15" s="451" t="s">
        <v>263</v>
      </c>
      <c r="S15" s="452" t="s">
        <v>385</v>
      </c>
      <c r="T15" s="452"/>
      <c r="U15" s="453"/>
      <c r="V15" s="454"/>
      <c r="W15" s="455" t="s">
        <v>376</v>
      </c>
      <c r="X15" s="455">
        <v>45547</v>
      </c>
      <c r="Y15" s="456" t="s">
        <v>377</v>
      </c>
      <c r="Z15" s="457"/>
      <c r="AA15" s="494"/>
    </row>
    <row r="16" spans="1:27" s="128" customFormat="1" ht="36" customHeight="1">
      <c r="A16" s="443">
        <v>5</v>
      </c>
      <c r="B16" s="444" t="s">
        <v>386</v>
      </c>
      <c r="C16" s="445" t="s">
        <v>55</v>
      </c>
      <c r="D16" s="444" t="s">
        <v>387</v>
      </c>
      <c r="E16" s="446">
        <v>3</v>
      </c>
      <c r="F16" s="447"/>
      <c r="G16" s="448">
        <f t="shared" si="0"/>
        <v>0</v>
      </c>
      <c r="H16" s="449"/>
      <c r="I16" s="444"/>
      <c r="J16" s="449"/>
      <c r="K16" s="444" t="s">
        <v>370</v>
      </c>
      <c r="L16" s="450" t="s">
        <v>371</v>
      </c>
      <c r="M16" s="444" t="s">
        <v>384</v>
      </c>
      <c r="N16" s="450"/>
      <c r="O16" s="450"/>
      <c r="P16" s="450" t="s">
        <v>373</v>
      </c>
      <c r="Q16" s="451" t="s">
        <v>374</v>
      </c>
      <c r="R16" s="451" t="s">
        <v>263</v>
      </c>
      <c r="S16" s="452" t="s">
        <v>385</v>
      </c>
      <c r="T16" s="452"/>
      <c r="U16" s="453"/>
      <c r="V16" s="454"/>
      <c r="W16" s="455" t="s">
        <v>376</v>
      </c>
      <c r="X16" s="455">
        <v>45547</v>
      </c>
      <c r="Y16" s="456" t="s">
        <v>377</v>
      </c>
      <c r="Z16" s="457"/>
      <c r="AA16" s="494"/>
    </row>
    <row r="17" spans="1:27" s="128" customFormat="1" ht="36" customHeight="1">
      <c r="A17" s="443">
        <v>6</v>
      </c>
      <c r="B17" s="444" t="s">
        <v>388</v>
      </c>
      <c r="C17" s="445" t="s">
        <v>55</v>
      </c>
      <c r="D17" s="444" t="s">
        <v>389</v>
      </c>
      <c r="E17" s="446">
        <v>3</v>
      </c>
      <c r="F17" s="447"/>
      <c r="G17" s="448">
        <f t="shared" si="0"/>
        <v>0</v>
      </c>
      <c r="H17" s="449"/>
      <c r="I17" s="444"/>
      <c r="J17" s="449"/>
      <c r="K17" s="444" t="s">
        <v>370</v>
      </c>
      <c r="L17" s="450" t="s">
        <v>371</v>
      </c>
      <c r="M17" s="444" t="s">
        <v>384</v>
      </c>
      <c r="N17" s="450"/>
      <c r="O17" s="450"/>
      <c r="P17" s="450" t="s">
        <v>373</v>
      </c>
      <c r="Q17" s="451" t="s">
        <v>374</v>
      </c>
      <c r="R17" s="451" t="s">
        <v>263</v>
      </c>
      <c r="S17" s="452" t="s">
        <v>385</v>
      </c>
      <c r="T17" s="452"/>
      <c r="U17" s="453"/>
      <c r="V17" s="454"/>
      <c r="W17" s="455" t="s">
        <v>376</v>
      </c>
      <c r="X17" s="455">
        <v>45547</v>
      </c>
      <c r="Y17" s="456" t="s">
        <v>377</v>
      </c>
      <c r="Z17" s="457"/>
      <c r="AA17" s="494"/>
    </row>
    <row r="18" spans="1:27" s="128" customFormat="1" ht="36" customHeight="1">
      <c r="A18" s="443">
        <v>7</v>
      </c>
      <c r="B18" s="444" t="s">
        <v>390</v>
      </c>
      <c r="C18" s="445" t="s">
        <v>55</v>
      </c>
      <c r="D18" s="444" t="s">
        <v>391</v>
      </c>
      <c r="E18" s="446">
        <v>6</v>
      </c>
      <c r="F18" s="447"/>
      <c r="G18" s="448">
        <f t="shared" si="0"/>
        <v>0</v>
      </c>
      <c r="H18" s="449"/>
      <c r="I18" s="444"/>
      <c r="J18" s="449"/>
      <c r="K18" s="444" t="s">
        <v>370</v>
      </c>
      <c r="L18" s="450" t="s">
        <v>371</v>
      </c>
      <c r="M18" s="444" t="s">
        <v>384</v>
      </c>
      <c r="N18" s="450"/>
      <c r="O18" s="450"/>
      <c r="P18" s="450" t="s">
        <v>373</v>
      </c>
      <c r="Q18" s="451" t="s">
        <v>374</v>
      </c>
      <c r="R18" s="451" t="s">
        <v>263</v>
      </c>
      <c r="S18" s="452" t="s">
        <v>385</v>
      </c>
      <c r="T18" s="452"/>
      <c r="U18" s="453"/>
      <c r="V18" s="454"/>
      <c r="W18" s="455" t="s">
        <v>376</v>
      </c>
      <c r="X18" s="455">
        <v>45548</v>
      </c>
      <c r="Y18" s="456" t="s">
        <v>377</v>
      </c>
      <c r="Z18" s="457"/>
      <c r="AA18" s="494"/>
    </row>
    <row r="19" spans="1:27" s="128" customFormat="1" ht="36" customHeight="1">
      <c r="A19" s="443">
        <v>8</v>
      </c>
      <c r="B19" s="444" t="s">
        <v>392</v>
      </c>
      <c r="C19" s="445" t="s">
        <v>55</v>
      </c>
      <c r="D19" s="444" t="s">
        <v>393</v>
      </c>
      <c r="E19" s="446">
        <v>6</v>
      </c>
      <c r="F19" s="447"/>
      <c r="G19" s="448">
        <f t="shared" si="0"/>
        <v>0</v>
      </c>
      <c r="H19" s="449"/>
      <c r="I19" s="444"/>
      <c r="J19" s="449"/>
      <c r="K19" s="444" t="s">
        <v>370</v>
      </c>
      <c r="L19" s="450" t="s">
        <v>371</v>
      </c>
      <c r="M19" s="444" t="s">
        <v>384</v>
      </c>
      <c r="N19" s="450"/>
      <c r="O19" s="450"/>
      <c r="P19" s="450" t="s">
        <v>373</v>
      </c>
      <c r="Q19" s="451" t="s">
        <v>374</v>
      </c>
      <c r="R19" s="451" t="s">
        <v>263</v>
      </c>
      <c r="S19" s="452" t="s">
        <v>385</v>
      </c>
      <c r="T19" s="452"/>
      <c r="U19" s="453"/>
      <c r="V19" s="454"/>
      <c r="W19" s="455" t="s">
        <v>376</v>
      </c>
      <c r="X19" s="455">
        <v>45547</v>
      </c>
      <c r="Y19" s="456" t="s">
        <v>377</v>
      </c>
      <c r="Z19" s="457"/>
      <c r="AA19" s="494"/>
    </row>
    <row r="20" spans="1:27" s="128" customFormat="1" ht="36" customHeight="1">
      <c r="A20" s="443">
        <v>9</v>
      </c>
      <c r="B20" s="444" t="s">
        <v>394</v>
      </c>
      <c r="C20" s="445" t="s">
        <v>55</v>
      </c>
      <c r="D20" s="444" t="s">
        <v>395</v>
      </c>
      <c r="E20" s="446">
        <v>3</v>
      </c>
      <c r="F20" s="447"/>
      <c r="G20" s="448">
        <f t="shared" si="0"/>
        <v>0</v>
      </c>
      <c r="H20" s="449"/>
      <c r="I20" s="444"/>
      <c r="J20" s="449"/>
      <c r="K20" s="444" t="s">
        <v>370</v>
      </c>
      <c r="L20" s="450" t="s">
        <v>371</v>
      </c>
      <c r="M20" s="444" t="s">
        <v>384</v>
      </c>
      <c r="N20" s="450"/>
      <c r="O20" s="450"/>
      <c r="P20" s="450" t="s">
        <v>373</v>
      </c>
      <c r="Q20" s="451" t="s">
        <v>374</v>
      </c>
      <c r="R20" s="451" t="s">
        <v>263</v>
      </c>
      <c r="S20" s="452" t="s">
        <v>385</v>
      </c>
      <c r="T20" s="452"/>
      <c r="U20" s="453"/>
      <c r="V20" s="454"/>
      <c r="W20" s="455" t="s">
        <v>376</v>
      </c>
      <c r="X20" s="455">
        <v>45547</v>
      </c>
      <c r="Y20" s="456" t="s">
        <v>377</v>
      </c>
      <c r="Z20" s="457"/>
      <c r="AA20" s="494"/>
    </row>
    <row r="21" spans="1:27" s="128" customFormat="1" ht="36" customHeight="1">
      <c r="A21" s="443">
        <v>10</v>
      </c>
      <c r="B21" s="444" t="s">
        <v>396</v>
      </c>
      <c r="C21" s="445" t="s">
        <v>55</v>
      </c>
      <c r="D21" s="444" t="s">
        <v>397</v>
      </c>
      <c r="E21" s="446">
        <v>6</v>
      </c>
      <c r="F21" s="447"/>
      <c r="G21" s="448">
        <f t="shared" si="0"/>
        <v>0</v>
      </c>
      <c r="H21" s="449"/>
      <c r="I21" s="444"/>
      <c r="J21" s="449"/>
      <c r="K21" s="444" t="s">
        <v>370</v>
      </c>
      <c r="L21" s="450" t="s">
        <v>371</v>
      </c>
      <c r="M21" s="444" t="s">
        <v>384</v>
      </c>
      <c r="N21" s="450"/>
      <c r="O21" s="450"/>
      <c r="P21" s="450" t="s">
        <v>373</v>
      </c>
      <c r="Q21" s="451" t="s">
        <v>374</v>
      </c>
      <c r="R21" s="451" t="s">
        <v>263</v>
      </c>
      <c r="S21" s="452" t="s">
        <v>385</v>
      </c>
      <c r="T21" s="452"/>
      <c r="U21" s="453"/>
      <c r="V21" s="454"/>
      <c r="W21" s="455" t="s">
        <v>376</v>
      </c>
      <c r="X21" s="455">
        <v>45547</v>
      </c>
      <c r="Y21" s="456" t="s">
        <v>377</v>
      </c>
      <c r="Z21" s="457"/>
      <c r="AA21" s="494"/>
    </row>
    <row r="22" spans="1:27" s="128" customFormat="1" ht="36" customHeight="1">
      <c r="A22" s="443">
        <v>11</v>
      </c>
      <c r="B22" s="444" t="s">
        <v>398</v>
      </c>
      <c r="C22" s="445" t="s">
        <v>55</v>
      </c>
      <c r="D22" s="444" t="s">
        <v>399</v>
      </c>
      <c r="E22" s="446">
        <v>6</v>
      </c>
      <c r="F22" s="447"/>
      <c r="G22" s="448">
        <f t="shared" si="0"/>
        <v>0</v>
      </c>
      <c r="H22" s="449"/>
      <c r="I22" s="444"/>
      <c r="J22" s="449"/>
      <c r="K22" s="444" t="s">
        <v>370</v>
      </c>
      <c r="L22" s="450" t="s">
        <v>371</v>
      </c>
      <c r="M22" s="444" t="s">
        <v>384</v>
      </c>
      <c r="N22" s="450"/>
      <c r="O22" s="450"/>
      <c r="P22" s="450" t="s">
        <v>373</v>
      </c>
      <c r="Q22" s="451" t="s">
        <v>374</v>
      </c>
      <c r="R22" s="451" t="s">
        <v>263</v>
      </c>
      <c r="S22" s="452" t="s">
        <v>385</v>
      </c>
      <c r="T22" s="452"/>
      <c r="U22" s="453"/>
      <c r="V22" s="454"/>
      <c r="W22" s="455" t="s">
        <v>376</v>
      </c>
      <c r="X22" s="455">
        <v>45547</v>
      </c>
      <c r="Y22" s="456" t="s">
        <v>377</v>
      </c>
      <c r="Z22" s="457"/>
      <c r="AA22" s="494"/>
    </row>
    <row r="23" spans="1:27" s="128" customFormat="1" ht="36" customHeight="1">
      <c r="A23" s="443">
        <v>12</v>
      </c>
      <c r="B23" s="444" t="s">
        <v>400</v>
      </c>
      <c r="C23" s="445" t="s">
        <v>55</v>
      </c>
      <c r="D23" s="444" t="s">
        <v>401</v>
      </c>
      <c r="E23" s="446">
        <v>3</v>
      </c>
      <c r="F23" s="447"/>
      <c r="G23" s="448">
        <f t="shared" si="0"/>
        <v>0</v>
      </c>
      <c r="H23" s="449"/>
      <c r="I23" s="444"/>
      <c r="J23" s="449"/>
      <c r="K23" s="444" t="s">
        <v>370</v>
      </c>
      <c r="L23" s="450" t="s">
        <v>371</v>
      </c>
      <c r="M23" s="444" t="s">
        <v>402</v>
      </c>
      <c r="N23" s="450"/>
      <c r="O23" s="450"/>
      <c r="P23" s="450" t="s">
        <v>403</v>
      </c>
      <c r="Q23" s="451" t="s">
        <v>374</v>
      </c>
      <c r="R23" s="451" t="s">
        <v>404</v>
      </c>
      <c r="S23" s="452" t="s">
        <v>405</v>
      </c>
      <c r="T23" s="452"/>
      <c r="U23" s="453"/>
      <c r="V23" s="454"/>
      <c r="W23" s="455" t="s">
        <v>406</v>
      </c>
      <c r="X23" s="455">
        <v>45607</v>
      </c>
      <c r="Y23" s="456" t="s">
        <v>377</v>
      </c>
      <c r="Z23" s="457"/>
      <c r="AA23" s="494">
        <v>1</v>
      </c>
    </row>
    <row r="24" spans="1:27" s="128" customFormat="1" ht="36" customHeight="1">
      <c r="A24" s="443">
        <v>13</v>
      </c>
      <c r="B24" s="444" t="s">
        <v>407</v>
      </c>
      <c r="C24" s="445" t="s">
        <v>55</v>
      </c>
      <c r="D24" s="444" t="s">
        <v>408</v>
      </c>
      <c r="E24" s="446">
        <v>3</v>
      </c>
      <c r="F24" s="447"/>
      <c r="G24" s="448">
        <f t="shared" si="0"/>
        <v>0</v>
      </c>
      <c r="H24" s="449"/>
      <c r="I24" s="444"/>
      <c r="J24" s="449"/>
      <c r="K24" s="444" t="s">
        <v>370</v>
      </c>
      <c r="L24" s="450" t="s">
        <v>371</v>
      </c>
      <c r="M24" s="444" t="s">
        <v>402</v>
      </c>
      <c r="N24" s="450"/>
      <c r="O24" s="450"/>
      <c r="P24" s="450" t="s">
        <v>403</v>
      </c>
      <c r="Q24" s="451" t="s">
        <v>374</v>
      </c>
      <c r="R24" s="451" t="s">
        <v>404</v>
      </c>
      <c r="S24" s="452" t="s">
        <v>405</v>
      </c>
      <c r="T24" s="452"/>
      <c r="U24" s="453"/>
      <c r="V24" s="454"/>
      <c r="W24" s="455" t="s">
        <v>406</v>
      </c>
      <c r="X24" s="455">
        <v>45607</v>
      </c>
      <c r="Y24" s="456" t="s">
        <v>377</v>
      </c>
      <c r="Z24" s="457"/>
      <c r="AA24" s="494">
        <v>1</v>
      </c>
    </row>
    <row r="25" spans="1:27" s="128" customFormat="1" ht="36" customHeight="1">
      <c r="A25" s="443">
        <v>14</v>
      </c>
      <c r="B25" s="444" t="s">
        <v>409</v>
      </c>
      <c r="C25" s="445" t="s">
        <v>55</v>
      </c>
      <c r="D25" s="444" t="s">
        <v>410</v>
      </c>
      <c r="E25" s="446">
        <v>3</v>
      </c>
      <c r="F25" s="447"/>
      <c r="G25" s="448">
        <f t="shared" si="0"/>
        <v>0</v>
      </c>
      <c r="H25" s="449"/>
      <c r="I25" s="444"/>
      <c r="J25" s="449"/>
      <c r="K25" s="444" t="s">
        <v>370</v>
      </c>
      <c r="L25" s="450" t="s">
        <v>371</v>
      </c>
      <c r="M25" s="444" t="s">
        <v>372</v>
      </c>
      <c r="N25" s="450"/>
      <c r="O25" s="450"/>
      <c r="P25" s="450" t="s">
        <v>373</v>
      </c>
      <c r="Q25" s="451" t="s">
        <v>374</v>
      </c>
      <c r="R25" s="451" t="s">
        <v>249</v>
      </c>
      <c r="S25" s="452" t="s">
        <v>375</v>
      </c>
      <c r="T25" s="452">
        <v>45558</v>
      </c>
      <c r="U25" s="453"/>
      <c r="V25" s="454"/>
      <c r="W25" s="455" t="s">
        <v>376</v>
      </c>
      <c r="X25" s="455">
        <v>45558</v>
      </c>
      <c r="Y25" s="456" t="s">
        <v>377</v>
      </c>
      <c r="Z25" s="457"/>
      <c r="AA25" s="494"/>
    </row>
    <row r="26" spans="1:27" s="128" customFormat="1" ht="18" customHeight="1">
      <c r="A26" s="443">
        <v>15</v>
      </c>
      <c r="B26" s="444" t="s">
        <v>411</v>
      </c>
      <c r="C26" s="445" t="s">
        <v>55</v>
      </c>
      <c r="D26" s="444" t="s">
        <v>412</v>
      </c>
      <c r="E26" s="446">
        <v>24</v>
      </c>
      <c r="F26" s="447"/>
      <c r="G26" s="448">
        <f t="shared" si="0"/>
        <v>0</v>
      </c>
      <c r="H26" s="449"/>
      <c r="I26" s="444"/>
      <c r="J26" s="449"/>
      <c r="K26" s="444"/>
      <c r="L26" s="450"/>
      <c r="M26" s="444"/>
      <c r="N26" s="450"/>
      <c r="O26" s="450"/>
      <c r="P26" s="450"/>
      <c r="Q26" s="451" t="s">
        <v>374</v>
      </c>
      <c r="R26" s="451"/>
      <c r="S26" s="452"/>
      <c r="T26" s="452"/>
      <c r="U26" s="453"/>
      <c r="V26" s="454"/>
      <c r="W26" s="455" t="s">
        <v>406</v>
      </c>
      <c r="X26" s="455">
        <v>45518</v>
      </c>
      <c r="Y26" s="456" t="s">
        <v>377</v>
      </c>
      <c r="Z26" s="457"/>
      <c r="AA26" s="494"/>
    </row>
    <row r="27" spans="1:27" s="128" customFormat="1" ht="36" customHeight="1">
      <c r="A27" s="443">
        <v>16</v>
      </c>
      <c r="B27" s="444" t="s">
        <v>413</v>
      </c>
      <c r="C27" s="445" t="s">
        <v>55</v>
      </c>
      <c r="D27" s="444" t="s">
        <v>414</v>
      </c>
      <c r="E27" s="446">
        <v>3</v>
      </c>
      <c r="F27" s="447"/>
      <c r="G27" s="448">
        <f t="shared" si="0"/>
        <v>0</v>
      </c>
      <c r="H27" s="449"/>
      <c r="I27" s="444"/>
      <c r="J27" s="449"/>
      <c r="K27" s="444" t="s">
        <v>370</v>
      </c>
      <c r="L27" s="450" t="s">
        <v>371</v>
      </c>
      <c r="M27" s="444" t="s">
        <v>415</v>
      </c>
      <c r="N27" s="450"/>
      <c r="O27" s="450"/>
      <c r="P27" s="450" t="s">
        <v>416</v>
      </c>
      <c r="Q27" s="451" t="s">
        <v>374</v>
      </c>
      <c r="R27" s="451" t="s">
        <v>251</v>
      </c>
      <c r="S27" s="452" t="s">
        <v>417</v>
      </c>
      <c r="T27" s="452"/>
      <c r="U27" s="453"/>
      <c r="V27" s="454"/>
      <c r="W27" s="455" t="s">
        <v>406</v>
      </c>
      <c r="X27" s="455">
        <v>45609</v>
      </c>
      <c r="Y27" s="456" t="s">
        <v>377</v>
      </c>
      <c r="Z27" s="457"/>
      <c r="AA27" s="494"/>
    </row>
    <row r="28" spans="1:27" s="128" customFormat="1" ht="36" customHeight="1">
      <c r="A28" s="443">
        <v>17</v>
      </c>
      <c r="B28" s="444" t="s">
        <v>418</v>
      </c>
      <c r="C28" s="445" t="s">
        <v>55</v>
      </c>
      <c r="D28" s="444" t="s">
        <v>419</v>
      </c>
      <c r="E28" s="446">
        <v>3</v>
      </c>
      <c r="F28" s="447"/>
      <c r="G28" s="448">
        <f t="shared" si="0"/>
        <v>0</v>
      </c>
      <c r="H28" s="449"/>
      <c r="I28" s="444"/>
      <c r="J28" s="449"/>
      <c r="K28" s="444" t="s">
        <v>370</v>
      </c>
      <c r="L28" s="450" t="s">
        <v>371</v>
      </c>
      <c r="M28" s="444" t="s">
        <v>415</v>
      </c>
      <c r="N28" s="450"/>
      <c r="O28" s="450"/>
      <c r="P28" s="450" t="s">
        <v>416</v>
      </c>
      <c r="Q28" s="451" t="s">
        <v>374</v>
      </c>
      <c r="R28" s="451" t="s">
        <v>251</v>
      </c>
      <c r="S28" s="452" t="s">
        <v>417</v>
      </c>
      <c r="T28" s="452"/>
      <c r="U28" s="453"/>
      <c r="V28" s="454"/>
      <c r="W28" s="455" t="s">
        <v>406</v>
      </c>
      <c r="X28" s="455">
        <v>45609</v>
      </c>
      <c r="Y28" s="456" t="s">
        <v>377</v>
      </c>
      <c r="Z28" s="457"/>
      <c r="AA28" s="494"/>
    </row>
    <row r="29" spans="1:27" s="128" customFormat="1" ht="36" customHeight="1">
      <c r="A29" s="443">
        <v>18</v>
      </c>
      <c r="B29" s="444" t="s">
        <v>420</v>
      </c>
      <c r="C29" s="445" t="s">
        <v>55</v>
      </c>
      <c r="D29" s="444" t="s">
        <v>421</v>
      </c>
      <c r="E29" s="446">
        <v>3</v>
      </c>
      <c r="F29" s="447"/>
      <c r="G29" s="448">
        <f t="shared" si="0"/>
        <v>0</v>
      </c>
      <c r="H29" s="449"/>
      <c r="I29" s="444"/>
      <c r="J29" s="449"/>
      <c r="K29" s="444" t="s">
        <v>370</v>
      </c>
      <c r="L29" s="450" t="s">
        <v>371</v>
      </c>
      <c r="M29" s="444" t="s">
        <v>415</v>
      </c>
      <c r="N29" s="450"/>
      <c r="O29" s="450"/>
      <c r="P29" s="450" t="s">
        <v>416</v>
      </c>
      <c r="Q29" s="451" t="s">
        <v>374</v>
      </c>
      <c r="R29" s="451" t="s">
        <v>251</v>
      </c>
      <c r="S29" s="452" t="s">
        <v>422</v>
      </c>
      <c r="T29" s="452"/>
      <c r="U29" s="453"/>
      <c r="V29" s="454"/>
      <c r="W29" s="455" t="s">
        <v>406</v>
      </c>
      <c r="X29" s="455">
        <v>45601</v>
      </c>
      <c r="Y29" s="456" t="s">
        <v>377</v>
      </c>
      <c r="Z29" s="457"/>
      <c r="AA29" s="494"/>
    </row>
    <row r="30" spans="1:27" s="128" customFormat="1" ht="36" customHeight="1">
      <c r="A30" s="443">
        <v>19</v>
      </c>
      <c r="B30" s="444" t="s">
        <v>423</v>
      </c>
      <c r="C30" s="445" t="s">
        <v>55</v>
      </c>
      <c r="D30" s="444" t="s">
        <v>424</v>
      </c>
      <c r="E30" s="446">
        <v>3</v>
      </c>
      <c r="F30" s="447"/>
      <c r="G30" s="448">
        <f t="shared" si="0"/>
        <v>0</v>
      </c>
      <c r="H30" s="449"/>
      <c r="I30" s="444"/>
      <c r="J30" s="449"/>
      <c r="K30" s="444" t="s">
        <v>370</v>
      </c>
      <c r="L30" s="450" t="s">
        <v>371</v>
      </c>
      <c r="M30" s="444" t="s">
        <v>384</v>
      </c>
      <c r="N30" s="450"/>
      <c r="O30" s="450"/>
      <c r="P30" s="450" t="s">
        <v>373</v>
      </c>
      <c r="Q30" s="451" t="s">
        <v>374</v>
      </c>
      <c r="R30" s="451" t="s">
        <v>263</v>
      </c>
      <c r="S30" s="452" t="s">
        <v>425</v>
      </c>
      <c r="T30" s="452">
        <v>45576</v>
      </c>
      <c r="U30" s="453"/>
      <c r="V30" s="454"/>
      <c r="W30" s="455" t="s">
        <v>406</v>
      </c>
      <c r="X30" s="455">
        <v>45560</v>
      </c>
      <c r="Y30" s="456" t="s">
        <v>377</v>
      </c>
      <c r="Z30" s="457"/>
      <c r="AA30" s="494"/>
    </row>
    <row r="31" spans="1:27" s="128" customFormat="1" ht="36" customHeight="1">
      <c r="A31" s="443">
        <v>20</v>
      </c>
      <c r="B31" s="444" t="s">
        <v>426</v>
      </c>
      <c r="C31" s="445" t="s">
        <v>55</v>
      </c>
      <c r="D31" s="444" t="s">
        <v>427</v>
      </c>
      <c r="E31" s="446">
        <v>6</v>
      </c>
      <c r="F31" s="447"/>
      <c r="G31" s="448">
        <f t="shared" si="0"/>
        <v>0</v>
      </c>
      <c r="H31" s="449"/>
      <c r="I31" s="444"/>
      <c r="J31" s="449"/>
      <c r="K31" s="444" t="s">
        <v>370</v>
      </c>
      <c r="L31" s="450" t="s">
        <v>371</v>
      </c>
      <c r="M31" s="444" t="s">
        <v>384</v>
      </c>
      <c r="N31" s="450"/>
      <c r="O31" s="450"/>
      <c r="P31" s="450" t="s">
        <v>373</v>
      </c>
      <c r="Q31" s="451" t="s">
        <v>374</v>
      </c>
      <c r="R31" s="451" t="s">
        <v>263</v>
      </c>
      <c r="S31" s="452" t="s">
        <v>385</v>
      </c>
      <c r="T31" s="452"/>
      <c r="U31" s="453"/>
      <c r="V31" s="454"/>
      <c r="W31" s="455" t="s">
        <v>376</v>
      </c>
      <c r="X31" s="455">
        <v>45547</v>
      </c>
      <c r="Y31" s="456" t="s">
        <v>377</v>
      </c>
      <c r="Z31" s="457"/>
      <c r="AA31" s="494"/>
    </row>
    <row r="32" spans="1:27" s="128" customFormat="1" ht="36" customHeight="1">
      <c r="A32" s="443">
        <v>21</v>
      </c>
      <c r="B32" s="444" t="s">
        <v>428</v>
      </c>
      <c r="C32" s="445" t="s">
        <v>55</v>
      </c>
      <c r="D32" s="444" t="s">
        <v>429</v>
      </c>
      <c r="E32" s="446">
        <v>6</v>
      </c>
      <c r="F32" s="447"/>
      <c r="G32" s="448">
        <f t="shared" si="0"/>
        <v>0</v>
      </c>
      <c r="H32" s="449"/>
      <c r="I32" s="444"/>
      <c r="J32" s="449"/>
      <c r="K32" s="444" t="s">
        <v>370</v>
      </c>
      <c r="L32" s="450" t="s">
        <v>371</v>
      </c>
      <c r="M32" s="444" t="s">
        <v>430</v>
      </c>
      <c r="N32" s="450"/>
      <c r="O32" s="450"/>
      <c r="P32" s="450" t="s">
        <v>431</v>
      </c>
      <c r="Q32" s="451" t="s">
        <v>374</v>
      </c>
      <c r="R32" s="451" t="s">
        <v>432</v>
      </c>
      <c r="S32" s="452" t="s">
        <v>433</v>
      </c>
      <c r="T32" s="452"/>
      <c r="U32" s="453"/>
      <c r="V32" s="454"/>
      <c r="W32" s="455" t="s">
        <v>376</v>
      </c>
      <c r="X32" s="455">
        <v>45546</v>
      </c>
      <c r="Y32" s="456" t="s">
        <v>377</v>
      </c>
      <c r="Z32" s="457"/>
      <c r="AA32" s="494"/>
    </row>
    <row r="33" spans="1:27" s="128" customFormat="1" ht="36" customHeight="1">
      <c r="A33" s="443">
        <v>22</v>
      </c>
      <c r="B33" s="444" t="s">
        <v>434</v>
      </c>
      <c r="C33" s="445" t="s">
        <v>55</v>
      </c>
      <c r="D33" s="444" t="s">
        <v>435</v>
      </c>
      <c r="E33" s="446">
        <v>3</v>
      </c>
      <c r="F33" s="447"/>
      <c r="G33" s="448">
        <f t="shared" si="0"/>
        <v>0</v>
      </c>
      <c r="H33" s="449"/>
      <c r="I33" s="444"/>
      <c r="J33" s="449"/>
      <c r="K33" s="444" t="s">
        <v>370</v>
      </c>
      <c r="L33" s="450" t="s">
        <v>371</v>
      </c>
      <c r="M33" s="444" t="s">
        <v>372</v>
      </c>
      <c r="N33" s="450"/>
      <c r="O33" s="450"/>
      <c r="P33" s="450" t="s">
        <v>373</v>
      </c>
      <c r="Q33" s="451" t="s">
        <v>374</v>
      </c>
      <c r="R33" s="451" t="s">
        <v>249</v>
      </c>
      <c r="S33" s="452" t="s">
        <v>375</v>
      </c>
      <c r="T33" s="452">
        <v>45558</v>
      </c>
      <c r="U33" s="453"/>
      <c r="V33" s="454"/>
      <c r="W33" s="455" t="s">
        <v>376</v>
      </c>
      <c r="X33" s="455">
        <v>45558</v>
      </c>
      <c r="Y33" s="456" t="s">
        <v>377</v>
      </c>
      <c r="Z33" s="457"/>
      <c r="AA33" s="494"/>
    </row>
    <row r="34" spans="1:27" s="128" customFormat="1" ht="36" customHeight="1">
      <c r="A34" s="443">
        <v>23</v>
      </c>
      <c r="B34" s="444" t="s">
        <v>436</v>
      </c>
      <c r="C34" s="445" t="s">
        <v>55</v>
      </c>
      <c r="D34" s="444" t="s">
        <v>437</v>
      </c>
      <c r="E34" s="446">
        <v>6</v>
      </c>
      <c r="F34" s="447"/>
      <c r="G34" s="448">
        <f t="shared" si="0"/>
        <v>0</v>
      </c>
      <c r="H34" s="449"/>
      <c r="I34" s="444"/>
      <c r="J34" s="449"/>
      <c r="K34" s="444" t="s">
        <v>370</v>
      </c>
      <c r="L34" s="450" t="s">
        <v>371</v>
      </c>
      <c r="M34" s="444" t="s">
        <v>372</v>
      </c>
      <c r="N34" s="450"/>
      <c r="O34" s="450"/>
      <c r="P34" s="450" t="s">
        <v>373</v>
      </c>
      <c r="Q34" s="451" t="s">
        <v>374</v>
      </c>
      <c r="R34" s="451" t="s">
        <v>249</v>
      </c>
      <c r="S34" s="452" t="s">
        <v>375</v>
      </c>
      <c r="T34" s="452"/>
      <c r="U34" s="453"/>
      <c r="V34" s="454"/>
      <c r="W34" s="455" t="s">
        <v>376</v>
      </c>
      <c r="X34" s="455">
        <v>45558</v>
      </c>
      <c r="Y34" s="456" t="s">
        <v>377</v>
      </c>
      <c r="Z34" s="457"/>
      <c r="AA34" s="494"/>
    </row>
    <row r="35" spans="1:27" s="128" customFormat="1" ht="36" customHeight="1">
      <c r="A35" s="443">
        <v>24</v>
      </c>
      <c r="B35" s="444" t="s">
        <v>438</v>
      </c>
      <c r="C35" s="445" t="s">
        <v>55</v>
      </c>
      <c r="D35" s="444" t="s">
        <v>439</v>
      </c>
      <c r="E35" s="446">
        <v>3</v>
      </c>
      <c r="F35" s="447"/>
      <c r="G35" s="448">
        <f t="shared" si="0"/>
        <v>0</v>
      </c>
      <c r="H35" s="449"/>
      <c r="I35" s="444"/>
      <c r="J35" s="449"/>
      <c r="K35" s="444" t="s">
        <v>370</v>
      </c>
      <c r="L35" s="450" t="s">
        <v>371</v>
      </c>
      <c r="M35" s="444" t="s">
        <v>372</v>
      </c>
      <c r="N35" s="450"/>
      <c r="O35" s="450"/>
      <c r="P35" s="450" t="s">
        <v>373</v>
      </c>
      <c r="Q35" s="451" t="s">
        <v>374</v>
      </c>
      <c r="R35" s="451" t="s">
        <v>249</v>
      </c>
      <c r="S35" s="452" t="s">
        <v>375</v>
      </c>
      <c r="T35" s="452">
        <v>45558</v>
      </c>
      <c r="U35" s="453"/>
      <c r="V35" s="454"/>
      <c r="W35" s="455" t="s">
        <v>376</v>
      </c>
      <c r="X35" s="455">
        <v>45558</v>
      </c>
      <c r="Y35" s="456" t="s">
        <v>377</v>
      </c>
      <c r="Z35" s="457"/>
      <c r="AA35" s="494"/>
    </row>
    <row r="36" spans="1:27" s="128" customFormat="1" ht="36" customHeight="1">
      <c r="A36" s="443">
        <v>25</v>
      </c>
      <c r="B36" s="444" t="s">
        <v>440</v>
      </c>
      <c r="C36" s="445" t="s">
        <v>55</v>
      </c>
      <c r="D36" s="444" t="s">
        <v>441</v>
      </c>
      <c r="E36" s="446">
        <v>3</v>
      </c>
      <c r="F36" s="447"/>
      <c r="G36" s="448">
        <f t="shared" si="0"/>
        <v>0</v>
      </c>
      <c r="H36" s="449"/>
      <c r="I36" s="444"/>
      <c r="J36" s="449"/>
      <c r="K36" s="444" t="s">
        <v>370</v>
      </c>
      <c r="L36" s="450" t="s">
        <v>371</v>
      </c>
      <c r="M36" s="444" t="s">
        <v>372</v>
      </c>
      <c r="N36" s="450"/>
      <c r="O36" s="450"/>
      <c r="P36" s="450" t="s">
        <v>373</v>
      </c>
      <c r="Q36" s="451" t="s">
        <v>374</v>
      </c>
      <c r="R36" s="451" t="s">
        <v>249</v>
      </c>
      <c r="S36" s="452" t="s">
        <v>375</v>
      </c>
      <c r="T36" s="452">
        <v>45558</v>
      </c>
      <c r="U36" s="453"/>
      <c r="V36" s="454"/>
      <c r="W36" s="455" t="s">
        <v>376</v>
      </c>
      <c r="X36" s="455">
        <v>45558</v>
      </c>
      <c r="Y36" s="456" t="s">
        <v>377</v>
      </c>
      <c r="Z36" s="457"/>
      <c r="AA36" s="494"/>
    </row>
    <row r="37" spans="1:27" s="128" customFormat="1" ht="36" customHeight="1">
      <c r="A37" s="443">
        <v>26</v>
      </c>
      <c r="B37" s="444" t="s">
        <v>442</v>
      </c>
      <c r="C37" s="445" t="s">
        <v>55</v>
      </c>
      <c r="D37" s="444" t="s">
        <v>443</v>
      </c>
      <c r="E37" s="446">
        <v>21</v>
      </c>
      <c r="F37" s="447"/>
      <c r="G37" s="448">
        <f t="shared" si="0"/>
        <v>0</v>
      </c>
      <c r="H37" s="449"/>
      <c r="I37" s="444"/>
      <c r="J37" s="449"/>
      <c r="K37" s="444" t="s">
        <v>370</v>
      </c>
      <c r="L37" s="450" t="s">
        <v>371</v>
      </c>
      <c r="M37" s="444" t="s">
        <v>444</v>
      </c>
      <c r="N37" s="450"/>
      <c r="O37" s="450"/>
      <c r="P37" s="450" t="s">
        <v>444</v>
      </c>
      <c r="Q37" s="451" t="s">
        <v>374</v>
      </c>
      <c r="R37" s="451" t="s">
        <v>444</v>
      </c>
      <c r="S37" s="452" t="s">
        <v>444</v>
      </c>
      <c r="T37" s="452">
        <v>45558</v>
      </c>
      <c r="U37" s="453"/>
      <c r="V37" s="454"/>
      <c r="W37" s="455" t="s">
        <v>376</v>
      </c>
      <c r="X37" s="455">
        <v>45558</v>
      </c>
      <c r="Y37" s="456" t="s">
        <v>377</v>
      </c>
      <c r="Z37" s="457"/>
      <c r="AA37" s="494"/>
    </row>
    <row r="38" spans="1:27" s="128" customFormat="1" ht="36" customHeight="1">
      <c r="A38" s="443">
        <v>27</v>
      </c>
      <c r="B38" s="444" t="s">
        <v>445</v>
      </c>
      <c r="C38" s="445" t="s">
        <v>55</v>
      </c>
      <c r="D38" s="444" t="s">
        <v>446</v>
      </c>
      <c r="E38" s="446">
        <v>3</v>
      </c>
      <c r="F38" s="447"/>
      <c r="G38" s="448">
        <f t="shared" si="0"/>
        <v>0</v>
      </c>
      <c r="H38" s="449"/>
      <c r="I38" s="444"/>
      <c r="J38" s="449"/>
      <c r="K38" s="444" t="s">
        <v>370</v>
      </c>
      <c r="L38" s="450" t="s">
        <v>371</v>
      </c>
      <c r="M38" s="444" t="s">
        <v>372</v>
      </c>
      <c r="N38" s="450"/>
      <c r="O38" s="450"/>
      <c r="P38" s="450" t="s">
        <v>373</v>
      </c>
      <c r="Q38" s="451" t="s">
        <v>374</v>
      </c>
      <c r="R38" s="451" t="s">
        <v>249</v>
      </c>
      <c r="S38" s="452" t="s">
        <v>375</v>
      </c>
      <c r="T38" s="452">
        <v>45558</v>
      </c>
      <c r="U38" s="453"/>
      <c r="V38" s="454"/>
      <c r="W38" s="455" t="s">
        <v>376</v>
      </c>
      <c r="X38" s="455">
        <v>45558</v>
      </c>
      <c r="Y38" s="456" t="s">
        <v>377</v>
      </c>
      <c r="Z38" s="457"/>
      <c r="AA38" s="494"/>
    </row>
    <row r="39" spans="1:27" s="128" customFormat="1" ht="36" customHeight="1">
      <c r="A39" s="443">
        <v>28</v>
      </c>
      <c r="B39" s="444" t="s">
        <v>447</v>
      </c>
      <c r="C39" s="445" t="s">
        <v>55</v>
      </c>
      <c r="D39" s="444" t="s">
        <v>448</v>
      </c>
      <c r="E39" s="446">
        <v>6</v>
      </c>
      <c r="F39" s="447"/>
      <c r="G39" s="448">
        <f t="shared" si="0"/>
        <v>0</v>
      </c>
      <c r="H39" s="449"/>
      <c r="I39" s="444"/>
      <c r="J39" s="449"/>
      <c r="K39" s="444" t="s">
        <v>370</v>
      </c>
      <c r="L39" s="450" t="s">
        <v>371</v>
      </c>
      <c r="M39" s="444" t="s">
        <v>372</v>
      </c>
      <c r="N39" s="450"/>
      <c r="O39" s="450"/>
      <c r="P39" s="450" t="s">
        <v>373</v>
      </c>
      <c r="Q39" s="451" t="s">
        <v>374</v>
      </c>
      <c r="R39" s="451" t="s">
        <v>249</v>
      </c>
      <c r="S39" s="452" t="s">
        <v>375</v>
      </c>
      <c r="T39" s="452">
        <v>45558</v>
      </c>
      <c r="U39" s="453"/>
      <c r="V39" s="454"/>
      <c r="W39" s="455" t="s">
        <v>376</v>
      </c>
      <c r="X39" s="455">
        <v>45558</v>
      </c>
      <c r="Y39" s="456" t="s">
        <v>377</v>
      </c>
      <c r="Z39" s="457"/>
      <c r="AA39" s="494"/>
    </row>
    <row r="40" spans="1:27" s="128" customFormat="1" ht="36" customHeight="1">
      <c r="A40" s="443">
        <v>29</v>
      </c>
      <c r="B40" s="444" t="s">
        <v>449</v>
      </c>
      <c r="C40" s="445" t="s">
        <v>55</v>
      </c>
      <c r="D40" s="444" t="s">
        <v>450</v>
      </c>
      <c r="E40" s="446">
        <v>3</v>
      </c>
      <c r="F40" s="447"/>
      <c r="G40" s="448">
        <f t="shared" si="0"/>
        <v>0</v>
      </c>
      <c r="H40" s="449"/>
      <c r="I40" s="444"/>
      <c r="J40" s="449"/>
      <c r="K40" s="444" t="s">
        <v>370</v>
      </c>
      <c r="L40" s="450" t="s">
        <v>371</v>
      </c>
      <c r="M40" s="444" t="s">
        <v>372</v>
      </c>
      <c r="N40" s="450"/>
      <c r="O40" s="450"/>
      <c r="P40" s="450" t="s">
        <v>373</v>
      </c>
      <c r="Q40" s="451" t="s">
        <v>374</v>
      </c>
      <c r="R40" s="451" t="s">
        <v>249</v>
      </c>
      <c r="S40" s="452" t="s">
        <v>375</v>
      </c>
      <c r="T40" s="452">
        <v>45558</v>
      </c>
      <c r="U40" s="453"/>
      <c r="V40" s="454"/>
      <c r="W40" s="455" t="s">
        <v>376</v>
      </c>
      <c r="X40" s="455">
        <v>45558</v>
      </c>
      <c r="Y40" s="456" t="s">
        <v>377</v>
      </c>
      <c r="Z40" s="457"/>
      <c r="AA40" s="494"/>
    </row>
    <row r="41" spans="1:27" s="128" customFormat="1" ht="36" customHeight="1">
      <c r="A41" s="443">
        <v>30</v>
      </c>
      <c r="B41" s="444" t="s">
        <v>451</v>
      </c>
      <c r="C41" s="445" t="s">
        <v>55</v>
      </c>
      <c r="D41" s="444" t="s">
        <v>452</v>
      </c>
      <c r="E41" s="446">
        <v>3</v>
      </c>
      <c r="F41" s="447"/>
      <c r="G41" s="448">
        <f t="shared" si="0"/>
        <v>0</v>
      </c>
      <c r="H41" s="449"/>
      <c r="I41" s="444"/>
      <c r="J41" s="449"/>
      <c r="K41" s="444" t="s">
        <v>370</v>
      </c>
      <c r="L41" s="450" t="s">
        <v>371</v>
      </c>
      <c r="M41" s="444" t="s">
        <v>372</v>
      </c>
      <c r="N41" s="450"/>
      <c r="O41" s="450"/>
      <c r="P41" s="450" t="s">
        <v>373</v>
      </c>
      <c r="Q41" s="451" t="s">
        <v>374</v>
      </c>
      <c r="R41" s="451" t="s">
        <v>249</v>
      </c>
      <c r="S41" s="452" t="s">
        <v>375</v>
      </c>
      <c r="T41" s="452">
        <v>45558</v>
      </c>
      <c r="U41" s="453"/>
      <c r="V41" s="454"/>
      <c r="W41" s="455" t="s">
        <v>376</v>
      </c>
      <c r="X41" s="455">
        <v>45558</v>
      </c>
      <c r="Y41" s="456" t="s">
        <v>377</v>
      </c>
      <c r="Z41" s="457"/>
      <c r="AA41" s="494"/>
    </row>
    <row r="42" spans="1:27" s="128" customFormat="1" ht="36" customHeight="1">
      <c r="A42" s="443">
        <v>31</v>
      </c>
      <c r="B42" s="444" t="s">
        <v>453</v>
      </c>
      <c r="C42" s="445" t="s">
        <v>55</v>
      </c>
      <c r="D42" s="444" t="s">
        <v>454</v>
      </c>
      <c r="E42" s="446">
        <v>18</v>
      </c>
      <c r="F42" s="447"/>
      <c r="G42" s="448">
        <f t="shared" si="0"/>
        <v>0</v>
      </c>
      <c r="H42" s="449"/>
      <c r="I42" s="444"/>
      <c r="J42" s="449"/>
      <c r="K42" s="444" t="s">
        <v>370</v>
      </c>
      <c r="L42" s="450" t="s">
        <v>371</v>
      </c>
      <c r="M42" s="444" t="s">
        <v>372</v>
      </c>
      <c r="N42" s="450"/>
      <c r="O42" s="450"/>
      <c r="P42" s="450" t="s">
        <v>373</v>
      </c>
      <c r="Q42" s="451" t="s">
        <v>374</v>
      </c>
      <c r="R42" s="451" t="s">
        <v>249</v>
      </c>
      <c r="S42" s="452" t="s">
        <v>375</v>
      </c>
      <c r="T42" s="452">
        <v>45558</v>
      </c>
      <c r="U42" s="453"/>
      <c r="V42" s="454"/>
      <c r="W42" s="455" t="s">
        <v>376</v>
      </c>
      <c r="X42" s="455">
        <v>45558</v>
      </c>
      <c r="Y42" s="456" t="s">
        <v>377</v>
      </c>
      <c r="Z42" s="457"/>
      <c r="AA42" s="494"/>
    </row>
    <row r="43" spans="1:27" s="128" customFormat="1" ht="36" customHeight="1">
      <c r="A43" s="443">
        <v>32</v>
      </c>
      <c r="B43" s="444" t="s">
        <v>455</v>
      </c>
      <c r="C43" s="445" t="s">
        <v>55</v>
      </c>
      <c r="D43" s="444" t="s">
        <v>456</v>
      </c>
      <c r="E43" s="446">
        <v>6</v>
      </c>
      <c r="F43" s="447"/>
      <c r="G43" s="448">
        <f t="shared" si="0"/>
        <v>0</v>
      </c>
      <c r="H43" s="449"/>
      <c r="I43" s="444"/>
      <c r="J43" s="449"/>
      <c r="K43" s="444" t="s">
        <v>370</v>
      </c>
      <c r="L43" s="450" t="s">
        <v>371</v>
      </c>
      <c r="M43" s="444" t="s">
        <v>372</v>
      </c>
      <c r="N43" s="450"/>
      <c r="O43" s="450"/>
      <c r="P43" s="450" t="s">
        <v>373</v>
      </c>
      <c r="Q43" s="451" t="s">
        <v>374</v>
      </c>
      <c r="R43" s="451" t="s">
        <v>249</v>
      </c>
      <c r="S43" s="452" t="s">
        <v>375</v>
      </c>
      <c r="T43" s="452">
        <v>45558</v>
      </c>
      <c r="U43" s="453"/>
      <c r="V43" s="454"/>
      <c r="W43" s="455" t="s">
        <v>376</v>
      </c>
      <c r="X43" s="455">
        <v>45558</v>
      </c>
      <c r="Y43" s="456" t="s">
        <v>377</v>
      </c>
      <c r="Z43" s="457"/>
      <c r="AA43" s="494"/>
    </row>
    <row r="44" spans="1:27" s="128" customFormat="1" ht="36" customHeight="1">
      <c r="A44" s="443">
        <v>33</v>
      </c>
      <c r="B44" s="444" t="s">
        <v>457</v>
      </c>
      <c r="C44" s="445" t="s">
        <v>55</v>
      </c>
      <c r="D44" s="444" t="s">
        <v>458</v>
      </c>
      <c r="E44" s="446">
        <v>6</v>
      </c>
      <c r="F44" s="447"/>
      <c r="G44" s="448">
        <f t="shared" ref="G44:G75" si="1">E44*F44</f>
        <v>0</v>
      </c>
      <c r="H44" s="449"/>
      <c r="I44" s="444"/>
      <c r="J44" s="449"/>
      <c r="K44" s="444" t="s">
        <v>370</v>
      </c>
      <c r="L44" s="450" t="s">
        <v>371</v>
      </c>
      <c r="M44" s="444" t="s">
        <v>372</v>
      </c>
      <c r="N44" s="450"/>
      <c r="O44" s="450"/>
      <c r="P44" s="450" t="s">
        <v>373</v>
      </c>
      <c r="Q44" s="451" t="s">
        <v>374</v>
      </c>
      <c r="R44" s="451" t="s">
        <v>249</v>
      </c>
      <c r="S44" s="452" t="s">
        <v>375</v>
      </c>
      <c r="T44" s="452">
        <v>45558</v>
      </c>
      <c r="U44" s="453"/>
      <c r="V44" s="454"/>
      <c r="W44" s="455" t="s">
        <v>376</v>
      </c>
      <c r="X44" s="455">
        <v>45558</v>
      </c>
      <c r="Y44" s="456" t="s">
        <v>377</v>
      </c>
      <c r="Z44" s="457"/>
      <c r="AA44" s="494"/>
    </row>
    <row r="45" spans="1:27" s="128" customFormat="1" ht="36" customHeight="1">
      <c r="A45" s="443">
        <v>34</v>
      </c>
      <c r="B45" s="444" t="s">
        <v>459</v>
      </c>
      <c r="C45" s="445" t="s">
        <v>55</v>
      </c>
      <c r="D45" s="444" t="s">
        <v>460</v>
      </c>
      <c r="E45" s="446">
        <v>3</v>
      </c>
      <c r="F45" s="447"/>
      <c r="G45" s="448">
        <f t="shared" si="1"/>
        <v>0</v>
      </c>
      <c r="H45" s="449"/>
      <c r="I45" s="444"/>
      <c r="J45" s="449"/>
      <c r="K45" s="444" t="s">
        <v>370</v>
      </c>
      <c r="L45" s="450" t="s">
        <v>371</v>
      </c>
      <c r="M45" s="444" t="s">
        <v>461</v>
      </c>
      <c r="N45" s="450"/>
      <c r="O45" s="450"/>
      <c r="P45" s="450" t="s">
        <v>431</v>
      </c>
      <c r="Q45" s="451" t="s">
        <v>374</v>
      </c>
      <c r="R45" s="451" t="s">
        <v>237</v>
      </c>
      <c r="S45" s="452" t="s">
        <v>462</v>
      </c>
      <c r="T45" s="452"/>
      <c r="U45" s="453"/>
      <c r="V45" s="454"/>
      <c r="W45" s="455" t="s">
        <v>376</v>
      </c>
      <c r="X45" s="455">
        <v>45546</v>
      </c>
      <c r="Y45" s="456" t="s">
        <v>377</v>
      </c>
      <c r="Z45" s="457"/>
      <c r="AA45" s="494"/>
    </row>
    <row r="46" spans="1:27" s="128" customFormat="1" ht="36" customHeight="1">
      <c r="A46" s="443">
        <v>35</v>
      </c>
      <c r="B46" s="444" t="s">
        <v>463</v>
      </c>
      <c r="C46" s="445" t="s">
        <v>55</v>
      </c>
      <c r="D46" s="444" t="s">
        <v>464</v>
      </c>
      <c r="E46" s="446">
        <v>3</v>
      </c>
      <c r="F46" s="447"/>
      <c r="G46" s="448">
        <f t="shared" si="1"/>
        <v>0</v>
      </c>
      <c r="H46" s="449"/>
      <c r="I46" s="444"/>
      <c r="J46" s="449"/>
      <c r="K46" s="444" t="s">
        <v>370</v>
      </c>
      <c r="L46" s="450" t="s">
        <v>371</v>
      </c>
      <c r="M46" s="444" t="s">
        <v>461</v>
      </c>
      <c r="N46" s="450"/>
      <c r="O46" s="450"/>
      <c r="P46" s="450" t="s">
        <v>431</v>
      </c>
      <c r="Q46" s="451" t="s">
        <v>374</v>
      </c>
      <c r="R46" s="451" t="s">
        <v>237</v>
      </c>
      <c r="S46" s="452" t="s">
        <v>462</v>
      </c>
      <c r="T46" s="452"/>
      <c r="U46" s="453"/>
      <c r="V46" s="454"/>
      <c r="W46" s="455" t="s">
        <v>376</v>
      </c>
      <c r="X46" s="455">
        <v>45546</v>
      </c>
      <c r="Y46" s="456" t="s">
        <v>377</v>
      </c>
      <c r="Z46" s="457"/>
      <c r="AA46" s="494"/>
    </row>
    <row r="47" spans="1:27" s="128" customFormat="1" ht="36" customHeight="1">
      <c r="A47" s="443">
        <v>36</v>
      </c>
      <c r="B47" s="444" t="s">
        <v>465</v>
      </c>
      <c r="C47" s="445" t="s">
        <v>55</v>
      </c>
      <c r="D47" s="444" t="s">
        <v>466</v>
      </c>
      <c r="E47" s="446">
        <v>3</v>
      </c>
      <c r="F47" s="447"/>
      <c r="G47" s="448">
        <f t="shared" si="1"/>
        <v>0</v>
      </c>
      <c r="H47" s="449"/>
      <c r="I47" s="444"/>
      <c r="J47" s="449"/>
      <c r="K47" s="444" t="s">
        <v>370</v>
      </c>
      <c r="L47" s="450" t="s">
        <v>371</v>
      </c>
      <c r="M47" s="444" t="s">
        <v>461</v>
      </c>
      <c r="N47" s="450"/>
      <c r="O47" s="450"/>
      <c r="P47" s="450" t="s">
        <v>431</v>
      </c>
      <c r="Q47" s="451" t="s">
        <v>374</v>
      </c>
      <c r="R47" s="451" t="s">
        <v>237</v>
      </c>
      <c r="S47" s="452" t="s">
        <v>462</v>
      </c>
      <c r="T47" s="452"/>
      <c r="U47" s="453"/>
      <c r="V47" s="454"/>
      <c r="W47" s="455" t="s">
        <v>376</v>
      </c>
      <c r="X47" s="455">
        <v>45546</v>
      </c>
      <c r="Y47" s="456" t="s">
        <v>377</v>
      </c>
      <c r="Z47" s="457"/>
      <c r="AA47" s="494"/>
    </row>
    <row r="48" spans="1:27" s="128" customFormat="1" ht="36" customHeight="1">
      <c r="A48" s="443">
        <v>37</v>
      </c>
      <c r="B48" s="444" t="s">
        <v>467</v>
      </c>
      <c r="C48" s="445" t="s">
        <v>55</v>
      </c>
      <c r="D48" s="444" t="s">
        <v>468</v>
      </c>
      <c r="E48" s="446">
        <v>3</v>
      </c>
      <c r="F48" s="447"/>
      <c r="G48" s="448">
        <f t="shared" si="1"/>
        <v>0</v>
      </c>
      <c r="H48" s="449"/>
      <c r="I48" s="444"/>
      <c r="J48" s="449"/>
      <c r="K48" s="444" t="s">
        <v>370</v>
      </c>
      <c r="L48" s="450" t="s">
        <v>371</v>
      </c>
      <c r="M48" s="444" t="s">
        <v>469</v>
      </c>
      <c r="N48" s="450"/>
      <c r="O48" s="450"/>
      <c r="P48" s="450" t="s">
        <v>431</v>
      </c>
      <c r="Q48" s="451" t="s">
        <v>374</v>
      </c>
      <c r="R48" s="451" t="s">
        <v>470</v>
      </c>
      <c r="S48" s="452" t="s">
        <v>471</v>
      </c>
      <c r="T48" s="452">
        <v>45569</v>
      </c>
      <c r="U48" s="453"/>
      <c r="V48" s="454"/>
      <c r="W48" s="455" t="s">
        <v>406</v>
      </c>
      <c r="X48" s="455">
        <v>45560</v>
      </c>
      <c r="Y48" s="456" t="s">
        <v>377</v>
      </c>
      <c r="Z48" s="457"/>
      <c r="AA48" s="494"/>
    </row>
    <row r="49" spans="1:27" s="128" customFormat="1" ht="36" customHeight="1">
      <c r="A49" s="443">
        <v>38</v>
      </c>
      <c r="B49" s="444" t="s">
        <v>472</v>
      </c>
      <c r="C49" s="445" t="s">
        <v>55</v>
      </c>
      <c r="D49" s="444" t="s">
        <v>473</v>
      </c>
      <c r="E49" s="446">
        <v>6</v>
      </c>
      <c r="F49" s="447"/>
      <c r="G49" s="448">
        <f t="shared" si="1"/>
        <v>0</v>
      </c>
      <c r="H49" s="449"/>
      <c r="I49" s="444"/>
      <c r="J49" s="449"/>
      <c r="K49" s="444" t="s">
        <v>370</v>
      </c>
      <c r="L49" s="450" t="s">
        <v>371</v>
      </c>
      <c r="M49" s="444" t="s">
        <v>384</v>
      </c>
      <c r="N49" s="450"/>
      <c r="O49" s="450"/>
      <c r="P49" s="450" t="s">
        <v>373</v>
      </c>
      <c r="Q49" s="451" t="s">
        <v>374</v>
      </c>
      <c r="R49" s="451" t="s">
        <v>263</v>
      </c>
      <c r="S49" s="452" t="s">
        <v>385</v>
      </c>
      <c r="T49" s="452"/>
      <c r="U49" s="453"/>
      <c r="V49" s="454"/>
      <c r="W49" s="455" t="s">
        <v>406</v>
      </c>
      <c r="X49" s="455">
        <v>45553</v>
      </c>
      <c r="Y49" s="456" t="s">
        <v>377</v>
      </c>
      <c r="Z49" s="457"/>
      <c r="AA49" s="494"/>
    </row>
    <row r="50" spans="1:27" s="128" customFormat="1" ht="36" customHeight="1">
      <c r="A50" s="443">
        <v>39</v>
      </c>
      <c r="B50" s="444" t="s">
        <v>474</v>
      </c>
      <c r="C50" s="445" t="s">
        <v>55</v>
      </c>
      <c r="D50" s="444" t="s">
        <v>475</v>
      </c>
      <c r="E50" s="446">
        <v>3</v>
      </c>
      <c r="F50" s="447"/>
      <c r="G50" s="448">
        <f t="shared" si="1"/>
        <v>0</v>
      </c>
      <c r="H50" s="449"/>
      <c r="I50" s="444"/>
      <c r="J50" s="449"/>
      <c r="K50" s="444" t="s">
        <v>476</v>
      </c>
      <c r="L50" s="450" t="s">
        <v>477</v>
      </c>
      <c r="M50" s="444" t="s">
        <v>478</v>
      </c>
      <c r="N50" s="450"/>
      <c r="O50" s="450"/>
      <c r="P50" s="450" t="s">
        <v>403</v>
      </c>
      <c r="Q50" s="451" t="s">
        <v>374</v>
      </c>
      <c r="R50" s="451" t="s">
        <v>404</v>
      </c>
      <c r="S50" s="452" t="s">
        <v>405</v>
      </c>
      <c r="T50" s="452"/>
      <c r="U50" s="453"/>
      <c r="V50" s="454"/>
      <c r="W50" s="455" t="s">
        <v>406</v>
      </c>
      <c r="X50" s="455">
        <v>45607</v>
      </c>
      <c r="Y50" s="456" t="s">
        <v>377</v>
      </c>
      <c r="Z50" s="457"/>
      <c r="AA50" s="494">
        <v>1</v>
      </c>
    </row>
    <row r="51" spans="1:27" s="128" customFormat="1" ht="36" customHeight="1">
      <c r="A51" s="405">
        <v>40</v>
      </c>
      <c r="B51" s="407" t="s">
        <v>479</v>
      </c>
      <c r="C51" s="406" t="s">
        <v>55</v>
      </c>
      <c r="D51" s="407" t="s">
        <v>480</v>
      </c>
      <c r="E51" s="408">
        <v>6</v>
      </c>
      <c r="F51" s="409"/>
      <c r="G51" s="410">
        <f t="shared" si="1"/>
        <v>0</v>
      </c>
      <c r="H51" s="411"/>
      <c r="I51" s="407"/>
      <c r="J51" s="411"/>
      <c r="K51" s="407" t="s">
        <v>370</v>
      </c>
      <c r="L51" s="412" t="s">
        <v>371</v>
      </c>
      <c r="M51" s="407" t="s">
        <v>402</v>
      </c>
      <c r="N51" s="412"/>
      <c r="O51" s="412"/>
      <c r="P51" s="412" t="s">
        <v>403</v>
      </c>
      <c r="Q51" s="413" t="s">
        <v>374</v>
      </c>
      <c r="R51" s="413" t="s">
        <v>404</v>
      </c>
      <c r="S51" s="414" t="s">
        <v>405</v>
      </c>
      <c r="T51" s="414" t="s">
        <v>481</v>
      </c>
      <c r="U51" s="415"/>
      <c r="V51" s="416"/>
      <c r="W51" s="417"/>
      <c r="X51" s="417"/>
      <c r="Y51" s="418" t="s">
        <v>377</v>
      </c>
      <c r="Z51" s="419"/>
      <c r="AA51" s="492">
        <v>1</v>
      </c>
    </row>
    <row r="52" spans="1:27" s="128" customFormat="1" ht="36" customHeight="1">
      <c r="A52" s="443">
        <v>41</v>
      </c>
      <c r="B52" s="444" t="s">
        <v>482</v>
      </c>
      <c r="C52" s="445" t="s">
        <v>55</v>
      </c>
      <c r="D52" s="444" t="s">
        <v>483</v>
      </c>
      <c r="E52" s="446">
        <v>21</v>
      </c>
      <c r="F52" s="447"/>
      <c r="G52" s="448">
        <f t="shared" si="1"/>
        <v>0</v>
      </c>
      <c r="H52" s="449"/>
      <c r="I52" s="444"/>
      <c r="J52" s="449"/>
      <c r="K52" s="444" t="s">
        <v>370</v>
      </c>
      <c r="L52" s="450" t="s">
        <v>371</v>
      </c>
      <c r="M52" s="444" t="s">
        <v>402</v>
      </c>
      <c r="N52" s="450"/>
      <c r="O52" s="450"/>
      <c r="P52" s="450" t="s">
        <v>403</v>
      </c>
      <c r="Q52" s="451" t="s">
        <v>374</v>
      </c>
      <c r="R52" s="451" t="s">
        <v>404</v>
      </c>
      <c r="S52" s="452" t="s">
        <v>405</v>
      </c>
      <c r="T52" s="452"/>
      <c r="U52" s="453"/>
      <c r="V52" s="454"/>
      <c r="W52" s="455" t="s">
        <v>406</v>
      </c>
      <c r="X52" s="455">
        <v>45607</v>
      </c>
      <c r="Y52" s="456" t="s">
        <v>377</v>
      </c>
      <c r="Z52" s="457"/>
      <c r="AA52" s="494">
        <v>1</v>
      </c>
    </row>
    <row r="53" spans="1:27" s="128" customFormat="1" ht="18" customHeight="1">
      <c r="A53" s="443">
        <v>42</v>
      </c>
      <c r="B53" s="444" t="s">
        <v>484</v>
      </c>
      <c r="C53" s="445" t="s">
        <v>55</v>
      </c>
      <c r="D53" s="444" t="s">
        <v>485</v>
      </c>
      <c r="E53" s="446">
        <v>6</v>
      </c>
      <c r="F53" s="447"/>
      <c r="G53" s="448">
        <f t="shared" si="1"/>
        <v>0</v>
      </c>
      <c r="H53" s="449"/>
      <c r="I53" s="444"/>
      <c r="J53" s="449"/>
      <c r="K53" s="444"/>
      <c r="L53" s="450"/>
      <c r="M53" s="444"/>
      <c r="N53" s="450"/>
      <c r="O53" s="450"/>
      <c r="P53" s="450"/>
      <c r="Q53" s="451" t="s">
        <v>374</v>
      </c>
      <c r="R53" s="451"/>
      <c r="S53" s="452"/>
      <c r="T53" s="452"/>
      <c r="U53" s="453"/>
      <c r="V53" s="454"/>
      <c r="W53" s="455" t="s">
        <v>406</v>
      </c>
      <c r="X53" s="455">
        <v>45525</v>
      </c>
      <c r="Y53" s="456" t="s">
        <v>377</v>
      </c>
      <c r="Z53" s="457"/>
      <c r="AA53" s="494"/>
    </row>
    <row r="54" spans="1:27" s="128" customFormat="1" ht="36" customHeight="1">
      <c r="A54" s="443">
        <v>43</v>
      </c>
      <c r="B54" s="444" t="s">
        <v>486</v>
      </c>
      <c r="C54" s="445" t="s">
        <v>55</v>
      </c>
      <c r="D54" s="444" t="s">
        <v>487</v>
      </c>
      <c r="E54" s="446">
        <v>6</v>
      </c>
      <c r="F54" s="447"/>
      <c r="G54" s="448">
        <f t="shared" si="1"/>
        <v>0</v>
      </c>
      <c r="H54" s="449"/>
      <c r="I54" s="444"/>
      <c r="J54" s="449"/>
      <c r="K54" s="444" t="s">
        <v>370</v>
      </c>
      <c r="L54" s="450" t="s">
        <v>371</v>
      </c>
      <c r="M54" s="444" t="s">
        <v>430</v>
      </c>
      <c r="N54" s="450"/>
      <c r="O54" s="450"/>
      <c r="P54" s="450" t="s">
        <v>431</v>
      </c>
      <c r="Q54" s="451" t="s">
        <v>374</v>
      </c>
      <c r="R54" s="451" t="s">
        <v>432</v>
      </c>
      <c r="S54" s="452" t="s">
        <v>433</v>
      </c>
      <c r="T54" s="452"/>
      <c r="U54" s="453"/>
      <c r="V54" s="454"/>
      <c r="W54" s="455" t="s">
        <v>376</v>
      </c>
      <c r="X54" s="455">
        <v>45546</v>
      </c>
      <c r="Y54" s="456" t="s">
        <v>377</v>
      </c>
      <c r="Z54" s="457"/>
      <c r="AA54" s="494"/>
    </row>
    <row r="55" spans="1:27" s="128" customFormat="1" ht="36" customHeight="1">
      <c r="A55" s="443">
        <v>44</v>
      </c>
      <c r="B55" s="444" t="s">
        <v>488</v>
      </c>
      <c r="C55" s="445" t="s">
        <v>55</v>
      </c>
      <c r="D55" s="444" t="s">
        <v>489</v>
      </c>
      <c r="E55" s="446">
        <v>24</v>
      </c>
      <c r="F55" s="447"/>
      <c r="G55" s="448">
        <f t="shared" si="1"/>
        <v>0</v>
      </c>
      <c r="H55" s="449"/>
      <c r="I55" s="444"/>
      <c r="J55" s="449"/>
      <c r="K55" s="444" t="s">
        <v>370</v>
      </c>
      <c r="L55" s="450" t="s">
        <v>371</v>
      </c>
      <c r="M55" s="444" t="s">
        <v>372</v>
      </c>
      <c r="N55" s="450"/>
      <c r="O55" s="450"/>
      <c r="P55" s="450" t="s">
        <v>373</v>
      </c>
      <c r="Q55" s="451" t="s">
        <v>374</v>
      </c>
      <c r="R55" s="451" t="s">
        <v>249</v>
      </c>
      <c r="S55" s="452" t="s">
        <v>375</v>
      </c>
      <c r="T55" s="452">
        <v>45558</v>
      </c>
      <c r="U55" s="453"/>
      <c r="V55" s="454"/>
      <c r="W55" s="455" t="s">
        <v>376</v>
      </c>
      <c r="X55" s="455">
        <v>45558</v>
      </c>
      <c r="Y55" s="456" t="s">
        <v>377</v>
      </c>
      <c r="Z55" s="457"/>
      <c r="AA55" s="494"/>
    </row>
    <row r="56" spans="1:27" s="128" customFormat="1" ht="36" customHeight="1">
      <c r="A56" s="443">
        <v>45</v>
      </c>
      <c r="B56" s="444" t="s">
        <v>442</v>
      </c>
      <c r="C56" s="445" t="s">
        <v>55</v>
      </c>
      <c r="D56" s="444" t="s">
        <v>490</v>
      </c>
      <c r="E56" s="446">
        <v>9</v>
      </c>
      <c r="F56" s="447"/>
      <c r="G56" s="448">
        <f t="shared" si="1"/>
        <v>0</v>
      </c>
      <c r="H56" s="449"/>
      <c r="I56" s="444"/>
      <c r="J56" s="449"/>
      <c r="K56" s="444" t="s">
        <v>370</v>
      </c>
      <c r="L56" s="450" t="s">
        <v>371</v>
      </c>
      <c r="M56" s="444" t="s">
        <v>444</v>
      </c>
      <c r="N56" s="450"/>
      <c r="O56" s="450"/>
      <c r="P56" s="450" t="s">
        <v>444</v>
      </c>
      <c r="Q56" s="451" t="s">
        <v>374</v>
      </c>
      <c r="R56" s="451" t="s">
        <v>444</v>
      </c>
      <c r="S56" s="452" t="s">
        <v>444</v>
      </c>
      <c r="T56" s="452"/>
      <c r="U56" s="453"/>
      <c r="V56" s="454"/>
      <c r="W56" s="455" t="s">
        <v>376</v>
      </c>
      <c r="X56" s="455">
        <v>45558</v>
      </c>
      <c r="Y56" s="456" t="s">
        <v>377</v>
      </c>
      <c r="Z56" s="457"/>
      <c r="AA56" s="494"/>
    </row>
    <row r="57" spans="1:27" s="128" customFormat="1" ht="36" customHeight="1">
      <c r="A57" s="443">
        <v>46</v>
      </c>
      <c r="B57" s="444" t="s">
        <v>482</v>
      </c>
      <c r="C57" s="445" t="s">
        <v>55</v>
      </c>
      <c r="D57" s="444" t="s">
        <v>483</v>
      </c>
      <c r="E57" s="446">
        <v>9</v>
      </c>
      <c r="F57" s="447"/>
      <c r="G57" s="448">
        <f t="shared" si="1"/>
        <v>0</v>
      </c>
      <c r="H57" s="449"/>
      <c r="I57" s="444"/>
      <c r="J57" s="449"/>
      <c r="K57" s="444" t="s">
        <v>370</v>
      </c>
      <c r="L57" s="450" t="s">
        <v>371</v>
      </c>
      <c r="M57" s="444" t="s">
        <v>402</v>
      </c>
      <c r="N57" s="450"/>
      <c r="O57" s="450"/>
      <c r="P57" s="450" t="s">
        <v>403</v>
      </c>
      <c r="Q57" s="451" t="s">
        <v>374</v>
      </c>
      <c r="R57" s="451" t="s">
        <v>404</v>
      </c>
      <c r="S57" s="452" t="s">
        <v>405</v>
      </c>
      <c r="T57" s="452"/>
      <c r="U57" s="453"/>
      <c r="V57" s="454"/>
      <c r="W57" s="455" t="s">
        <v>406</v>
      </c>
      <c r="X57" s="455">
        <v>45607</v>
      </c>
      <c r="Y57" s="456" t="s">
        <v>377</v>
      </c>
      <c r="Z57" s="457"/>
      <c r="AA57" s="494">
        <v>1</v>
      </c>
    </row>
    <row r="58" spans="1:27" s="128" customFormat="1" ht="36" customHeight="1">
      <c r="A58" s="443">
        <v>47</v>
      </c>
      <c r="B58" s="444" t="s">
        <v>491</v>
      </c>
      <c r="C58" s="445" t="s">
        <v>55</v>
      </c>
      <c r="D58" s="444" t="s">
        <v>492</v>
      </c>
      <c r="E58" s="446">
        <v>12</v>
      </c>
      <c r="F58" s="447"/>
      <c r="G58" s="448">
        <f t="shared" si="1"/>
        <v>0</v>
      </c>
      <c r="H58" s="449"/>
      <c r="I58" s="444"/>
      <c r="J58" s="449"/>
      <c r="K58" s="444" t="s">
        <v>370</v>
      </c>
      <c r="L58" s="450" t="s">
        <v>371</v>
      </c>
      <c r="M58" s="444" t="s">
        <v>372</v>
      </c>
      <c r="N58" s="450"/>
      <c r="O58" s="450"/>
      <c r="P58" s="450" t="s">
        <v>373</v>
      </c>
      <c r="Q58" s="451" t="s">
        <v>374</v>
      </c>
      <c r="R58" s="451" t="s">
        <v>249</v>
      </c>
      <c r="S58" s="452" t="s">
        <v>375</v>
      </c>
      <c r="T58" s="452"/>
      <c r="U58" s="453"/>
      <c r="V58" s="454"/>
      <c r="W58" s="455" t="s">
        <v>376</v>
      </c>
      <c r="X58" s="455">
        <v>45558</v>
      </c>
      <c r="Y58" s="456" t="s">
        <v>377</v>
      </c>
      <c r="Z58" s="457"/>
      <c r="AA58" s="494"/>
    </row>
    <row r="59" spans="1:27" s="128" customFormat="1" ht="36" customHeight="1">
      <c r="A59" s="443">
        <v>48</v>
      </c>
      <c r="B59" s="444" t="s">
        <v>493</v>
      </c>
      <c r="C59" s="445" t="s">
        <v>55</v>
      </c>
      <c r="D59" s="444" t="s">
        <v>494</v>
      </c>
      <c r="E59" s="446">
        <v>12</v>
      </c>
      <c r="F59" s="447"/>
      <c r="G59" s="448">
        <f t="shared" si="1"/>
        <v>0</v>
      </c>
      <c r="H59" s="449"/>
      <c r="I59" s="444"/>
      <c r="J59" s="449"/>
      <c r="K59" s="444" t="s">
        <v>370</v>
      </c>
      <c r="L59" s="450" t="s">
        <v>371</v>
      </c>
      <c r="M59" s="444" t="s">
        <v>372</v>
      </c>
      <c r="N59" s="450"/>
      <c r="O59" s="450"/>
      <c r="P59" s="450" t="s">
        <v>373</v>
      </c>
      <c r="Q59" s="451" t="s">
        <v>374</v>
      </c>
      <c r="R59" s="451" t="s">
        <v>249</v>
      </c>
      <c r="S59" s="452" t="s">
        <v>375</v>
      </c>
      <c r="T59" s="452"/>
      <c r="U59" s="453"/>
      <c r="V59" s="454"/>
      <c r="W59" s="455" t="s">
        <v>376</v>
      </c>
      <c r="X59" s="455">
        <v>45558</v>
      </c>
      <c r="Y59" s="456" t="s">
        <v>377</v>
      </c>
      <c r="Z59" s="457"/>
      <c r="AA59" s="494"/>
    </row>
    <row r="60" spans="1:27" s="128" customFormat="1" ht="36" customHeight="1">
      <c r="A60" s="443">
        <v>49</v>
      </c>
      <c r="B60" s="444" t="s">
        <v>495</v>
      </c>
      <c r="C60" s="445" t="s">
        <v>55</v>
      </c>
      <c r="D60" s="444" t="s">
        <v>496</v>
      </c>
      <c r="E60" s="446">
        <v>6</v>
      </c>
      <c r="F60" s="447"/>
      <c r="G60" s="448">
        <f t="shared" si="1"/>
        <v>0</v>
      </c>
      <c r="H60" s="449"/>
      <c r="I60" s="444"/>
      <c r="J60" s="449"/>
      <c r="K60" s="444" t="s">
        <v>370</v>
      </c>
      <c r="L60" s="450" t="s">
        <v>371</v>
      </c>
      <c r="M60" s="444" t="s">
        <v>384</v>
      </c>
      <c r="N60" s="450"/>
      <c r="O60" s="450"/>
      <c r="P60" s="450" t="s">
        <v>373</v>
      </c>
      <c r="Q60" s="451" t="s">
        <v>374</v>
      </c>
      <c r="R60" s="451" t="s">
        <v>263</v>
      </c>
      <c r="S60" s="452" t="s">
        <v>385</v>
      </c>
      <c r="T60" s="452"/>
      <c r="U60" s="453"/>
      <c r="V60" s="454"/>
      <c r="W60" s="455" t="s">
        <v>376</v>
      </c>
      <c r="X60" s="455">
        <v>45547</v>
      </c>
      <c r="Y60" s="456" t="s">
        <v>377</v>
      </c>
      <c r="Z60" s="457"/>
      <c r="AA60" s="494"/>
    </row>
    <row r="61" spans="1:27" s="128" customFormat="1" ht="18" customHeight="1">
      <c r="A61" s="443">
        <v>50</v>
      </c>
      <c r="B61" s="444" t="s">
        <v>388</v>
      </c>
      <c r="C61" s="445" t="s">
        <v>55</v>
      </c>
      <c r="D61" s="444" t="s">
        <v>389</v>
      </c>
      <c r="E61" s="446">
        <v>3</v>
      </c>
      <c r="F61" s="447"/>
      <c r="G61" s="448">
        <f t="shared" si="1"/>
        <v>0</v>
      </c>
      <c r="H61" s="449"/>
      <c r="I61" s="444"/>
      <c r="J61" s="449"/>
      <c r="K61" s="444" t="s">
        <v>370</v>
      </c>
      <c r="L61" s="450" t="s">
        <v>371</v>
      </c>
      <c r="M61" s="444" t="s">
        <v>384</v>
      </c>
      <c r="N61" s="450"/>
      <c r="O61" s="450"/>
      <c r="P61" s="450" t="s">
        <v>373</v>
      </c>
      <c r="Q61" s="451" t="s">
        <v>374</v>
      </c>
      <c r="R61" s="451" t="s">
        <v>263</v>
      </c>
      <c r="S61" s="452" t="s">
        <v>385</v>
      </c>
      <c r="T61" s="452"/>
      <c r="U61" s="453"/>
      <c r="V61" s="454"/>
      <c r="W61" s="455" t="s">
        <v>376</v>
      </c>
      <c r="X61" s="455">
        <v>45547</v>
      </c>
      <c r="Y61" s="456" t="s">
        <v>377</v>
      </c>
      <c r="Z61" s="457"/>
      <c r="AA61" s="494"/>
    </row>
    <row r="62" spans="1:27" s="128" customFormat="1" ht="36" customHeight="1">
      <c r="A62" s="443">
        <v>51</v>
      </c>
      <c r="B62" s="444" t="s">
        <v>497</v>
      </c>
      <c r="C62" s="445" t="s">
        <v>55</v>
      </c>
      <c r="D62" s="444" t="s">
        <v>498</v>
      </c>
      <c r="E62" s="446">
        <v>3</v>
      </c>
      <c r="F62" s="447"/>
      <c r="G62" s="448">
        <f t="shared" si="1"/>
        <v>0</v>
      </c>
      <c r="H62" s="449"/>
      <c r="I62" s="444"/>
      <c r="J62" s="449"/>
      <c r="K62" s="444" t="s">
        <v>370</v>
      </c>
      <c r="L62" s="450" t="s">
        <v>371</v>
      </c>
      <c r="M62" s="444" t="s">
        <v>384</v>
      </c>
      <c r="N62" s="450"/>
      <c r="O62" s="450"/>
      <c r="P62" s="450" t="s">
        <v>373</v>
      </c>
      <c r="Q62" s="451" t="s">
        <v>374</v>
      </c>
      <c r="R62" s="451" t="s">
        <v>263</v>
      </c>
      <c r="S62" s="452" t="s">
        <v>425</v>
      </c>
      <c r="T62" s="452">
        <v>45588</v>
      </c>
      <c r="U62" s="453"/>
      <c r="V62" s="454"/>
      <c r="W62" s="455" t="s">
        <v>406</v>
      </c>
      <c r="X62" s="455">
        <v>45560</v>
      </c>
      <c r="Y62" s="456" t="s">
        <v>377</v>
      </c>
      <c r="Z62" s="457"/>
      <c r="AA62" s="494"/>
    </row>
    <row r="63" spans="1:27" s="128" customFormat="1" ht="18" customHeight="1">
      <c r="A63" s="443">
        <v>52</v>
      </c>
      <c r="B63" s="444" t="s">
        <v>499</v>
      </c>
      <c r="C63" s="445" t="s">
        <v>55</v>
      </c>
      <c r="D63" s="444" t="s">
        <v>500</v>
      </c>
      <c r="E63" s="446">
        <v>3</v>
      </c>
      <c r="F63" s="447"/>
      <c r="G63" s="448">
        <f t="shared" si="1"/>
        <v>0</v>
      </c>
      <c r="H63" s="449"/>
      <c r="I63" s="444"/>
      <c r="J63" s="449"/>
      <c r="K63" s="444"/>
      <c r="L63" s="450"/>
      <c r="M63" s="444"/>
      <c r="N63" s="450"/>
      <c r="O63" s="450"/>
      <c r="P63" s="450"/>
      <c r="Q63" s="451" t="s">
        <v>374</v>
      </c>
      <c r="R63" s="451"/>
      <c r="S63" s="452"/>
      <c r="T63" s="452"/>
      <c r="U63" s="453"/>
      <c r="V63" s="454"/>
      <c r="W63" s="455" t="s">
        <v>406</v>
      </c>
      <c r="X63" s="455">
        <v>45518</v>
      </c>
      <c r="Y63" s="456" t="s">
        <v>377</v>
      </c>
      <c r="Z63" s="457"/>
      <c r="AA63" s="494"/>
    </row>
    <row r="64" spans="1:27" s="128" customFormat="1" ht="36" customHeight="1">
      <c r="A64" s="443">
        <v>53</v>
      </c>
      <c r="B64" s="444" t="s">
        <v>501</v>
      </c>
      <c r="C64" s="445" t="s">
        <v>55</v>
      </c>
      <c r="D64" s="444" t="s">
        <v>502</v>
      </c>
      <c r="E64" s="446">
        <v>3</v>
      </c>
      <c r="F64" s="447"/>
      <c r="G64" s="448">
        <f t="shared" si="1"/>
        <v>0</v>
      </c>
      <c r="H64" s="449"/>
      <c r="I64" s="444"/>
      <c r="J64" s="449"/>
      <c r="K64" s="444" t="s">
        <v>370</v>
      </c>
      <c r="L64" s="450" t="s">
        <v>371</v>
      </c>
      <c r="M64" s="444" t="s">
        <v>384</v>
      </c>
      <c r="N64" s="450"/>
      <c r="O64" s="450"/>
      <c r="P64" s="450" t="s">
        <v>373</v>
      </c>
      <c r="Q64" s="451" t="s">
        <v>374</v>
      </c>
      <c r="R64" s="451" t="s">
        <v>263</v>
      </c>
      <c r="S64" s="452" t="s">
        <v>425</v>
      </c>
      <c r="T64" s="452"/>
      <c r="U64" s="453"/>
      <c r="V64" s="454"/>
      <c r="W64" s="455" t="s">
        <v>406</v>
      </c>
      <c r="X64" s="455">
        <v>45553</v>
      </c>
      <c r="Y64" s="456" t="s">
        <v>377</v>
      </c>
      <c r="Z64" s="457"/>
      <c r="AA64" s="494"/>
    </row>
    <row r="65" spans="1:27" s="128" customFormat="1" ht="36" customHeight="1">
      <c r="A65" s="443">
        <v>54</v>
      </c>
      <c r="B65" s="444" t="s">
        <v>503</v>
      </c>
      <c r="C65" s="445" t="s">
        <v>55</v>
      </c>
      <c r="D65" s="444" t="s">
        <v>504</v>
      </c>
      <c r="E65" s="446">
        <v>12</v>
      </c>
      <c r="F65" s="447"/>
      <c r="G65" s="448">
        <f t="shared" si="1"/>
        <v>0</v>
      </c>
      <c r="H65" s="449"/>
      <c r="I65" s="444"/>
      <c r="J65" s="449"/>
      <c r="K65" s="444" t="s">
        <v>370</v>
      </c>
      <c r="L65" s="450" t="s">
        <v>371</v>
      </c>
      <c r="M65" s="444" t="s">
        <v>372</v>
      </c>
      <c r="N65" s="450"/>
      <c r="O65" s="450"/>
      <c r="P65" s="450" t="s">
        <v>373</v>
      </c>
      <c r="Q65" s="451" t="s">
        <v>374</v>
      </c>
      <c r="R65" s="451" t="s">
        <v>249</v>
      </c>
      <c r="S65" s="452" t="s">
        <v>375</v>
      </c>
      <c r="T65" s="452">
        <v>45558</v>
      </c>
      <c r="U65" s="453"/>
      <c r="V65" s="454"/>
      <c r="W65" s="455" t="s">
        <v>376</v>
      </c>
      <c r="X65" s="455">
        <v>45558</v>
      </c>
      <c r="Y65" s="456" t="s">
        <v>377</v>
      </c>
      <c r="Z65" s="457"/>
      <c r="AA65" s="494"/>
    </row>
    <row r="66" spans="1:27" s="128" customFormat="1" ht="36" customHeight="1">
      <c r="A66" s="443">
        <v>55</v>
      </c>
      <c r="B66" s="444" t="s">
        <v>505</v>
      </c>
      <c r="C66" s="445" t="s">
        <v>55</v>
      </c>
      <c r="D66" s="444" t="s">
        <v>506</v>
      </c>
      <c r="E66" s="446">
        <v>3</v>
      </c>
      <c r="F66" s="447"/>
      <c r="G66" s="448">
        <f t="shared" si="1"/>
        <v>0</v>
      </c>
      <c r="H66" s="449"/>
      <c r="I66" s="444"/>
      <c r="J66" s="449"/>
      <c r="K66" s="444" t="s">
        <v>370</v>
      </c>
      <c r="L66" s="450" t="s">
        <v>371</v>
      </c>
      <c r="M66" s="444" t="s">
        <v>372</v>
      </c>
      <c r="N66" s="450"/>
      <c r="O66" s="450"/>
      <c r="P66" s="450" t="s">
        <v>373</v>
      </c>
      <c r="Q66" s="451" t="s">
        <v>374</v>
      </c>
      <c r="R66" s="451" t="s">
        <v>249</v>
      </c>
      <c r="S66" s="452" t="s">
        <v>375</v>
      </c>
      <c r="T66" s="452">
        <v>45558</v>
      </c>
      <c r="U66" s="453"/>
      <c r="V66" s="454"/>
      <c r="W66" s="455" t="s">
        <v>376</v>
      </c>
      <c r="X66" s="455">
        <v>45558</v>
      </c>
      <c r="Y66" s="456" t="s">
        <v>377</v>
      </c>
      <c r="Z66" s="457"/>
      <c r="AA66" s="494"/>
    </row>
    <row r="67" spans="1:27" s="128" customFormat="1" ht="36" customHeight="1">
      <c r="A67" s="443">
        <v>56</v>
      </c>
      <c r="B67" s="444" t="s">
        <v>507</v>
      </c>
      <c r="C67" s="445" t="s">
        <v>55</v>
      </c>
      <c r="D67" s="444" t="s">
        <v>508</v>
      </c>
      <c r="E67" s="446">
        <v>3</v>
      </c>
      <c r="F67" s="447"/>
      <c r="G67" s="448">
        <f t="shared" si="1"/>
        <v>0</v>
      </c>
      <c r="H67" s="449"/>
      <c r="I67" s="444"/>
      <c r="J67" s="449"/>
      <c r="K67" s="444" t="s">
        <v>370</v>
      </c>
      <c r="L67" s="450" t="s">
        <v>371</v>
      </c>
      <c r="M67" s="444" t="s">
        <v>372</v>
      </c>
      <c r="N67" s="450"/>
      <c r="O67" s="450"/>
      <c r="P67" s="450" t="s">
        <v>373</v>
      </c>
      <c r="Q67" s="451" t="s">
        <v>374</v>
      </c>
      <c r="R67" s="451" t="s">
        <v>249</v>
      </c>
      <c r="S67" s="452" t="s">
        <v>375</v>
      </c>
      <c r="T67" s="452">
        <v>45558</v>
      </c>
      <c r="U67" s="453"/>
      <c r="V67" s="454"/>
      <c r="W67" s="455" t="s">
        <v>376</v>
      </c>
      <c r="X67" s="455">
        <v>45558</v>
      </c>
      <c r="Y67" s="456" t="s">
        <v>377</v>
      </c>
      <c r="Z67" s="457"/>
      <c r="AA67" s="494"/>
    </row>
    <row r="68" spans="1:27" s="128" customFormat="1" ht="36" customHeight="1">
      <c r="A68" s="443">
        <v>57</v>
      </c>
      <c r="B68" s="444" t="s">
        <v>509</v>
      </c>
      <c r="C68" s="445" t="s">
        <v>55</v>
      </c>
      <c r="D68" s="444" t="s">
        <v>510</v>
      </c>
      <c r="E68" s="446">
        <v>3</v>
      </c>
      <c r="F68" s="447"/>
      <c r="G68" s="448">
        <f t="shared" si="1"/>
        <v>0</v>
      </c>
      <c r="H68" s="449"/>
      <c r="I68" s="444"/>
      <c r="J68" s="449"/>
      <c r="K68" s="444" t="s">
        <v>370</v>
      </c>
      <c r="L68" s="450" t="s">
        <v>371</v>
      </c>
      <c r="M68" s="444" t="s">
        <v>372</v>
      </c>
      <c r="N68" s="450"/>
      <c r="O68" s="450"/>
      <c r="P68" s="450" t="s">
        <v>373</v>
      </c>
      <c r="Q68" s="451" t="s">
        <v>374</v>
      </c>
      <c r="R68" s="451" t="s">
        <v>249</v>
      </c>
      <c r="S68" s="452" t="s">
        <v>375</v>
      </c>
      <c r="T68" s="452">
        <v>45558</v>
      </c>
      <c r="U68" s="453"/>
      <c r="V68" s="454"/>
      <c r="W68" s="455" t="s">
        <v>376</v>
      </c>
      <c r="X68" s="455">
        <v>45558</v>
      </c>
      <c r="Y68" s="456" t="s">
        <v>377</v>
      </c>
      <c r="Z68" s="457"/>
      <c r="AA68" s="494"/>
    </row>
    <row r="69" spans="1:27" s="128" customFormat="1" ht="36" customHeight="1">
      <c r="A69" s="443">
        <v>58</v>
      </c>
      <c r="B69" s="444" t="s">
        <v>511</v>
      </c>
      <c r="C69" s="445" t="s">
        <v>55</v>
      </c>
      <c r="D69" s="444" t="s">
        <v>512</v>
      </c>
      <c r="E69" s="446">
        <v>6</v>
      </c>
      <c r="F69" s="447"/>
      <c r="G69" s="448">
        <f t="shared" si="1"/>
        <v>0</v>
      </c>
      <c r="H69" s="449"/>
      <c r="I69" s="444"/>
      <c r="J69" s="449"/>
      <c r="K69" s="444" t="s">
        <v>370</v>
      </c>
      <c r="L69" s="450" t="s">
        <v>371</v>
      </c>
      <c r="M69" s="444" t="s">
        <v>372</v>
      </c>
      <c r="N69" s="450"/>
      <c r="O69" s="450"/>
      <c r="P69" s="450" t="s">
        <v>373</v>
      </c>
      <c r="Q69" s="451" t="s">
        <v>374</v>
      </c>
      <c r="R69" s="451" t="s">
        <v>249</v>
      </c>
      <c r="S69" s="452" t="s">
        <v>375</v>
      </c>
      <c r="T69" s="452">
        <v>45558</v>
      </c>
      <c r="U69" s="453"/>
      <c r="V69" s="454"/>
      <c r="W69" s="455" t="s">
        <v>376</v>
      </c>
      <c r="X69" s="455">
        <v>45558</v>
      </c>
      <c r="Y69" s="456" t="s">
        <v>377</v>
      </c>
      <c r="Z69" s="457"/>
      <c r="AA69" s="494"/>
    </row>
    <row r="70" spans="1:27" s="128" customFormat="1" ht="36" customHeight="1">
      <c r="A70" s="443">
        <v>59</v>
      </c>
      <c r="B70" s="444" t="s">
        <v>513</v>
      </c>
      <c r="C70" s="445" t="s">
        <v>55</v>
      </c>
      <c r="D70" s="444" t="s">
        <v>514</v>
      </c>
      <c r="E70" s="446">
        <v>6</v>
      </c>
      <c r="F70" s="447"/>
      <c r="G70" s="448">
        <f t="shared" si="1"/>
        <v>0</v>
      </c>
      <c r="H70" s="449"/>
      <c r="I70" s="444"/>
      <c r="J70" s="449"/>
      <c r="K70" s="444" t="s">
        <v>370</v>
      </c>
      <c r="L70" s="450" t="s">
        <v>371</v>
      </c>
      <c r="M70" s="444" t="s">
        <v>372</v>
      </c>
      <c r="N70" s="450"/>
      <c r="O70" s="450"/>
      <c r="P70" s="450" t="s">
        <v>373</v>
      </c>
      <c r="Q70" s="451" t="s">
        <v>374</v>
      </c>
      <c r="R70" s="451" t="s">
        <v>249</v>
      </c>
      <c r="S70" s="452" t="s">
        <v>375</v>
      </c>
      <c r="T70" s="452">
        <v>45558</v>
      </c>
      <c r="U70" s="453"/>
      <c r="V70" s="454"/>
      <c r="W70" s="455" t="s">
        <v>376</v>
      </c>
      <c r="X70" s="455">
        <v>45558</v>
      </c>
      <c r="Y70" s="456" t="s">
        <v>377</v>
      </c>
      <c r="Z70" s="457"/>
      <c r="AA70" s="494"/>
    </row>
    <row r="71" spans="1:27" s="128" customFormat="1" ht="36" customHeight="1">
      <c r="A71" s="443">
        <v>60</v>
      </c>
      <c r="B71" s="444" t="s">
        <v>515</v>
      </c>
      <c r="C71" s="445" t="s">
        <v>55</v>
      </c>
      <c r="D71" s="444" t="s">
        <v>516</v>
      </c>
      <c r="E71" s="446">
        <v>3</v>
      </c>
      <c r="F71" s="447"/>
      <c r="G71" s="448">
        <f t="shared" si="1"/>
        <v>0</v>
      </c>
      <c r="H71" s="449"/>
      <c r="I71" s="444"/>
      <c r="J71" s="449"/>
      <c r="K71" s="444" t="s">
        <v>370</v>
      </c>
      <c r="L71" s="450" t="s">
        <v>371</v>
      </c>
      <c r="M71" s="444" t="s">
        <v>372</v>
      </c>
      <c r="N71" s="450"/>
      <c r="O71" s="450"/>
      <c r="P71" s="450" t="s">
        <v>373</v>
      </c>
      <c r="Q71" s="451" t="s">
        <v>374</v>
      </c>
      <c r="R71" s="451" t="s">
        <v>249</v>
      </c>
      <c r="S71" s="452" t="s">
        <v>375</v>
      </c>
      <c r="T71" s="452">
        <v>45558</v>
      </c>
      <c r="U71" s="453"/>
      <c r="V71" s="454"/>
      <c r="W71" s="455" t="s">
        <v>376</v>
      </c>
      <c r="X71" s="455">
        <v>45558</v>
      </c>
      <c r="Y71" s="456" t="s">
        <v>377</v>
      </c>
      <c r="Z71" s="457"/>
      <c r="AA71" s="494"/>
    </row>
    <row r="72" spans="1:27" s="128" customFormat="1" ht="36" customHeight="1">
      <c r="A72" s="443">
        <v>61</v>
      </c>
      <c r="B72" s="444" t="s">
        <v>517</v>
      </c>
      <c r="C72" s="445" t="s">
        <v>55</v>
      </c>
      <c r="D72" s="444" t="s">
        <v>518</v>
      </c>
      <c r="E72" s="446">
        <v>3</v>
      </c>
      <c r="F72" s="447"/>
      <c r="G72" s="448">
        <f t="shared" si="1"/>
        <v>0</v>
      </c>
      <c r="H72" s="449"/>
      <c r="I72" s="444"/>
      <c r="J72" s="449"/>
      <c r="K72" s="444" t="s">
        <v>370</v>
      </c>
      <c r="L72" s="450" t="s">
        <v>371</v>
      </c>
      <c r="M72" s="444" t="s">
        <v>372</v>
      </c>
      <c r="N72" s="450"/>
      <c r="O72" s="450"/>
      <c r="P72" s="450" t="s">
        <v>373</v>
      </c>
      <c r="Q72" s="451" t="s">
        <v>374</v>
      </c>
      <c r="R72" s="451" t="s">
        <v>249</v>
      </c>
      <c r="S72" s="452" t="s">
        <v>375</v>
      </c>
      <c r="T72" s="452">
        <v>45558</v>
      </c>
      <c r="U72" s="453"/>
      <c r="V72" s="454"/>
      <c r="W72" s="455" t="s">
        <v>376</v>
      </c>
      <c r="X72" s="455">
        <v>45558</v>
      </c>
      <c r="Y72" s="456" t="s">
        <v>377</v>
      </c>
      <c r="Z72" s="457"/>
      <c r="AA72" s="494"/>
    </row>
    <row r="73" spans="1:27" s="128" customFormat="1" ht="36" customHeight="1">
      <c r="A73" s="443">
        <v>62</v>
      </c>
      <c r="B73" s="444" t="s">
        <v>519</v>
      </c>
      <c r="C73" s="445" t="s">
        <v>55</v>
      </c>
      <c r="D73" s="444" t="s">
        <v>520</v>
      </c>
      <c r="E73" s="446">
        <v>6</v>
      </c>
      <c r="F73" s="447"/>
      <c r="G73" s="448">
        <f t="shared" si="1"/>
        <v>0</v>
      </c>
      <c r="H73" s="449"/>
      <c r="I73" s="444"/>
      <c r="J73" s="449"/>
      <c r="K73" s="444" t="s">
        <v>370</v>
      </c>
      <c r="L73" s="450" t="s">
        <v>371</v>
      </c>
      <c r="M73" s="444" t="s">
        <v>372</v>
      </c>
      <c r="N73" s="450"/>
      <c r="O73" s="450"/>
      <c r="P73" s="450" t="s">
        <v>373</v>
      </c>
      <c r="Q73" s="451" t="s">
        <v>374</v>
      </c>
      <c r="R73" s="451" t="s">
        <v>249</v>
      </c>
      <c r="S73" s="452" t="s">
        <v>375</v>
      </c>
      <c r="T73" s="452">
        <v>45558</v>
      </c>
      <c r="U73" s="453"/>
      <c r="V73" s="454"/>
      <c r="W73" s="455" t="s">
        <v>376</v>
      </c>
      <c r="X73" s="455">
        <v>45558</v>
      </c>
      <c r="Y73" s="456" t="s">
        <v>377</v>
      </c>
      <c r="Z73" s="457"/>
      <c r="AA73" s="494"/>
    </row>
    <row r="74" spans="1:27" s="128" customFormat="1" ht="36" customHeight="1">
      <c r="A74" s="443">
        <v>63</v>
      </c>
      <c r="B74" s="444" t="s">
        <v>521</v>
      </c>
      <c r="C74" s="445" t="s">
        <v>55</v>
      </c>
      <c r="D74" s="444" t="s">
        <v>522</v>
      </c>
      <c r="E74" s="446">
        <v>6</v>
      </c>
      <c r="F74" s="447"/>
      <c r="G74" s="448">
        <f t="shared" si="1"/>
        <v>0</v>
      </c>
      <c r="H74" s="449"/>
      <c r="I74" s="444"/>
      <c r="J74" s="449"/>
      <c r="K74" s="444" t="s">
        <v>370</v>
      </c>
      <c r="L74" s="450" t="s">
        <v>371</v>
      </c>
      <c r="M74" s="444" t="s">
        <v>372</v>
      </c>
      <c r="N74" s="450"/>
      <c r="O74" s="450"/>
      <c r="P74" s="450" t="s">
        <v>373</v>
      </c>
      <c r="Q74" s="451" t="s">
        <v>374</v>
      </c>
      <c r="R74" s="451" t="s">
        <v>249</v>
      </c>
      <c r="S74" s="452" t="s">
        <v>375</v>
      </c>
      <c r="T74" s="452">
        <v>45558</v>
      </c>
      <c r="U74" s="453"/>
      <c r="V74" s="454"/>
      <c r="W74" s="455" t="s">
        <v>376</v>
      </c>
      <c r="X74" s="455">
        <v>45558</v>
      </c>
      <c r="Y74" s="456" t="s">
        <v>377</v>
      </c>
      <c r="Z74" s="457"/>
      <c r="AA74" s="494"/>
    </row>
    <row r="75" spans="1:27" s="128" customFormat="1" ht="36" customHeight="1">
      <c r="A75" s="443">
        <v>64</v>
      </c>
      <c r="B75" s="444" t="s">
        <v>523</v>
      </c>
      <c r="C75" s="445" t="s">
        <v>55</v>
      </c>
      <c r="D75" s="444" t="s">
        <v>524</v>
      </c>
      <c r="E75" s="446">
        <v>6</v>
      </c>
      <c r="F75" s="447"/>
      <c r="G75" s="448">
        <f t="shared" si="1"/>
        <v>0</v>
      </c>
      <c r="H75" s="449"/>
      <c r="I75" s="444"/>
      <c r="J75" s="449"/>
      <c r="K75" s="444" t="s">
        <v>370</v>
      </c>
      <c r="L75" s="450" t="s">
        <v>371</v>
      </c>
      <c r="M75" s="444" t="s">
        <v>372</v>
      </c>
      <c r="N75" s="450"/>
      <c r="O75" s="450"/>
      <c r="P75" s="450" t="s">
        <v>373</v>
      </c>
      <c r="Q75" s="451" t="s">
        <v>374</v>
      </c>
      <c r="R75" s="451" t="s">
        <v>249</v>
      </c>
      <c r="S75" s="452" t="s">
        <v>375</v>
      </c>
      <c r="T75" s="452">
        <v>45558</v>
      </c>
      <c r="U75" s="453"/>
      <c r="V75" s="454"/>
      <c r="W75" s="455" t="s">
        <v>376</v>
      </c>
      <c r="X75" s="455">
        <v>45558</v>
      </c>
      <c r="Y75" s="456" t="s">
        <v>377</v>
      </c>
      <c r="Z75" s="457"/>
      <c r="AA75" s="494"/>
    </row>
    <row r="76" spans="1:27" s="128" customFormat="1" ht="36" customHeight="1">
      <c r="A76" s="443">
        <v>65</v>
      </c>
      <c r="B76" s="444" t="s">
        <v>525</v>
      </c>
      <c r="C76" s="445" t="s">
        <v>55</v>
      </c>
      <c r="D76" s="444" t="s">
        <v>526</v>
      </c>
      <c r="E76" s="446">
        <v>12</v>
      </c>
      <c r="F76" s="447"/>
      <c r="G76" s="448">
        <f t="shared" ref="G76:G107" si="2">E76*F76</f>
        <v>0</v>
      </c>
      <c r="H76" s="449"/>
      <c r="I76" s="444"/>
      <c r="J76" s="449"/>
      <c r="K76" s="444" t="s">
        <v>370</v>
      </c>
      <c r="L76" s="450" t="s">
        <v>371</v>
      </c>
      <c r="M76" s="444" t="s">
        <v>372</v>
      </c>
      <c r="N76" s="450"/>
      <c r="O76" s="450"/>
      <c r="P76" s="450" t="s">
        <v>373</v>
      </c>
      <c r="Q76" s="451" t="s">
        <v>374</v>
      </c>
      <c r="R76" s="451" t="s">
        <v>249</v>
      </c>
      <c r="S76" s="452" t="s">
        <v>375</v>
      </c>
      <c r="T76" s="452">
        <v>45558</v>
      </c>
      <c r="U76" s="453"/>
      <c r="V76" s="454"/>
      <c r="W76" s="455" t="s">
        <v>376</v>
      </c>
      <c r="X76" s="455">
        <v>45558</v>
      </c>
      <c r="Y76" s="456" t="s">
        <v>377</v>
      </c>
      <c r="Z76" s="457"/>
      <c r="AA76" s="494"/>
    </row>
    <row r="77" spans="1:27" s="128" customFormat="1" ht="36" customHeight="1">
      <c r="A77" s="443">
        <v>66</v>
      </c>
      <c r="B77" s="444" t="s">
        <v>527</v>
      </c>
      <c r="C77" s="445" t="s">
        <v>55</v>
      </c>
      <c r="D77" s="444" t="s">
        <v>528</v>
      </c>
      <c r="E77" s="446">
        <v>12</v>
      </c>
      <c r="F77" s="447"/>
      <c r="G77" s="448">
        <f t="shared" si="2"/>
        <v>0</v>
      </c>
      <c r="H77" s="449"/>
      <c r="I77" s="444"/>
      <c r="J77" s="449"/>
      <c r="K77" s="444" t="s">
        <v>370</v>
      </c>
      <c r="L77" s="450" t="s">
        <v>371</v>
      </c>
      <c r="M77" s="444" t="s">
        <v>372</v>
      </c>
      <c r="N77" s="450"/>
      <c r="O77" s="450"/>
      <c r="P77" s="450" t="s">
        <v>373</v>
      </c>
      <c r="Q77" s="451" t="s">
        <v>374</v>
      </c>
      <c r="R77" s="451" t="s">
        <v>249</v>
      </c>
      <c r="S77" s="452" t="s">
        <v>375</v>
      </c>
      <c r="T77" s="452">
        <v>45558</v>
      </c>
      <c r="U77" s="453"/>
      <c r="V77" s="454"/>
      <c r="W77" s="455" t="s">
        <v>376</v>
      </c>
      <c r="X77" s="455">
        <v>45558</v>
      </c>
      <c r="Y77" s="456" t="s">
        <v>377</v>
      </c>
      <c r="Z77" s="457"/>
      <c r="AA77" s="494"/>
    </row>
    <row r="78" spans="1:27" s="128" customFormat="1" ht="36" customHeight="1">
      <c r="A78" s="443">
        <v>67</v>
      </c>
      <c r="B78" s="444" t="s">
        <v>442</v>
      </c>
      <c r="C78" s="445" t="s">
        <v>55</v>
      </c>
      <c r="D78" s="444" t="s">
        <v>443</v>
      </c>
      <c r="E78" s="446">
        <v>6</v>
      </c>
      <c r="F78" s="447"/>
      <c r="G78" s="448">
        <f t="shared" si="2"/>
        <v>0</v>
      </c>
      <c r="H78" s="449"/>
      <c r="I78" s="444"/>
      <c r="J78" s="449"/>
      <c r="K78" s="444" t="s">
        <v>370</v>
      </c>
      <c r="L78" s="450" t="s">
        <v>371</v>
      </c>
      <c r="M78" s="444" t="s">
        <v>444</v>
      </c>
      <c r="N78" s="450"/>
      <c r="O78" s="450"/>
      <c r="P78" s="450" t="s">
        <v>444</v>
      </c>
      <c r="Q78" s="451" t="s">
        <v>374</v>
      </c>
      <c r="R78" s="451" t="s">
        <v>444</v>
      </c>
      <c r="S78" s="452" t="s">
        <v>444</v>
      </c>
      <c r="T78" s="452">
        <v>45558</v>
      </c>
      <c r="U78" s="453"/>
      <c r="V78" s="454"/>
      <c r="W78" s="455" t="s">
        <v>376</v>
      </c>
      <c r="X78" s="455">
        <v>45558</v>
      </c>
      <c r="Y78" s="456" t="s">
        <v>377</v>
      </c>
      <c r="Z78" s="457"/>
      <c r="AA78" s="494"/>
    </row>
    <row r="79" spans="1:27" s="128" customFormat="1" ht="36" customHeight="1">
      <c r="A79" s="443">
        <v>68</v>
      </c>
      <c r="B79" s="444" t="s">
        <v>529</v>
      </c>
      <c r="C79" s="445" t="s">
        <v>55</v>
      </c>
      <c r="D79" s="444" t="s">
        <v>530</v>
      </c>
      <c r="E79" s="446">
        <v>3</v>
      </c>
      <c r="F79" s="447"/>
      <c r="G79" s="448">
        <f t="shared" si="2"/>
        <v>0</v>
      </c>
      <c r="H79" s="449"/>
      <c r="I79" s="444"/>
      <c r="J79" s="449"/>
      <c r="K79" s="444" t="s">
        <v>370</v>
      </c>
      <c r="L79" s="450" t="s">
        <v>371</v>
      </c>
      <c r="M79" s="444" t="s">
        <v>372</v>
      </c>
      <c r="N79" s="450"/>
      <c r="O79" s="450"/>
      <c r="P79" s="450" t="s">
        <v>373</v>
      </c>
      <c r="Q79" s="451" t="s">
        <v>374</v>
      </c>
      <c r="R79" s="451" t="s">
        <v>249</v>
      </c>
      <c r="S79" s="452" t="s">
        <v>375</v>
      </c>
      <c r="T79" s="452">
        <v>45558</v>
      </c>
      <c r="U79" s="453"/>
      <c r="V79" s="454"/>
      <c r="W79" s="455" t="s">
        <v>376</v>
      </c>
      <c r="X79" s="455">
        <v>45558</v>
      </c>
      <c r="Y79" s="456" t="s">
        <v>377</v>
      </c>
      <c r="Z79" s="457"/>
      <c r="AA79" s="494"/>
    </row>
    <row r="80" spans="1:27" s="128" customFormat="1" ht="36" customHeight="1">
      <c r="A80" s="443">
        <v>69</v>
      </c>
      <c r="B80" s="444" t="s">
        <v>531</v>
      </c>
      <c r="C80" s="445" t="s">
        <v>55</v>
      </c>
      <c r="D80" s="444" t="s">
        <v>532</v>
      </c>
      <c r="E80" s="446">
        <v>12</v>
      </c>
      <c r="F80" s="447"/>
      <c r="G80" s="448">
        <f t="shared" si="2"/>
        <v>0</v>
      </c>
      <c r="H80" s="449"/>
      <c r="I80" s="444"/>
      <c r="J80" s="449"/>
      <c r="K80" s="444" t="s">
        <v>370</v>
      </c>
      <c r="L80" s="450" t="s">
        <v>371</v>
      </c>
      <c r="M80" s="444" t="s">
        <v>372</v>
      </c>
      <c r="N80" s="450"/>
      <c r="O80" s="450"/>
      <c r="P80" s="450" t="s">
        <v>373</v>
      </c>
      <c r="Q80" s="451" t="s">
        <v>374</v>
      </c>
      <c r="R80" s="451" t="s">
        <v>249</v>
      </c>
      <c r="S80" s="452" t="s">
        <v>375</v>
      </c>
      <c r="T80" s="452">
        <v>45558</v>
      </c>
      <c r="U80" s="453"/>
      <c r="V80" s="454"/>
      <c r="W80" s="455" t="s">
        <v>376</v>
      </c>
      <c r="X80" s="455">
        <v>45558</v>
      </c>
      <c r="Y80" s="456" t="s">
        <v>377</v>
      </c>
      <c r="Z80" s="457"/>
      <c r="AA80" s="494"/>
    </row>
    <row r="81" spans="1:27" s="128" customFormat="1" ht="36" customHeight="1">
      <c r="A81" s="443">
        <v>70</v>
      </c>
      <c r="B81" s="444" t="s">
        <v>533</v>
      </c>
      <c r="C81" s="445" t="s">
        <v>55</v>
      </c>
      <c r="D81" s="444" t="s">
        <v>534</v>
      </c>
      <c r="E81" s="446">
        <v>3</v>
      </c>
      <c r="F81" s="447"/>
      <c r="G81" s="448">
        <f t="shared" si="2"/>
        <v>0</v>
      </c>
      <c r="H81" s="449"/>
      <c r="I81" s="444"/>
      <c r="J81" s="449"/>
      <c r="K81" s="444" t="s">
        <v>370</v>
      </c>
      <c r="L81" s="450" t="s">
        <v>371</v>
      </c>
      <c r="M81" s="444" t="s">
        <v>384</v>
      </c>
      <c r="N81" s="450"/>
      <c r="O81" s="450"/>
      <c r="P81" s="450" t="s">
        <v>373</v>
      </c>
      <c r="Q81" s="451" t="s">
        <v>374</v>
      </c>
      <c r="R81" s="451" t="s">
        <v>263</v>
      </c>
      <c r="S81" s="452" t="s">
        <v>425</v>
      </c>
      <c r="T81" s="452"/>
      <c r="U81" s="453"/>
      <c r="V81" s="454"/>
      <c r="W81" s="455" t="s">
        <v>406</v>
      </c>
      <c r="X81" s="455">
        <v>45576</v>
      </c>
      <c r="Y81" s="456" t="s">
        <v>377</v>
      </c>
      <c r="Z81" s="457"/>
      <c r="AA81" s="494"/>
    </row>
    <row r="82" spans="1:27" s="128" customFormat="1" ht="36" customHeight="1">
      <c r="A82" s="443">
        <v>71</v>
      </c>
      <c r="B82" s="444" t="s">
        <v>535</v>
      </c>
      <c r="C82" s="445" t="s">
        <v>55</v>
      </c>
      <c r="D82" s="444" t="s">
        <v>536</v>
      </c>
      <c r="E82" s="446">
        <v>3</v>
      </c>
      <c r="F82" s="447"/>
      <c r="G82" s="448">
        <f t="shared" si="2"/>
        <v>0</v>
      </c>
      <c r="H82" s="449"/>
      <c r="I82" s="444"/>
      <c r="J82" s="449"/>
      <c r="K82" s="444" t="s">
        <v>370</v>
      </c>
      <c r="L82" s="450" t="s">
        <v>371</v>
      </c>
      <c r="M82" s="444" t="s">
        <v>384</v>
      </c>
      <c r="N82" s="450"/>
      <c r="O82" s="450"/>
      <c r="P82" s="450" t="s">
        <v>373</v>
      </c>
      <c r="Q82" s="451" t="s">
        <v>374</v>
      </c>
      <c r="R82" s="451" t="s">
        <v>263</v>
      </c>
      <c r="S82" s="452" t="s">
        <v>385</v>
      </c>
      <c r="T82" s="452"/>
      <c r="U82" s="453"/>
      <c r="V82" s="454"/>
      <c r="W82" s="455" t="s">
        <v>376</v>
      </c>
      <c r="X82" s="455">
        <v>45547</v>
      </c>
      <c r="Y82" s="456" t="s">
        <v>377</v>
      </c>
      <c r="Z82" s="457"/>
      <c r="AA82" s="494"/>
    </row>
    <row r="83" spans="1:27" s="128" customFormat="1" ht="36" customHeight="1">
      <c r="A83" s="443">
        <v>72</v>
      </c>
      <c r="B83" s="444" t="s">
        <v>537</v>
      </c>
      <c r="C83" s="445" t="s">
        <v>55</v>
      </c>
      <c r="D83" s="444" t="s">
        <v>538</v>
      </c>
      <c r="E83" s="446">
        <v>6</v>
      </c>
      <c r="F83" s="447"/>
      <c r="G83" s="448">
        <f t="shared" si="2"/>
        <v>0</v>
      </c>
      <c r="H83" s="449"/>
      <c r="I83" s="444"/>
      <c r="J83" s="449"/>
      <c r="K83" s="444" t="s">
        <v>370</v>
      </c>
      <c r="L83" s="450" t="s">
        <v>371</v>
      </c>
      <c r="M83" s="444" t="s">
        <v>384</v>
      </c>
      <c r="N83" s="450"/>
      <c r="O83" s="450"/>
      <c r="P83" s="450" t="s">
        <v>373</v>
      </c>
      <c r="Q83" s="451" t="s">
        <v>374</v>
      </c>
      <c r="R83" s="451" t="s">
        <v>263</v>
      </c>
      <c r="S83" s="452" t="s">
        <v>385</v>
      </c>
      <c r="T83" s="452"/>
      <c r="U83" s="453"/>
      <c r="V83" s="454"/>
      <c r="W83" s="455" t="s">
        <v>376</v>
      </c>
      <c r="X83" s="455">
        <v>45547</v>
      </c>
      <c r="Y83" s="456" t="s">
        <v>377</v>
      </c>
      <c r="Z83" s="457"/>
      <c r="AA83" s="494"/>
    </row>
    <row r="84" spans="1:27" s="128" customFormat="1" ht="36" customHeight="1">
      <c r="A84" s="443">
        <v>73</v>
      </c>
      <c r="B84" s="444" t="s">
        <v>539</v>
      </c>
      <c r="C84" s="445" t="s">
        <v>55</v>
      </c>
      <c r="D84" s="444" t="s">
        <v>540</v>
      </c>
      <c r="E84" s="446">
        <v>3</v>
      </c>
      <c r="F84" s="447"/>
      <c r="G84" s="448">
        <f t="shared" si="2"/>
        <v>0</v>
      </c>
      <c r="H84" s="449"/>
      <c r="I84" s="444"/>
      <c r="J84" s="449"/>
      <c r="K84" s="444" t="s">
        <v>370</v>
      </c>
      <c r="L84" s="450" t="s">
        <v>371</v>
      </c>
      <c r="M84" s="444" t="s">
        <v>384</v>
      </c>
      <c r="N84" s="450"/>
      <c r="O84" s="450"/>
      <c r="P84" s="450" t="s">
        <v>373</v>
      </c>
      <c r="Q84" s="451" t="s">
        <v>374</v>
      </c>
      <c r="R84" s="451" t="s">
        <v>263</v>
      </c>
      <c r="S84" s="452" t="s">
        <v>425</v>
      </c>
      <c r="T84" s="452"/>
      <c r="U84" s="453"/>
      <c r="V84" s="454"/>
      <c r="W84" s="455" t="s">
        <v>406</v>
      </c>
      <c r="X84" s="455">
        <v>45576</v>
      </c>
      <c r="Y84" s="456" t="s">
        <v>377</v>
      </c>
      <c r="Z84" s="457"/>
      <c r="AA84" s="494"/>
    </row>
    <row r="85" spans="1:27" s="128" customFormat="1" ht="36" customHeight="1">
      <c r="A85" s="443">
        <v>74</v>
      </c>
      <c r="B85" s="444" t="s">
        <v>541</v>
      </c>
      <c r="C85" s="445" t="s">
        <v>55</v>
      </c>
      <c r="D85" s="444" t="s">
        <v>542</v>
      </c>
      <c r="E85" s="446">
        <v>18</v>
      </c>
      <c r="F85" s="447"/>
      <c r="G85" s="448">
        <f t="shared" si="2"/>
        <v>0</v>
      </c>
      <c r="H85" s="449"/>
      <c r="I85" s="444"/>
      <c r="J85" s="449"/>
      <c r="K85" s="444" t="s">
        <v>370</v>
      </c>
      <c r="L85" s="450" t="s">
        <v>371</v>
      </c>
      <c r="M85" s="444" t="s">
        <v>543</v>
      </c>
      <c r="N85" s="450"/>
      <c r="O85" s="450"/>
      <c r="P85" s="450" t="s">
        <v>431</v>
      </c>
      <c r="Q85" s="451" t="s">
        <v>374</v>
      </c>
      <c r="R85" s="451" t="s">
        <v>277</v>
      </c>
      <c r="S85" s="452" t="s">
        <v>405</v>
      </c>
      <c r="T85" s="452">
        <v>45590</v>
      </c>
      <c r="U85" s="453"/>
      <c r="V85" s="454"/>
      <c r="W85" s="455" t="s">
        <v>406</v>
      </c>
      <c r="X85" s="455">
        <v>45586</v>
      </c>
      <c r="Y85" s="456" t="s">
        <v>377</v>
      </c>
      <c r="Z85" s="457"/>
      <c r="AA85" s="494"/>
    </row>
    <row r="86" spans="1:27" s="128" customFormat="1" ht="36" customHeight="1">
      <c r="A86" s="443">
        <v>75</v>
      </c>
      <c r="B86" s="444" t="s">
        <v>544</v>
      </c>
      <c r="C86" s="445" t="s">
        <v>55</v>
      </c>
      <c r="D86" s="444" t="s">
        <v>545</v>
      </c>
      <c r="E86" s="446">
        <v>45</v>
      </c>
      <c r="F86" s="447"/>
      <c r="G86" s="448">
        <f t="shared" si="2"/>
        <v>0</v>
      </c>
      <c r="H86" s="449"/>
      <c r="I86" s="444"/>
      <c r="J86" s="449"/>
      <c r="K86" s="444" t="s">
        <v>370</v>
      </c>
      <c r="L86" s="450" t="s">
        <v>371</v>
      </c>
      <c r="M86" s="444" t="s">
        <v>546</v>
      </c>
      <c r="N86" s="450"/>
      <c r="O86" s="450"/>
      <c r="P86" s="450" t="s">
        <v>547</v>
      </c>
      <c r="Q86" s="451" t="s">
        <v>374</v>
      </c>
      <c r="R86" s="451" t="s">
        <v>251</v>
      </c>
      <c r="S86" s="452" t="s">
        <v>548</v>
      </c>
      <c r="T86" s="452"/>
      <c r="U86" s="453"/>
      <c r="V86" s="454"/>
      <c r="W86" s="455" t="s">
        <v>376</v>
      </c>
      <c r="X86" s="455">
        <v>45548</v>
      </c>
      <c r="Y86" s="456" t="s">
        <v>377</v>
      </c>
      <c r="Z86" s="457"/>
      <c r="AA86" s="494"/>
    </row>
    <row r="87" spans="1:27" s="128" customFormat="1" ht="36" customHeight="1">
      <c r="A87" s="443">
        <v>76</v>
      </c>
      <c r="B87" s="444" t="s">
        <v>549</v>
      </c>
      <c r="C87" s="445" t="s">
        <v>55</v>
      </c>
      <c r="D87" s="444" t="s">
        <v>550</v>
      </c>
      <c r="E87" s="446">
        <v>3</v>
      </c>
      <c r="F87" s="447"/>
      <c r="G87" s="448">
        <f t="shared" si="2"/>
        <v>0</v>
      </c>
      <c r="H87" s="449"/>
      <c r="I87" s="444"/>
      <c r="J87" s="449"/>
      <c r="K87" s="444" t="s">
        <v>370</v>
      </c>
      <c r="L87" s="450" t="s">
        <v>371</v>
      </c>
      <c r="M87" s="444" t="s">
        <v>546</v>
      </c>
      <c r="N87" s="450"/>
      <c r="O87" s="450"/>
      <c r="P87" s="450" t="s">
        <v>547</v>
      </c>
      <c r="Q87" s="451" t="s">
        <v>374</v>
      </c>
      <c r="R87" s="451" t="s">
        <v>251</v>
      </c>
      <c r="S87" s="452" t="s">
        <v>548</v>
      </c>
      <c r="T87" s="452"/>
      <c r="U87" s="453"/>
      <c r="V87" s="454"/>
      <c r="W87" s="455" t="s">
        <v>376</v>
      </c>
      <c r="X87" s="455">
        <v>45548</v>
      </c>
      <c r="Y87" s="456" t="s">
        <v>377</v>
      </c>
      <c r="Z87" s="457"/>
      <c r="AA87" s="494"/>
    </row>
    <row r="88" spans="1:27" s="128" customFormat="1" ht="36" customHeight="1">
      <c r="A88" s="443">
        <v>77</v>
      </c>
      <c r="B88" s="444" t="s">
        <v>551</v>
      </c>
      <c r="C88" s="445" t="s">
        <v>55</v>
      </c>
      <c r="D88" s="444" t="s">
        <v>552</v>
      </c>
      <c r="E88" s="446">
        <v>6</v>
      </c>
      <c r="F88" s="447"/>
      <c r="G88" s="448">
        <f t="shared" si="2"/>
        <v>0</v>
      </c>
      <c r="H88" s="449"/>
      <c r="I88" s="444"/>
      <c r="J88" s="449"/>
      <c r="K88" s="444" t="s">
        <v>370</v>
      </c>
      <c r="L88" s="450" t="s">
        <v>371</v>
      </c>
      <c r="M88" s="444" t="s">
        <v>384</v>
      </c>
      <c r="N88" s="450"/>
      <c r="O88" s="450"/>
      <c r="P88" s="450" t="s">
        <v>373</v>
      </c>
      <c r="Q88" s="451" t="s">
        <v>374</v>
      </c>
      <c r="R88" s="451" t="s">
        <v>263</v>
      </c>
      <c r="S88" s="452" t="s">
        <v>385</v>
      </c>
      <c r="T88" s="452"/>
      <c r="U88" s="453"/>
      <c r="V88" s="454"/>
      <c r="W88" s="455" t="s">
        <v>376</v>
      </c>
      <c r="X88" s="455">
        <v>45547</v>
      </c>
      <c r="Y88" s="456" t="s">
        <v>377</v>
      </c>
      <c r="Z88" s="457"/>
      <c r="AA88" s="494"/>
    </row>
    <row r="89" spans="1:27" s="128" customFormat="1" ht="36" customHeight="1">
      <c r="A89" s="443">
        <v>78</v>
      </c>
      <c r="B89" s="444" t="s">
        <v>553</v>
      </c>
      <c r="C89" s="445" t="s">
        <v>55</v>
      </c>
      <c r="D89" s="444" t="s">
        <v>554</v>
      </c>
      <c r="E89" s="446">
        <v>3</v>
      </c>
      <c r="F89" s="447"/>
      <c r="G89" s="448">
        <f t="shared" si="2"/>
        <v>0</v>
      </c>
      <c r="H89" s="449"/>
      <c r="I89" s="444"/>
      <c r="J89" s="449"/>
      <c r="K89" s="444" t="s">
        <v>370</v>
      </c>
      <c r="L89" s="450" t="s">
        <v>371</v>
      </c>
      <c r="M89" s="444" t="s">
        <v>384</v>
      </c>
      <c r="N89" s="450"/>
      <c r="O89" s="450"/>
      <c r="P89" s="450" t="s">
        <v>373</v>
      </c>
      <c r="Q89" s="451" t="s">
        <v>374</v>
      </c>
      <c r="R89" s="451" t="s">
        <v>263</v>
      </c>
      <c r="S89" s="452" t="s">
        <v>385</v>
      </c>
      <c r="T89" s="452">
        <v>45555</v>
      </c>
      <c r="U89" s="453"/>
      <c r="V89" s="454"/>
      <c r="W89" s="455" t="s">
        <v>406</v>
      </c>
      <c r="X89" s="455">
        <v>45567</v>
      </c>
      <c r="Y89" s="456" t="s">
        <v>377</v>
      </c>
      <c r="Z89" s="457"/>
      <c r="AA89" s="494"/>
    </row>
    <row r="90" spans="1:27" s="128" customFormat="1" ht="36" customHeight="1">
      <c r="A90" s="443">
        <v>79</v>
      </c>
      <c r="B90" s="444" t="s">
        <v>555</v>
      </c>
      <c r="C90" s="445" t="s">
        <v>55</v>
      </c>
      <c r="D90" s="444" t="s">
        <v>556</v>
      </c>
      <c r="E90" s="446">
        <v>6</v>
      </c>
      <c r="F90" s="447"/>
      <c r="G90" s="448">
        <f t="shared" si="2"/>
        <v>0</v>
      </c>
      <c r="H90" s="449"/>
      <c r="I90" s="444"/>
      <c r="J90" s="449"/>
      <c r="K90" s="444" t="s">
        <v>370</v>
      </c>
      <c r="L90" s="450" t="s">
        <v>371</v>
      </c>
      <c r="M90" s="444" t="s">
        <v>384</v>
      </c>
      <c r="N90" s="450"/>
      <c r="O90" s="450"/>
      <c r="P90" s="450" t="s">
        <v>373</v>
      </c>
      <c r="Q90" s="451" t="s">
        <v>374</v>
      </c>
      <c r="R90" s="451" t="s">
        <v>263</v>
      </c>
      <c r="S90" s="452" t="s">
        <v>385</v>
      </c>
      <c r="T90" s="452"/>
      <c r="U90" s="453"/>
      <c r="V90" s="454"/>
      <c r="W90" s="455" t="s">
        <v>406</v>
      </c>
      <c r="X90" s="455">
        <v>45553</v>
      </c>
      <c r="Y90" s="456" t="s">
        <v>377</v>
      </c>
      <c r="Z90" s="457"/>
      <c r="AA90" s="494"/>
    </row>
    <row r="91" spans="1:27" s="128" customFormat="1" ht="36" customHeight="1">
      <c r="A91" s="443">
        <v>80</v>
      </c>
      <c r="B91" s="444" t="s">
        <v>557</v>
      </c>
      <c r="C91" s="445" t="s">
        <v>55</v>
      </c>
      <c r="D91" s="444" t="s">
        <v>558</v>
      </c>
      <c r="E91" s="446">
        <v>6</v>
      </c>
      <c r="F91" s="447"/>
      <c r="G91" s="448">
        <f t="shared" si="2"/>
        <v>0</v>
      </c>
      <c r="H91" s="449"/>
      <c r="I91" s="444"/>
      <c r="J91" s="449"/>
      <c r="K91" s="444" t="s">
        <v>370</v>
      </c>
      <c r="L91" s="450" t="s">
        <v>371</v>
      </c>
      <c r="M91" s="444" t="s">
        <v>384</v>
      </c>
      <c r="N91" s="450"/>
      <c r="O91" s="450"/>
      <c r="P91" s="450" t="s">
        <v>373</v>
      </c>
      <c r="Q91" s="451" t="s">
        <v>374</v>
      </c>
      <c r="R91" s="451" t="s">
        <v>263</v>
      </c>
      <c r="S91" s="452" t="s">
        <v>385</v>
      </c>
      <c r="T91" s="452"/>
      <c r="U91" s="453"/>
      <c r="V91" s="454"/>
      <c r="W91" s="455" t="s">
        <v>376</v>
      </c>
      <c r="X91" s="455">
        <v>45547</v>
      </c>
      <c r="Y91" s="456" t="s">
        <v>377</v>
      </c>
      <c r="Z91" s="457"/>
      <c r="AA91" s="494"/>
    </row>
    <row r="92" spans="1:27" s="128" customFormat="1" ht="36" customHeight="1">
      <c r="A92" s="443">
        <v>81</v>
      </c>
      <c r="B92" s="444" t="s">
        <v>559</v>
      </c>
      <c r="C92" s="445" t="s">
        <v>55</v>
      </c>
      <c r="D92" s="444" t="s">
        <v>560</v>
      </c>
      <c r="E92" s="446">
        <v>3</v>
      </c>
      <c r="F92" s="447"/>
      <c r="G92" s="448">
        <f t="shared" si="2"/>
        <v>0</v>
      </c>
      <c r="H92" s="449"/>
      <c r="I92" s="444"/>
      <c r="J92" s="449"/>
      <c r="K92" s="444" t="s">
        <v>370</v>
      </c>
      <c r="L92" s="450" t="s">
        <v>371</v>
      </c>
      <c r="M92" s="444" t="s">
        <v>384</v>
      </c>
      <c r="N92" s="450"/>
      <c r="O92" s="450"/>
      <c r="P92" s="450" t="s">
        <v>373</v>
      </c>
      <c r="Q92" s="451" t="s">
        <v>374</v>
      </c>
      <c r="R92" s="451" t="s">
        <v>263</v>
      </c>
      <c r="S92" s="452" t="s">
        <v>385</v>
      </c>
      <c r="T92" s="452"/>
      <c r="U92" s="453"/>
      <c r="V92" s="454"/>
      <c r="W92" s="455" t="s">
        <v>406</v>
      </c>
      <c r="X92" s="455">
        <v>45553</v>
      </c>
      <c r="Y92" s="456" t="s">
        <v>377</v>
      </c>
      <c r="Z92" s="457"/>
      <c r="AA92" s="494"/>
    </row>
    <row r="93" spans="1:27" s="128" customFormat="1" ht="36" customHeight="1">
      <c r="A93" s="443">
        <v>82</v>
      </c>
      <c r="B93" s="444" t="s">
        <v>396</v>
      </c>
      <c r="C93" s="445" t="s">
        <v>55</v>
      </c>
      <c r="D93" s="444" t="s">
        <v>397</v>
      </c>
      <c r="E93" s="446">
        <v>3</v>
      </c>
      <c r="F93" s="447"/>
      <c r="G93" s="448">
        <f t="shared" si="2"/>
        <v>0</v>
      </c>
      <c r="H93" s="449"/>
      <c r="I93" s="444"/>
      <c r="J93" s="449"/>
      <c r="K93" s="444" t="s">
        <v>370</v>
      </c>
      <c r="L93" s="450" t="s">
        <v>371</v>
      </c>
      <c r="M93" s="444" t="s">
        <v>384</v>
      </c>
      <c r="N93" s="450"/>
      <c r="O93" s="450"/>
      <c r="P93" s="450" t="s">
        <v>373</v>
      </c>
      <c r="Q93" s="451" t="s">
        <v>374</v>
      </c>
      <c r="R93" s="451" t="s">
        <v>263</v>
      </c>
      <c r="S93" s="452" t="s">
        <v>385</v>
      </c>
      <c r="T93" s="452"/>
      <c r="U93" s="453"/>
      <c r="V93" s="454"/>
      <c r="W93" s="455" t="s">
        <v>376</v>
      </c>
      <c r="X93" s="455">
        <v>45547</v>
      </c>
      <c r="Y93" s="456" t="s">
        <v>377</v>
      </c>
      <c r="Z93" s="457"/>
      <c r="AA93" s="494"/>
    </row>
    <row r="94" spans="1:27" s="128" customFormat="1" ht="36" customHeight="1">
      <c r="A94" s="443">
        <v>83</v>
      </c>
      <c r="B94" s="444" t="s">
        <v>561</v>
      </c>
      <c r="C94" s="445" t="s">
        <v>55</v>
      </c>
      <c r="D94" s="444" t="s">
        <v>562</v>
      </c>
      <c r="E94" s="446">
        <v>3</v>
      </c>
      <c r="F94" s="447"/>
      <c r="G94" s="448">
        <f t="shared" si="2"/>
        <v>0</v>
      </c>
      <c r="H94" s="449"/>
      <c r="I94" s="444"/>
      <c r="J94" s="449"/>
      <c r="K94" s="444" t="s">
        <v>370</v>
      </c>
      <c r="L94" s="450" t="s">
        <v>371</v>
      </c>
      <c r="M94" s="444" t="s">
        <v>384</v>
      </c>
      <c r="N94" s="450"/>
      <c r="O94" s="450"/>
      <c r="P94" s="450" t="s">
        <v>373</v>
      </c>
      <c r="Q94" s="451" t="s">
        <v>374</v>
      </c>
      <c r="R94" s="451" t="s">
        <v>263</v>
      </c>
      <c r="S94" s="452" t="s">
        <v>385</v>
      </c>
      <c r="T94" s="452"/>
      <c r="U94" s="453"/>
      <c r="V94" s="454"/>
      <c r="W94" s="455" t="s">
        <v>406</v>
      </c>
      <c r="X94" s="455">
        <v>45553</v>
      </c>
      <c r="Y94" s="456" t="s">
        <v>377</v>
      </c>
      <c r="Z94" s="457"/>
      <c r="AA94" s="494"/>
    </row>
    <row r="95" spans="1:27" s="128" customFormat="1" ht="36" customHeight="1">
      <c r="A95" s="443">
        <v>84</v>
      </c>
      <c r="B95" s="444" t="s">
        <v>563</v>
      </c>
      <c r="C95" s="445" t="s">
        <v>55</v>
      </c>
      <c r="D95" s="444" t="s">
        <v>564</v>
      </c>
      <c r="E95" s="446">
        <v>3</v>
      </c>
      <c r="F95" s="447"/>
      <c r="G95" s="448">
        <f t="shared" si="2"/>
        <v>0</v>
      </c>
      <c r="H95" s="449"/>
      <c r="I95" s="444"/>
      <c r="J95" s="449"/>
      <c r="K95" s="444" t="s">
        <v>370</v>
      </c>
      <c r="L95" s="450" t="s">
        <v>371</v>
      </c>
      <c r="M95" s="444" t="s">
        <v>384</v>
      </c>
      <c r="N95" s="450"/>
      <c r="O95" s="450"/>
      <c r="P95" s="450" t="s">
        <v>373</v>
      </c>
      <c r="Q95" s="451" t="s">
        <v>374</v>
      </c>
      <c r="R95" s="451" t="s">
        <v>263</v>
      </c>
      <c r="S95" s="452" t="s">
        <v>385</v>
      </c>
      <c r="T95" s="452"/>
      <c r="U95" s="453"/>
      <c r="V95" s="454"/>
      <c r="W95" s="455" t="s">
        <v>376</v>
      </c>
      <c r="X95" s="455">
        <v>45547</v>
      </c>
      <c r="Y95" s="456" t="s">
        <v>377</v>
      </c>
      <c r="Z95" s="457"/>
      <c r="AA95" s="494"/>
    </row>
    <row r="96" spans="1:27" s="128" customFormat="1" ht="36" customHeight="1">
      <c r="A96" s="443">
        <v>85</v>
      </c>
      <c r="B96" s="444" t="s">
        <v>565</v>
      </c>
      <c r="C96" s="445" t="s">
        <v>55</v>
      </c>
      <c r="D96" s="444" t="s">
        <v>566</v>
      </c>
      <c r="E96" s="446">
        <v>3</v>
      </c>
      <c r="F96" s="447"/>
      <c r="G96" s="448">
        <f t="shared" si="2"/>
        <v>0</v>
      </c>
      <c r="H96" s="449"/>
      <c r="I96" s="444"/>
      <c r="J96" s="449"/>
      <c r="K96" s="444" t="s">
        <v>370</v>
      </c>
      <c r="L96" s="450" t="s">
        <v>371</v>
      </c>
      <c r="M96" s="444" t="s">
        <v>384</v>
      </c>
      <c r="N96" s="450"/>
      <c r="O96" s="450"/>
      <c r="P96" s="450" t="s">
        <v>373</v>
      </c>
      <c r="Q96" s="451" t="s">
        <v>374</v>
      </c>
      <c r="R96" s="451" t="s">
        <v>263</v>
      </c>
      <c r="S96" s="452" t="s">
        <v>385</v>
      </c>
      <c r="T96" s="452"/>
      <c r="U96" s="453"/>
      <c r="V96" s="454"/>
      <c r="W96" s="455" t="s">
        <v>376</v>
      </c>
      <c r="X96" s="455">
        <v>45548</v>
      </c>
      <c r="Y96" s="456" t="s">
        <v>377</v>
      </c>
      <c r="Z96" s="457"/>
      <c r="AA96" s="494"/>
    </row>
    <row r="97" spans="1:27" s="128" customFormat="1" ht="36" customHeight="1">
      <c r="A97" s="443">
        <v>86</v>
      </c>
      <c r="B97" s="444" t="s">
        <v>567</v>
      </c>
      <c r="C97" s="445" t="s">
        <v>55</v>
      </c>
      <c r="D97" s="444" t="s">
        <v>568</v>
      </c>
      <c r="E97" s="446">
        <v>3</v>
      </c>
      <c r="F97" s="447"/>
      <c r="G97" s="448">
        <f t="shared" si="2"/>
        <v>0</v>
      </c>
      <c r="H97" s="449"/>
      <c r="I97" s="444"/>
      <c r="J97" s="449"/>
      <c r="K97" s="444" t="s">
        <v>370</v>
      </c>
      <c r="L97" s="450" t="s">
        <v>371</v>
      </c>
      <c r="M97" s="444" t="s">
        <v>384</v>
      </c>
      <c r="N97" s="450"/>
      <c r="O97" s="450"/>
      <c r="P97" s="450" t="s">
        <v>373</v>
      </c>
      <c r="Q97" s="451" t="s">
        <v>374</v>
      </c>
      <c r="R97" s="451" t="s">
        <v>263</v>
      </c>
      <c r="S97" s="452" t="s">
        <v>548</v>
      </c>
      <c r="T97" s="452"/>
      <c r="U97" s="453"/>
      <c r="V97" s="454"/>
      <c r="W97" s="455" t="s">
        <v>406</v>
      </c>
      <c r="X97" s="455">
        <v>45553</v>
      </c>
      <c r="Y97" s="456" t="s">
        <v>377</v>
      </c>
      <c r="Z97" s="457"/>
      <c r="AA97" s="494"/>
    </row>
    <row r="98" spans="1:27" s="128" customFormat="1" ht="36" customHeight="1">
      <c r="A98" s="443">
        <v>87</v>
      </c>
      <c r="B98" s="444" t="s">
        <v>569</v>
      </c>
      <c r="C98" s="445" t="s">
        <v>55</v>
      </c>
      <c r="D98" s="444" t="s">
        <v>570</v>
      </c>
      <c r="E98" s="446">
        <v>3</v>
      </c>
      <c r="F98" s="447"/>
      <c r="G98" s="448">
        <f t="shared" si="2"/>
        <v>0</v>
      </c>
      <c r="H98" s="449"/>
      <c r="I98" s="444"/>
      <c r="J98" s="449"/>
      <c r="K98" s="444" t="s">
        <v>370</v>
      </c>
      <c r="L98" s="450" t="s">
        <v>371</v>
      </c>
      <c r="M98" s="444" t="s">
        <v>571</v>
      </c>
      <c r="N98" s="450"/>
      <c r="O98" s="450"/>
      <c r="P98" s="450" t="s">
        <v>431</v>
      </c>
      <c r="Q98" s="451" t="s">
        <v>374</v>
      </c>
      <c r="R98" s="451" t="s">
        <v>572</v>
      </c>
      <c r="S98" s="452" t="s">
        <v>573</v>
      </c>
      <c r="T98" s="452">
        <v>45573</v>
      </c>
      <c r="U98" s="453"/>
      <c r="V98" s="454"/>
      <c r="W98" s="455" t="s">
        <v>406</v>
      </c>
      <c r="X98" s="455">
        <v>45573</v>
      </c>
      <c r="Y98" s="456" t="s">
        <v>377</v>
      </c>
      <c r="Z98" s="457"/>
      <c r="AA98" s="494"/>
    </row>
    <row r="99" spans="1:27" s="128" customFormat="1" ht="36" customHeight="1">
      <c r="A99" s="443">
        <v>88</v>
      </c>
      <c r="B99" s="444" t="s">
        <v>574</v>
      </c>
      <c r="C99" s="445" t="s">
        <v>55</v>
      </c>
      <c r="D99" s="444" t="s">
        <v>575</v>
      </c>
      <c r="E99" s="446">
        <v>6</v>
      </c>
      <c r="F99" s="447"/>
      <c r="G99" s="448">
        <f t="shared" si="2"/>
        <v>0</v>
      </c>
      <c r="H99" s="449"/>
      <c r="I99" s="444"/>
      <c r="J99" s="449"/>
      <c r="K99" s="444" t="s">
        <v>370</v>
      </c>
      <c r="L99" s="450" t="s">
        <v>371</v>
      </c>
      <c r="M99" s="444" t="s">
        <v>571</v>
      </c>
      <c r="N99" s="450"/>
      <c r="O99" s="450"/>
      <c r="P99" s="450" t="s">
        <v>431</v>
      </c>
      <c r="Q99" s="451" t="s">
        <v>374</v>
      </c>
      <c r="R99" s="451" t="s">
        <v>572</v>
      </c>
      <c r="S99" s="452" t="s">
        <v>573</v>
      </c>
      <c r="T99" s="452">
        <v>45573</v>
      </c>
      <c r="U99" s="453"/>
      <c r="V99" s="454"/>
      <c r="W99" s="455" t="s">
        <v>406</v>
      </c>
      <c r="X99" s="455">
        <v>45573</v>
      </c>
      <c r="Y99" s="456" t="s">
        <v>377</v>
      </c>
      <c r="Z99" s="457"/>
      <c r="AA99" s="494"/>
    </row>
    <row r="100" spans="1:27" s="128" customFormat="1" ht="36" customHeight="1">
      <c r="A100" s="443">
        <v>89</v>
      </c>
      <c r="B100" s="444" t="s">
        <v>576</v>
      </c>
      <c r="C100" s="445" t="s">
        <v>55</v>
      </c>
      <c r="D100" s="444" t="s">
        <v>577</v>
      </c>
      <c r="E100" s="446">
        <v>3</v>
      </c>
      <c r="F100" s="447"/>
      <c r="G100" s="448">
        <f t="shared" si="2"/>
        <v>0</v>
      </c>
      <c r="H100" s="449"/>
      <c r="I100" s="444"/>
      <c r="J100" s="449"/>
      <c r="K100" s="444" t="s">
        <v>370</v>
      </c>
      <c r="L100" s="450" t="s">
        <v>371</v>
      </c>
      <c r="M100" s="444" t="s">
        <v>430</v>
      </c>
      <c r="N100" s="450"/>
      <c r="O100" s="450"/>
      <c r="P100" s="450" t="s">
        <v>431</v>
      </c>
      <c r="Q100" s="451" t="s">
        <v>374</v>
      </c>
      <c r="R100" s="451" t="s">
        <v>432</v>
      </c>
      <c r="S100" s="452" t="s">
        <v>433</v>
      </c>
      <c r="T100" s="452"/>
      <c r="U100" s="453"/>
      <c r="V100" s="454"/>
      <c r="W100" s="455" t="s">
        <v>376</v>
      </c>
      <c r="X100" s="455">
        <v>45546</v>
      </c>
      <c r="Y100" s="456" t="s">
        <v>377</v>
      </c>
      <c r="Z100" s="457"/>
      <c r="AA100" s="494"/>
    </row>
    <row r="101" spans="1:27" s="128" customFormat="1" ht="36" customHeight="1">
      <c r="A101" s="443">
        <v>90</v>
      </c>
      <c r="B101" s="444" t="s">
        <v>578</v>
      </c>
      <c r="C101" s="445" t="s">
        <v>55</v>
      </c>
      <c r="D101" s="444" t="s">
        <v>579</v>
      </c>
      <c r="E101" s="446">
        <v>6</v>
      </c>
      <c r="F101" s="447"/>
      <c r="G101" s="448">
        <f t="shared" si="2"/>
        <v>0</v>
      </c>
      <c r="H101" s="449"/>
      <c r="I101" s="444"/>
      <c r="J101" s="449"/>
      <c r="K101" s="444" t="s">
        <v>370</v>
      </c>
      <c r="L101" s="450" t="s">
        <v>371</v>
      </c>
      <c r="M101" s="444" t="s">
        <v>430</v>
      </c>
      <c r="N101" s="450"/>
      <c r="O101" s="450"/>
      <c r="P101" s="450" t="s">
        <v>431</v>
      </c>
      <c r="Q101" s="451" t="s">
        <v>374</v>
      </c>
      <c r="R101" s="451" t="s">
        <v>432</v>
      </c>
      <c r="S101" s="452" t="s">
        <v>433</v>
      </c>
      <c r="T101" s="452"/>
      <c r="U101" s="453"/>
      <c r="V101" s="454"/>
      <c r="W101" s="455" t="s">
        <v>376</v>
      </c>
      <c r="X101" s="455">
        <v>45546</v>
      </c>
      <c r="Y101" s="456" t="s">
        <v>377</v>
      </c>
      <c r="Z101" s="457"/>
      <c r="AA101" s="494"/>
    </row>
    <row r="102" spans="1:27" s="128" customFormat="1" ht="36" customHeight="1">
      <c r="A102" s="443">
        <v>91</v>
      </c>
      <c r="B102" s="444" t="s">
        <v>580</v>
      </c>
      <c r="C102" s="445" t="s">
        <v>55</v>
      </c>
      <c r="D102" s="444" t="s">
        <v>581</v>
      </c>
      <c r="E102" s="446">
        <v>3</v>
      </c>
      <c r="F102" s="447"/>
      <c r="G102" s="448">
        <f t="shared" si="2"/>
        <v>0</v>
      </c>
      <c r="H102" s="449"/>
      <c r="I102" s="444"/>
      <c r="J102" s="449"/>
      <c r="K102" s="444" t="s">
        <v>370</v>
      </c>
      <c r="L102" s="450" t="s">
        <v>371</v>
      </c>
      <c r="M102" s="444" t="s">
        <v>430</v>
      </c>
      <c r="N102" s="450"/>
      <c r="O102" s="450"/>
      <c r="P102" s="450" t="s">
        <v>431</v>
      </c>
      <c r="Q102" s="451" t="s">
        <v>374</v>
      </c>
      <c r="R102" s="451" t="s">
        <v>432</v>
      </c>
      <c r="S102" s="452" t="s">
        <v>433</v>
      </c>
      <c r="T102" s="452"/>
      <c r="U102" s="453"/>
      <c r="V102" s="454"/>
      <c r="W102" s="455" t="s">
        <v>376</v>
      </c>
      <c r="X102" s="455">
        <v>45546</v>
      </c>
      <c r="Y102" s="456" t="s">
        <v>377</v>
      </c>
      <c r="Z102" s="457"/>
      <c r="AA102" s="494"/>
    </row>
    <row r="103" spans="1:27" s="128" customFormat="1" ht="36" customHeight="1">
      <c r="A103" s="443">
        <v>92</v>
      </c>
      <c r="B103" s="444" t="s">
        <v>474</v>
      </c>
      <c r="C103" s="445" t="s">
        <v>55</v>
      </c>
      <c r="D103" s="444" t="s">
        <v>475</v>
      </c>
      <c r="E103" s="446">
        <v>6</v>
      </c>
      <c r="F103" s="447"/>
      <c r="G103" s="448">
        <f t="shared" si="2"/>
        <v>0</v>
      </c>
      <c r="H103" s="449"/>
      <c r="I103" s="444"/>
      <c r="J103" s="449"/>
      <c r="K103" s="444" t="s">
        <v>370</v>
      </c>
      <c r="L103" s="450" t="s">
        <v>371</v>
      </c>
      <c r="M103" s="444" t="s">
        <v>402</v>
      </c>
      <c r="N103" s="450"/>
      <c r="O103" s="450"/>
      <c r="P103" s="450" t="s">
        <v>403</v>
      </c>
      <c r="Q103" s="451" t="s">
        <v>374</v>
      </c>
      <c r="R103" s="451" t="s">
        <v>404</v>
      </c>
      <c r="S103" s="452" t="s">
        <v>405</v>
      </c>
      <c r="T103" s="452"/>
      <c r="U103" s="453"/>
      <c r="V103" s="454"/>
      <c r="W103" s="455" t="s">
        <v>406</v>
      </c>
      <c r="X103" s="455">
        <v>45607</v>
      </c>
      <c r="Y103" s="456" t="s">
        <v>377</v>
      </c>
      <c r="Z103" s="457"/>
      <c r="AA103" s="494">
        <v>1</v>
      </c>
    </row>
    <row r="104" spans="1:27" s="128" customFormat="1" ht="36" customHeight="1">
      <c r="A104" s="443">
        <v>93</v>
      </c>
      <c r="B104" s="444" t="s">
        <v>582</v>
      </c>
      <c r="C104" s="445" t="s">
        <v>55</v>
      </c>
      <c r="D104" s="444" t="s">
        <v>583</v>
      </c>
      <c r="E104" s="446">
        <v>6</v>
      </c>
      <c r="F104" s="447"/>
      <c r="G104" s="448">
        <f t="shared" si="2"/>
        <v>0</v>
      </c>
      <c r="H104" s="449"/>
      <c r="I104" s="444"/>
      <c r="J104" s="449"/>
      <c r="K104" s="444" t="s">
        <v>370</v>
      </c>
      <c r="L104" s="450" t="s">
        <v>371</v>
      </c>
      <c r="M104" s="444" t="s">
        <v>430</v>
      </c>
      <c r="N104" s="450"/>
      <c r="O104" s="450"/>
      <c r="P104" s="450" t="s">
        <v>431</v>
      </c>
      <c r="Q104" s="451" t="s">
        <v>374</v>
      </c>
      <c r="R104" s="451" t="s">
        <v>432</v>
      </c>
      <c r="S104" s="452" t="s">
        <v>433</v>
      </c>
      <c r="T104" s="452"/>
      <c r="U104" s="453"/>
      <c r="V104" s="454"/>
      <c r="W104" s="455" t="s">
        <v>376</v>
      </c>
      <c r="X104" s="455">
        <v>45546</v>
      </c>
      <c r="Y104" s="456" t="s">
        <v>377</v>
      </c>
      <c r="Z104" s="457"/>
      <c r="AA104" s="494"/>
    </row>
    <row r="105" spans="1:27" s="128" customFormat="1" ht="36" customHeight="1">
      <c r="A105" s="443">
        <v>94</v>
      </c>
      <c r="B105" s="444" t="s">
        <v>584</v>
      </c>
      <c r="C105" s="445" t="s">
        <v>55</v>
      </c>
      <c r="D105" s="444" t="s">
        <v>585</v>
      </c>
      <c r="E105" s="446">
        <v>3</v>
      </c>
      <c r="F105" s="447"/>
      <c r="G105" s="448">
        <f t="shared" si="2"/>
        <v>0</v>
      </c>
      <c r="H105" s="449"/>
      <c r="I105" s="444"/>
      <c r="J105" s="449"/>
      <c r="K105" s="444" t="s">
        <v>370</v>
      </c>
      <c r="L105" s="450" t="s">
        <v>371</v>
      </c>
      <c r="M105" s="444" t="s">
        <v>586</v>
      </c>
      <c r="N105" s="450"/>
      <c r="O105" s="450"/>
      <c r="P105" s="450" t="s">
        <v>403</v>
      </c>
      <c r="Q105" s="451" t="s">
        <v>374</v>
      </c>
      <c r="R105" s="451" t="s">
        <v>404</v>
      </c>
      <c r="S105" s="452" t="s">
        <v>405</v>
      </c>
      <c r="T105" s="452"/>
      <c r="U105" s="453"/>
      <c r="V105" s="454"/>
      <c r="W105" s="455" t="s">
        <v>406</v>
      </c>
      <c r="X105" s="455">
        <v>45607</v>
      </c>
      <c r="Y105" s="456" t="s">
        <v>377</v>
      </c>
      <c r="Z105" s="457"/>
      <c r="AA105" s="494">
        <v>1</v>
      </c>
    </row>
    <row r="106" spans="1:27" s="128" customFormat="1" ht="36" customHeight="1">
      <c r="A106" s="443">
        <v>95</v>
      </c>
      <c r="B106" s="444" t="s">
        <v>587</v>
      </c>
      <c r="C106" s="445" t="s">
        <v>55</v>
      </c>
      <c r="D106" s="444" t="s">
        <v>588</v>
      </c>
      <c r="E106" s="446">
        <v>3</v>
      </c>
      <c r="F106" s="447"/>
      <c r="G106" s="448">
        <f t="shared" si="2"/>
        <v>0</v>
      </c>
      <c r="H106" s="449"/>
      <c r="I106" s="444"/>
      <c r="J106" s="449"/>
      <c r="K106" s="444" t="s">
        <v>370</v>
      </c>
      <c r="L106" s="450" t="s">
        <v>371</v>
      </c>
      <c r="M106" s="444" t="s">
        <v>586</v>
      </c>
      <c r="N106" s="450"/>
      <c r="O106" s="450"/>
      <c r="P106" s="450" t="s">
        <v>403</v>
      </c>
      <c r="Q106" s="451" t="s">
        <v>374</v>
      </c>
      <c r="R106" s="451" t="s">
        <v>404</v>
      </c>
      <c r="S106" s="452" t="s">
        <v>405</v>
      </c>
      <c r="T106" s="452"/>
      <c r="U106" s="453"/>
      <c r="V106" s="454"/>
      <c r="W106" s="455" t="s">
        <v>406</v>
      </c>
      <c r="X106" s="455">
        <v>45607</v>
      </c>
      <c r="Y106" s="456" t="s">
        <v>377</v>
      </c>
      <c r="Z106" s="457"/>
      <c r="AA106" s="494">
        <v>1</v>
      </c>
    </row>
    <row r="107" spans="1:27" s="441" customFormat="1" ht="36" customHeight="1">
      <c r="A107" s="427">
        <v>96</v>
      </c>
      <c r="B107" s="428" t="s">
        <v>589</v>
      </c>
      <c r="C107" s="429" t="s">
        <v>55</v>
      </c>
      <c r="D107" s="428" t="s">
        <v>590</v>
      </c>
      <c r="E107" s="430">
        <v>3</v>
      </c>
      <c r="F107" s="431"/>
      <c r="G107" s="432">
        <f t="shared" si="2"/>
        <v>0</v>
      </c>
      <c r="H107" s="442"/>
      <c r="I107" s="428"/>
      <c r="J107" s="442"/>
      <c r="K107" s="428" t="s">
        <v>370</v>
      </c>
      <c r="L107" s="433" t="s">
        <v>371</v>
      </c>
      <c r="M107" s="428" t="s">
        <v>444</v>
      </c>
      <c r="N107" s="433"/>
      <c r="O107" s="433"/>
      <c r="P107" s="433" t="s">
        <v>444</v>
      </c>
      <c r="Q107" s="434" t="s">
        <v>591</v>
      </c>
      <c r="R107" s="434"/>
      <c r="S107" s="435" t="s">
        <v>444</v>
      </c>
      <c r="T107" s="435"/>
      <c r="U107" s="436"/>
      <c r="V107" s="437"/>
      <c r="W107" s="438"/>
      <c r="X107" s="438"/>
      <c r="Y107" s="439" t="s">
        <v>592</v>
      </c>
      <c r="Z107" s="440"/>
      <c r="AA107" s="495"/>
    </row>
    <row r="108" spans="1:27" s="441" customFormat="1" ht="36" customHeight="1">
      <c r="A108" s="427">
        <v>97</v>
      </c>
      <c r="B108" s="428" t="s">
        <v>593</v>
      </c>
      <c r="C108" s="429" t="s">
        <v>55</v>
      </c>
      <c r="D108" s="428" t="s">
        <v>594</v>
      </c>
      <c r="E108" s="430">
        <v>3</v>
      </c>
      <c r="F108" s="431"/>
      <c r="G108" s="432">
        <f t="shared" ref="G108:G139" si="3">E108*F108</f>
        <v>0</v>
      </c>
      <c r="H108" s="442"/>
      <c r="I108" s="428"/>
      <c r="J108" s="442"/>
      <c r="K108" s="428" t="s">
        <v>370</v>
      </c>
      <c r="L108" s="433" t="s">
        <v>371</v>
      </c>
      <c r="M108" s="428" t="s">
        <v>444</v>
      </c>
      <c r="N108" s="433"/>
      <c r="O108" s="433"/>
      <c r="P108" s="433" t="s">
        <v>444</v>
      </c>
      <c r="Q108" s="434" t="s">
        <v>591</v>
      </c>
      <c r="R108" s="434"/>
      <c r="S108" s="435" t="s">
        <v>444</v>
      </c>
      <c r="T108" s="435"/>
      <c r="U108" s="436"/>
      <c r="V108" s="437"/>
      <c r="W108" s="438"/>
      <c r="X108" s="438"/>
      <c r="Y108" s="439" t="s">
        <v>592</v>
      </c>
      <c r="Z108" s="440"/>
      <c r="AA108" s="495"/>
    </row>
    <row r="109" spans="1:27" s="441" customFormat="1" ht="36" customHeight="1">
      <c r="A109" s="427">
        <v>98</v>
      </c>
      <c r="B109" s="428" t="s">
        <v>595</v>
      </c>
      <c r="C109" s="429" t="s">
        <v>55</v>
      </c>
      <c r="D109" s="428" t="s">
        <v>596</v>
      </c>
      <c r="E109" s="430">
        <v>3</v>
      </c>
      <c r="F109" s="431"/>
      <c r="G109" s="432">
        <f t="shared" si="3"/>
        <v>0</v>
      </c>
      <c r="H109" s="442"/>
      <c r="I109" s="428"/>
      <c r="J109" s="442"/>
      <c r="K109" s="428" t="s">
        <v>370</v>
      </c>
      <c r="L109" s="433" t="s">
        <v>371</v>
      </c>
      <c r="M109" s="428" t="s">
        <v>444</v>
      </c>
      <c r="N109" s="433"/>
      <c r="O109" s="433"/>
      <c r="P109" s="433" t="s">
        <v>444</v>
      </c>
      <c r="Q109" s="434" t="s">
        <v>591</v>
      </c>
      <c r="R109" s="434"/>
      <c r="S109" s="435" t="s">
        <v>444</v>
      </c>
      <c r="T109" s="435"/>
      <c r="U109" s="436"/>
      <c r="V109" s="437"/>
      <c r="W109" s="438"/>
      <c r="X109" s="438"/>
      <c r="Y109" s="439" t="s">
        <v>592</v>
      </c>
      <c r="Z109" s="440"/>
      <c r="AA109" s="495"/>
    </row>
    <row r="110" spans="1:27" s="128" customFormat="1" ht="36" customHeight="1">
      <c r="A110" s="443">
        <v>99</v>
      </c>
      <c r="B110" s="444" t="s">
        <v>597</v>
      </c>
      <c r="C110" s="445" t="s">
        <v>55</v>
      </c>
      <c r="D110" s="444" t="s">
        <v>598</v>
      </c>
      <c r="E110" s="446">
        <v>3</v>
      </c>
      <c r="F110" s="447"/>
      <c r="G110" s="448">
        <f t="shared" si="3"/>
        <v>0</v>
      </c>
      <c r="H110" s="449"/>
      <c r="I110" s="444"/>
      <c r="J110" s="449"/>
      <c r="K110" s="444" t="s">
        <v>370</v>
      </c>
      <c r="L110" s="450" t="s">
        <v>371</v>
      </c>
      <c r="M110" s="444" t="s">
        <v>402</v>
      </c>
      <c r="N110" s="450"/>
      <c r="O110" s="450"/>
      <c r="P110" s="450" t="s">
        <v>403</v>
      </c>
      <c r="Q110" s="451" t="s">
        <v>374</v>
      </c>
      <c r="R110" s="451" t="s">
        <v>404</v>
      </c>
      <c r="S110" s="452" t="s">
        <v>405</v>
      </c>
      <c r="T110" s="452"/>
      <c r="U110" s="453"/>
      <c r="V110" s="454"/>
      <c r="W110" s="455" t="s">
        <v>406</v>
      </c>
      <c r="X110" s="455">
        <v>45607</v>
      </c>
      <c r="Y110" s="456" t="s">
        <v>377</v>
      </c>
      <c r="Z110" s="457"/>
      <c r="AA110" s="494">
        <v>1</v>
      </c>
    </row>
    <row r="111" spans="1:27" s="128" customFormat="1" ht="36" customHeight="1">
      <c r="A111" s="443">
        <v>100</v>
      </c>
      <c r="B111" s="444" t="s">
        <v>599</v>
      </c>
      <c r="C111" s="445" t="s">
        <v>55</v>
      </c>
      <c r="D111" s="444" t="s">
        <v>600</v>
      </c>
      <c r="E111" s="446">
        <v>3</v>
      </c>
      <c r="F111" s="447"/>
      <c r="G111" s="448">
        <f t="shared" si="3"/>
        <v>0</v>
      </c>
      <c r="H111" s="449"/>
      <c r="I111" s="444"/>
      <c r="J111" s="449"/>
      <c r="K111" s="444" t="s">
        <v>370</v>
      </c>
      <c r="L111" s="450" t="s">
        <v>371</v>
      </c>
      <c r="M111" s="444" t="s">
        <v>402</v>
      </c>
      <c r="N111" s="450"/>
      <c r="O111" s="450"/>
      <c r="P111" s="450" t="s">
        <v>403</v>
      </c>
      <c r="Q111" s="451" t="s">
        <v>374</v>
      </c>
      <c r="R111" s="451" t="s">
        <v>404</v>
      </c>
      <c r="S111" s="452" t="s">
        <v>405</v>
      </c>
      <c r="T111" s="452"/>
      <c r="U111" s="453"/>
      <c r="V111" s="454"/>
      <c r="W111" s="455" t="s">
        <v>406</v>
      </c>
      <c r="X111" s="455">
        <v>45607</v>
      </c>
      <c r="Y111" s="456" t="s">
        <v>377</v>
      </c>
      <c r="Z111" s="457"/>
      <c r="AA111" s="494">
        <v>1</v>
      </c>
    </row>
    <row r="112" spans="1:27" s="128" customFormat="1" ht="36" customHeight="1">
      <c r="A112" s="443">
        <v>101</v>
      </c>
      <c r="B112" s="444" t="s">
        <v>601</v>
      </c>
      <c r="C112" s="445" t="s">
        <v>55</v>
      </c>
      <c r="D112" s="444" t="s">
        <v>602</v>
      </c>
      <c r="E112" s="446">
        <v>3</v>
      </c>
      <c r="F112" s="447"/>
      <c r="G112" s="448">
        <f t="shared" si="3"/>
        <v>0</v>
      </c>
      <c r="H112" s="449"/>
      <c r="I112" s="444"/>
      <c r="J112" s="449"/>
      <c r="K112" s="444" t="s">
        <v>370</v>
      </c>
      <c r="L112" s="450" t="s">
        <v>371</v>
      </c>
      <c r="M112" s="444" t="s">
        <v>402</v>
      </c>
      <c r="N112" s="450"/>
      <c r="O112" s="450"/>
      <c r="P112" s="450" t="s">
        <v>403</v>
      </c>
      <c r="Q112" s="451" t="s">
        <v>374</v>
      </c>
      <c r="R112" s="451" t="s">
        <v>404</v>
      </c>
      <c r="S112" s="452" t="s">
        <v>405</v>
      </c>
      <c r="T112" s="452"/>
      <c r="U112" s="453"/>
      <c r="V112" s="454"/>
      <c r="W112" s="455" t="s">
        <v>406</v>
      </c>
      <c r="X112" s="455">
        <v>45607</v>
      </c>
      <c r="Y112" s="456" t="s">
        <v>377</v>
      </c>
      <c r="Z112" s="457"/>
      <c r="AA112" s="494">
        <v>1</v>
      </c>
    </row>
    <row r="113" spans="1:27" s="128" customFormat="1" ht="36" customHeight="1">
      <c r="A113" s="405">
        <v>102</v>
      </c>
      <c r="B113" s="407" t="s">
        <v>479</v>
      </c>
      <c r="C113" s="406" t="s">
        <v>55</v>
      </c>
      <c r="D113" s="407" t="s">
        <v>480</v>
      </c>
      <c r="E113" s="408">
        <v>15</v>
      </c>
      <c r="F113" s="409"/>
      <c r="G113" s="410">
        <f t="shared" si="3"/>
        <v>0</v>
      </c>
      <c r="H113" s="411"/>
      <c r="I113" s="407"/>
      <c r="J113" s="411"/>
      <c r="K113" s="407" t="s">
        <v>370</v>
      </c>
      <c r="L113" s="412" t="s">
        <v>371</v>
      </c>
      <c r="M113" s="407" t="s">
        <v>402</v>
      </c>
      <c r="N113" s="412"/>
      <c r="O113" s="412"/>
      <c r="P113" s="412" t="s">
        <v>403</v>
      </c>
      <c r="Q113" s="413" t="s">
        <v>374</v>
      </c>
      <c r="R113" s="413" t="s">
        <v>404</v>
      </c>
      <c r="S113" s="414" t="s">
        <v>405</v>
      </c>
      <c r="T113" s="414" t="s">
        <v>481</v>
      </c>
      <c r="U113" s="415"/>
      <c r="V113" s="416"/>
      <c r="W113" s="417"/>
      <c r="X113" s="417"/>
      <c r="Y113" s="418" t="s">
        <v>377</v>
      </c>
      <c r="Z113" s="419"/>
      <c r="AA113" s="492">
        <v>1</v>
      </c>
    </row>
    <row r="114" spans="1:27" s="128" customFormat="1" ht="36" customHeight="1">
      <c r="A114" s="443">
        <v>103</v>
      </c>
      <c r="B114" s="444" t="s">
        <v>482</v>
      </c>
      <c r="C114" s="445" t="s">
        <v>55</v>
      </c>
      <c r="D114" s="444" t="s">
        <v>483</v>
      </c>
      <c r="E114" s="446">
        <v>6</v>
      </c>
      <c r="F114" s="447"/>
      <c r="G114" s="448">
        <f t="shared" si="3"/>
        <v>0</v>
      </c>
      <c r="H114" s="449"/>
      <c r="I114" s="444"/>
      <c r="J114" s="449"/>
      <c r="K114" s="444" t="s">
        <v>476</v>
      </c>
      <c r="L114" s="450" t="s">
        <v>477</v>
      </c>
      <c r="M114" s="444" t="s">
        <v>478</v>
      </c>
      <c r="N114" s="450"/>
      <c r="O114" s="450"/>
      <c r="P114" s="450" t="s">
        <v>403</v>
      </c>
      <c r="Q114" s="451" t="s">
        <v>374</v>
      </c>
      <c r="R114" s="451" t="s">
        <v>404</v>
      </c>
      <c r="S114" s="452" t="s">
        <v>405</v>
      </c>
      <c r="T114" s="452"/>
      <c r="U114" s="453"/>
      <c r="V114" s="454"/>
      <c r="W114" s="455" t="s">
        <v>406</v>
      </c>
      <c r="X114" s="455">
        <v>45607</v>
      </c>
      <c r="Y114" s="456" t="s">
        <v>377</v>
      </c>
      <c r="Z114" s="457"/>
      <c r="AA114" s="494">
        <v>1</v>
      </c>
    </row>
    <row r="115" spans="1:27" s="128" customFormat="1" ht="36" customHeight="1">
      <c r="A115" s="443">
        <v>104</v>
      </c>
      <c r="B115" s="444" t="s">
        <v>603</v>
      </c>
      <c r="C115" s="445" t="s">
        <v>55</v>
      </c>
      <c r="D115" s="444" t="s">
        <v>604</v>
      </c>
      <c r="E115" s="446">
        <v>3</v>
      </c>
      <c r="F115" s="447"/>
      <c r="G115" s="448">
        <f t="shared" si="3"/>
        <v>0</v>
      </c>
      <c r="H115" s="449"/>
      <c r="I115" s="444"/>
      <c r="J115" s="449"/>
      <c r="K115" s="444" t="s">
        <v>370</v>
      </c>
      <c r="L115" s="450" t="s">
        <v>371</v>
      </c>
      <c r="M115" s="444" t="s">
        <v>372</v>
      </c>
      <c r="N115" s="450"/>
      <c r="O115" s="450"/>
      <c r="P115" s="450" t="s">
        <v>373</v>
      </c>
      <c r="Q115" s="451" t="s">
        <v>374</v>
      </c>
      <c r="R115" s="451" t="s">
        <v>249</v>
      </c>
      <c r="S115" s="452" t="s">
        <v>375</v>
      </c>
      <c r="T115" s="452">
        <v>45558</v>
      </c>
      <c r="U115" s="453"/>
      <c r="V115" s="454"/>
      <c r="W115" s="455" t="s">
        <v>376</v>
      </c>
      <c r="X115" s="455">
        <v>45558</v>
      </c>
      <c r="Y115" s="456" t="s">
        <v>377</v>
      </c>
      <c r="Z115" s="457"/>
      <c r="AA115" s="494"/>
    </row>
    <row r="116" spans="1:27" s="128" customFormat="1" ht="36" customHeight="1">
      <c r="A116" s="443">
        <v>105</v>
      </c>
      <c r="B116" s="444" t="s">
        <v>605</v>
      </c>
      <c r="C116" s="445" t="s">
        <v>55</v>
      </c>
      <c r="D116" s="444" t="s">
        <v>606</v>
      </c>
      <c r="E116" s="446">
        <v>3</v>
      </c>
      <c r="F116" s="447"/>
      <c r="G116" s="448">
        <f t="shared" si="3"/>
        <v>0</v>
      </c>
      <c r="H116" s="449"/>
      <c r="I116" s="444"/>
      <c r="J116" s="449"/>
      <c r="K116" s="444" t="s">
        <v>370</v>
      </c>
      <c r="L116" s="450" t="s">
        <v>371</v>
      </c>
      <c r="M116" s="444" t="s">
        <v>372</v>
      </c>
      <c r="N116" s="450"/>
      <c r="O116" s="450"/>
      <c r="P116" s="450" t="s">
        <v>373</v>
      </c>
      <c r="Q116" s="451" t="s">
        <v>374</v>
      </c>
      <c r="R116" s="451" t="s">
        <v>249</v>
      </c>
      <c r="S116" s="452" t="s">
        <v>375</v>
      </c>
      <c r="T116" s="452">
        <v>45558</v>
      </c>
      <c r="U116" s="453"/>
      <c r="V116" s="454"/>
      <c r="W116" s="455" t="s">
        <v>376</v>
      </c>
      <c r="X116" s="455">
        <v>45558</v>
      </c>
      <c r="Y116" s="456" t="s">
        <v>377</v>
      </c>
      <c r="Z116" s="457"/>
      <c r="AA116" s="494"/>
    </row>
    <row r="117" spans="1:27" s="128" customFormat="1" ht="36" customHeight="1">
      <c r="A117" s="443">
        <v>106</v>
      </c>
      <c r="B117" s="444" t="s">
        <v>607</v>
      </c>
      <c r="C117" s="445" t="s">
        <v>55</v>
      </c>
      <c r="D117" s="444" t="s">
        <v>608</v>
      </c>
      <c r="E117" s="446">
        <v>6</v>
      </c>
      <c r="F117" s="447"/>
      <c r="G117" s="448">
        <f t="shared" si="3"/>
        <v>0</v>
      </c>
      <c r="H117" s="449"/>
      <c r="I117" s="444"/>
      <c r="J117" s="449"/>
      <c r="K117" s="444" t="s">
        <v>370</v>
      </c>
      <c r="L117" s="450" t="s">
        <v>371</v>
      </c>
      <c r="M117" s="444" t="s">
        <v>372</v>
      </c>
      <c r="N117" s="450"/>
      <c r="O117" s="450"/>
      <c r="P117" s="450" t="s">
        <v>373</v>
      </c>
      <c r="Q117" s="451" t="s">
        <v>374</v>
      </c>
      <c r="R117" s="451" t="s">
        <v>249</v>
      </c>
      <c r="S117" s="452" t="s">
        <v>375</v>
      </c>
      <c r="T117" s="452">
        <v>45558</v>
      </c>
      <c r="U117" s="453"/>
      <c r="V117" s="454"/>
      <c r="W117" s="455" t="s">
        <v>376</v>
      </c>
      <c r="X117" s="455">
        <v>45558</v>
      </c>
      <c r="Y117" s="456" t="s">
        <v>377</v>
      </c>
      <c r="Z117" s="457"/>
      <c r="AA117" s="494"/>
    </row>
    <row r="118" spans="1:27" s="128" customFormat="1" ht="18" customHeight="1">
      <c r="A118" s="443">
        <v>107</v>
      </c>
      <c r="B118" s="444" t="s">
        <v>609</v>
      </c>
      <c r="C118" s="445" t="s">
        <v>55</v>
      </c>
      <c r="D118" s="444" t="s">
        <v>610</v>
      </c>
      <c r="E118" s="446">
        <v>1.5</v>
      </c>
      <c r="F118" s="447"/>
      <c r="G118" s="448">
        <f t="shared" si="3"/>
        <v>0</v>
      </c>
      <c r="H118" s="449"/>
      <c r="I118" s="444"/>
      <c r="J118" s="449"/>
      <c r="K118" s="444" t="s">
        <v>370</v>
      </c>
      <c r="L118" s="450" t="s">
        <v>371</v>
      </c>
      <c r="M118" s="444" t="s">
        <v>372</v>
      </c>
      <c r="N118" s="450"/>
      <c r="O118" s="450"/>
      <c r="P118" s="450" t="s">
        <v>373</v>
      </c>
      <c r="Q118" s="451" t="s">
        <v>611</v>
      </c>
      <c r="R118" s="451" t="s">
        <v>249</v>
      </c>
      <c r="S118" s="452" t="s">
        <v>375</v>
      </c>
      <c r="T118" s="452">
        <v>45558</v>
      </c>
      <c r="U118" s="453"/>
      <c r="V118" s="454"/>
      <c r="W118" s="455" t="s">
        <v>376</v>
      </c>
      <c r="X118" s="455">
        <v>45558</v>
      </c>
      <c r="Y118" s="456" t="s">
        <v>377</v>
      </c>
      <c r="Z118" s="457"/>
      <c r="AA118" s="494"/>
    </row>
    <row r="119" spans="1:27" s="128" customFormat="1" ht="36" customHeight="1">
      <c r="A119" s="443">
        <v>108</v>
      </c>
      <c r="B119" s="444" t="s">
        <v>612</v>
      </c>
      <c r="C119" s="445" t="s">
        <v>55</v>
      </c>
      <c r="D119" s="444" t="s">
        <v>613</v>
      </c>
      <c r="E119" s="446">
        <v>12</v>
      </c>
      <c r="F119" s="447"/>
      <c r="G119" s="448">
        <f t="shared" si="3"/>
        <v>0</v>
      </c>
      <c r="H119" s="449"/>
      <c r="I119" s="444"/>
      <c r="J119" s="449"/>
      <c r="K119" s="444" t="s">
        <v>370</v>
      </c>
      <c r="L119" s="450" t="s">
        <v>371</v>
      </c>
      <c r="M119" s="444" t="s">
        <v>372</v>
      </c>
      <c r="N119" s="450"/>
      <c r="O119" s="450"/>
      <c r="P119" s="450" t="s">
        <v>373</v>
      </c>
      <c r="Q119" s="451" t="s">
        <v>374</v>
      </c>
      <c r="R119" s="451" t="s">
        <v>249</v>
      </c>
      <c r="S119" s="452" t="s">
        <v>375</v>
      </c>
      <c r="T119" s="452">
        <v>45558</v>
      </c>
      <c r="U119" s="453"/>
      <c r="V119" s="454"/>
      <c r="W119" s="455" t="s">
        <v>376</v>
      </c>
      <c r="X119" s="455">
        <v>45558</v>
      </c>
      <c r="Y119" s="456" t="s">
        <v>377</v>
      </c>
      <c r="Z119" s="457"/>
      <c r="AA119" s="494"/>
    </row>
    <row r="120" spans="1:27" s="128" customFormat="1" ht="36" customHeight="1">
      <c r="A120" s="443">
        <v>109</v>
      </c>
      <c r="B120" s="444" t="s">
        <v>614</v>
      </c>
      <c r="C120" s="445" t="s">
        <v>55</v>
      </c>
      <c r="D120" s="444" t="s">
        <v>615</v>
      </c>
      <c r="E120" s="446">
        <v>6</v>
      </c>
      <c r="F120" s="447"/>
      <c r="G120" s="448">
        <f t="shared" si="3"/>
        <v>0</v>
      </c>
      <c r="H120" s="449"/>
      <c r="I120" s="444"/>
      <c r="J120" s="449"/>
      <c r="K120" s="444" t="s">
        <v>370</v>
      </c>
      <c r="L120" s="450" t="s">
        <v>371</v>
      </c>
      <c r="M120" s="444" t="s">
        <v>372</v>
      </c>
      <c r="N120" s="450"/>
      <c r="O120" s="450"/>
      <c r="P120" s="450" t="s">
        <v>373</v>
      </c>
      <c r="Q120" s="451" t="s">
        <v>374</v>
      </c>
      <c r="R120" s="451" t="s">
        <v>249</v>
      </c>
      <c r="S120" s="452" t="s">
        <v>375</v>
      </c>
      <c r="T120" s="452">
        <v>45558</v>
      </c>
      <c r="U120" s="453"/>
      <c r="V120" s="454"/>
      <c r="W120" s="455" t="s">
        <v>376</v>
      </c>
      <c r="X120" s="455">
        <v>45558</v>
      </c>
      <c r="Y120" s="456" t="s">
        <v>377</v>
      </c>
      <c r="Z120" s="457"/>
      <c r="AA120" s="494"/>
    </row>
    <row r="121" spans="1:27" s="128" customFormat="1" ht="36" customHeight="1">
      <c r="A121" s="443">
        <v>110</v>
      </c>
      <c r="B121" s="444" t="s">
        <v>616</v>
      </c>
      <c r="C121" s="445" t="s">
        <v>55</v>
      </c>
      <c r="D121" s="444" t="s">
        <v>617</v>
      </c>
      <c r="E121" s="446">
        <v>6</v>
      </c>
      <c r="F121" s="447"/>
      <c r="G121" s="448">
        <f t="shared" si="3"/>
        <v>0</v>
      </c>
      <c r="H121" s="449"/>
      <c r="I121" s="444"/>
      <c r="J121" s="449"/>
      <c r="K121" s="444" t="s">
        <v>370</v>
      </c>
      <c r="L121" s="450" t="s">
        <v>371</v>
      </c>
      <c r="M121" s="444" t="s">
        <v>372</v>
      </c>
      <c r="N121" s="450"/>
      <c r="O121" s="450"/>
      <c r="P121" s="450" t="s">
        <v>373</v>
      </c>
      <c r="Q121" s="451" t="s">
        <v>374</v>
      </c>
      <c r="R121" s="451" t="s">
        <v>249</v>
      </c>
      <c r="S121" s="452" t="s">
        <v>375</v>
      </c>
      <c r="T121" s="452">
        <v>45558</v>
      </c>
      <c r="U121" s="453"/>
      <c r="V121" s="454"/>
      <c r="W121" s="455" t="s">
        <v>376</v>
      </c>
      <c r="X121" s="455">
        <v>45558</v>
      </c>
      <c r="Y121" s="456" t="s">
        <v>377</v>
      </c>
      <c r="Z121" s="457"/>
      <c r="AA121" s="494"/>
    </row>
    <row r="122" spans="1:27" s="128" customFormat="1" ht="36" customHeight="1">
      <c r="A122" s="443">
        <v>111</v>
      </c>
      <c r="B122" s="444" t="s">
        <v>618</v>
      </c>
      <c r="C122" s="445" t="s">
        <v>55</v>
      </c>
      <c r="D122" s="444" t="s">
        <v>619</v>
      </c>
      <c r="E122" s="446">
        <v>6</v>
      </c>
      <c r="F122" s="447"/>
      <c r="G122" s="448">
        <f t="shared" si="3"/>
        <v>0</v>
      </c>
      <c r="H122" s="449"/>
      <c r="I122" s="444"/>
      <c r="J122" s="449"/>
      <c r="K122" s="444" t="s">
        <v>370</v>
      </c>
      <c r="L122" s="450" t="s">
        <v>371</v>
      </c>
      <c r="M122" s="444" t="s">
        <v>372</v>
      </c>
      <c r="N122" s="450"/>
      <c r="O122" s="450"/>
      <c r="P122" s="450" t="s">
        <v>373</v>
      </c>
      <c r="Q122" s="451" t="s">
        <v>374</v>
      </c>
      <c r="R122" s="451" t="s">
        <v>249</v>
      </c>
      <c r="S122" s="452" t="s">
        <v>375</v>
      </c>
      <c r="T122" s="452">
        <v>45558</v>
      </c>
      <c r="U122" s="453"/>
      <c r="V122" s="454"/>
      <c r="W122" s="455" t="s">
        <v>376</v>
      </c>
      <c r="X122" s="455">
        <v>45558</v>
      </c>
      <c r="Y122" s="456" t="s">
        <v>377</v>
      </c>
      <c r="Z122" s="457"/>
      <c r="AA122" s="494"/>
    </row>
    <row r="123" spans="1:27" s="128" customFormat="1" ht="36" customHeight="1">
      <c r="A123" s="443">
        <v>112</v>
      </c>
      <c r="B123" s="444" t="s">
        <v>620</v>
      </c>
      <c r="C123" s="445" t="s">
        <v>55</v>
      </c>
      <c r="D123" s="444" t="s">
        <v>621</v>
      </c>
      <c r="E123" s="446">
        <v>12</v>
      </c>
      <c r="F123" s="447"/>
      <c r="G123" s="448">
        <f t="shared" si="3"/>
        <v>0</v>
      </c>
      <c r="H123" s="449"/>
      <c r="I123" s="444"/>
      <c r="J123" s="449"/>
      <c r="K123" s="444" t="s">
        <v>370</v>
      </c>
      <c r="L123" s="450" t="s">
        <v>371</v>
      </c>
      <c r="M123" s="444" t="s">
        <v>372</v>
      </c>
      <c r="N123" s="450"/>
      <c r="O123" s="450"/>
      <c r="P123" s="450" t="s">
        <v>373</v>
      </c>
      <c r="Q123" s="451" t="s">
        <v>374</v>
      </c>
      <c r="R123" s="451" t="s">
        <v>249</v>
      </c>
      <c r="S123" s="452" t="s">
        <v>375</v>
      </c>
      <c r="T123" s="452">
        <v>45558</v>
      </c>
      <c r="U123" s="453"/>
      <c r="V123" s="454"/>
      <c r="W123" s="455" t="s">
        <v>376</v>
      </c>
      <c r="X123" s="455">
        <v>45558</v>
      </c>
      <c r="Y123" s="456" t="s">
        <v>377</v>
      </c>
      <c r="Z123" s="457"/>
      <c r="AA123" s="494"/>
    </row>
    <row r="124" spans="1:27" s="128" customFormat="1" ht="36" customHeight="1">
      <c r="A124" s="443">
        <v>113</v>
      </c>
      <c r="B124" s="444" t="s">
        <v>622</v>
      </c>
      <c r="C124" s="445" t="s">
        <v>55</v>
      </c>
      <c r="D124" s="444" t="s">
        <v>623</v>
      </c>
      <c r="E124" s="446">
        <v>6</v>
      </c>
      <c r="F124" s="447"/>
      <c r="G124" s="448">
        <f t="shared" si="3"/>
        <v>0</v>
      </c>
      <c r="H124" s="449"/>
      <c r="I124" s="444"/>
      <c r="J124" s="449"/>
      <c r="K124" s="444" t="s">
        <v>370</v>
      </c>
      <c r="L124" s="450" t="s">
        <v>371</v>
      </c>
      <c r="M124" s="444" t="s">
        <v>372</v>
      </c>
      <c r="N124" s="450"/>
      <c r="O124" s="450"/>
      <c r="P124" s="450" t="s">
        <v>373</v>
      </c>
      <c r="Q124" s="451" t="s">
        <v>374</v>
      </c>
      <c r="R124" s="451" t="s">
        <v>249</v>
      </c>
      <c r="S124" s="452" t="s">
        <v>624</v>
      </c>
      <c r="T124" s="452">
        <v>45562</v>
      </c>
      <c r="U124" s="453"/>
      <c r="V124" s="454"/>
      <c r="W124" s="455" t="s">
        <v>406</v>
      </c>
      <c r="X124" s="455">
        <v>45566</v>
      </c>
      <c r="Y124" s="456" t="s">
        <v>377</v>
      </c>
      <c r="Z124" s="457"/>
      <c r="AA124" s="494"/>
    </row>
    <row r="125" spans="1:27" s="128" customFormat="1" ht="36" customHeight="1">
      <c r="A125" s="443">
        <v>114</v>
      </c>
      <c r="B125" s="444" t="s">
        <v>625</v>
      </c>
      <c r="C125" s="445" t="s">
        <v>55</v>
      </c>
      <c r="D125" s="444" t="s">
        <v>626</v>
      </c>
      <c r="E125" s="446">
        <v>6</v>
      </c>
      <c r="F125" s="447"/>
      <c r="G125" s="448">
        <f t="shared" si="3"/>
        <v>0</v>
      </c>
      <c r="H125" s="449"/>
      <c r="I125" s="444"/>
      <c r="J125" s="449"/>
      <c r="K125" s="444" t="s">
        <v>370</v>
      </c>
      <c r="L125" s="450" t="s">
        <v>371</v>
      </c>
      <c r="M125" s="444" t="s">
        <v>372</v>
      </c>
      <c r="N125" s="450"/>
      <c r="O125" s="450"/>
      <c r="P125" s="450" t="s">
        <v>373</v>
      </c>
      <c r="Q125" s="451" t="s">
        <v>374</v>
      </c>
      <c r="R125" s="451" t="s">
        <v>249</v>
      </c>
      <c r="S125" s="452" t="s">
        <v>375</v>
      </c>
      <c r="T125" s="452">
        <v>45558</v>
      </c>
      <c r="U125" s="453"/>
      <c r="V125" s="454"/>
      <c r="W125" s="455" t="s">
        <v>376</v>
      </c>
      <c r="X125" s="455">
        <v>45558</v>
      </c>
      <c r="Y125" s="456" t="s">
        <v>377</v>
      </c>
      <c r="Z125" s="457"/>
      <c r="AA125" s="494"/>
    </row>
    <row r="126" spans="1:27" s="128" customFormat="1" ht="36" customHeight="1">
      <c r="A126" s="443">
        <v>115</v>
      </c>
      <c r="B126" s="444" t="s">
        <v>627</v>
      </c>
      <c r="C126" s="445" t="s">
        <v>55</v>
      </c>
      <c r="D126" s="444" t="s">
        <v>628</v>
      </c>
      <c r="E126" s="446">
        <v>3</v>
      </c>
      <c r="F126" s="447"/>
      <c r="G126" s="448">
        <f t="shared" si="3"/>
        <v>0</v>
      </c>
      <c r="H126" s="449"/>
      <c r="I126" s="444"/>
      <c r="J126" s="449"/>
      <c r="K126" s="444" t="s">
        <v>370</v>
      </c>
      <c r="L126" s="450" t="s">
        <v>371</v>
      </c>
      <c r="M126" s="444" t="s">
        <v>372</v>
      </c>
      <c r="N126" s="450"/>
      <c r="O126" s="450"/>
      <c r="P126" s="450" t="s">
        <v>373</v>
      </c>
      <c r="Q126" s="451" t="s">
        <v>374</v>
      </c>
      <c r="R126" s="451" t="s">
        <v>249</v>
      </c>
      <c r="S126" s="452" t="s">
        <v>375</v>
      </c>
      <c r="T126" s="452">
        <v>45558</v>
      </c>
      <c r="U126" s="453"/>
      <c r="V126" s="454"/>
      <c r="W126" s="455" t="s">
        <v>376</v>
      </c>
      <c r="X126" s="455">
        <v>45558</v>
      </c>
      <c r="Y126" s="456" t="s">
        <v>377</v>
      </c>
      <c r="Z126" s="457"/>
      <c r="AA126" s="494"/>
    </row>
    <row r="127" spans="1:27" s="128" customFormat="1" ht="36" customHeight="1">
      <c r="A127" s="443">
        <v>116</v>
      </c>
      <c r="B127" s="444" t="s">
        <v>629</v>
      </c>
      <c r="C127" s="445" t="s">
        <v>55</v>
      </c>
      <c r="D127" s="444" t="s">
        <v>630</v>
      </c>
      <c r="E127" s="446">
        <v>6</v>
      </c>
      <c r="F127" s="447"/>
      <c r="G127" s="448">
        <f t="shared" si="3"/>
        <v>0</v>
      </c>
      <c r="H127" s="449"/>
      <c r="I127" s="444"/>
      <c r="J127" s="449"/>
      <c r="K127" s="444" t="s">
        <v>370</v>
      </c>
      <c r="L127" s="450" t="s">
        <v>371</v>
      </c>
      <c r="M127" s="444" t="s">
        <v>372</v>
      </c>
      <c r="N127" s="450"/>
      <c r="O127" s="450"/>
      <c r="P127" s="450" t="s">
        <v>373</v>
      </c>
      <c r="Q127" s="451" t="s">
        <v>374</v>
      </c>
      <c r="R127" s="451" t="s">
        <v>249</v>
      </c>
      <c r="S127" s="452" t="s">
        <v>375</v>
      </c>
      <c r="T127" s="452">
        <v>45558</v>
      </c>
      <c r="U127" s="453"/>
      <c r="V127" s="454"/>
      <c r="W127" s="455" t="s">
        <v>376</v>
      </c>
      <c r="X127" s="455">
        <v>45558</v>
      </c>
      <c r="Y127" s="456" t="s">
        <v>377</v>
      </c>
      <c r="Z127" s="457"/>
      <c r="AA127" s="494"/>
    </row>
    <row r="128" spans="1:27" s="128" customFormat="1" ht="18" customHeight="1">
      <c r="A128" s="443">
        <v>117</v>
      </c>
      <c r="B128" s="444" t="s">
        <v>535</v>
      </c>
      <c r="C128" s="445" t="s">
        <v>55</v>
      </c>
      <c r="D128" s="444" t="s">
        <v>536</v>
      </c>
      <c r="E128" s="446">
        <v>3</v>
      </c>
      <c r="F128" s="447"/>
      <c r="G128" s="448">
        <f t="shared" si="3"/>
        <v>0</v>
      </c>
      <c r="H128" s="449"/>
      <c r="I128" s="444"/>
      <c r="J128" s="449"/>
      <c r="K128" s="444" t="s">
        <v>370</v>
      </c>
      <c r="L128" s="450" t="s">
        <v>371</v>
      </c>
      <c r="M128" s="444" t="s">
        <v>384</v>
      </c>
      <c r="N128" s="450"/>
      <c r="O128" s="450"/>
      <c r="P128" s="450" t="s">
        <v>373</v>
      </c>
      <c r="Q128" s="451" t="s">
        <v>374</v>
      </c>
      <c r="R128" s="451" t="s">
        <v>263</v>
      </c>
      <c r="S128" s="452" t="s">
        <v>385</v>
      </c>
      <c r="T128" s="452"/>
      <c r="U128" s="453"/>
      <c r="V128" s="454"/>
      <c r="W128" s="455" t="s">
        <v>376</v>
      </c>
      <c r="X128" s="455">
        <v>45547</v>
      </c>
      <c r="Y128" s="456" t="s">
        <v>377</v>
      </c>
      <c r="Z128" s="457"/>
      <c r="AA128" s="494"/>
    </row>
    <row r="129" spans="1:27" s="128" customFormat="1" ht="18" customHeight="1">
      <c r="A129" s="443">
        <v>118</v>
      </c>
      <c r="B129" s="444" t="s">
        <v>631</v>
      </c>
      <c r="C129" s="445" t="s">
        <v>55</v>
      </c>
      <c r="D129" s="444" t="s">
        <v>632</v>
      </c>
      <c r="E129" s="446">
        <v>6</v>
      </c>
      <c r="F129" s="447"/>
      <c r="G129" s="448">
        <f t="shared" si="3"/>
        <v>0</v>
      </c>
      <c r="H129" s="449"/>
      <c r="I129" s="444"/>
      <c r="J129" s="449"/>
      <c r="K129" s="444"/>
      <c r="L129" s="450"/>
      <c r="M129" s="444"/>
      <c r="N129" s="450"/>
      <c r="O129" s="450"/>
      <c r="P129" s="450"/>
      <c r="Q129" s="451" t="s">
        <v>374</v>
      </c>
      <c r="R129" s="451"/>
      <c r="S129" s="452"/>
      <c r="T129" s="452"/>
      <c r="U129" s="453"/>
      <c r="V129" s="454"/>
      <c r="W129" s="455" t="s">
        <v>406</v>
      </c>
      <c r="X129" s="455">
        <v>45518</v>
      </c>
      <c r="Y129" s="456" t="s">
        <v>377</v>
      </c>
      <c r="Z129" s="457"/>
      <c r="AA129" s="494"/>
    </row>
    <row r="130" spans="1:27" s="128" customFormat="1" ht="36" customHeight="1">
      <c r="A130" s="443">
        <v>119</v>
      </c>
      <c r="B130" s="444" t="s">
        <v>633</v>
      </c>
      <c r="C130" s="445" t="s">
        <v>55</v>
      </c>
      <c r="D130" s="444" t="s">
        <v>634</v>
      </c>
      <c r="E130" s="446">
        <v>3</v>
      </c>
      <c r="F130" s="447"/>
      <c r="G130" s="448">
        <f t="shared" si="3"/>
        <v>0</v>
      </c>
      <c r="H130" s="449"/>
      <c r="I130" s="444"/>
      <c r="J130" s="449"/>
      <c r="K130" s="444" t="s">
        <v>370</v>
      </c>
      <c r="L130" s="450" t="s">
        <v>371</v>
      </c>
      <c r="M130" s="444" t="s">
        <v>461</v>
      </c>
      <c r="N130" s="450"/>
      <c r="O130" s="450"/>
      <c r="P130" s="450" t="s">
        <v>431</v>
      </c>
      <c r="Q130" s="451" t="s">
        <v>374</v>
      </c>
      <c r="R130" s="451" t="s">
        <v>237</v>
      </c>
      <c r="S130" s="452" t="s">
        <v>462</v>
      </c>
      <c r="T130" s="452"/>
      <c r="U130" s="453"/>
      <c r="V130" s="454"/>
      <c r="W130" s="455" t="s">
        <v>376</v>
      </c>
      <c r="X130" s="455">
        <v>45546</v>
      </c>
      <c r="Y130" s="456" t="s">
        <v>377</v>
      </c>
      <c r="Z130" s="457"/>
      <c r="AA130" s="494"/>
    </row>
    <row r="131" spans="1:27" s="128" customFormat="1" ht="36" customHeight="1">
      <c r="A131" s="443">
        <v>120</v>
      </c>
      <c r="B131" s="444" t="s">
        <v>635</v>
      </c>
      <c r="C131" s="445" t="s">
        <v>55</v>
      </c>
      <c r="D131" s="444" t="s">
        <v>636</v>
      </c>
      <c r="E131" s="446">
        <v>3</v>
      </c>
      <c r="F131" s="447"/>
      <c r="G131" s="448">
        <f t="shared" si="3"/>
        <v>0</v>
      </c>
      <c r="H131" s="449"/>
      <c r="I131" s="444"/>
      <c r="J131" s="449"/>
      <c r="K131" s="444" t="s">
        <v>370</v>
      </c>
      <c r="L131" s="450" t="s">
        <v>371</v>
      </c>
      <c r="M131" s="444" t="s">
        <v>461</v>
      </c>
      <c r="N131" s="450"/>
      <c r="O131" s="450"/>
      <c r="P131" s="450" t="s">
        <v>431</v>
      </c>
      <c r="Q131" s="451" t="s">
        <v>374</v>
      </c>
      <c r="R131" s="451" t="s">
        <v>237</v>
      </c>
      <c r="S131" s="452" t="s">
        <v>462</v>
      </c>
      <c r="T131" s="452"/>
      <c r="U131" s="453"/>
      <c r="V131" s="454"/>
      <c r="W131" s="455" t="s">
        <v>376</v>
      </c>
      <c r="X131" s="455">
        <v>45546</v>
      </c>
      <c r="Y131" s="456" t="s">
        <v>377</v>
      </c>
      <c r="Z131" s="457"/>
      <c r="AA131" s="494"/>
    </row>
    <row r="132" spans="1:27" s="128" customFormat="1" ht="36" customHeight="1">
      <c r="A132" s="443">
        <v>121</v>
      </c>
      <c r="B132" s="444" t="s">
        <v>637</v>
      </c>
      <c r="C132" s="445" t="s">
        <v>55</v>
      </c>
      <c r="D132" s="444" t="s">
        <v>638</v>
      </c>
      <c r="E132" s="446">
        <v>3</v>
      </c>
      <c r="F132" s="447"/>
      <c r="G132" s="448">
        <f t="shared" si="3"/>
        <v>0</v>
      </c>
      <c r="H132" s="449"/>
      <c r="I132" s="444"/>
      <c r="J132" s="449"/>
      <c r="K132" s="444" t="s">
        <v>370</v>
      </c>
      <c r="L132" s="450" t="s">
        <v>371</v>
      </c>
      <c r="M132" s="444" t="s">
        <v>461</v>
      </c>
      <c r="N132" s="450"/>
      <c r="O132" s="450"/>
      <c r="P132" s="450" t="s">
        <v>431</v>
      </c>
      <c r="Q132" s="451" t="s">
        <v>374</v>
      </c>
      <c r="R132" s="451" t="s">
        <v>237</v>
      </c>
      <c r="S132" s="452" t="s">
        <v>462</v>
      </c>
      <c r="T132" s="452"/>
      <c r="U132" s="453"/>
      <c r="V132" s="454"/>
      <c r="W132" s="455" t="s">
        <v>376</v>
      </c>
      <c r="X132" s="455">
        <v>45546</v>
      </c>
      <c r="Y132" s="456" t="s">
        <v>377</v>
      </c>
      <c r="Z132" s="457"/>
      <c r="AA132" s="494"/>
    </row>
    <row r="133" spans="1:27" s="128" customFormat="1" ht="36" customHeight="1">
      <c r="A133" s="443">
        <v>122</v>
      </c>
      <c r="B133" s="444" t="s">
        <v>639</v>
      </c>
      <c r="C133" s="445" t="s">
        <v>55</v>
      </c>
      <c r="D133" s="444" t="s">
        <v>640</v>
      </c>
      <c r="E133" s="446">
        <v>3</v>
      </c>
      <c r="F133" s="447"/>
      <c r="G133" s="448">
        <f t="shared" si="3"/>
        <v>0</v>
      </c>
      <c r="H133" s="449"/>
      <c r="I133" s="444"/>
      <c r="J133" s="449"/>
      <c r="K133" s="444" t="s">
        <v>370</v>
      </c>
      <c r="L133" s="450" t="s">
        <v>371</v>
      </c>
      <c r="M133" s="444" t="s">
        <v>384</v>
      </c>
      <c r="N133" s="450"/>
      <c r="O133" s="450"/>
      <c r="P133" s="450" t="s">
        <v>373</v>
      </c>
      <c r="Q133" s="451" t="s">
        <v>374</v>
      </c>
      <c r="R133" s="451" t="s">
        <v>263</v>
      </c>
      <c r="S133" s="452" t="s">
        <v>385</v>
      </c>
      <c r="T133" s="452"/>
      <c r="U133" s="453"/>
      <c r="V133" s="454"/>
      <c r="W133" s="455" t="s">
        <v>406</v>
      </c>
      <c r="X133" s="455">
        <v>45553</v>
      </c>
      <c r="Y133" s="456" t="s">
        <v>377</v>
      </c>
      <c r="Z133" s="457"/>
      <c r="AA133" s="494"/>
    </row>
    <row r="134" spans="1:27" s="128" customFormat="1" ht="36" customHeight="1">
      <c r="A134" s="443">
        <v>123</v>
      </c>
      <c r="B134" s="444" t="s">
        <v>641</v>
      </c>
      <c r="C134" s="445" t="s">
        <v>55</v>
      </c>
      <c r="D134" s="444" t="s">
        <v>642</v>
      </c>
      <c r="E134" s="446">
        <v>6</v>
      </c>
      <c r="F134" s="447"/>
      <c r="G134" s="448">
        <f t="shared" si="3"/>
        <v>0</v>
      </c>
      <c r="H134" s="449"/>
      <c r="I134" s="444"/>
      <c r="J134" s="449"/>
      <c r="K134" s="444" t="s">
        <v>370</v>
      </c>
      <c r="L134" s="450" t="s">
        <v>371</v>
      </c>
      <c r="M134" s="444" t="s">
        <v>384</v>
      </c>
      <c r="N134" s="450"/>
      <c r="O134" s="450"/>
      <c r="P134" s="450" t="s">
        <v>373</v>
      </c>
      <c r="Q134" s="451" t="s">
        <v>374</v>
      </c>
      <c r="R134" s="451" t="s">
        <v>263</v>
      </c>
      <c r="S134" s="452" t="s">
        <v>385</v>
      </c>
      <c r="T134" s="452"/>
      <c r="U134" s="453"/>
      <c r="V134" s="454"/>
      <c r="W134" s="455" t="s">
        <v>406</v>
      </c>
      <c r="X134" s="455">
        <v>45553</v>
      </c>
      <c r="Y134" s="456" t="s">
        <v>377</v>
      </c>
      <c r="Z134" s="457"/>
      <c r="AA134" s="494"/>
    </row>
    <row r="135" spans="1:27" s="128" customFormat="1" ht="36" customHeight="1">
      <c r="A135" s="443">
        <v>124</v>
      </c>
      <c r="B135" s="444" t="s">
        <v>643</v>
      </c>
      <c r="C135" s="445" t="s">
        <v>55</v>
      </c>
      <c r="D135" s="444" t="s">
        <v>644</v>
      </c>
      <c r="E135" s="446">
        <v>12</v>
      </c>
      <c r="F135" s="447"/>
      <c r="G135" s="448">
        <f t="shared" si="3"/>
        <v>0</v>
      </c>
      <c r="H135" s="449"/>
      <c r="I135" s="444"/>
      <c r="J135" s="449"/>
      <c r="K135" s="444" t="s">
        <v>370</v>
      </c>
      <c r="L135" s="450" t="s">
        <v>371</v>
      </c>
      <c r="M135" s="444" t="s">
        <v>384</v>
      </c>
      <c r="N135" s="450"/>
      <c r="O135" s="450"/>
      <c r="P135" s="450" t="s">
        <v>373</v>
      </c>
      <c r="Q135" s="451" t="s">
        <v>374</v>
      </c>
      <c r="R135" s="451" t="s">
        <v>263</v>
      </c>
      <c r="S135" s="452" t="s">
        <v>385</v>
      </c>
      <c r="T135" s="452"/>
      <c r="U135" s="453"/>
      <c r="V135" s="454"/>
      <c r="W135" s="455" t="s">
        <v>376</v>
      </c>
      <c r="X135" s="455">
        <v>45547</v>
      </c>
      <c r="Y135" s="456" t="s">
        <v>377</v>
      </c>
      <c r="Z135" s="457"/>
      <c r="AA135" s="494"/>
    </row>
    <row r="136" spans="1:27" s="128" customFormat="1" ht="36" customHeight="1">
      <c r="A136" s="443">
        <v>125</v>
      </c>
      <c r="B136" s="444" t="s">
        <v>645</v>
      </c>
      <c r="C136" s="445" t="s">
        <v>55</v>
      </c>
      <c r="D136" s="444" t="s">
        <v>646</v>
      </c>
      <c r="E136" s="446">
        <v>3</v>
      </c>
      <c r="F136" s="447"/>
      <c r="G136" s="448">
        <f t="shared" si="3"/>
        <v>0</v>
      </c>
      <c r="H136" s="449"/>
      <c r="I136" s="444"/>
      <c r="J136" s="449"/>
      <c r="K136" s="444" t="s">
        <v>370</v>
      </c>
      <c r="L136" s="450" t="s">
        <v>371</v>
      </c>
      <c r="M136" s="444" t="s">
        <v>384</v>
      </c>
      <c r="N136" s="450"/>
      <c r="O136" s="450"/>
      <c r="P136" s="450" t="s">
        <v>373</v>
      </c>
      <c r="Q136" s="451" t="s">
        <v>374</v>
      </c>
      <c r="R136" s="451" t="s">
        <v>263</v>
      </c>
      <c r="S136" s="452" t="s">
        <v>385</v>
      </c>
      <c r="T136" s="452"/>
      <c r="U136" s="453"/>
      <c r="V136" s="454"/>
      <c r="W136" s="455" t="s">
        <v>406</v>
      </c>
      <c r="X136" s="455">
        <v>45553</v>
      </c>
      <c r="Y136" s="456" t="s">
        <v>377</v>
      </c>
      <c r="Z136" s="457"/>
      <c r="AA136" s="494"/>
    </row>
    <row r="137" spans="1:27" s="128" customFormat="1" ht="36" customHeight="1">
      <c r="A137" s="443">
        <v>126</v>
      </c>
      <c r="B137" s="444" t="s">
        <v>647</v>
      </c>
      <c r="C137" s="445" t="s">
        <v>55</v>
      </c>
      <c r="D137" s="444" t="s">
        <v>648</v>
      </c>
      <c r="E137" s="446">
        <v>6</v>
      </c>
      <c r="F137" s="447"/>
      <c r="G137" s="448">
        <f t="shared" si="3"/>
        <v>0</v>
      </c>
      <c r="H137" s="449"/>
      <c r="I137" s="444"/>
      <c r="J137" s="449"/>
      <c r="K137" s="444" t="s">
        <v>370</v>
      </c>
      <c r="L137" s="450" t="s">
        <v>371</v>
      </c>
      <c r="M137" s="444" t="s">
        <v>384</v>
      </c>
      <c r="N137" s="450"/>
      <c r="O137" s="450"/>
      <c r="P137" s="450" t="s">
        <v>373</v>
      </c>
      <c r="Q137" s="451" t="s">
        <v>374</v>
      </c>
      <c r="R137" s="451" t="s">
        <v>263</v>
      </c>
      <c r="S137" s="452" t="s">
        <v>385</v>
      </c>
      <c r="T137" s="452"/>
      <c r="U137" s="453"/>
      <c r="V137" s="454"/>
      <c r="W137" s="455" t="s">
        <v>376</v>
      </c>
      <c r="X137" s="455">
        <v>45547</v>
      </c>
      <c r="Y137" s="456" t="s">
        <v>377</v>
      </c>
      <c r="Z137" s="457"/>
      <c r="AA137" s="494"/>
    </row>
    <row r="138" spans="1:27" s="128" customFormat="1" ht="36" customHeight="1">
      <c r="A138" s="443">
        <v>127</v>
      </c>
      <c r="B138" s="444" t="s">
        <v>557</v>
      </c>
      <c r="C138" s="445" t="s">
        <v>55</v>
      </c>
      <c r="D138" s="444" t="s">
        <v>558</v>
      </c>
      <c r="E138" s="446">
        <v>12</v>
      </c>
      <c r="F138" s="447"/>
      <c r="G138" s="448">
        <f t="shared" si="3"/>
        <v>0</v>
      </c>
      <c r="H138" s="449"/>
      <c r="I138" s="444"/>
      <c r="J138" s="449"/>
      <c r="K138" s="444" t="s">
        <v>370</v>
      </c>
      <c r="L138" s="450" t="s">
        <v>371</v>
      </c>
      <c r="M138" s="444" t="s">
        <v>384</v>
      </c>
      <c r="N138" s="450"/>
      <c r="O138" s="450"/>
      <c r="P138" s="450" t="s">
        <v>373</v>
      </c>
      <c r="Q138" s="451" t="s">
        <v>374</v>
      </c>
      <c r="R138" s="451" t="s">
        <v>263</v>
      </c>
      <c r="S138" s="452" t="s">
        <v>385</v>
      </c>
      <c r="T138" s="452"/>
      <c r="U138" s="453"/>
      <c r="V138" s="454"/>
      <c r="W138" s="455" t="s">
        <v>376</v>
      </c>
      <c r="X138" s="455">
        <v>45547</v>
      </c>
      <c r="Y138" s="456" t="s">
        <v>377</v>
      </c>
      <c r="Z138" s="457"/>
      <c r="AA138" s="494"/>
    </row>
    <row r="139" spans="1:27" s="128" customFormat="1" ht="36" customHeight="1">
      <c r="A139" s="443">
        <v>128</v>
      </c>
      <c r="B139" s="444" t="s">
        <v>559</v>
      </c>
      <c r="C139" s="445" t="s">
        <v>55</v>
      </c>
      <c r="D139" s="444" t="s">
        <v>560</v>
      </c>
      <c r="E139" s="446">
        <v>6</v>
      </c>
      <c r="F139" s="447"/>
      <c r="G139" s="448">
        <f t="shared" si="3"/>
        <v>0</v>
      </c>
      <c r="H139" s="449"/>
      <c r="I139" s="444"/>
      <c r="J139" s="449"/>
      <c r="K139" s="444" t="s">
        <v>370</v>
      </c>
      <c r="L139" s="450" t="s">
        <v>371</v>
      </c>
      <c r="M139" s="444" t="s">
        <v>384</v>
      </c>
      <c r="N139" s="450"/>
      <c r="O139" s="450"/>
      <c r="P139" s="450" t="s">
        <v>373</v>
      </c>
      <c r="Q139" s="451" t="s">
        <v>374</v>
      </c>
      <c r="R139" s="451" t="s">
        <v>263</v>
      </c>
      <c r="S139" s="452" t="s">
        <v>385</v>
      </c>
      <c r="T139" s="452"/>
      <c r="U139" s="453"/>
      <c r="V139" s="454"/>
      <c r="W139" s="455" t="s">
        <v>406</v>
      </c>
      <c r="X139" s="455">
        <v>45553</v>
      </c>
      <c r="Y139" s="456" t="s">
        <v>377</v>
      </c>
      <c r="Z139" s="457"/>
      <c r="AA139" s="494"/>
    </row>
    <row r="140" spans="1:27" s="128" customFormat="1" ht="36" customHeight="1">
      <c r="A140" s="443">
        <v>129</v>
      </c>
      <c r="B140" s="444" t="s">
        <v>649</v>
      </c>
      <c r="C140" s="445" t="s">
        <v>55</v>
      </c>
      <c r="D140" s="444" t="s">
        <v>650</v>
      </c>
      <c r="E140" s="446">
        <v>3</v>
      </c>
      <c r="F140" s="447"/>
      <c r="G140" s="448">
        <f t="shared" ref="G140:G156" si="4">E140*F140</f>
        <v>0</v>
      </c>
      <c r="H140" s="449"/>
      <c r="I140" s="444"/>
      <c r="J140" s="449"/>
      <c r="K140" s="444" t="s">
        <v>370</v>
      </c>
      <c r="L140" s="450" t="s">
        <v>371</v>
      </c>
      <c r="M140" s="444" t="s">
        <v>384</v>
      </c>
      <c r="N140" s="450"/>
      <c r="O140" s="450"/>
      <c r="P140" s="450" t="s">
        <v>373</v>
      </c>
      <c r="Q140" s="451" t="s">
        <v>374</v>
      </c>
      <c r="R140" s="451" t="s">
        <v>263</v>
      </c>
      <c r="S140" s="452" t="s">
        <v>385</v>
      </c>
      <c r="T140" s="452"/>
      <c r="U140" s="453"/>
      <c r="V140" s="454"/>
      <c r="W140" s="455" t="s">
        <v>406</v>
      </c>
      <c r="X140" s="455">
        <v>45553</v>
      </c>
      <c r="Y140" s="456" t="s">
        <v>377</v>
      </c>
      <c r="Z140" s="457"/>
      <c r="AA140" s="494"/>
    </row>
    <row r="141" spans="1:27" s="128" customFormat="1" ht="36" customHeight="1">
      <c r="A141" s="443">
        <v>130</v>
      </c>
      <c r="B141" s="444" t="s">
        <v>651</v>
      </c>
      <c r="C141" s="445" t="s">
        <v>55</v>
      </c>
      <c r="D141" s="444" t="s">
        <v>652</v>
      </c>
      <c r="E141" s="446">
        <v>3</v>
      </c>
      <c r="F141" s="447"/>
      <c r="G141" s="448">
        <f t="shared" si="4"/>
        <v>0</v>
      </c>
      <c r="H141" s="449"/>
      <c r="I141" s="444"/>
      <c r="J141" s="449"/>
      <c r="K141" s="444" t="s">
        <v>370</v>
      </c>
      <c r="L141" s="450" t="s">
        <v>371</v>
      </c>
      <c r="M141" s="444" t="s">
        <v>384</v>
      </c>
      <c r="N141" s="450"/>
      <c r="O141" s="450"/>
      <c r="P141" s="450" t="s">
        <v>373</v>
      </c>
      <c r="Q141" s="451" t="s">
        <v>374</v>
      </c>
      <c r="R141" s="451" t="s">
        <v>263</v>
      </c>
      <c r="S141" s="452" t="s">
        <v>385</v>
      </c>
      <c r="T141" s="452"/>
      <c r="U141" s="453"/>
      <c r="V141" s="454"/>
      <c r="W141" s="455" t="s">
        <v>406</v>
      </c>
      <c r="X141" s="455">
        <v>45553</v>
      </c>
      <c r="Y141" s="456" t="s">
        <v>377</v>
      </c>
      <c r="Z141" s="457"/>
      <c r="AA141" s="494"/>
    </row>
    <row r="142" spans="1:27" s="128" customFormat="1" ht="36" customHeight="1">
      <c r="A142" s="443">
        <v>131</v>
      </c>
      <c r="B142" s="444" t="s">
        <v>479</v>
      </c>
      <c r="C142" s="445" t="s">
        <v>55</v>
      </c>
      <c r="D142" s="444" t="s">
        <v>480</v>
      </c>
      <c r="E142" s="446">
        <v>12</v>
      </c>
      <c r="F142" s="447"/>
      <c r="G142" s="448">
        <f t="shared" si="4"/>
        <v>0</v>
      </c>
      <c r="H142" s="449"/>
      <c r="I142" s="444"/>
      <c r="J142" s="449"/>
      <c r="K142" s="444" t="s">
        <v>370</v>
      </c>
      <c r="L142" s="450" t="s">
        <v>371</v>
      </c>
      <c r="M142" s="444" t="s">
        <v>402</v>
      </c>
      <c r="N142" s="450"/>
      <c r="O142" s="450"/>
      <c r="P142" s="450" t="s">
        <v>403</v>
      </c>
      <c r="Q142" s="451" t="s">
        <v>374</v>
      </c>
      <c r="R142" s="451" t="s">
        <v>404</v>
      </c>
      <c r="S142" s="452" t="s">
        <v>405</v>
      </c>
      <c r="T142" s="452"/>
      <c r="U142" s="453"/>
      <c r="V142" s="454"/>
      <c r="W142" s="455" t="s">
        <v>406</v>
      </c>
      <c r="X142" s="455">
        <v>45607</v>
      </c>
      <c r="Y142" s="456" t="s">
        <v>377</v>
      </c>
      <c r="Z142" s="457"/>
      <c r="AA142" s="494">
        <v>1</v>
      </c>
    </row>
    <row r="143" spans="1:27" s="128" customFormat="1" ht="18" customHeight="1">
      <c r="A143" s="443">
        <v>132</v>
      </c>
      <c r="B143" s="444" t="s">
        <v>428</v>
      </c>
      <c r="C143" s="445" t="s">
        <v>55</v>
      </c>
      <c r="D143" s="444" t="s">
        <v>429</v>
      </c>
      <c r="E143" s="446">
        <v>6</v>
      </c>
      <c r="F143" s="447"/>
      <c r="G143" s="448">
        <f t="shared" si="4"/>
        <v>0</v>
      </c>
      <c r="H143" s="449"/>
      <c r="I143" s="444"/>
      <c r="J143" s="449"/>
      <c r="K143" s="444" t="s">
        <v>370</v>
      </c>
      <c r="L143" s="450" t="s">
        <v>371</v>
      </c>
      <c r="M143" s="444" t="s">
        <v>430</v>
      </c>
      <c r="N143" s="450"/>
      <c r="O143" s="450"/>
      <c r="P143" s="450" t="s">
        <v>431</v>
      </c>
      <c r="Q143" s="451" t="s">
        <v>374</v>
      </c>
      <c r="R143" s="451" t="s">
        <v>432</v>
      </c>
      <c r="S143" s="452" t="s">
        <v>433</v>
      </c>
      <c r="T143" s="452"/>
      <c r="U143" s="453"/>
      <c r="V143" s="454"/>
      <c r="W143" s="455" t="s">
        <v>376</v>
      </c>
      <c r="X143" s="455">
        <v>45546</v>
      </c>
      <c r="Y143" s="456" t="s">
        <v>377</v>
      </c>
      <c r="Z143" s="457"/>
      <c r="AA143" s="494"/>
    </row>
    <row r="144" spans="1:27" s="128" customFormat="1" ht="36" customHeight="1">
      <c r="A144" s="443">
        <v>133</v>
      </c>
      <c r="B144" s="444" t="s">
        <v>653</v>
      </c>
      <c r="C144" s="445" t="s">
        <v>55</v>
      </c>
      <c r="D144" s="444" t="s">
        <v>654</v>
      </c>
      <c r="E144" s="446">
        <v>3</v>
      </c>
      <c r="F144" s="447"/>
      <c r="G144" s="448">
        <f t="shared" si="4"/>
        <v>0</v>
      </c>
      <c r="H144" s="449"/>
      <c r="I144" s="444"/>
      <c r="J144" s="449"/>
      <c r="K144" s="444" t="s">
        <v>370</v>
      </c>
      <c r="L144" s="450" t="s">
        <v>371</v>
      </c>
      <c r="M144" s="444" t="s">
        <v>384</v>
      </c>
      <c r="N144" s="450"/>
      <c r="O144" s="450"/>
      <c r="P144" s="450" t="s">
        <v>373</v>
      </c>
      <c r="Q144" s="451" t="s">
        <v>374</v>
      </c>
      <c r="R144" s="451" t="s">
        <v>263</v>
      </c>
      <c r="S144" s="452" t="s">
        <v>385</v>
      </c>
      <c r="T144" s="452"/>
      <c r="U144" s="453"/>
      <c r="V144" s="454"/>
      <c r="W144" s="455" t="s">
        <v>376</v>
      </c>
      <c r="X144" s="455">
        <v>45547</v>
      </c>
      <c r="Y144" s="456" t="s">
        <v>377</v>
      </c>
      <c r="Z144" s="457"/>
      <c r="AA144" s="494"/>
    </row>
    <row r="145" spans="1:27" s="128" customFormat="1" ht="36" customHeight="1">
      <c r="A145" s="443">
        <v>134</v>
      </c>
      <c r="B145" s="444" t="s">
        <v>655</v>
      </c>
      <c r="C145" s="445" t="s">
        <v>55</v>
      </c>
      <c r="D145" s="444" t="s">
        <v>656</v>
      </c>
      <c r="E145" s="446">
        <v>3</v>
      </c>
      <c r="F145" s="447"/>
      <c r="G145" s="448">
        <f t="shared" si="4"/>
        <v>0</v>
      </c>
      <c r="H145" s="449"/>
      <c r="I145" s="444"/>
      <c r="J145" s="449"/>
      <c r="K145" s="444" t="s">
        <v>370</v>
      </c>
      <c r="L145" s="450" t="s">
        <v>371</v>
      </c>
      <c r="M145" s="444" t="s">
        <v>384</v>
      </c>
      <c r="N145" s="450"/>
      <c r="O145" s="450"/>
      <c r="P145" s="450" t="s">
        <v>373</v>
      </c>
      <c r="Q145" s="451" t="s">
        <v>374</v>
      </c>
      <c r="R145" s="451" t="s">
        <v>263</v>
      </c>
      <c r="S145" s="452" t="s">
        <v>425</v>
      </c>
      <c r="T145" s="452"/>
      <c r="U145" s="453"/>
      <c r="V145" s="454"/>
      <c r="W145" s="455" t="s">
        <v>406</v>
      </c>
      <c r="X145" s="455">
        <v>45553</v>
      </c>
      <c r="Y145" s="456" t="s">
        <v>377</v>
      </c>
      <c r="Z145" s="457"/>
      <c r="AA145" s="494"/>
    </row>
    <row r="146" spans="1:27" s="128" customFormat="1" ht="36" customHeight="1">
      <c r="A146" s="443">
        <v>135</v>
      </c>
      <c r="B146" s="444" t="s">
        <v>657</v>
      </c>
      <c r="C146" s="445" t="s">
        <v>55</v>
      </c>
      <c r="D146" s="444" t="s">
        <v>658</v>
      </c>
      <c r="E146" s="446">
        <v>33</v>
      </c>
      <c r="F146" s="447"/>
      <c r="G146" s="448">
        <f t="shared" si="4"/>
        <v>0</v>
      </c>
      <c r="H146" s="449"/>
      <c r="I146" s="444"/>
      <c r="J146" s="449"/>
      <c r="K146" s="444" t="s">
        <v>370</v>
      </c>
      <c r="L146" s="450" t="s">
        <v>371</v>
      </c>
      <c r="M146" s="444" t="s">
        <v>546</v>
      </c>
      <c r="N146" s="450"/>
      <c r="O146" s="450"/>
      <c r="P146" s="450" t="s">
        <v>547</v>
      </c>
      <c r="Q146" s="451" t="s">
        <v>374</v>
      </c>
      <c r="R146" s="451" t="s">
        <v>251</v>
      </c>
      <c r="S146" s="452" t="s">
        <v>548</v>
      </c>
      <c r="T146" s="452"/>
      <c r="U146" s="453"/>
      <c r="V146" s="454"/>
      <c r="W146" s="455" t="s">
        <v>376</v>
      </c>
      <c r="X146" s="455">
        <v>45548</v>
      </c>
      <c r="Y146" s="456" t="s">
        <v>377</v>
      </c>
      <c r="Z146" s="457"/>
      <c r="AA146" s="494"/>
    </row>
    <row r="147" spans="1:27" s="128" customFormat="1" ht="18" customHeight="1">
      <c r="A147" s="443">
        <v>136</v>
      </c>
      <c r="B147" s="444" t="s">
        <v>388</v>
      </c>
      <c r="C147" s="445" t="s">
        <v>55</v>
      </c>
      <c r="D147" s="444" t="s">
        <v>389</v>
      </c>
      <c r="E147" s="446">
        <v>3</v>
      </c>
      <c r="F147" s="447"/>
      <c r="G147" s="448">
        <f t="shared" si="4"/>
        <v>0</v>
      </c>
      <c r="H147" s="449"/>
      <c r="I147" s="444"/>
      <c r="J147" s="449"/>
      <c r="K147" s="444" t="s">
        <v>370</v>
      </c>
      <c r="L147" s="450" t="s">
        <v>371</v>
      </c>
      <c r="M147" s="444" t="s">
        <v>384</v>
      </c>
      <c r="N147" s="450"/>
      <c r="O147" s="450"/>
      <c r="P147" s="450" t="s">
        <v>373</v>
      </c>
      <c r="Q147" s="451" t="s">
        <v>374</v>
      </c>
      <c r="R147" s="451" t="s">
        <v>263</v>
      </c>
      <c r="S147" s="452" t="s">
        <v>385</v>
      </c>
      <c r="T147" s="452"/>
      <c r="U147" s="453"/>
      <c r="V147" s="454"/>
      <c r="W147" s="455" t="s">
        <v>376</v>
      </c>
      <c r="X147" s="455">
        <v>45547</v>
      </c>
      <c r="Y147" s="456" t="s">
        <v>377</v>
      </c>
      <c r="Z147" s="457"/>
      <c r="AA147" s="494"/>
    </row>
    <row r="148" spans="1:27" s="128" customFormat="1" ht="18" customHeight="1">
      <c r="A148" s="443">
        <v>137</v>
      </c>
      <c r="B148" s="444" t="s">
        <v>495</v>
      </c>
      <c r="C148" s="445" t="s">
        <v>55</v>
      </c>
      <c r="D148" s="444" t="s">
        <v>496</v>
      </c>
      <c r="E148" s="446">
        <v>6</v>
      </c>
      <c r="F148" s="447"/>
      <c r="G148" s="448">
        <f t="shared" si="4"/>
        <v>0</v>
      </c>
      <c r="H148" s="449"/>
      <c r="I148" s="444"/>
      <c r="J148" s="449"/>
      <c r="K148" s="444" t="s">
        <v>370</v>
      </c>
      <c r="L148" s="450" t="s">
        <v>371</v>
      </c>
      <c r="M148" s="444" t="s">
        <v>384</v>
      </c>
      <c r="N148" s="450"/>
      <c r="O148" s="450"/>
      <c r="P148" s="450" t="s">
        <v>373</v>
      </c>
      <c r="Q148" s="451" t="s">
        <v>374</v>
      </c>
      <c r="R148" s="451" t="s">
        <v>263</v>
      </c>
      <c r="S148" s="452" t="s">
        <v>385</v>
      </c>
      <c r="T148" s="452"/>
      <c r="U148" s="453"/>
      <c r="V148" s="454"/>
      <c r="W148" s="455" t="s">
        <v>376</v>
      </c>
      <c r="X148" s="455">
        <v>45547</v>
      </c>
      <c r="Y148" s="456" t="s">
        <v>377</v>
      </c>
      <c r="Z148" s="457"/>
      <c r="AA148" s="494"/>
    </row>
    <row r="149" spans="1:27" s="128" customFormat="1" ht="36" customHeight="1">
      <c r="A149" s="443">
        <v>138</v>
      </c>
      <c r="B149" s="444" t="s">
        <v>659</v>
      </c>
      <c r="C149" s="445" t="s">
        <v>55</v>
      </c>
      <c r="D149" s="444" t="s">
        <v>660</v>
      </c>
      <c r="E149" s="446">
        <v>6</v>
      </c>
      <c r="F149" s="447"/>
      <c r="G149" s="448">
        <f t="shared" si="4"/>
        <v>0</v>
      </c>
      <c r="H149" s="449"/>
      <c r="I149" s="444"/>
      <c r="J149" s="449"/>
      <c r="K149" s="444" t="s">
        <v>370</v>
      </c>
      <c r="L149" s="450" t="s">
        <v>371</v>
      </c>
      <c r="M149" s="444" t="s">
        <v>461</v>
      </c>
      <c r="N149" s="450"/>
      <c r="O149" s="450"/>
      <c r="P149" s="450" t="s">
        <v>431</v>
      </c>
      <c r="Q149" s="451" t="s">
        <v>374</v>
      </c>
      <c r="R149" s="451" t="s">
        <v>237</v>
      </c>
      <c r="S149" s="452" t="s">
        <v>462</v>
      </c>
      <c r="T149" s="452"/>
      <c r="U149" s="453"/>
      <c r="V149" s="454"/>
      <c r="W149" s="455" t="s">
        <v>376</v>
      </c>
      <c r="X149" s="455">
        <v>45546</v>
      </c>
      <c r="Y149" s="456" t="s">
        <v>377</v>
      </c>
      <c r="Z149" s="457"/>
      <c r="AA149" s="494"/>
    </row>
    <row r="150" spans="1:27" s="128" customFormat="1" ht="36" customHeight="1">
      <c r="A150" s="443">
        <v>139</v>
      </c>
      <c r="B150" s="444" t="s">
        <v>661</v>
      </c>
      <c r="C150" s="445" t="s">
        <v>55</v>
      </c>
      <c r="D150" s="444" t="s">
        <v>662</v>
      </c>
      <c r="E150" s="446">
        <v>3</v>
      </c>
      <c r="F150" s="447"/>
      <c r="G150" s="448">
        <f t="shared" si="4"/>
        <v>0</v>
      </c>
      <c r="H150" s="449"/>
      <c r="I150" s="444"/>
      <c r="J150" s="449"/>
      <c r="K150" s="444" t="s">
        <v>370</v>
      </c>
      <c r="L150" s="450" t="s">
        <v>371</v>
      </c>
      <c r="M150" s="444" t="s">
        <v>384</v>
      </c>
      <c r="N150" s="450"/>
      <c r="O150" s="450"/>
      <c r="P150" s="450" t="s">
        <v>373</v>
      </c>
      <c r="Q150" s="451" t="s">
        <v>374</v>
      </c>
      <c r="R150" s="451" t="s">
        <v>263</v>
      </c>
      <c r="S150" s="452" t="s">
        <v>425</v>
      </c>
      <c r="T150" s="452"/>
      <c r="U150" s="453"/>
      <c r="V150" s="454"/>
      <c r="W150" s="455" t="s">
        <v>406</v>
      </c>
      <c r="X150" s="455">
        <v>45574</v>
      </c>
      <c r="Y150" s="456" t="s">
        <v>377</v>
      </c>
      <c r="Z150" s="457"/>
      <c r="AA150" s="494"/>
    </row>
    <row r="151" spans="1:27" s="128" customFormat="1" ht="18" customHeight="1">
      <c r="A151" s="443">
        <v>140</v>
      </c>
      <c r="B151" s="444" t="s">
        <v>663</v>
      </c>
      <c r="C151" s="445" t="s">
        <v>55</v>
      </c>
      <c r="D151" s="444" t="s">
        <v>664</v>
      </c>
      <c r="E151" s="446">
        <v>30</v>
      </c>
      <c r="F151" s="447"/>
      <c r="G151" s="448">
        <f t="shared" si="4"/>
        <v>0</v>
      </c>
      <c r="H151" s="449"/>
      <c r="I151" s="444"/>
      <c r="J151" s="449"/>
      <c r="K151" s="444"/>
      <c r="L151" s="450"/>
      <c r="M151" s="444"/>
      <c r="N151" s="450"/>
      <c r="O151" s="450"/>
      <c r="P151" s="450"/>
      <c r="Q151" s="451" t="s">
        <v>374</v>
      </c>
      <c r="R151" s="451"/>
      <c r="S151" s="452"/>
      <c r="T151" s="452"/>
      <c r="U151" s="453"/>
      <c r="V151" s="454"/>
      <c r="W151" s="455" t="s">
        <v>406</v>
      </c>
      <c r="X151" s="455">
        <v>45518</v>
      </c>
      <c r="Y151" s="456" t="s">
        <v>377</v>
      </c>
      <c r="Z151" s="457"/>
      <c r="AA151" s="494"/>
    </row>
    <row r="152" spans="1:27" s="128" customFormat="1" ht="18" customHeight="1">
      <c r="A152" s="443">
        <v>141</v>
      </c>
      <c r="B152" s="444" t="s">
        <v>665</v>
      </c>
      <c r="C152" s="445" t="s">
        <v>55</v>
      </c>
      <c r="D152" s="444" t="s">
        <v>666</v>
      </c>
      <c r="E152" s="446">
        <v>30</v>
      </c>
      <c r="F152" s="447"/>
      <c r="G152" s="448">
        <f t="shared" si="4"/>
        <v>0</v>
      </c>
      <c r="H152" s="449"/>
      <c r="I152" s="444"/>
      <c r="J152" s="449"/>
      <c r="K152" s="444"/>
      <c r="L152" s="450"/>
      <c r="M152" s="444"/>
      <c r="N152" s="450"/>
      <c r="O152" s="450"/>
      <c r="P152" s="450"/>
      <c r="Q152" s="451" t="s">
        <v>374</v>
      </c>
      <c r="R152" s="451"/>
      <c r="S152" s="452"/>
      <c r="T152" s="452"/>
      <c r="U152" s="453"/>
      <c r="V152" s="454"/>
      <c r="W152" s="455" t="s">
        <v>406</v>
      </c>
      <c r="X152" s="455">
        <v>45518</v>
      </c>
      <c r="Y152" s="456" t="s">
        <v>377</v>
      </c>
      <c r="Z152" s="457"/>
      <c r="AA152" s="494"/>
    </row>
    <row r="153" spans="1:27" s="128" customFormat="1" ht="36" customHeight="1">
      <c r="A153" s="443">
        <v>142</v>
      </c>
      <c r="B153" s="444" t="s">
        <v>667</v>
      </c>
      <c r="C153" s="445" t="s">
        <v>55</v>
      </c>
      <c r="D153" s="444" t="s">
        <v>668</v>
      </c>
      <c r="E153" s="446">
        <v>3</v>
      </c>
      <c r="F153" s="447"/>
      <c r="G153" s="448">
        <f t="shared" si="4"/>
        <v>0</v>
      </c>
      <c r="H153" s="449"/>
      <c r="I153" s="444"/>
      <c r="J153" s="449"/>
      <c r="K153" s="444" t="s">
        <v>370</v>
      </c>
      <c r="L153" s="450" t="s">
        <v>371</v>
      </c>
      <c r="M153" s="444" t="s">
        <v>372</v>
      </c>
      <c r="N153" s="450"/>
      <c r="O153" s="450"/>
      <c r="P153" s="450" t="s">
        <v>373</v>
      </c>
      <c r="Q153" s="451" t="s">
        <v>374</v>
      </c>
      <c r="R153" s="451" t="s">
        <v>249</v>
      </c>
      <c r="S153" s="452" t="s">
        <v>375</v>
      </c>
      <c r="T153" s="452">
        <v>45558</v>
      </c>
      <c r="U153" s="453"/>
      <c r="V153" s="454"/>
      <c r="W153" s="455" t="s">
        <v>376</v>
      </c>
      <c r="X153" s="455">
        <v>45558</v>
      </c>
      <c r="Y153" s="456" t="s">
        <v>377</v>
      </c>
      <c r="Z153" s="457"/>
      <c r="AA153" s="494"/>
    </row>
    <row r="154" spans="1:27" s="128" customFormat="1" ht="36" customHeight="1">
      <c r="A154" s="443">
        <v>143</v>
      </c>
      <c r="B154" s="444" t="s">
        <v>659</v>
      </c>
      <c r="C154" s="445" t="s">
        <v>55</v>
      </c>
      <c r="D154" s="444" t="s">
        <v>660</v>
      </c>
      <c r="E154" s="446">
        <v>3</v>
      </c>
      <c r="F154" s="447"/>
      <c r="G154" s="448">
        <f t="shared" si="4"/>
        <v>0</v>
      </c>
      <c r="H154" s="449"/>
      <c r="I154" s="444"/>
      <c r="J154" s="449"/>
      <c r="K154" s="444" t="s">
        <v>476</v>
      </c>
      <c r="L154" s="450" t="s">
        <v>477</v>
      </c>
      <c r="M154" s="444" t="s">
        <v>669</v>
      </c>
      <c r="N154" s="450"/>
      <c r="O154" s="450"/>
      <c r="P154" s="450" t="s">
        <v>670</v>
      </c>
      <c r="Q154" s="451" t="s">
        <v>374</v>
      </c>
      <c r="R154" s="451" t="s">
        <v>237</v>
      </c>
      <c r="S154" s="452" t="s">
        <v>624</v>
      </c>
      <c r="T154" s="452"/>
      <c r="U154" s="453"/>
      <c r="V154" s="454"/>
      <c r="W154" s="455" t="s">
        <v>376</v>
      </c>
      <c r="X154" s="455">
        <v>45546</v>
      </c>
      <c r="Y154" s="456" t="s">
        <v>377</v>
      </c>
      <c r="Z154" s="457"/>
      <c r="AA154" s="494"/>
    </row>
    <row r="155" spans="1:27" s="128" customFormat="1" ht="18" customHeight="1">
      <c r="A155" s="443">
        <v>144</v>
      </c>
      <c r="B155" s="444" t="s">
        <v>671</v>
      </c>
      <c r="C155" s="445" t="s">
        <v>55</v>
      </c>
      <c r="D155" s="444" t="s">
        <v>672</v>
      </c>
      <c r="E155" s="446">
        <v>3</v>
      </c>
      <c r="F155" s="447"/>
      <c r="G155" s="448">
        <f t="shared" si="4"/>
        <v>0</v>
      </c>
      <c r="H155" s="449"/>
      <c r="I155" s="444"/>
      <c r="J155" s="449"/>
      <c r="K155" s="444"/>
      <c r="L155" s="450"/>
      <c r="M155" s="444"/>
      <c r="N155" s="450"/>
      <c r="O155" s="450"/>
      <c r="P155" s="450"/>
      <c r="Q155" s="451" t="s">
        <v>374</v>
      </c>
      <c r="R155" s="451"/>
      <c r="S155" s="452"/>
      <c r="T155" s="452"/>
      <c r="U155" s="453"/>
      <c r="V155" s="454"/>
      <c r="W155" s="455" t="s">
        <v>406</v>
      </c>
      <c r="X155" s="455">
        <v>45518</v>
      </c>
      <c r="Y155" s="456" t="s">
        <v>377</v>
      </c>
      <c r="Z155" s="457"/>
      <c r="AA155" s="494"/>
    </row>
    <row r="156" spans="1:27" s="128" customFormat="1" ht="18" customHeight="1">
      <c r="A156" s="458">
        <v>145</v>
      </c>
      <c r="B156" s="459" t="s">
        <v>673</v>
      </c>
      <c r="C156" s="460" t="s">
        <v>55</v>
      </c>
      <c r="D156" s="459" t="s">
        <v>674</v>
      </c>
      <c r="E156" s="461">
        <v>3</v>
      </c>
      <c r="F156" s="462"/>
      <c r="G156" s="463">
        <f t="shared" si="4"/>
        <v>0</v>
      </c>
      <c r="H156" s="464"/>
      <c r="I156" s="459"/>
      <c r="J156" s="464"/>
      <c r="K156" s="459"/>
      <c r="L156" s="465"/>
      <c r="M156" s="459"/>
      <c r="N156" s="465"/>
      <c r="O156" s="465"/>
      <c r="P156" s="465"/>
      <c r="Q156" s="466" t="s">
        <v>374</v>
      </c>
      <c r="R156" s="466"/>
      <c r="S156" s="467"/>
      <c r="T156" s="467"/>
      <c r="U156" s="468"/>
      <c r="V156" s="469"/>
      <c r="W156" s="470" t="s">
        <v>406</v>
      </c>
      <c r="X156" s="470">
        <v>45518</v>
      </c>
      <c r="Y156" s="471" t="s">
        <v>377</v>
      </c>
      <c r="Z156" s="472"/>
      <c r="AA156" s="494"/>
    </row>
    <row r="157" spans="1:27" s="128" customFormat="1" ht="18" customHeight="1">
      <c r="A157" s="443">
        <v>146</v>
      </c>
      <c r="B157" s="444" t="s">
        <v>675</v>
      </c>
      <c r="C157" s="445" t="s">
        <v>55</v>
      </c>
      <c r="D157" s="444" t="s">
        <v>676</v>
      </c>
      <c r="E157" s="446">
        <v>3</v>
      </c>
      <c r="F157" s="447"/>
      <c r="G157" s="448">
        <f t="shared" ref="G157:G169" si="5">E157*F157</f>
        <v>0</v>
      </c>
      <c r="H157" s="449"/>
      <c r="I157" s="444"/>
      <c r="J157" s="449"/>
      <c r="K157" s="444" t="s">
        <v>677</v>
      </c>
      <c r="L157" s="450" t="s">
        <v>678</v>
      </c>
      <c r="M157" s="444" t="s">
        <v>679</v>
      </c>
      <c r="N157" s="450"/>
      <c r="O157" s="450"/>
      <c r="P157" s="450" t="s">
        <v>680</v>
      </c>
      <c r="Q157" s="451" t="s">
        <v>374</v>
      </c>
      <c r="R157" s="451" t="s">
        <v>271</v>
      </c>
      <c r="S157" s="452" t="s">
        <v>681</v>
      </c>
      <c r="T157" s="452"/>
      <c r="U157" s="453"/>
      <c r="V157" s="454"/>
      <c r="W157" s="455" t="s">
        <v>406</v>
      </c>
      <c r="X157" s="455">
        <v>45541</v>
      </c>
      <c r="Y157" s="456" t="s">
        <v>377</v>
      </c>
      <c r="Z157" s="457"/>
      <c r="AA157" s="494"/>
    </row>
    <row r="158" spans="1:27" s="128" customFormat="1" ht="18" customHeight="1">
      <c r="A158" s="443">
        <v>147</v>
      </c>
      <c r="B158" s="444" t="s">
        <v>682</v>
      </c>
      <c r="C158" s="445" t="s">
        <v>55</v>
      </c>
      <c r="D158" s="444" t="s">
        <v>683</v>
      </c>
      <c r="E158" s="446">
        <v>3</v>
      </c>
      <c r="F158" s="447"/>
      <c r="G158" s="448">
        <f t="shared" si="5"/>
        <v>0</v>
      </c>
      <c r="H158" s="449"/>
      <c r="I158" s="444"/>
      <c r="J158" s="449"/>
      <c r="K158" s="444" t="s">
        <v>677</v>
      </c>
      <c r="L158" s="450" t="s">
        <v>678</v>
      </c>
      <c r="M158" s="444" t="s">
        <v>684</v>
      </c>
      <c r="N158" s="450"/>
      <c r="O158" s="450"/>
      <c r="P158" s="450" t="s">
        <v>680</v>
      </c>
      <c r="Q158" s="451" t="s">
        <v>374</v>
      </c>
      <c r="R158" s="451" t="s">
        <v>249</v>
      </c>
      <c r="S158" s="452" t="s">
        <v>685</v>
      </c>
      <c r="T158" s="452"/>
      <c r="U158" s="453"/>
      <c r="V158" s="454"/>
      <c r="W158" s="455" t="s">
        <v>406</v>
      </c>
      <c r="X158" s="455">
        <v>45552</v>
      </c>
      <c r="Y158" s="456" t="s">
        <v>377</v>
      </c>
      <c r="Z158" s="457"/>
      <c r="AA158" s="494"/>
    </row>
    <row r="159" spans="1:27" s="128" customFormat="1" ht="18" customHeight="1">
      <c r="A159" s="443">
        <v>148</v>
      </c>
      <c r="B159" s="444" t="s">
        <v>686</v>
      </c>
      <c r="C159" s="445" t="s">
        <v>55</v>
      </c>
      <c r="D159" s="444" t="s">
        <v>687</v>
      </c>
      <c r="E159" s="446">
        <v>4</v>
      </c>
      <c r="F159" s="447"/>
      <c r="G159" s="448">
        <f t="shared" si="5"/>
        <v>0</v>
      </c>
      <c r="H159" s="449"/>
      <c r="I159" s="444"/>
      <c r="J159" s="449"/>
      <c r="K159" s="444" t="s">
        <v>677</v>
      </c>
      <c r="L159" s="450" t="s">
        <v>678</v>
      </c>
      <c r="M159" s="444" t="s">
        <v>684</v>
      </c>
      <c r="N159" s="450"/>
      <c r="O159" s="450"/>
      <c r="P159" s="450" t="s">
        <v>680</v>
      </c>
      <c r="Q159" s="451" t="s">
        <v>374</v>
      </c>
      <c r="R159" s="451" t="s">
        <v>249</v>
      </c>
      <c r="S159" s="452" t="s">
        <v>685</v>
      </c>
      <c r="T159" s="452"/>
      <c r="U159" s="453"/>
      <c r="V159" s="454"/>
      <c r="W159" s="455" t="s">
        <v>406</v>
      </c>
      <c r="X159" s="455">
        <v>45552</v>
      </c>
      <c r="Y159" s="456" t="s">
        <v>377</v>
      </c>
      <c r="Z159" s="457"/>
      <c r="AA159" s="494"/>
    </row>
    <row r="160" spans="1:27" s="128" customFormat="1" ht="18" customHeight="1">
      <c r="A160" s="443">
        <v>149</v>
      </c>
      <c r="B160" s="444" t="s">
        <v>688</v>
      </c>
      <c r="C160" s="445" t="s">
        <v>55</v>
      </c>
      <c r="D160" s="444" t="s">
        <v>689</v>
      </c>
      <c r="E160" s="446">
        <v>1</v>
      </c>
      <c r="F160" s="447"/>
      <c r="G160" s="448">
        <f t="shared" si="5"/>
        <v>0</v>
      </c>
      <c r="H160" s="449"/>
      <c r="I160" s="444"/>
      <c r="J160" s="449"/>
      <c r="K160" s="444"/>
      <c r="L160" s="450"/>
      <c r="M160" s="444"/>
      <c r="N160" s="450"/>
      <c r="O160" s="450"/>
      <c r="P160" s="450"/>
      <c r="Q160" s="451" t="s">
        <v>374</v>
      </c>
      <c r="R160" s="451"/>
      <c r="S160" s="452"/>
      <c r="T160" s="452"/>
      <c r="U160" s="453"/>
      <c r="V160" s="454"/>
      <c r="W160" s="455" t="s">
        <v>406</v>
      </c>
      <c r="X160" s="455">
        <v>45552</v>
      </c>
      <c r="Y160" s="456" t="s">
        <v>377</v>
      </c>
      <c r="Z160" s="457"/>
      <c r="AA160" s="494"/>
    </row>
    <row r="161" spans="1:27" s="128" customFormat="1" ht="18" customHeight="1">
      <c r="A161" s="443">
        <v>150</v>
      </c>
      <c r="B161" s="444" t="s">
        <v>690</v>
      </c>
      <c r="C161" s="445" t="s">
        <v>55</v>
      </c>
      <c r="D161" s="444" t="s">
        <v>691</v>
      </c>
      <c r="E161" s="446">
        <v>1</v>
      </c>
      <c r="F161" s="447"/>
      <c r="G161" s="448">
        <f t="shared" si="5"/>
        <v>0</v>
      </c>
      <c r="H161" s="449"/>
      <c r="I161" s="444"/>
      <c r="J161" s="449"/>
      <c r="K161" s="444" t="s">
        <v>692</v>
      </c>
      <c r="L161" s="450" t="s">
        <v>624</v>
      </c>
      <c r="M161" s="444" t="s">
        <v>693</v>
      </c>
      <c r="N161" s="450"/>
      <c r="O161" s="450"/>
      <c r="P161" s="450" t="s">
        <v>416</v>
      </c>
      <c r="Q161" s="451" t="s">
        <v>374</v>
      </c>
      <c r="R161" s="451" t="s">
        <v>263</v>
      </c>
      <c r="S161" s="452" t="s">
        <v>694</v>
      </c>
      <c r="T161" s="452"/>
      <c r="U161" s="453"/>
      <c r="V161" s="454"/>
      <c r="W161" s="455" t="s">
        <v>406</v>
      </c>
      <c r="X161" s="455">
        <v>45573</v>
      </c>
      <c r="Y161" s="456" t="s">
        <v>377</v>
      </c>
      <c r="Z161" s="457"/>
      <c r="AA161" s="494"/>
    </row>
    <row r="162" spans="1:27" s="128" customFormat="1" ht="18" customHeight="1">
      <c r="A162" s="443">
        <v>151</v>
      </c>
      <c r="B162" s="444" t="s">
        <v>695</v>
      </c>
      <c r="C162" s="445" t="s">
        <v>55</v>
      </c>
      <c r="D162" s="444" t="s">
        <v>696</v>
      </c>
      <c r="E162" s="446">
        <v>1</v>
      </c>
      <c r="F162" s="447"/>
      <c r="G162" s="448">
        <f t="shared" si="5"/>
        <v>0</v>
      </c>
      <c r="H162" s="449"/>
      <c r="I162" s="444"/>
      <c r="J162" s="449"/>
      <c r="K162" s="444" t="s">
        <v>692</v>
      </c>
      <c r="L162" s="450" t="s">
        <v>624</v>
      </c>
      <c r="M162" s="444" t="s">
        <v>693</v>
      </c>
      <c r="N162" s="450"/>
      <c r="O162" s="450"/>
      <c r="P162" s="450" t="s">
        <v>416</v>
      </c>
      <c r="Q162" s="451" t="s">
        <v>374</v>
      </c>
      <c r="R162" s="451" t="s">
        <v>263</v>
      </c>
      <c r="S162" s="452" t="s">
        <v>694</v>
      </c>
      <c r="T162" s="452"/>
      <c r="U162" s="453"/>
      <c r="V162" s="454"/>
      <c r="W162" s="455" t="s">
        <v>406</v>
      </c>
      <c r="X162" s="455">
        <v>45573</v>
      </c>
      <c r="Y162" s="456" t="s">
        <v>377</v>
      </c>
      <c r="Z162" s="457"/>
      <c r="AA162" s="494"/>
    </row>
    <row r="163" spans="1:27" s="128" customFormat="1" ht="18" customHeight="1">
      <c r="A163" s="443">
        <v>152</v>
      </c>
      <c r="B163" s="444" t="s">
        <v>697</v>
      </c>
      <c r="C163" s="445" t="s">
        <v>55</v>
      </c>
      <c r="D163" s="444" t="s">
        <v>698</v>
      </c>
      <c r="E163" s="446">
        <v>2</v>
      </c>
      <c r="F163" s="447"/>
      <c r="G163" s="448">
        <f t="shared" si="5"/>
        <v>0</v>
      </c>
      <c r="H163" s="449"/>
      <c r="I163" s="444"/>
      <c r="J163" s="449"/>
      <c r="K163" s="444" t="s">
        <v>692</v>
      </c>
      <c r="L163" s="450" t="s">
        <v>624</v>
      </c>
      <c r="M163" s="444" t="s">
        <v>693</v>
      </c>
      <c r="N163" s="450"/>
      <c r="O163" s="450"/>
      <c r="P163" s="450" t="s">
        <v>416</v>
      </c>
      <c r="Q163" s="451" t="s">
        <v>374</v>
      </c>
      <c r="R163" s="451" t="s">
        <v>263</v>
      </c>
      <c r="S163" s="452" t="s">
        <v>694</v>
      </c>
      <c r="T163" s="452"/>
      <c r="U163" s="453"/>
      <c r="V163" s="454"/>
      <c r="W163" s="455" t="s">
        <v>406</v>
      </c>
      <c r="X163" s="455">
        <v>45573</v>
      </c>
      <c r="Y163" s="456" t="s">
        <v>377</v>
      </c>
      <c r="Z163" s="457"/>
      <c r="AA163" s="494"/>
    </row>
    <row r="164" spans="1:27" s="128" customFormat="1" ht="36" customHeight="1">
      <c r="A164" s="443">
        <v>153</v>
      </c>
      <c r="B164" s="444" t="s">
        <v>699</v>
      </c>
      <c r="C164" s="445" t="s">
        <v>55</v>
      </c>
      <c r="D164" s="444" t="s">
        <v>700</v>
      </c>
      <c r="E164" s="446">
        <v>3</v>
      </c>
      <c r="F164" s="447"/>
      <c r="G164" s="448">
        <f t="shared" si="5"/>
        <v>0</v>
      </c>
      <c r="H164" s="449"/>
      <c r="I164" s="444"/>
      <c r="J164" s="449"/>
      <c r="K164" s="444" t="s">
        <v>692</v>
      </c>
      <c r="L164" s="450" t="s">
        <v>624</v>
      </c>
      <c r="M164" s="444" t="s">
        <v>701</v>
      </c>
      <c r="N164" s="450"/>
      <c r="O164" s="450"/>
      <c r="P164" s="450" t="s">
        <v>403</v>
      </c>
      <c r="Q164" s="451" t="s">
        <v>374</v>
      </c>
      <c r="R164" s="451" t="s">
        <v>404</v>
      </c>
      <c r="S164" s="452" t="s">
        <v>405</v>
      </c>
      <c r="T164" s="452"/>
      <c r="U164" s="453"/>
      <c r="V164" s="454"/>
      <c r="W164" s="455" t="s">
        <v>406</v>
      </c>
      <c r="X164" s="455">
        <v>45607</v>
      </c>
      <c r="Y164" s="456" t="s">
        <v>377</v>
      </c>
      <c r="Z164" s="457"/>
      <c r="AA164" s="494">
        <v>1</v>
      </c>
    </row>
    <row r="165" spans="1:27" s="128" customFormat="1" ht="36" customHeight="1">
      <c r="A165" s="443">
        <v>154</v>
      </c>
      <c r="B165" s="444" t="s">
        <v>702</v>
      </c>
      <c r="C165" s="445" t="s">
        <v>55</v>
      </c>
      <c r="D165" s="444" t="s">
        <v>703</v>
      </c>
      <c r="E165" s="446">
        <v>3</v>
      </c>
      <c r="F165" s="447"/>
      <c r="G165" s="448">
        <f t="shared" si="5"/>
        <v>0</v>
      </c>
      <c r="H165" s="449"/>
      <c r="I165" s="444"/>
      <c r="J165" s="449"/>
      <c r="K165" s="444" t="s">
        <v>692</v>
      </c>
      <c r="L165" s="450" t="s">
        <v>624</v>
      </c>
      <c r="M165" s="444" t="s">
        <v>701</v>
      </c>
      <c r="N165" s="450"/>
      <c r="O165" s="450"/>
      <c r="P165" s="450" t="s">
        <v>403</v>
      </c>
      <c r="Q165" s="451" t="s">
        <v>374</v>
      </c>
      <c r="R165" s="451" t="s">
        <v>404</v>
      </c>
      <c r="S165" s="452" t="s">
        <v>405</v>
      </c>
      <c r="T165" s="452"/>
      <c r="U165" s="453"/>
      <c r="V165" s="454"/>
      <c r="W165" s="455" t="s">
        <v>406</v>
      </c>
      <c r="X165" s="455">
        <v>45607</v>
      </c>
      <c r="Y165" s="456" t="s">
        <v>377</v>
      </c>
      <c r="Z165" s="457"/>
      <c r="AA165" s="494">
        <v>1</v>
      </c>
    </row>
    <row r="166" spans="1:27" s="128" customFormat="1" ht="36" customHeight="1">
      <c r="A166" s="443">
        <v>155</v>
      </c>
      <c r="B166" s="444" t="s">
        <v>704</v>
      </c>
      <c r="C166" s="445" t="s">
        <v>55</v>
      </c>
      <c r="D166" s="444" t="s">
        <v>705</v>
      </c>
      <c r="E166" s="446">
        <v>3</v>
      </c>
      <c r="F166" s="447"/>
      <c r="G166" s="448">
        <f t="shared" si="5"/>
        <v>0</v>
      </c>
      <c r="H166" s="449"/>
      <c r="I166" s="444"/>
      <c r="J166" s="449"/>
      <c r="K166" s="444" t="s">
        <v>692</v>
      </c>
      <c r="L166" s="450" t="s">
        <v>624</v>
      </c>
      <c r="M166" s="444" t="s">
        <v>701</v>
      </c>
      <c r="N166" s="450"/>
      <c r="O166" s="450"/>
      <c r="P166" s="450" t="s">
        <v>403</v>
      </c>
      <c r="Q166" s="451" t="s">
        <v>374</v>
      </c>
      <c r="R166" s="451" t="s">
        <v>404</v>
      </c>
      <c r="S166" s="452" t="s">
        <v>405</v>
      </c>
      <c r="T166" s="452"/>
      <c r="U166" s="453"/>
      <c r="V166" s="454"/>
      <c r="W166" s="455" t="s">
        <v>406</v>
      </c>
      <c r="X166" s="455">
        <v>45607</v>
      </c>
      <c r="Y166" s="456" t="s">
        <v>377</v>
      </c>
      <c r="Z166" s="457"/>
      <c r="AA166" s="494">
        <v>1</v>
      </c>
    </row>
    <row r="167" spans="1:27" s="128" customFormat="1" ht="36" customHeight="1">
      <c r="A167" s="443">
        <v>156</v>
      </c>
      <c r="B167" s="444" t="s">
        <v>706</v>
      </c>
      <c r="C167" s="445" t="s">
        <v>55</v>
      </c>
      <c r="D167" s="444" t="s">
        <v>707</v>
      </c>
      <c r="E167" s="446">
        <v>12</v>
      </c>
      <c r="F167" s="447"/>
      <c r="G167" s="448">
        <f>E167*F167</f>
        <v>0</v>
      </c>
      <c r="H167" s="449"/>
      <c r="I167" s="444"/>
      <c r="J167" s="449"/>
      <c r="K167" s="444" t="s">
        <v>708</v>
      </c>
      <c r="L167" s="450" t="s">
        <v>709</v>
      </c>
      <c r="M167" s="444" t="s">
        <v>710</v>
      </c>
      <c r="N167" s="450"/>
      <c r="O167" s="450"/>
      <c r="P167" s="450" t="s">
        <v>711</v>
      </c>
      <c r="Q167" s="451" t="s">
        <v>374</v>
      </c>
      <c r="R167" s="451" t="s">
        <v>263</v>
      </c>
      <c r="S167" s="452" t="s">
        <v>444</v>
      </c>
      <c r="T167" s="452" t="s">
        <v>712</v>
      </c>
      <c r="U167" s="453"/>
      <c r="V167" s="454"/>
      <c r="W167" s="455" t="s">
        <v>406</v>
      </c>
      <c r="X167" s="455">
        <v>45610</v>
      </c>
      <c r="Y167" s="456" t="s">
        <v>377</v>
      </c>
      <c r="Z167" s="498"/>
      <c r="AA167" s="494"/>
    </row>
    <row r="168" spans="1:27" s="128" customFormat="1" ht="36" customHeight="1">
      <c r="A168" s="405">
        <v>157</v>
      </c>
      <c r="B168" s="407" t="s">
        <v>713</v>
      </c>
      <c r="C168" s="406" t="s">
        <v>55</v>
      </c>
      <c r="D168" s="407" t="s">
        <v>714</v>
      </c>
      <c r="E168" s="408">
        <v>12</v>
      </c>
      <c r="F168" s="409"/>
      <c r="G168" s="410">
        <f>E168*F168</f>
        <v>0</v>
      </c>
      <c r="H168" s="411"/>
      <c r="I168" s="407"/>
      <c r="J168" s="411"/>
      <c r="K168" s="407" t="s">
        <v>708</v>
      </c>
      <c r="L168" s="412" t="s">
        <v>709</v>
      </c>
      <c r="M168" s="407" t="s">
        <v>444</v>
      </c>
      <c r="N168" s="412"/>
      <c r="O168" s="412"/>
      <c r="P168" s="412" t="s">
        <v>444</v>
      </c>
      <c r="Q168" s="413" t="s">
        <v>591</v>
      </c>
      <c r="R168" s="413" t="s">
        <v>444</v>
      </c>
      <c r="S168" s="414" t="s">
        <v>444</v>
      </c>
      <c r="T168" s="414" t="s">
        <v>715</v>
      </c>
      <c r="U168" s="415"/>
      <c r="V168" s="416"/>
      <c r="W168" s="417"/>
      <c r="X168" s="417"/>
      <c r="Y168" s="418" t="s">
        <v>377</v>
      </c>
      <c r="Z168" s="496"/>
      <c r="AA168" s="492"/>
    </row>
    <row r="169" spans="1:27" ht="18" customHeight="1">
      <c r="A169" s="389"/>
      <c r="B169" s="390" t="s">
        <v>716</v>
      </c>
      <c r="C169" s="391"/>
      <c r="D169" s="392"/>
      <c r="E169" s="393"/>
      <c r="F169" s="394"/>
      <c r="G169" s="395">
        <f t="shared" si="5"/>
        <v>0</v>
      </c>
      <c r="H169" s="396"/>
      <c r="I169" s="392"/>
      <c r="J169" s="396"/>
      <c r="K169" s="392"/>
      <c r="L169" s="397"/>
      <c r="M169" s="392"/>
      <c r="N169" s="397"/>
      <c r="O169" s="397"/>
      <c r="P169" s="397"/>
      <c r="Q169" s="398"/>
      <c r="R169" s="398"/>
      <c r="S169" s="399"/>
      <c r="T169" s="399"/>
      <c r="U169" s="400"/>
      <c r="V169" s="401"/>
      <c r="W169" s="402"/>
      <c r="X169" s="402"/>
      <c r="Y169" s="403"/>
      <c r="Z169" s="404"/>
      <c r="AA169" s="492"/>
    </row>
    <row r="170" spans="1:27" s="128" customFormat="1" ht="36" customHeight="1">
      <c r="A170" s="443">
        <v>1</v>
      </c>
      <c r="B170" s="444" t="s">
        <v>717</v>
      </c>
      <c r="C170" s="445" t="s">
        <v>58</v>
      </c>
      <c r="D170" s="444" t="s">
        <v>718</v>
      </c>
      <c r="E170" s="446">
        <v>1</v>
      </c>
      <c r="F170" s="447"/>
      <c r="G170" s="448">
        <f t="shared" ref="G170:G201" si="6">E170*F170</f>
        <v>0</v>
      </c>
      <c r="H170" s="449"/>
      <c r="I170" s="444"/>
      <c r="J170" s="449"/>
      <c r="K170" s="444" t="s">
        <v>719</v>
      </c>
      <c r="L170" s="450" t="s">
        <v>681</v>
      </c>
      <c r="M170" s="444" t="s">
        <v>720</v>
      </c>
      <c r="N170" s="450"/>
      <c r="O170" s="450"/>
      <c r="P170" s="450" t="s">
        <v>721</v>
      </c>
      <c r="Q170" s="451" t="s">
        <v>374</v>
      </c>
      <c r="R170" s="451" t="s">
        <v>722</v>
      </c>
      <c r="S170" s="452" t="s">
        <v>723</v>
      </c>
      <c r="T170" s="452"/>
      <c r="U170" s="453"/>
      <c r="V170" s="454"/>
      <c r="W170" s="455" t="s">
        <v>406</v>
      </c>
      <c r="X170" s="455">
        <v>45601</v>
      </c>
      <c r="Y170" s="456" t="s">
        <v>377</v>
      </c>
      <c r="Z170" s="457"/>
      <c r="AA170" s="494"/>
    </row>
    <row r="171" spans="1:27" s="128" customFormat="1" ht="36" customHeight="1">
      <c r="A171" s="405">
        <v>2</v>
      </c>
      <c r="B171" s="407" t="s">
        <v>724</v>
      </c>
      <c r="C171" s="406" t="s">
        <v>58</v>
      </c>
      <c r="D171" s="407" t="s">
        <v>725</v>
      </c>
      <c r="E171" s="408">
        <v>4</v>
      </c>
      <c r="F171" s="409"/>
      <c r="G171" s="410">
        <f t="shared" si="6"/>
        <v>0</v>
      </c>
      <c r="H171" s="411"/>
      <c r="I171" s="407"/>
      <c r="J171" s="411"/>
      <c r="K171" s="407" t="s">
        <v>719</v>
      </c>
      <c r="L171" s="412" t="s">
        <v>681</v>
      </c>
      <c r="M171" s="407" t="s">
        <v>720</v>
      </c>
      <c r="N171" s="412"/>
      <c r="O171" s="412"/>
      <c r="P171" s="412" t="s">
        <v>721</v>
      </c>
      <c r="Q171" s="413" t="s">
        <v>726</v>
      </c>
      <c r="R171" s="413" t="s">
        <v>722</v>
      </c>
      <c r="S171" s="414" t="s">
        <v>727</v>
      </c>
      <c r="T171" s="414"/>
      <c r="U171" s="415"/>
      <c r="V171" s="416"/>
      <c r="W171" s="417"/>
      <c r="X171" s="417"/>
      <c r="Y171" s="418" t="s">
        <v>377</v>
      </c>
      <c r="Z171" s="419"/>
      <c r="AA171" s="492">
        <v>1</v>
      </c>
    </row>
    <row r="172" spans="1:27" s="128" customFormat="1" ht="36" customHeight="1">
      <c r="A172" s="405">
        <v>3</v>
      </c>
      <c r="B172" s="407" t="s">
        <v>728</v>
      </c>
      <c r="C172" s="406" t="s">
        <v>58</v>
      </c>
      <c r="D172" s="407" t="s">
        <v>729</v>
      </c>
      <c r="E172" s="408">
        <v>1</v>
      </c>
      <c r="F172" s="409"/>
      <c r="G172" s="410">
        <f t="shared" si="6"/>
        <v>0</v>
      </c>
      <c r="H172" s="411"/>
      <c r="I172" s="407"/>
      <c r="J172" s="411"/>
      <c r="K172" s="407" t="s">
        <v>719</v>
      </c>
      <c r="L172" s="412" t="s">
        <v>681</v>
      </c>
      <c r="M172" s="407" t="s">
        <v>720</v>
      </c>
      <c r="N172" s="412"/>
      <c r="O172" s="412"/>
      <c r="P172" s="412" t="s">
        <v>721</v>
      </c>
      <c r="Q172" s="413" t="s">
        <v>726</v>
      </c>
      <c r="R172" s="413" t="s">
        <v>722</v>
      </c>
      <c r="S172" s="414" t="s">
        <v>727</v>
      </c>
      <c r="T172" s="414"/>
      <c r="U172" s="415"/>
      <c r="V172" s="416"/>
      <c r="W172" s="417"/>
      <c r="X172" s="417"/>
      <c r="Y172" s="418" t="s">
        <v>377</v>
      </c>
      <c r="Z172" s="419"/>
      <c r="AA172" s="492">
        <v>1</v>
      </c>
    </row>
    <row r="173" spans="1:27" s="128" customFormat="1" ht="36" customHeight="1">
      <c r="A173" s="443">
        <v>4</v>
      </c>
      <c r="B173" s="444" t="s">
        <v>730</v>
      </c>
      <c r="C173" s="445" t="s">
        <v>58</v>
      </c>
      <c r="D173" s="444" t="s">
        <v>731</v>
      </c>
      <c r="E173" s="446">
        <v>1</v>
      </c>
      <c r="F173" s="447"/>
      <c r="G173" s="448">
        <f t="shared" si="6"/>
        <v>0</v>
      </c>
      <c r="H173" s="449"/>
      <c r="I173" s="444"/>
      <c r="J173" s="449"/>
      <c r="K173" s="444" t="s">
        <v>719</v>
      </c>
      <c r="L173" s="450" t="s">
        <v>681</v>
      </c>
      <c r="M173" s="444" t="s">
        <v>720</v>
      </c>
      <c r="N173" s="450"/>
      <c r="O173" s="450"/>
      <c r="P173" s="450" t="s">
        <v>721</v>
      </c>
      <c r="Q173" s="451" t="s">
        <v>374</v>
      </c>
      <c r="R173" s="451" t="s">
        <v>722</v>
      </c>
      <c r="S173" s="452" t="s">
        <v>723</v>
      </c>
      <c r="T173" s="452"/>
      <c r="U173" s="453"/>
      <c r="V173" s="454"/>
      <c r="W173" s="455" t="s">
        <v>406</v>
      </c>
      <c r="X173" s="455">
        <v>45601</v>
      </c>
      <c r="Y173" s="456" t="s">
        <v>377</v>
      </c>
      <c r="Z173" s="457"/>
      <c r="AA173" s="494"/>
    </row>
    <row r="174" spans="1:27" s="128" customFormat="1" ht="36" customHeight="1">
      <c r="A174" s="443">
        <v>5</v>
      </c>
      <c r="B174" s="444" t="s">
        <v>732</v>
      </c>
      <c r="C174" s="445" t="s">
        <v>58</v>
      </c>
      <c r="D174" s="444" t="s">
        <v>733</v>
      </c>
      <c r="E174" s="446">
        <v>1</v>
      </c>
      <c r="F174" s="447"/>
      <c r="G174" s="448">
        <f t="shared" si="6"/>
        <v>0</v>
      </c>
      <c r="H174" s="449"/>
      <c r="I174" s="444"/>
      <c r="J174" s="449"/>
      <c r="K174" s="444" t="s">
        <v>719</v>
      </c>
      <c r="L174" s="450" t="s">
        <v>681</v>
      </c>
      <c r="M174" s="444" t="s">
        <v>720</v>
      </c>
      <c r="N174" s="450"/>
      <c r="O174" s="450"/>
      <c r="P174" s="450" t="s">
        <v>721</v>
      </c>
      <c r="Q174" s="451" t="s">
        <v>374</v>
      </c>
      <c r="R174" s="451" t="s">
        <v>722</v>
      </c>
      <c r="S174" s="452" t="s">
        <v>723</v>
      </c>
      <c r="T174" s="452"/>
      <c r="U174" s="453"/>
      <c r="V174" s="454"/>
      <c r="W174" s="455" t="s">
        <v>406</v>
      </c>
      <c r="X174" s="455">
        <v>45601</v>
      </c>
      <c r="Y174" s="456" t="s">
        <v>377</v>
      </c>
      <c r="Z174" s="457"/>
      <c r="AA174" s="494"/>
    </row>
    <row r="175" spans="1:27" s="128" customFormat="1" ht="36" customHeight="1">
      <c r="A175" s="443">
        <v>6</v>
      </c>
      <c r="B175" s="444" t="s">
        <v>734</v>
      </c>
      <c r="C175" s="445" t="s">
        <v>58</v>
      </c>
      <c r="D175" s="444" t="s">
        <v>735</v>
      </c>
      <c r="E175" s="446">
        <v>1</v>
      </c>
      <c r="F175" s="447"/>
      <c r="G175" s="448">
        <f t="shared" si="6"/>
        <v>0</v>
      </c>
      <c r="H175" s="449"/>
      <c r="I175" s="444"/>
      <c r="J175" s="449"/>
      <c r="K175" s="444" t="s">
        <v>719</v>
      </c>
      <c r="L175" s="450" t="s">
        <v>681</v>
      </c>
      <c r="M175" s="444" t="s">
        <v>720</v>
      </c>
      <c r="N175" s="450"/>
      <c r="O175" s="450"/>
      <c r="P175" s="450" t="s">
        <v>721</v>
      </c>
      <c r="Q175" s="451" t="s">
        <v>374</v>
      </c>
      <c r="R175" s="451" t="s">
        <v>722</v>
      </c>
      <c r="S175" s="452" t="s">
        <v>723</v>
      </c>
      <c r="T175" s="452"/>
      <c r="U175" s="453"/>
      <c r="V175" s="454"/>
      <c r="W175" s="455" t="s">
        <v>406</v>
      </c>
      <c r="X175" s="455">
        <v>45601</v>
      </c>
      <c r="Y175" s="456" t="s">
        <v>377</v>
      </c>
      <c r="Z175" s="457"/>
      <c r="AA175" s="494"/>
    </row>
    <row r="176" spans="1:27" s="128" customFormat="1" ht="36" customHeight="1">
      <c r="A176" s="443">
        <v>7</v>
      </c>
      <c r="B176" s="444" t="s">
        <v>736</v>
      </c>
      <c r="C176" s="445" t="s">
        <v>58</v>
      </c>
      <c r="D176" s="444" t="s">
        <v>737</v>
      </c>
      <c r="E176" s="446">
        <v>1</v>
      </c>
      <c r="F176" s="447"/>
      <c r="G176" s="448">
        <f t="shared" si="6"/>
        <v>0</v>
      </c>
      <c r="H176" s="449"/>
      <c r="I176" s="444"/>
      <c r="J176" s="449"/>
      <c r="K176" s="444" t="s">
        <v>719</v>
      </c>
      <c r="L176" s="450" t="s">
        <v>681</v>
      </c>
      <c r="M176" s="444" t="s">
        <v>720</v>
      </c>
      <c r="N176" s="450"/>
      <c r="O176" s="450"/>
      <c r="P176" s="450" t="s">
        <v>721</v>
      </c>
      <c r="Q176" s="451" t="s">
        <v>374</v>
      </c>
      <c r="R176" s="451" t="s">
        <v>722</v>
      </c>
      <c r="S176" s="452" t="s">
        <v>723</v>
      </c>
      <c r="T176" s="452"/>
      <c r="U176" s="453"/>
      <c r="V176" s="454"/>
      <c r="W176" s="455" t="s">
        <v>406</v>
      </c>
      <c r="X176" s="455">
        <v>45601</v>
      </c>
      <c r="Y176" s="456" t="s">
        <v>377</v>
      </c>
      <c r="Z176" s="457"/>
      <c r="AA176" s="494"/>
    </row>
    <row r="177" spans="1:27" s="128" customFormat="1" ht="36" customHeight="1">
      <c r="A177" s="405">
        <v>8</v>
      </c>
      <c r="B177" s="407" t="s">
        <v>738</v>
      </c>
      <c r="C177" s="406" t="s">
        <v>58</v>
      </c>
      <c r="D177" s="407" t="s">
        <v>739</v>
      </c>
      <c r="E177" s="408">
        <v>1</v>
      </c>
      <c r="F177" s="409"/>
      <c r="G177" s="410">
        <f t="shared" si="6"/>
        <v>0</v>
      </c>
      <c r="H177" s="411"/>
      <c r="I177" s="407"/>
      <c r="J177" s="411"/>
      <c r="K177" s="407" t="s">
        <v>719</v>
      </c>
      <c r="L177" s="412" t="s">
        <v>681</v>
      </c>
      <c r="M177" s="407" t="s">
        <v>720</v>
      </c>
      <c r="N177" s="412"/>
      <c r="O177" s="412"/>
      <c r="P177" s="412" t="s">
        <v>721</v>
      </c>
      <c r="Q177" s="413" t="s">
        <v>740</v>
      </c>
      <c r="R177" s="413" t="s">
        <v>722</v>
      </c>
      <c r="S177" s="414" t="s">
        <v>727</v>
      </c>
      <c r="T177" s="414"/>
      <c r="U177" s="415"/>
      <c r="V177" s="416"/>
      <c r="W177" s="417"/>
      <c r="X177" s="417"/>
      <c r="Y177" s="418" t="s">
        <v>377</v>
      </c>
      <c r="Z177" s="419"/>
      <c r="AA177" s="492">
        <v>1</v>
      </c>
    </row>
    <row r="178" spans="1:27" s="128" customFormat="1" ht="36" customHeight="1">
      <c r="A178" s="443">
        <v>9</v>
      </c>
      <c r="B178" s="444" t="s">
        <v>741</v>
      </c>
      <c r="C178" s="445" t="s">
        <v>58</v>
      </c>
      <c r="D178" s="444" t="s">
        <v>742</v>
      </c>
      <c r="E178" s="446">
        <v>1</v>
      </c>
      <c r="F178" s="447"/>
      <c r="G178" s="448">
        <f t="shared" si="6"/>
        <v>0</v>
      </c>
      <c r="H178" s="449"/>
      <c r="I178" s="444"/>
      <c r="J178" s="449"/>
      <c r="K178" s="444" t="s">
        <v>719</v>
      </c>
      <c r="L178" s="450" t="s">
        <v>681</v>
      </c>
      <c r="M178" s="444" t="s">
        <v>720</v>
      </c>
      <c r="N178" s="450"/>
      <c r="O178" s="450"/>
      <c r="P178" s="450" t="s">
        <v>721</v>
      </c>
      <c r="Q178" s="451" t="s">
        <v>374</v>
      </c>
      <c r="R178" s="451" t="s">
        <v>722</v>
      </c>
      <c r="S178" s="452" t="s">
        <v>723</v>
      </c>
      <c r="T178" s="452"/>
      <c r="U178" s="453"/>
      <c r="V178" s="454"/>
      <c r="W178" s="455" t="s">
        <v>406</v>
      </c>
      <c r="X178" s="455">
        <v>45601</v>
      </c>
      <c r="Y178" s="456" t="s">
        <v>377</v>
      </c>
      <c r="Z178" s="457"/>
      <c r="AA178" s="494"/>
    </row>
    <row r="179" spans="1:27" s="128" customFormat="1" ht="36" customHeight="1">
      <c r="A179" s="405">
        <v>10</v>
      </c>
      <c r="B179" s="407" t="s">
        <v>743</v>
      </c>
      <c r="C179" s="406" t="s">
        <v>58</v>
      </c>
      <c r="D179" s="407" t="s">
        <v>744</v>
      </c>
      <c r="E179" s="408">
        <v>1</v>
      </c>
      <c r="F179" s="409"/>
      <c r="G179" s="410">
        <f t="shared" si="6"/>
        <v>0</v>
      </c>
      <c r="H179" s="411"/>
      <c r="I179" s="407"/>
      <c r="J179" s="411"/>
      <c r="K179" s="407" t="s">
        <v>719</v>
      </c>
      <c r="L179" s="412" t="s">
        <v>681</v>
      </c>
      <c r="M179" s="407" t="s">
        <v>720</v>
      </c>
      <c r="N179" s="412"/>
      <c r="O179" s="412"/>
      <c r="P179" s="412" t="s">
        <v>721</v>
      </c>
      <c r="Q179" s="413" t="s">
        <v>726</v>
      </c>
      <c r="R179" s="413" t="s">
        <v>722</v>
      </c>
      <c r="S179" s="414" t="s">
        <v>727</v>
      </c>
      <c r="T179" s="414"/>
      <c r="U179" s="415"/>
      <c r="V179" s="416"/>
      <c r="W179" s="417"/>
      <c r="X179" s="417"/>
      <c r="Y179" s="418" t="s">
        <v>377</v>
      </c>
      <c r="Z179" s="419"/>
      <c r="AA179" s="492">
        <v>1</v>
      </c>
    </row>
    <row r="180" spans="1:27" s="128" customFormat="1" ht="36" customHeight="1">
      <c r="A180" s="443">
        <v>11</v>
      </c>
      <c r="B180" s="444" t="s">
        <v>745</v>
      </c>
      <c r="C180" s="445" t="s">
        <v>58</v>
      </c>
      <c r="D180" s="444" t="s">
        <v>746</v>
      </c>
      <c r="E180" s="446">
        <v>1</v>
      </c>
      <c r="F180" s="447"/>
      <c r="G180" s="448">
        <f t="shared" si="6"/>
        <v>0</v>
      </c>
      <c r="H180" s="449"/>
      <c r="I180" s="444"/>
      <c r="J180" s="449"/>
      <c r="K180" s="444" t="s">
        <v>719</v>
      </c>
      <c r="L180" s="450" t="s">
        <v>681</v>
      </c>
      <c r="M180" s="444" t="s">
        <v>720</v>
      </c>
      <c r="N180" s="450"/>
      <c r="O180" s="450"/>
      <c r="P180" s="450" t="s">
        <v>721</v>
      </c>
      <c r="Q180" s="451" t="s">
        <v>374</v>
      </c>
      <c r="R180" s="451" t="s">
        <v>722</v>
      </c>
      <c r="S180" s="452" t="s">
        <v>723</v>
      </c>
      <c r="T180" s="452"/>
      <c r="U180" s="453"/>
      <c r="V180" s="454"/>
      <c r="W180" s="455" t="s">
        <v>406</v>
      </c>
      <c r="X180" s="455">
        <v>45601</v>
      </c>
      <c r="Y180" s="456" t="s">
        <v>377</v>
      </c>
      <c r="Z180" s="457"/>
      <c r="AA180" s="494"/>
    </row>
    <row r="181" spans="1:27" s="128" customFormat="1" ht="36" customHeight="1">
      <c r="A181" s="443">
        <v>12</v>
      </c>
      <c r="B181" s="444" t="s">
        <v>747</v>
      </c>
      <c r="C181" s="445" t="s">
        <v>58</v>
      </c>
      <c r="D181" s="444" t="s">
        <v>748</v>
      </c>
      <c r="E181" s="446">
        <v>1</v>
      </c>
      <c r="F181" s="447"/>
      <c r="G181" s="448">
        <f t="shared" si="6"/>
        <v>0</v>
      </c>
      <c r="H181" s="449"/>
      <c r="I181" s="444"/>
      <c r="J181" s="449"/>
      <c r="K181" s="444" t="s">
        <v>719</v>
      </c>
      <c r="L181" s="450" t="s">
        <v>681</v>
      </c>
      <c r="M181" s="444" t="s">
        <v>720</v>
      </c>
      <c r="N181" s="450"/>
      <c r="O181" s="450"/>
      <c r="P181" s="450" t="s">
        <v>721</v>
      </c>
      <c r="Q181" s="451" t="s">
        <v>374</v>
      </c>
      <c r="R181" s="451" t="s">
        <v>722</v>
      </c>
      <c r="S181" s="452" t="s">
        <v>723</v>
      </c>
      <c r="T181" s="452"/>
      <c r="U181" s="453"/>
      <c r="V181" s="454"/>
      <c r="W181" s="455" t="s">
        <v>406</v>
      </c>
      <c r="X181" s="455">
        <v>45601</v>
      </c>
      <c r="Y181" s="456" t="s">
        <v>377</v>
      </c>
      <c r="Z181" s="457"/>
      <c r="AA181" s="494"/>
    </row>
    <row r="182" spans="1:27" s="128" customFormat="1" ht="36" customHeight="1">
      <c r="A182" s="443">
        <v>13</v>
      </c>
      <c r="B182" s="444" t="s">
        <v>749</v>
      </c>
      <c r="C182" s="445" t="s">
        <v>58</v>
      </c>
      <c r="D182" s="444" t="s">
        <v>750</v>
      </c>
      <c r="E182" s="446">
        <v>1</v>
      </c>
      <c r="F182" s="447"/>
      <c r="G182" s="448">
        <f t="shared" si="6"/>
        <v>0</v>
      </c>
      <c r="H182" s="449"/>
      <c r="I182" s="444"/>
      <c r="J182" s="449"/>
      <c r="K182" s="444" t="s">
        <v>719</v>
      </c>
      <c r="L182" s="450" t="s">
        <v>681</v>
      </c>
      <c r="M182" s="444" t="s">
        <v>720</v>
      </c>
      <c r="N182" s="450"/>
      <c r="O182" s="450"/>
      <c r="P182" s="450" t="s">
        <v>721</v>
      </c>
      <c r="Q182" s="451" t="s">
        <v>374</v>
      </c>
      <c r="R182" s="451" t="s">
        <v>722</v>
      </c>
      <c r="S182" s="452" t="s">
        <v>723</v>
      </c>
      <c r="T182" s="452"/>
      <c r="U182" s="453"/>
      <c r="V182" s="454"/>
      <c r="W182" s="455" t="s">
        <v>406</v>
      </c>
      <c r="X182" s="455">
        <v>45601</v>
      </c>
      <c r="Y182" s="456" t="s">
        <v>377</v>
      </c>
      <c r="Z182" s="457"/>
      <c r="AA182" s="494"/>
    </row>
    <row r="183" spans="1:27" s="128" customFormat="1" ht="36" customHeight="1">
      <c r="A183" s="443">
        <v>14</v>
      </c>
      <c r="B183" s="444" t="s">
        <v>751</v>
      </c>
      <c r="C183" s="445" t="s">
        <v>58</v>
      </c>
      <c r="D183" s="444" t="s">
        <v>752</v>
      </c>
      <c r="E183" s="446">
        <v>1</v>
      </c>
      <c r="F183" s="447"/>
      <c r="G183" s="448">
        <f t="shared" si="6"/>
        <v>0</v>
      </c>
      <c r="H183" s="449"/>
      <c r="I183" s="444"/>
      <c r="J183" s="449"/>
      <c r="K183" s="444" t="s">
        <v>719</v>
      </c>
      <c r="L183" s="450" t="s">
        <v>681</v>
      </c>
      <c r="M183" s="444" t="s">
        <v>720</v>
      </c>
      <c r="N183" s="450"/>
      <c r="O183" s="450"/>
      <c r="P183" s="450" t="s">
        <v>721</v>
      </c>
      <c r="Q183" s="451" t="s">
        <v>374</v>
      </c>
      <c r="R183" s="451" t="s">
        <v>722</v>
      </c>
      <c r="S183" s="452" t="s">
        <v>723</v>
      </c>
      <c r="T183" s="452"/>
      <c r="U183" s="453"/>
      <c r="V183" s="454"/>
      <c r="W183" s="455" t="s">
        <v>406</v>
      </c>
      <c r="X183" s="455">
        <v>45601</v>
      </c>
      <c r="Y183" s="456" t="s">
        <v>377</v>
      </c>
      <c r="Z183" s="457"/>
      <c r="AA183" s="494"/>
    </row>
    <row r="184" spans="1:27" s="128" customFormat="1" ht="36" customHeight="1">
      <c r="A184" s="443">
        <v>15</v>
      </c>
      <c r="B184" s="444" t="s">
        <v>753</v>
      </c>
      <c r="C184" s="445" t="s">
        <v>58</v>
      </c>
      <c r="D184" s="444" t="s">
        <v>754</v>
      </c>
      <c r="E184" s="446">
        <v>1</v>
      </c>
      <c r="F184" s="447"/>
      <c r="G184" s="448">
        <f t="shared" si="6"/>
        <v>0</v>
      </c>
      <c r="H184" s="449"/>
      <c r="I184" s="444"/>
      <c r="J184" s="449"/>
      <c r="K184" s="444" t="s">
        <v>719</v>
      </c>
      <c r="L184" s="450" t="s">
        <v>681</v>
      </c>
      <c r="M184" s="444" t="s">
        <v>755</v>
      </c>
      <c r="N184" s="450"/>
      <c r="O184" s="450"/>
      <c r="P184" s="450" t="s">
        <v>721</v>
      </c>
      <c r="Q184" s="451" t="s">
        <v>374</v>
      </c>
      <c r="R184" s="451" t="s">
        <v>249</v>
      </c>
      <c r="S184" s="452" t="s">
        <v>756</v>
      </c>
      <c r="T184" s="452"/>
      <c r="U184" s="453"/>
      <c r="V184" s="454"/>
      <c r="W184" s="455" t="s">
        <v>406</v>
      </c>
      <c r="X184" s="455">
        <v>45567</v>
      </c>
      <c r="Y184" s="456" t="s">
        <v>377</v>
      </c>
      <c r="Z184" s="457"/>
      <c r="AA184" s="494"/>
    </row>
    <row r="185" spans="1:27" s="128" customFormat="1" ht="36" customHeight="1">
      <c r="A185" s="443">
        <v>16</v>
      </c>
      <c r="B185" s="444" t="s">
        <v>757</v>
      </c>
      <c r="C185" s="445" t="s">
        <v>58</v>
      </c>
      <c r="D185" s="444" t="s">
        <v>758</v>
      </c>
      <c r="E185" s="446">
        <v>3</v>
      </c>
      <c r="F185" s="447"/>
      <c r="G185" s="448">
        <f t="shared" si="6"/>
        <v>0</v>
      </c>
      <c r="H185" s="449"/>
      <c r="I185" s="444"/>
      <c r="J185" s="449"/>
      <c r="K185" s="444" t="s">
        <v>719</v>
      </c>
      <c r="L185" s="450" t="s">
        <v>681</v>
      </c>
      <c r="M185" s="444" t="s">
        <v>759</v>
      </c>
      <c r="N185" s="450"/>
      <c r="O185" s="450"/>
      <c r="P185" s="450" t="s">
        <v>403</v>
      </c>
      <c r="Q185" s="451" t="s">
        <v>374</v>
      </c>
      <c r="R185" s="451" t="s">
        <v>404</v>
      </c>
      <c r="S185" s="452" t="s">
        <v>405</v>
      </c>
      <c r="T185" s="452"/>
      <c r="U185" s="453"/>
      <c r="V185" s="454"/>
      <c r="W185" s="455" t="s">
        <v>406</v>
      </c>
      <c r="X185" s="455">
        <v>45607</v>
      </c>
      <c r="Y185" s="456" t="s">
        <v>377</v>
      </c>
      <c r="Z185" s="457"/>
      <c r="AA185" s="494">
        <v>1</v>
      </c>
    </row>
    <row r="186" spans="1:27" s="128" customFormat="1" ht="36" customHeight="1">
      <c r="A186" s="443">
        <v>17</v>
      </c>
      <c r="B186" s="444" t="s">
        <v>760</v>
      </c>
      <c r="C186" s="445" t="s">
        <v>58</v>
      </c>
      <c r="D186" s="444" t="s">
        <v>761</v>
      </c>
      <c r="E186" s="446">
        <v>2</v>
      </c>
      <c r="F186" s="447"/>
      <c r="G186" s="448">
        <f t="shared" si="6"/>
        <v>0</v>
      </c>
      <c r="H186" s="449"/>
      <c r="I186" s="444"/>
      <c r="J186" s="449"/>
      <c r="K186" s="444" t="s">
        <v>719</v>
      </c>
      <c r="L186" s="450" t="s">
        <v>681</v>
      </c>
      <c r="M186" s="444" t="s">
        <v>762</v>
      </c>
      <c r="N186" s="450"/>
      <c r="O186" s="450"/>
      <c r="P186" s="450" t="s">
        <v>721</v>
      </c>
      <c r="Q186" s="451" t="s">
        <v>374</v>
      </c>
      <c r="R186" s="451" t="s">
        <v>299</v>
      </c>
      <c r="S186" s="452" t="s">
        <v>763</v>
      </c>
      <c r="T186" s="452">
        <v>45561</v>
      </c>
      <c r="U186" s="453"/>
      <c r="V186" s="454"/>
      <c r="W186" s="455" t="s">
        <v>406</v>
      </c>
      <c r="X186" s="455">
        <v>45560</v>
      </c>
      <c r="Y186" s="456" t="s">
        <v>377</v>
      </c>
      <c r="Z186" s="457"/>
      <c r="AA186" s="494"/>
    </row>
    <row r="187" spans="1:27" s="441" customFormat="1" ht="18" customHeight="1">
      <c r="A187" s="427">
        <v>18</v>
      </c>
      <c r="B187" s="428" t="s">
        <v>764</v>
      </c>
      <c r="C187" s="429" t="s">
        <v>58</v>
      </c>
      <c r="D187" s="428" t="s">
        <v>765</v>
      </c>
      <c r="E187" s="430">
        <v>19</v>
      </c>
      <c r="F187" s="431"/>
      <c r="G187" s="432">
        <f t="shared" si="6"/>
        <v>0</v>
      </c>
      <c r="H187" s="442"/>
      <c r="I187" s="428"/>
      <c r="J187" s="442"/>
      <c r="K187" s="428"/>
      <c r="L187" s="433"/>
      <c r="M187" s="428"/>
      <c r="N187" s="433"/>
      <c r="O187" s="433"/>
      <c r="P187" s="433"/>
      <c r="Q187" s="434"/>
      <c r="R187" s="434"/>
      <c r="S187" s="435"/>
      <c r="T187" s="435"/>
      <c r="U187" s="436"/>
      <c r="V187" s="437"/>
      <c r="W187" s="438"/>
      <c r="X187" s="438"/>
      <c r="Y187" s="439" t="s">
        <v>592</v>
      </c>
      <c r="Z187" s="440"/>
      <c r="AA187" s="495"/>
    </row>
    <row r="188" spans="1:27" s="441" customFormat="1" ht="18" customHeight="1">
      <c r="A188" s="427">
        <v>19</v>
      </c>
      <c r="B188" s="428" t="s">
        <v>766</v>
      </c>
      <c r="C188" s="429" t="s">
        <v>58</v>
      </c>
      <c r="D188" s="428" t="s">
        <v>767</v>
      </c>
      <c r="E188" s="430">
        <v>1</v>
      </c>
      <c r="F188" s="431"/>
      <c r="G188" s="432">
        <f t="shared" si="6"/>
        <v>0</v>
      </c>
      <c r="H188" s="442"/>
      <c r="I188" s="428"/>
      <c r="J188" s="442"/>
      <c r="K188" s="428"/>
      <c r="L188" s="433"/>
      <c r="M188" s="428"/>
      <c r="N188" s="433"/>
      <c r="O188" s="433"/>
      <c r="P188" s="433"/>
      <c r="Q188" s="434"/>
      <c r="R188" s="434"/>
      <c r="S188" s="435"/>
      <c r="T188" s="435"/>
      <c r="U188" s="436"/>
      <c r="V188" s="437"/>
      <c r="W188" s="438"/>
      <c r="X188" s="438"/>
      <c r="Y188" s="439" t="s">
        <v>592</v>
      </c>
      <c r="Z188" s="440"/>
      <c r="AA188" s="495"/>
    </row>
    <row r="189" spans="1:27" s="441" customFormat="1" ht="18" customHeight="1">
      <c r="A189" s="427">
        <v>20</v>
      </c>
      <c r="B189" s="428" t="s">
        <v>768</v>
      </c>
      <c r="C189" s="429" t="s">
        <v>58</v>
      </c>
      <c r="D189" s="428" t="s">
        <v>769</v>
      </c>
      <c r="E189" s="430">
        <v>19</v>
      </c>
      <c r="F189" s="431"/>
      <c r="G189" s="432">
        <f t="shared" si="6"/>
        <v>0</v>
      </c>
      <c r="H189" s="442"/>
      <c r="I189" s="428"/>
      <c r="J189" s="442"/>
      <c r="K189" s="428"/>
      <c r="L189" s="433"/>
      <c r="M189" s="428"/>
      <c r="N189" s="433"/>
      <c r="O189" s="433"/>
      <c r="P189" s="433"/>
      <c r="Q189" s="434"/>
      <c r="R189" s="434"/>
      <c r="S189" s="435"/>
      <c r="T189" s="435"/>
      <c r="U189" s="436"/>
      <c r="V189" s="437"/>
      <c r="W189" s="438"/>
      <c r="X189" s="438"/>
      <c r="Y189" s="439" t="s">
        <v>592</v>
      </c>
      <c r="Z189" s="440"/>
      <c r="AA189" s="495"/>
    </row>
    <row r="190" spans="1:27" s="128" customFormat="1" ht="36" customHeight="1">
      <c r="A190" s="443">
        <v>21</v>
      </c>
      <c r="B190" s="444" t="s">
        <v>770</v>
      </c>
      <c r="C190" s="445" t="s">
        <v>58</v>
      </c>
      <c r="D190" s="444" t="s">
        <v>771</v>
      </c>
      <c r="E190" s="446">
        <v>2</v>
      </c>
      <c r="F190" s="447"/>
      <c r="G190" s="448">
        <f t="shared" si="6"/>
        <v>0</v>
      </c>
      <c r="H190" s="449"/>
      <c r="I190" s="444"/>
      <c r="J190" s="449"/>
      <c r="K190" s="444" t="s">
        <v>719</v>
      </c>
      <c r="L190" s="450" t="s">
        <v>681</v>
      </c>
      <c r="M190" s="444" t="s">
        <v>755</v>
      </c>
      <c r="N190" s="450"/>
      <c r="O190" s="450"/>
      <c r="P190" s="450" t="s">
        <v>721</v>
      </c>
      <c r="Q190" s="451" t="s">
        <v>374</v>
      </c>
      <c r="R190" s="451" t="s">
        <v>249</v>
      </c>
      <c r="S190" s="452" t="s">
        <v>756</v>
      </c>
      <c r="T190" s="452"/>
      <c r="U190" s="453"/>
      <c r="V190" s="454"/>
      <c r="W190" s="455" t="s">
        <v>406</v>
      </c>
      <c r="X190" s="455">
        <v>45574</v>
      </c>
      <c r="Y190" s="456" t="s">
        <v>377</v>
      </c>
      <c r="Z190" s="457"/>
      <c r="AA190" s="494"/>
    </row>
    <row r="191" spans="1:27" s="128" customFormat="1" ht="36" customHeight="1">
      <c r="A191" s="443">
        <v>22</v>
      </c>
      <c r="B191" s="444" t="s">
        <v>772</v>
      </c>
      <c r="C191" s="445" t="s">
        <v>58</v>
      </c>
      <c r="D191" s="444" t="s">
        <v>773</v>
      </c>
      <c r="E191" s="446">
        <v>2</v>
      </c>
      <c r="F191" s="447"/>
      <c r="G191" s="448">
        <f t="shared" si="6"/>
        <v>0</v>
      </c>
      <c r="H191" s="449"/>
      <c r="I191" s="444"/>
      <c r="J191" s="449"/>
      <c r="K191" s="444" t="s">
        <v>719</v>
      </c>
      <c r="L191" s="450" t="s">
        <v>681</v>
      </c>
      <c r="M191" s="444" t="s">
        <v>755</v>
      </c>
      <c r="N191" s="450"/>
      <c r="O191" s="450"/>
      <c r="P191" s="450" t="s">
        <v>721</v>
      </c>
      <c r="Q191" s="451" t="s">
        <v>374</v>
      </c>
      <c r="R191" s="451" t="s">
        <v>249</v>
      </c>
      <c r="S191" s="452" t="s">
        <v>756</v>
      </c>
      <c r="T191" s="452"/>
      <c r="U191" s="453"/>
      <c r="V191" s="454"/>
      <c r="W191" s="455" t="s">
        <v>406</v>
      </c>
      <c r="X191" s="455">
        <v>45574</v>
      </c>
      <c r="Y191" s="456" t="s">
        <v>377</v>
      </c>
      <c r="Z191" s="457"/>
      <c r="AA191" s="494"/>
    </row>
    <row r="192" spans="1:27" s="128" customFormat="1" ht="36" customHeight="1">
      <c r="A192" s="443">
        <v>23</v>
      </c>
      <c r="B192" s="444" t="s">
        <v>774</v>
      </c>
      <c r="C192" s="445" t="s">
        <v>58</v>
      </c>
      <c r="D192" s="444" t="s">
        <v>775</v>
      </c>
      <c r="E192" s="446">
        <v>1</v>
      </c>
      <c r="F192" s="447"/>
      <c r="G192" s="448">
        <f t="shared" si="6"/>
        <v>0</v>
      </c>
      <c r="H192" s="449"/>
      <c r="I192" s="444"/>
      <c r="J192" s="449"/>
      <c r="K192" s="444" t="s">
        <v>719</v>
      </c>
      <c r="L192" s="450" t="s">
        <v>681</v>
      </c>
      <c r="M192" s="444" t="s">
        <v>755</v>
      </c>
      <c r="N192" s="450"/>
      <c r="O192" s="450"/>
      <c r="P192" s="450" t="s">
        <v>721</v>
      </c>
      <c r="Q192" s="451" t="s">
        <v>374</v>
      </c>
      <c r="R192" s="451" t="s">
        <v>249</v>
      </c>
      <c r="S192" s="452" t="s">
        <v>756</v>
      </c>
      <c r="T192" s="452"/>
      <c r="U192" s="453"/>
      <c r="V192" s="454"/>
      <c r="W192" s="455" t="s">
        <v>406</v>
      </c>
      <c r="X192" s="455">
        <v>45574</v>
      </c>
      <c r="Y192" s="456" t="s">
        <v>377</v>
      </c>
      <c r="Z192" s="457"/>
      <c r="AA192" s="494"/>
    </row>
    <row r="193" spans="1:27" s="128" customFormat="1" ht="36" customHeight="1">
      <c r="A193" s="443">
        <v>24</v>
      </c>
      <c r="B193" s="444" t="s">
        <v>776</v>
      </c>
      <c r="C193" s="445" t="s">
        <v>58</v>
      </c>
      <c r="D193" s="444" t="s">
        <v>777</v>
      </c>
      <c r="E193" s="446">
        <v>1</v>
      </c>
      <c r="F193" s="447"/>
      <c r="G193" s="448">
        <f t="shared" si="6"/>
        <v>0</v>
      </c>
      <c r="H193" s="449"/>
      <c r="I193" s="444"/>
      <c r="J193" s="449"/>
      <c r="K193" s="444" t="s">
        <v>719</v>
      </c>
      <c r="L193" s="450" t="s">
        <v>681</v>
      </c>
      <c r="M193" s="444" t="s">
        <v>755</v>
      </c>
      <c r="N193" s="450"/>
      <c r="O193" s="450"/>
      <c r="P193" s="450" t="s">
        <v>721</v>
      </c>
      <c r="Q193" s="451" t="s">
        <v>374</v>
      </c>
      <c r="R193" s="451" t="s">
        <v>249</v>
      </c>
      <c r="S193" s="452" t="s">
        <v>756</v>
      </c>
      <c r="T193" s="452"/>
      <c r="U193" s="453"/>
      <c r="V193" s="454"/>
      <c r="W193" s="455" t="s">
        <v>406</v>
      </c>
      <c r="X193" s="455">
        <v>45574</v>
      </c>
      <c r="Y193" s="456" t="s">
        <v>377</v>
      </c>
      <c r="Z193" s="457"/>
      <c r="AA193" s="494"/>
    </row>
    <row r="194" spans="1:27" s="128" customFormat="1" ht="36" customHeight="1">
      <c r="A194" s="443">
        <v>25</v>
      </c>
      <c r="B194" s="444" t="s">
        <v>778</v>
      </c>
      <c r="C194" s="445" t="s">
        <v>58</v>
      </c>
      <c r="D194" s="444" t="s">
        <v>779</v>
      </c>
      <c r="E194" s="446">
        <v>2</v>
      </c>
      <c r="F194" s="447"/>
      <c r="G194" s="448">
        <f t="shared" si="6"/>
        <v>0</v>
      </c>
      <c r="H194" s="449"/>
      <c r="I194" s="444"/>
      <c r="J194" s="449"/>
      <c r="K194" s="444" t="s">
        <v>719</v>
      </c>
      <c r="L194" s="450" t="s">
        <v>681</v>
      </c>
      <c r="M194" s="444" t="s">
        <v>755</v>
      </c>
      <c r="N194" s="450"/>
      <c r="O194" s="450"/>
      <c r="P194" s="450" t="s">
        <v>721</v>
      </c>
      <c r="Q194" s="451" t="s">
        <v>374</v>
      </c>
      <c r="R194" s="451" t="s">
        <v>249</v>
      </c>
      <c r="S194" s="452" t="s">
        <v>756</v>
      </c>
      <c r="T194" s="452"/>
      <c r="U194" s="453"/>
      <c r="V194" s="454"/>
      <c r="W194" s="455" t="s">
        <v>406</v>
      </c>
      <c r="X194" s="455">
        <v>45574</v>
      </c>
      <c r="Y194" s="456" t="s">
        <v>377</v>
      </c>
      <c r="Z194" s="457"/>
      <c r="AA194" s="494"/>
    </row>
    <row r="195" spans="1:27" s="128" customFormat="1" ht="36" customHeight="1">
      <c r="A195" s="443">
        <v>26</v>
      </c>
      <c r="B195" s="444" t="s">
        <v>780</v>
      </c>
      <c r="C195" s="445" t="s">
        <v>58</v>
      </c>
      <c r="D195" s="444" t="s">
        <v>781</v>
      </c>
      <c r="E195" s="446">
        <v>1</v>
      </c>
      <c r="F195" s="447"/>
      <c r="G195" s="448">
        <f t="shared" si="6"/>
        <v>0</v>
      </c>
      <c r="H195" s="449"/>
      <c r="I195" s="444"/>
      <c r="J195" s="449"/>
      <c r="K195" s="444" t="s">
        <v>719</v>
      </c>
      <c r="L195" s="450" t="s">
        <v>681</v>
      </c>
      <c r="M195" s="444" t="s">
        <v>755</v>
      </c>
      <c r="N195" s="450"/>
      <c r="O195" s="450"/>
      <c r="P195" s="450" t="s">
        <v>721</v>
      </c>
      <c r="Q195" s="451" t="s">
        <v>374</v>
      </c>
      <c r="R195" s="451" t="s">
        <v>249</v>
      </c>
      <c r="S195" s="452" t="s">
        <v>756</v>
      </c>
      <c r="T195" s="452"/>
      <c r="U195" s="453"/>
      <c r="V195" s="454"/>
      <c r="W195" s="455" t="s">
        <v>406</v>
      </c>
      <c r="X195" s="455">
        <v>45574</v>
      </c>
      <c r="Y195" s="456" t="s">
        <v>377</v>
      </c>
      <c r="Z195" s="457"/>
      <c r="AA195" s="494"/>
    </row>
    <row r="196" spans="1:27" s="128" customFormat="1" ht="36" customHeight="1">
      <c r="A196" s="443">
        <v>27</v>
      </c>
      <c r="B196" s="444" t="s">
        <v>782</v>
      </c>
      <c r="C196" s="445" t="s">
        <v>58</v>
      </c>
      <c r="D196" s="444" t="s">
        <v>783</v>
      </c>
      <c r="E196" s="446">
        <v>1</v>
      </c>
      <c r="F196" s="447"/>
      <c r="G196" s="448">
        <f t="shared" si="6"/>
        <v>0</v>
      </c>
      <c r="H196" s="449"/>
      <c r="I196" s="444"/>
      <c r="J196" s="449"/>
      <c r="K196" s="444" t="s">
        <v>719</v>
      </c>
      <c r="L196" s="450" t="s">
        <v>681</v>
      </c>
      <c r="M196" s="444" t="s">
        <v>755</v>
      </c>
      <c r="N196" s="450"/>
      <c r="O196" s="450"/>
      <c r="P196" s="450" t="s">
        <v>721</v>
      </c>
      <c r="Q196" s="451" t="s">
        <v>374</v>
      </c>
      <c r="R196" s="451" t="s">
        <v>249</v>
      </c>
      <c r="S196" s="452" t="s">
        <v>756</v>
      </c>
      <c r="T196" s="452"/>
      <c r="U196" s="453"/>
      <c r="V196" s="454"/>
      <c r="W196" s="455" t="s">
        <v>406</v>
      </c>
      <c r="X196" s="455">
        <v>45574</v>
      </c>
      <c r="Y196" s="456" t="s">
        <v>377</v>
      </c>
      <c r="Z196" s="457"/>
      <c r="AA196" s="494"/>
    </row>
    <row r="197" spans="1:27" s="128" customFormat="1" ht="36" customHeight="1">
      <c r="A197" s="443">
        <v>28</v>
      </c>
      <c r="B197" s="444" t="s">
        <v>784</v>
      </c>
      <c r="C197" s="445" t="s">
        <v>58</v>
      </c>
      <c r="D197" s="444" t="s">
        <v>785</v>
      </c>
      <c r="E197" s="446">
        <v>1</v>
      </c>
      <c r="F197" s="447"/>
      <c r="G197" s="448">
        <f t="shared" si="6"/>
        <v>0</v>
      </c>
      <c r="H197" s="449"/>
      <c r="I197" s="444"/>
      <c r="J197" s="449"/>
      <c r="K197" s="444" t="s">
        <v>719</v>
      </c>
      <c r="L197" s="450" t="s">
        <v>681</v>
      </c>
      <c r="M197" s="444" t="s">
        <v>755</v>
      </c>
      <c r="N197" s="450"/>
      <c r="O197" s="450"/>
      <c r="P197" s="450" t="s">
        <v>721</v>
      </c>
      <c r="Q197" s="451" t="s">
        <v>374</v>
      </c>
      <c r="R197" s="451" t="s">
        <v>249</v>
      </c>
      <c r="S197" s="452" t="s">
        <v>756</v>
      </c>
      <c r="T197" s="452"/>
      <c r="U197" s="453"/>
      <c r="V197" s="454"/>
      <c r="W197" s="455" t="s">
        <v>406</v>
      </c>
      <c r="X197" s="455">
        <v>45574</v>
      </c>
      <c r="Y197" s="456" t="s">
        <v>377</v>
      </c>
      <c r="Z197" s="457"/>
      <c r="AA197" s="494"/>
    </row>
    <row r="198" spans="1:27" s="128" customFormat="1" ht="36" customHeight="1">
      <c r="A198" s="443">
        <v>29</v>
      </c>
      <c r="B198" s="444" t="s">
        <v>786</v>
      </c>
      <c r="C198" s="445" t="s">
        <v>58</v>
      </c>
      <c r="D198" s="444" t="s">
        <v>787</v>
      </c>
      <c r="E198" s="446">
        <v>1</v>
      </c>
      <c r="F198" s="447"/>
      <c r="G198" s="448">
        <f t="shared" si="6"/>
        <v>0</v>
      </c>
      <c r="H198" s="449"/>
      <c r="I198" s="444"/>
      <c r="J198" s="449"/>
      <c r="K198" s="444" t="s">
        <v>719</v>
      </c>
      <c r="L198" s="450" t="s">
        <v>681</v>
      </c>
      <c r="M198" s="444" t="s">
        <v>755</v>
      </c>
      <c r="N198" s="450"/>
      <c r="O198" s="450"/>
      <c r="P198" s="450" t="s">
        <v>721</v>
      </c>
      <c r="Q198" s="451" t="s">
        <v>374</v>
      </c>
      <c r="R198" s="451" t="s">
        <v>249</v>
      </c>
      <c r="S198" s="452" t="s">
        <v>756</v>
      </c>
      <c r="T198" s="452"/>
      <c r="U198" s="453"/>
      <c r="V198" s="454"/>
      <c r="W198" s="455" t="s">
        <v>406</v>
      </c>
      <c r="X198" s="455">
        <v>45574</v>
      </c>
      <c r="Y198" s="456" t="s">
        <v>377</v>
      </c>
      <c r="Z198" s="457"/>
      <c r="AA198" s="494"/>
    </row>
    <row r="199" spans="1:27" s="128" customFormat="1" ht="36" customHeight="1">
      <c r="A199" s="405">
        <v>30</v>
      </c>
      <c r="B199" s="407" t="s">
        <v>788</v>
      </c>
      <c r="C199" s="406" t="s">
        <v>58</v>
      </c>
      <c r="D199" s="407" t="s">
        <v>789</v>
      </c>
      <c r="E199" s="408">
        <v>1</v>
      </c>
      <c r="F199" s="409"/>
      <c r="G199" s="410">
        <f t="shared" si="6"/>
        <v>0</v>
      </c>
      <c r="H199" s="411"/>
      <c r="I199" s="407"/>
      <c r="J199" s="411"/>
      <c r="K199" s="407" t="s">
        <v>719</v>
      </c>
      <c r="L199" s="412" t="s">
        <v>681</v>
      </c>
      <c r="M199" s="407" t="s">
        <v>790</v>
      </c>
      <c r="N199" s="412"/>
      <c r="O199" s="412"/>
      <c r="P199" s="412" t="s">
        <v>416</v>
      </c>
      <c r="Q199" s="413" t="s">
        <v>726</v>
      </c>
      <c r="R199" s="413" t="s">
        <v>251</v>
      </c>
      <c r="S199" s="414" t="s">
        <v>791</v>
      </c>
      <c r="T199" s="414" t="s">
        <v>792</v>
      </c>
      <c r="U199" s="415"/>
      <c r="V199" s="416"/>
      <c r="W199" s="417"/>
      <c r="X199" s="417"/>
      <c r="Y199" s="418" t="s">
        <v>377</v>
      </c>
      <c r="Z199" s="419"/>
      <c r="AA199" s="492">
        <v>1</v>
      </c>
    </row>
    <row r="200" spans="1:27" s="128" customFormat="1" ht="36" customHeight="1">
      <c r="A200" s="405">
        <v>31</v>
      </c>
      <c r="B200" s="407" t="s">
        <v>793</v>
      </c>
      <c r="C200" s="406" t="s">
        <v>58</v>
      </c>
      <c r="D200" s="407" t="s">
        <v>794</v>
      </c>
      <c r="E200" s="408">
        <v>1</v>
      </c>
      <c r="F200" s="409"/>
      <c r="G200" s="410">
        <f t="shared" si="6"/>
        <v>0</v>
      </c>
      <c r="H200" s="411"/>
      <c r="I200" s="407"/>
      <c r="J200" s="411"/>
      <c r="K200" s="407" t="s">
        <v>719</v>
      </c>
      <c r="L200" s="412" t="s">
        <v>681</v>
      </c>
      <c r="M200" s="407" t="s">
        <v>790</v>
      </c>
      <c r="N200" s="412"/>
      <c r="O200" s="412"/>
      <c r="P200" s="412" t="s">
        <v>416</v>
      </c>
      <c r="Q200" s="413" t="s">
        <v>726</v>
      </c>
      <c r="R200" s="413" t="s">
        <v>251</v>
      </c>
      <c r="S200" s="414" t="s">
        <v>791</v>
      </c>
      <c r="T200" s="414" t="s">
        <v>792</v>
      </c>
      <c r="U200" s="415"/>
      <c r="V200" s="416"/>
      <c r="W200" s="417"/>
      <c r="X200" s="417"/>
      <c r="Y200" s="418" t="s">
        <v>377</v>
      </c>
      <c r="Z200" s="419"/>
      <c r="AA200" s="492"/>
    </row>
    <row r="201" spans="1:27" s="128" customFormat="1" ht="36" customHeight="1">
      <c r="A201" s="443">
        <v>32</v>
      </c>
      <c r="B201" s="444" t="s">
        <v>795</v>
      </c>
      <c r="C201" s="445" t="s">
        <v>58</v>
      </c>
      <c r="D201" s="444" t="s">
        <v>796</v>
      </c>
      <c r="E201" s="446">
        <v>1</v>
      </c>
      <c r="F201" s="447"/>
      <c r="G201" s="448">
        <f t="shared" si="6"/>
        <v>0</v>
      </c>
      <c r="H201" s="449"/>
      <c r="I201" s="444"/>
      <c r="J201" s="449"/>
      <c r="K201" s="444" t="s">
        <v>719</v>
      </c>
      <c r="L201" s="450" t="s">
        <v>681</v>
      </c>
      <c r="M201" s="444" t="s">
        <v>790</v>
      </c>
      <c r="N201" s="450"/>
      <c r="O201" s="450"/>
      <c r="P201" s="450" t="s">
        <v>416</v>
      </c>
      <c r="Q201" s="451" t="s">
        <v>726</v>
      </c>
      <c r="R201" s="451" t="s">
        <v>251</v>
      </c>
      <c r="S201" s="452" t="s">
        <v>797</v>
      </c>
      <c r="T201" s="452"/>
      <c r="U201" s="453"/>
      <c r="V201" s="454"/>
      <c r="W201" s="455" t="s">
        <v>406</v>
      </c>
      <c r="X201" s="455">
        <v>45611</v>
      </c>
      <c r="Y201" s="456" t="s">
        <v>377</v>
      </c>
      <c r="Z201" s="457"/>
      <c r="AA201" s="494"/>
    </row>
    <row r="202" spans="1:27" s="128" customFormat="1" ht="36" customHeight="1">
      <c r="A202" s="405">
        <v>33</v>
      </c>
      <c r="B202" s="407" t="s">
        <v>798</v>
      </c>
      <c r="C202" s="406" t="s">
        <v>58</v>
      </c>
      <c r="D202" s="407" t="s">
        <v>799</v>
      </c>
      <c r="E202" s="408">
        <v>1</v>
      </c>
      <c r="F202" s="409"/>
      <c r="G202" s="410">
        <f t="shared" ref="G202:G233" si="7">E202*F202</f>
        <v>0</v>
      </c>
      <c r="H202" s="411"/>
      <c r="I202" s="407"/>
      <c r="J202" s="411"/>
      <c r="K202" s="407" t="s">
        <v>719</v>
      </c>
      <c r="L202" s="412" t="s">
        <v>681</v>
      </c>
      <c r="M202" s="407" t="s">
        <v>790</v>
      </c>
      <c r="N202" s="412"/>
      <c r="O202" s="412"/>
      <c r="P202" s="412" t="s">
        <v>416</v>
      </c>
      <c r="Q202" s="413" t="s">
        <v>726</v>
      </c>
      <c r="R202" s="413" t="s">
        <v>251</v>
      </c>
      <c r="S202" s="414" t="s">
        <v>800</v>
      </c>
      <c r="T202" s="414"/>
      <c r="U202" s="415"/>
      <c r="V202" s="416"/>
      <c r="W202" s="417"/>
      <c r="X202" s="417"/>
      <c r="Y202" s="418" t="s">
        <v>377</v>
      </c>
      <c r="Z202" s="419"/>
      <c r="AA202" s="492"/>
    </row>
    <row r="203" spans="1:27" s="128" customFormat="1" ht="36" customHeight="1">
      <c r="A203" s="443">
        <v>34</v>
      </c>
      <c r="B203" s="444" t="s">
        <v>801</v>
      </c>
      <c r="C203" s="445" t="s">
        <v>58</v>
      </c>
      <c r="D203" s="444" t="s">
        <v>802</v>
      </c>
      <c r="E203" s="446">
        <v>1</v>
      </c>
      <c r="F203" s="447"/>
      <c r="G203" s="448">
        <f t="shared" si="7"/>
        <v>0</v>
      </c>
      <c r="H203" s="449"/>
      <c r="I203" s="444"/>
      <c r="J203" s="449"/>
      <c r="K203" s="444" t="s">
        <v>719</v>
      </c>
      <c r="L203" s="450" t="s">
        <v>681</v>
      </c>
      <c r="M203" s="444" t="s">
        <v>790</v>
      </c>
      <c r="N203" s="450"/>
      <c r="O203" s="450"/>
      <c r="P203" s="450" t="s">
        <v>416</v>
      </c>
      <c r="Q203" s="451" t="s">
        <v>726</v>
      </c>
      <c r="R203" s="451" t="s">
        <v>251</v>
      </c>
      <c r="S203" s="452" t="s">
        <v>797</v>
      </c>
      <c r="T203" s="452"/>
      <c r="U203" s="453"/>
      <c r="V203" s="454"/>
      <c r="W203" s="455" t="s">
        <v>406</v>
      </c>
      <c r="X203" s="455">
        <v>45611</v>
      </c>
      <c r="Y203" s="456" t="s">
        <v>377</v>
      </c>
      <c r="Z203" s="457"/>
      <c r="AA203" s="494"/>
    </row>
    <row r="204" spans="1:27" s="128" customFormat="1" ht="36" customHeight="1">
      <c r="A204" s="443">
        <v>35</v>
      </c>
      <c r="B204" s="444" t="s">
        <v>803</v>
      </c>
      <c r="C204" s="445" t="s">
        <v>58</v>
      </c>
      <c r="D204" s="444" t="s">
        <v>804</v>
      </c>
      <c r="E204" s="446">
        <v>1</v>
      </c>
      <c r="F204" s="447"/>
      <c r="G204" s="448">
        <f t="shared" si="7"/>
        <v>0</v>
      </c>
      <c r="H204" s="449"/>
      <c r="I204" s="444"/>
      <c r="J204" s="449"/>
      <c r="K204" s="444" t="s">
        <v>719</v>
      </c>
      <c r="L204" s="450" t="s">
        <v>681</v>
      </c>
      <c r="M204" s="444" t="s">
        <v>805</v>
      </c>
      <c r="N204" s="450"/>
      <c r="O204" s="450"/>
      <c r="P204" s="450" t="s">
        <v>721</v>
      </c>
      <c r="Q204" s="451" t="s">
        <v>374</v>
      </c>
      <c r="R204" s="451" t="s">
        <v>251</v>
      </c>
      <c r="S204" s="452" t="s">
        <v>806</v>
      </c>
      <c r="T204" s="452">
        <v>45568</v>
      </c>
      <c r="U204" s="453"/>
      <c r="V204" s="454"/>
      <c r="W204" s="455" t="s">
        <v>406</v>
      </c>
      <c r="X204" s="455">
        <v>45561</v>
      </c>
      <c r="Y204" s="456" t="s">
        <v>377</v>
      </c>
      <c r="Z204" s="457"/>
      <c r="AA204" s="494"/>
    </row>
    <row r="205" spans="1:27" s="128" customFormat="1" ht="36" customHeight="1">
      <c r="A205" s="443">
        <v>36</v>
      </c>
      <c r="B205" s="444" t="s">
        <v>807</v>
      </c>
      <c r="C205" s="445" t="s">
        <v>58</v>
      </c>
      <c r="D205" s="444" t="s">
        <v>808</v>
      </c>
      <c r="E205" s="446">
        <v>14</v>
      </c>
      <c r="F205" s="447"/>
      <c r="G205" s="448">
        <f t="shared" si="7"/>
        <v>0</v>
      </c>
      <c r="H205" s="449"/>
      <c r="I205" s="444"/>
      <c r="J205" s="449"/>
      <c r="K205" s="444" t="s">
        <v>719</v>
      </c>
      <c r="L205" s="450" t="s">
        <v>681</v>
      </c>
      <c r="M205" s="444" t="s">
        <v>805</v>
      </c>
      <c r="N205" s="450"/>
      <c r="O205" s="450"/>
      <c r="P205" s="450" t="s">
        <v>721</v>
      </c>
      <c r="Q205" s="451" t="s">
        <v>374</v>
      </c>
      <c r="R205" s="451" t="s">
        <v>251</v>
      </c>
      <c r="S205" s="452" t="s">
        <v>806</v>
      </c>
      <c r="T205" s="452">
        <v>45568</v>
      </c>
      <c r="U205" s="453"/>
      <c r="V205" s="454"/>
      <c r="W205" s="455" t="s">
        <v>406</v>
      </c>
      <c r="X205" s="455">
        <v>45561</v>
      </c>
      <c r="Y205" s="456" t="s">
        <v>377</v>
      </c>
      <c r="Z205" s="457"/>
      <c r="AA205" s="494"/>
    </row>
    <row r="206" spans="1:27" s="128" customFormat="1" ht="36" customHeight="1">
      <c r="A206" s="443">
        <v>37</v>
      </c>
      <c r="B206" s="444" t="s">
        <v>809</v>
      </c>
      <c r="C206" s="445" t="s">
        <v>58</v>
      </c>
      <c r="D206" s="444" t="s">
        <v>810</v>
      </c>
      <c r="E206" s="446">
        <v>14</v>
      </c>
      <c r="F206" s="447"/>
      <c r="G206" s="448">
        <f t="shared" si="7"/>
        <v>0</v>
      </c>
      <c r="H206" s="449"/>
      <c r="I206" s="444"/>
      <c r="J206" s="449"/>
      <c r="K206" s="444" t="s">
        <v>719</v>
      </c>
      <c r="L206" s="450" t="s">
        <v>681</v>
      </c>
      <c r="M206" s="444" t="s">
        <v>805</v>
      </c>
      <c r="N206" s="450"/>
      <c r="O206" s="450"/>
      <c r="P206" s="450" t="s">
        <v>721</v>
      </c>
      <c r="Q206" s="451" t="s">
        <v>374</v>
      </c>
      <c r="R206" s="451" t="s">
        <v>251</v>
      </c>
      <c r="S206" s="452" t="s">
        <v>806</v>
      </c>
      <c r="T206" s="452">
        <v>45568</v>
      </c>
      <c r="U206" s="453"/>
      <c r="V206" s="454"/>
      <c r="W206" s="455" t="s">
        <v>406</v>
      </c>
      <c r="X206" s="455">
        <v>45561</v>
      </c>
      <c r="Y206" s="456" t="s">
        <v>377</v>
      </c>
      <c r="Z206" s="457"/>
      <c r="AA206" s="494"/>
    </row>
    <row r="207" spans="1:27" s="128" customFormat="1" ht="36" customHeight="1">
      <c r="A207" s="405">
        <v>38</v>
      </c>
      <c r="B207" s="407" t="s">
        <v>811</v>
      </c>
      <c r="C207" s="406" t="s">
        <v>58</v>
      </c>
      <c r="D207" s="407" t="s">
        <v>812</v>
      </c>
      <c r="E207" s="408">
        <v>1</v>
      </c>
      <c r="F207" s="409"/>
      <c r="G207" s="410">
        <f t="shared" si="7"/>
        <v>0</v>
      </c>
      <c r="H207" s="411"/>
      <c r="I207" s="407"/>
      <c r="J207" s="411"/>
      <c r="K207" s="407" t="s">
        <v>719</v>
      </c>
      <c r="L207" s="412" t="s">
        <v>681</v>
      </c>
      <c r="M207" s="407" t="s">
        <v>813</v>
      </c>
      <c r="N207" s="412"/>
      <c r="O207" s="412"/>
      <c r="P207" s="412" t="s">
        <v>721</v>
      </c>
      <c r="Q207" s="413" t="s">
        <v>726</v>
      </c>
      <c r="R207" s="413" t="s">
        <v>814</v>
      </c>
      <c r="S207" s="414" t="s">
        <v>727</v>
      </c>
      <c r="T207" s="414" t="s">
        <v>815</v>
      </c>
      <c r="U207" s="415"/>
      <c r="V207" s="416"/>
      <c r="W207" s="417"/>
      <c r="X207" s="417"/>
      <c r="Y207" s="418" t="s">
        <v>377</v>
      </c>
      <c r="Z207" s="419"/>
      <c r="AA207" s="492">
        <v>1</v>
      </c>
    </row>
    <row r="208" spans="1:27" s="128" customFormat="1" ht="36" customHeight="1">
      <c r="A208" s="405">
        <v>39</v>
      </c>
      <c r="B208" s="407" t="s">
        <v>816</v>
      </c>
      <c r="C208" s="406" t="s">
        <v>58</v>
      </c>
      <c r="D208" s="407" t="s">
        <v>817</v>
      </c>
      <c r="E208" s="408">
        <v>1</v>
      </c>
      <c r="F208" s="409"/>
      <c r="G208" s="410">
        <f t="shared" si="7"/>
        <v>0</v>
      </c>
      <c r="H208" s="411"/>
      <c r="I208" s="407"/>
      <c r="J208" s="411"/>
      <c r="K208" s="407" t="s">
        <v>719</v>
      </c>
      <c r="L208" s="412" t="s">
        <v>681</v>
      </c>
      <c r="M208" s="407" t="s">
        <v>790</v>
      </c>
      <c r="N208" s="412"/>
      <c r="O208" s="412"/>
      <c r="P208" s="412" t="s">
        <v>416</v>
      </c>
      <c r="Q208" s="413" t="s">
        <v>726</v>
      </c>
      <c r="R208" s="413" t="s">
        <v>251</v>
      </c>
      <c r="S208" s="414" t="s">
        <v>791</v>
      </c>
      <c r="T208" s="414" t="s">
        <v>792</v>
      </c>
      <c r="U208" s="415"/>
      <c r="V208" s="416"/>
      <c r="W208" s="417"/>
      <c r="X208" s="417"/>
      <c r="Y208" s="418" t="s">
        <v>377</v>
      </c>
      <c r="Z208" s="419"/>
      <c r="AA208" s="492"/>
    </row>
    <row r="209" spans="1:27" s="128" customFormat="1" ht="36" customHeight="1">
      <c r="A209" s="405">
        <v>40</v>
      </c>
      <c r="B209" s="407" t="s">
        <v>818</v>
      </c>
      <c r="C209" s="406" t="s">
        <v>58</v>
      </c>
      <c r="D209" s="407" t="s">
        <v>819</v>
      </c>
      <c r="E209" s="408">
        <v>1</v>
      </c>
      <c r="F209" s="409"/>
      <c r="G209" s="410">
        <f t="shared" si="7"/>
        <v>0</v>
      </c>
      <c r="H209" s="411"/>
      <c r="I209" s="407"/>
      <c r="J209" s="411"/>
      <c r="K209" s="407" t="s">
        <v>719</v>
      </c>
      <c r="L209" s="412" t="s">
        <v>681</v>
      </c>
      <c r="M209" s="407" t="s">
        <v>790</v>
      </c>
      <c r="N209" s="412"/>
      <c r="O209" s="412"/>
      <c r="P209" s="412" t="s">
        <v>416</v>
      </c>
      <c r="Q209" s="413" t="s">
        <v>726</v>
      </c>
      <c r="R209" s="413" t="s">
        <v>251</v>
      </c>
      <c r="S209" s="414" t="s">
        <v>791</v>
      </c>
      <c r="T209" s="414" t="s">
        <v>792</v>
      </c>
      <c r="U209" s="415"/>
      <c r="V209" s="416"/>
      <c r="W209" s="417"/>
      <c r="X209" s="417"/>
      <c r="Y209" s="418" t="s">
        <v>377</v>
      </c>
      <c r="Z209" s="419"/>
      <c r="AA209" s="492"/>
    </row>
    <row r="210" spans="1:27" s="128" customFormat="1" ht="36" customHeight="1">
      <c r="A210" s="405">
        <v>41</v>
      </c>
      <c r="B210" s="407" t="s">
        <v>820</v>
      </c>
      <c r="C210" s="406" t="s">
        <v>58</v>
      </c>
      <c r="D210" s="407" t="s">
        <v>821</v>
      </c>
      <c r="E210" s="408">
        <v>1</v>
      </c>
      <c r="F210" s="409"/>
      <c r="G210" s="410">
        <f t="shared" si="7"/>
        <v>0</v>
      </c>
      <c r="H210" s="411"/>
      <c r="I210" s="407"/>
      <c r="J210" s="411"/>
      <c r="K210" s="407" t="s">
        <v>719</v>
      </c>
      <c r="L210" s="412" t="s">
        <v>681</v>
      </c>
      <c r="M210" s="407" t="s">
        <v>790</v>
      </c>
      <c r="N210" s="412"/>
      <c r="O210" s="412"/>
      <c r="P210" s="412" t="s">
        <v>416</v>
      </c>
      <c r="Q210" s="413" t="s">
        <v>726</v>
      </c>
      <c r="R210" s="413" t="s">
        <v>251</v>
      </c>
      <c r="S210" s="414" t="s">
        <v>800</v>
      </c>
      <c r="T210" s="414"/>
      <c r="U210" s="415"/>
      <c r="V210" s="416"/>
      <c r="W210" s="417"/>
      <c r="X210" s="417"/>
      <c r="Y210" s="418" t="s">
        <v>377</v>
      </c>
      <c r="Z210" s="419"/>
      <c r="AA210" s="492"/>
    </row>
    <row r="211" spans="1:27" s="128" customFormat="1" ht="36" customHeight="1">
      <c r="A211" s="405">
        <v>42</v>
      </c>
      <c r="B211" s="407" t="s">
        <v>822</v>
      </c>
      <c r="C211" s="406" t="s">
        <v>58</v>
      </c>
      <c r="D211" s="407" t="s">
        <v>823</v>
      </c>
      <c r="E211" s="408">
        <v>1</v>
      </c>
      <c r="F211" s="409"/>
      <c r="G211" s="410">
        <f t="shared" si="7"/>
        <v>0</v>
      </c>
      <c r="H211" s="411"/>
      <c r="I211" s="407"/>
      <c r="J211" s="411"/>
      <c r="K211" s="407" t="s">
        <v>719</v>
      </c>
      <c r="L211" s="412" t="s">
        <v>681</v>
      </c>
      <c r="M211" s="407" t="s">
        <v>790</v>
      </c>
      <c r="N211" s="412"/>
      <c r="O211" s="412"/>
      <c r="P211" s="412" t="s">
        <v>416</v>
      </c>
      <c r="Q211" s="413" t="s">
        <v>726</v>
      </c>
      <c r="R211" s="413" t="s">
        <v>251</v>
      </c>
      <c r="S211" s="414" t="s">
        <v>800</v>
      </c>
      <c r="T211" s="414"/>
      <c r="U211" s="415"/>
      <c r="V211" s="416"/>
      <c r="W211" s="417"/>
      <c r="X211" s="417"/>
      <c r="Y211" s="418" t="s">
        <v>377</v>
      </c>
      <c r="Z211" s="419"/>
      <c r="AA211" s="492"/>
    </row>
    <row r="212" spans="1:27" s="128" customFormat="1" ht="36" customHeight="1">
      <c r="A212" s="443">
        <v>43</v>
      </c>
      <c r="B212" s="444" t="s">
        <v>824</v>
      </c>
      <c r="C212" s="445" t="s">
        <v>58</v>
      </c>
      <c r="D212" s="444" t="s">
        <v>825</v>
      </c>
      <c r="E212" s="446">
        <v>4</v>
      </c>
      <c r="F212" s="447"/>
      <c r="G212" s="448">
        <f t="shared" si="7"/>
        <v>0</v>
      </c>
      <c r="H212" s="449"/>
      <c r="I212" s="444"/>
      <c r="J212" s="449"/>
      <c r="K212" s="444" t="s">
        <v>719</v>
      </c>
      <c r="L212" s="450" t="s">
        <v>681</v>
      </c>
      <c r="M212" s="444" t="s">
        <v>755</v>
      </c>
      <c r="N212" s="450"/>
      <c r="O212" s="450"/>
      <c r="P212" s="450" t="s">
        <v>721</v>
      </c>
      <c r="Q212" s="451" t="s">
        <v>374</v>
      </c>
      <c r="R212" s="451" t="s">
        <v>249</v>
      </c>
      <c r="S212" s="452" t="s">
        <v>756</v>
      </c>
      <c r="T212" s="452"/>
      <c r="U212" s="453"/>
      <c r="V212" s="454"/>
      <c r="W212" s="455" t="s">
        <v>406</v>
      </c>
      <c r="X212" s="455">
        <v>45574</v>
      </c>
      <c r="Y212" s="456" t="s">
        <v>377</v>
      </c>
      <c r="Z212" s="457"/>
      <c r="AA212" s="494"/>
    </row>
    <row r="213" spans="1:27" s="128" customFormat="1" ht="36" customHeight="1">
      <c r="A213" s="443">
        <v>44</v>
      </c>
      <c r="B213" s="444" t="s">
        <v>826</v>
      </c>
      <c r="C213" s="445" t="s">
        <v>58</v>
      </c>
      <c r="D213" s="444" t="s">
        <v>827</v>
      </c>
      <c r="E213" s="446">
        <v>1</v>
      </c>
      <c r="F213" s="447"/>
      <c r="G213" s="448">
        <f t="shared" si="7"/>
        <v>0</v>
      </c>
      <c r="H213" s="449"/>
      <c r="I213" s="444"/>
      <c r="J213" s="449"/>
      <c r="K213" s="444" t="s">
        <v>719</v>
      </c>
      <c r="L213" s="450" t="s">
        <v>681</v>
      </c>
      <c r="M213" s="444" t="s">
        <v>828</v>
      </c>
      <c r="N213" s="450"/>
      <c r="O213" s="450"/>
      <c r="P213" s="450" t="s">
        <v>721</v>
      </c>
      <c r="Q213" s="451" t="s">
        <v>374</v>
      </c>
      <c r="R213" s="451" t="s">
        <v>263</v>
      </c>
      <c r="S213" s="452" t="s">
        <v>806</v>
      </c>
      <c r="T213" s="452">
        <v>45568</v>
      </c>
      <c r="U213" s="453"/>
      <c r="V213" s="454"/>
      <c r="W213" s="455" t="s">
        <v>406</v>
      </c>
      <c r="X213" s="455">
        <v>45566</v>
      </c>
      <c r="Y213" s="456" t="s">
        <v>377</v>
      </c>
      <c r="Z213" s="457"/>
      <c r="AA213" s="494"/>
    </row>
    <row r="214" spans="1:27" s="128" customFormat="1" ht="18" customHeight="1">
      <c r="A214" s="443">
        <v>45</v>
      </c>
      <c r="B214" s="444" t="s">
        <v>557</v>
      </c>
      <c r="C214" s="445" t="s">
        <v>58</v>
      </c>
      <c r="D214" s="444" t="s">
        <v>558</v>
      </c>
      <c r="E214" s="446">
        <v>2</v>
      </c>
      <c r="F214" s="447"/>
      <c r="G214" s="448">
        <f t="shared" si="7"/>
        <v>0</v>
      </c>
      <c r="H214" s="449"/>
      <c r="I214" s="444"/>
      <c r="J214" s="449"/>
      <c r="K214" s="444"/>
      <c r="L214" s="450"/>
      <c r="M214" s="444"/>
      <c r="N214" s="450"/>
      <c r="O214" s="450"/>
      <c r="P214" s="450"/>
      <c r="Q214" s="451" t="s">
        <v>374</v>
      </c>
      <c r="R214" s="451"/>
      <c r="S214" s="452"/>
      <c r="T214" s="452" t="s">
        <v>829</v>
      </c>
      <c r="U214" s="453"/>
      <c r="V214" s="454"/>
      <c r="W214" s="455" t="s">
        <v>406</v>
      </c>
      <c r="X214" s="455">
        <v>45580</v>
      </c>
      <c r="Y214" s="456" t="s">
        <v>377</v>
      </c>
      <c r="Z214" s="457"/>
      <c r="AA214" s="494"/>
    </row>
    <row r="215" spans="1:27" s="128" customFormat="1" ht="36" customHeight="1">
      <c r="A215" s="443">
        <v>46</v>
      </c>
      <c r="B215" s="444" t="s">
        <v>830</v>
      </c>
      <c r="C215" s="445" t="s">
        <v>58</v>
      </c>
      <c r="D215" s="444" t="s">
        <v>831</v>
      </c>
      <c r="E215" s="446">
        <v>1</v>
      </c>
      <c r="F215" s="447"/>
      <c r="G215" s="448">
        <f t="shared" si="7"/>
        <v>0</v>
      </c>
      <c r="H215" s="449"/>
      <c r="I215" s="444"/>
      <c r="J215" s="449"/>
      <c r="K215" s="444" t="s">
        <v>719</v>
      </c>
      <c r="L215" s="450" t="s">
        <v>681</v>
      </c>
      <c r="M215" s="444" t="s">
        <v>828</v>
      </c>
      <c r="N215" s="450"/>
      <c r="O215" s="450"/>
      <c r="P215" s="450" t="s">
        <v>721</v>
      </c>
      <c r="Q215" s="451" t="s">
        <v>374</v>
      </c>
      <c r="R215" s="451" t="s">
        <v>263</v>
      </c>
      <c r="S215" s="452" t="s">
        <v>806</v>
      </c>
      <c r="T215" s="452">
        <v>45568</v>
      </c>
      <c r="U215" s="453"/>
      <c r="V215" s="454"/>
      <c r="W215" s="455" t="s">
        <v>406</v>
      </c>
      <c r="X215" s="455">
        <v>45567</v>
      </c>
      <c r="Y215" s="456" t="s">
        <v>377</v>
      </c>
      <c r="Z215" s="457"/>
      <c r="AA215" s="494"/>
    </row>
    <row r="216" spans="1:27" s="128" customFormat="1" ht="36" customHeight="1">
      <c r="A216" s="443">
        <v>47</v>
      </c>
      <c r="B216" s="444" t="s">
        <v>832</v>
      </c>
      <c r="C216" s="445" t="s">
        <v>58</v>
      </c>
      <c r="D216" s="444" t="s">
        <v>833</v>
      </c>
      <c r="E216" s="446">
        <v>1</v>
      </c>
      <c r="F216" s="447"/>
      <c r="G216" s="448">
        <f t="shared" si="7"/>
        <v>0</v>
      </c>
      <c r="H216" s="449"/>
      <c r="I216" s="444"/>
      <c r="J216" s="449"/>
      <c r="K216" s="444" t="s">
        <v>719</v>
      </c>
      <c r="L216" s="450" t="s">
        <v>681</v>
      </c>
      <c r="M216" s="444" t="s">
        <v>828</v>
      </c>
      <c r="N216" s="450"/>
      <c r="O216" s="450"/>
      <c r="P216" s="450" t="s">
        <v>721</v>
      </c>
      <c r="Q216" s="451" t="s">
        <v>374</v>
      </c>
      <c r="R216" s="451" t="s">
        <v>263</v>
      </c>
      <c r="S216" s="452" t="s">
        <v>806</v>
      </c>
      <c r="T216" s="452">
        <v>45568</v>
      </c>
      <c r="U216" s="453"/>
      <c r="V216" s="454"/>
      <c r="W216" s="455" t="s">
        <v>406</v>
      </c>
      <c r="X216" s="455">
        <v>45567</v>
      </c>
      <c r="Y216" s="456" t="s">
        <v>377</v>
      </c>
      <c r="Z216" s="457"/>
      <c r="AA216" s="494"/>
    </row>
    <row r="217" spans="1:27" s="128" customFormat="1" ht="36" customHeight="1">
      <c r="A217" s="443">
        <v>48</v>
      </c>
      <c r="B217" s="444" t="s">
        <v>834</v>
      </c>
      <c r="C217" s="445" t="s">
        <v>58</v>
      </c>
      <c r="D217" s="444" t="s">
        <v>835</v>
      </c>
      <c r="E217" s="446">
        <v>1</v>
      </c>
      <c r="F217" s="447"/>
      <c r="G217" s="448">
        <f t="shared" si="7"/>
        <v>0</v>
      </c>
      <c r="H217" s="449"/>
      <c r="I217" s="444"/>
      <c r="J217" s="449"/>
      <c r="K217" s="444" t="s">
        <v>719</v>
      </c>
      <c r="L217" s="450" t="s">
        <v>681</v>
      </c>
      <c r="M217" s="444" t="s">
        <v>828</v>
      </c>
      <c r="N217" s="450"/>
      <c r="O217" s="450"/>
      <c r="P217" s="450" t="s">
        <v>721</v>
      </c>
      <c r="Q217" s="451" t="s">
        <v>374</v>
      </c>
      <c r="R217" s="451" t="s">
        <v>263</v>
      </c>
      <c r="S217" s="452" t="s">
        <v>723</v>
      </c>
      <c r="T217" s="452">
        <v>45603</v>
      </c>
      <c r="U217" s="453"/>
      <c r="V217" s="454"/>
      <c r="W217" s="455" t="s">
        <v>406</v>
      </c>
      <c r="X217" s="455">
        <v>45566</v>
      </c>
      <c r="Y217" s="456" t="s">
        <v>377</v>
      </c>
      <c r="Z217" s="457"/>
      <c r="AA217" s="494"/>
    </row>
    <row r="218" spans="1:27" s="128" customFormat="1" ht="36" customHeight="1">
      <c r="A218" s="443">
        <v>49</v>
      </c>
      <c r="B218" s="444" t="s">
        <v>394</v>
      </c>
      <c r="C218" s="445" t="s">
        <v>58</v>
      </c>
      <c r="D218" s="444" t="s">
        <v>395</v>
      </c>
      <c r="E218" s="446">
        <v>9</v>
      </c>
      <c r="F218" s="447"/>
      <c r="G218" s="448">
        <f t="shared" si="7"/>
        <v>0</v>
      </c>
      <c r="H218" s="449"/>
      <c r="I218" s="444"/>
      <c r="J218" s="449"/>
      <c r="K218" s="444" t="s">
        <v>719</v>
      </c>
      <c r="L218" s="450" t="s">
        <v>681</v>
      </c>
      <c r="M218" s="444" t="s">
        <v>828</v>
      </c>
      <c r="N218" s="450"/>
      <c r="O218" s="450"/>
      <c r="P218" s="450" t="s">
        <v>721</v>
      </c>
      <c r="Q218" s="451" t="s">
        <v>374</v>
      </c>
      <c r="R218" s="451" t="s">
        <v>263</v>
      </c>
      <c r="S218" s="452" t="s">
        <v>806</v>
      </c>
      <c r="T218" s="452"/>
      <c r="U218" s="453"/>
      <c r="V218" s="454"/>
      <c r="W218" s="455" t="s">
        <v>406</v>
      </c>
      <c r="X218" s="455">
        <v>45553</v>
      </c>
      <c r="Y218" s="456" t="s">
        <v>377</v>
      </c>
      <c r="Z218" s="457"/>
      <c r="AA218" s="494"/>
    </row>
    <row r="219" spans="1:27" s="128" customFormat="1" ht="36" customHeight="1">
      <c r="A219" s="443">
        <v>50</v>
      </c>
      <c r="B219" s="444" t="s">
        <v>836</v>
      </c>
      <c r="C219" s="445" t="s">
        <v>58</v>
      </c>
      <c r="D219" s="444" t="s">
        <v>837</v>
      </c>
      <c r="E219" s="446">
        <v>1</v>
      </c>
      <c r="F219" s="447"/>
      <c r="G219" s="448">
        <f t="shared" si="7"/>
        <v>0</v>
      </c>
      <c r="H219" s="449"/>
      <c r="I219" s="444"/>
      <c r="J219" s="449"/>
      <c r="K219" s="444" t="s">
        <v>719</v>
      </c>
      <c r="L219" s="450" t="s">
        <v>681</v>
      </c>
      <c r="M219" s="444" t="s">
        <v>828</v>
      </c>
      <c r="N219" s="450"/>
      <c r="O219" s="450"/>
      <c r="P219" s="450" t="s">
        <v>721</v>
      </c>
      <c r="Q219" s="451" t="s">
        <v>374</v>
      </c>
      <c r="R219" s="451" t="s">
        <v>263</v>
      </c>
      <c r="S219" s="452" t="s">
        <v>806</v>
      </c>
      <c r="T219" s="452">
        <v>45568</v>
      </c>
      <c r="U219" s="453"/>
      <c r="V219" s="454"/>
      <c r="W219" s="455" t="s">
        <v>406</v>
      </c>
      <c r="X219" s="455">
        <v>45567</v>
      </c>
      <c r="Y219" s="456" t="s">
        <v>377</v>
      </c>
      <c r="Z219" s="457"/>
      <c r="AA219" s="494"/>
    </row>
    <row r="220" spans="1:27" s="128" customFormat="1" ht="36" customHeight="1">
      <c r="A220" s="443">
        <v>51</v>
      </c>
      <c r="B220" s="444" t="s">
        <v>838</v>
      </c>
      <c r="C220" s="445" t="s">
        <v>58</v>
      </c>
      <c r="D220" s="444" t="s">
        <v>839</v>
      </c>
      <c r="E220" s="446">
        <v>2</v>
      </c>
      <c r="F220" s="447"/>
      <c r="G220" s="448">
        <f t="shared" si="7"/>
        <v>0</v>
      </c>
      <c r="H220" s="449"/>
      <c r="I220" s="444"/>
      <c r="J220" s="449"/>
      <c r="K220" s="444" t="s">
        <v>719</v>
      </c>
      <c r="L220" s="450" t="s">
        <v>681</v>
      </c>
      <c r="M220" s="444" t="s">
        <v>828</v>
      </c>
      <c r="N220" s="450"/>
      <c r="O220" s="450"/>
      <c r="P220" s="450" t="s">
        <v>721</v>
      </c>
      <c r="Q220" s="451" t="s">
        <v>374</v>
      </c>
      <c r="R220" s="451" t="s">
        <v>263</v>
      </c>
      <c r="S220" s="452" t="s">
        <v>806</v>
      </c>
      <c r="T220" s="452">
        <v>45568</v>
      </c>
      <c r="U220" s="453"/>
      <c r="V220" s="454"/>
      <c r="W220" s="455" t="s">
        <v>406</v>
      </c>
      <c r="X220" s="455">
        <v>45566</v>
      </c>
      <c r="Y220" s="456" t="s">
        <v>377</v>
      </c>
      <c r="Z220" s="457"/>
      <c r="AA220" s="494"/>
    </row>
    <row r="221" spans="1:27" s="128" customFormat="1" ht="36" customHeight="1">
      <c r="A221" s="405">
        <v>52</v>
      </c>
      <c r="B221" s="407" t="s">
        <v>413</v>
      </c>
      <c r="C221" s="406" t="s">
        <v>58</v>
      </c>
      <c r="D221" s="407" t="s">
        <v>414</v>
      </c>
      <c r="E221" s="408">
        <v>1</v>
      </c>
      <c r="F221" s="409"/>
      <c r="G221" s="410">
        <f t="shared" si="7"/>
        <v>0</v>
      </c>
      <c r="H221" s="411"/>
      <c r="I221" s="407"/>
      <c r="J221" s="411"/>
      <c r="K221" s="407" t="s">
        <v>719</v>
      </c>
      <c r="L221" s="412" t="s">
        <v>681</v>
      </c>
      <c r="M221" s="407" t="s">
        <v>790</v>
      </c>
      <c r="N221" s="412"/>
      <c r="O221" s="412"/>
      <c r="P221" s="412" t="s">
        <v>416</v>
      </c>
      <c r="Q221" s="413" t="s">
        <v>726</v>
      </c>
      <c r="R221" s="413" t="s">
        <v>251</v>
      </c>
      <c r="S221" s="414" t="s">
        <v>800</v>
      </c>
      <c r="T221" s="414"/>
      <c r="U221" s="415"/>
      <c r="V221" s="416"/>
      <c r="W221" s="417"/>
      <c r="X221" s="417"/>
      <c r="Y221" s="418" t="s">
        <v>377</v>
      </c>
      <c r="Z221" s="419"/>
      <c r="AA221" s="492"/>
    </row>
    <row r="222" spans="1:27" s="128" customFormat="1" ht="36" customHeight="1">
      <c r="A222" s="405">
        <v>53</v>
      </c>
      <c r="B222" s="407" t="s">
        <v>418</v>
      </c>
      <c r="C222" s="406" t="s">
        <v>58</v>
      </c>
      <c r="D222" s="407" t="s">
        <v>419</v>
      </c>
      <c r="E222" s="408">
        <v>1</v>
      </c>
      <c r="F222" s="409"/>
      <c r="G222" s="410">
        <f t="shared" si="7"/>
        <v>0</v>
      </c>
      <c r="H222" s="411"/>
      <c r="I222" s="407"/>
      <c r="J222" s="411"/>
      <c r="K222" s="407" t="s">
        <v>719</v>
      </c>
      <c r="L222" s="412" t="s">
        <v>681</v>
      </c>
      <c r="M222" s="407" t="s">
        <v>790</v>
      </c>
      <c r="N222" s="412"/>
      <c r="O222" s="412"/>
      <c r="P222" s="412" t="s">
        <v>416</v>
      </c>
      <c r="Q222" s="413" t="s">
        <v>726</v>
      </c>
      <c r="R222" s="413" t="s">
        <v>251</v>
      </c>
      <c r="S222" s="414" t="s">
        <v>800</v>
      </c>
      <c r="T222" s="414"/>
      <c r="U222" s="415"/>
      <c r="V222" s="416"/>
      <c r="W222" s="417"/>
      <c r="X222" s="417"/>
      <c r="Y222" s="418" t="s">
        <v>377</v>
      </c>
      <c r="Z222" s="419"/>
      <c r="AA222" s="492"/>
    </row>
    <row r="223" spans="1:27" s="128" customFormat="1" ht="36" customHeight="1">
      <c r="A223" s="443">
        <v>54</v>
      </c>
      <c r="B223" s="444" t="s">
        <v>840</v>
      </c>
      <c r="C223" s="445" t="s">
        <v>58</v>
      </c>
      <c r="D223" s="444" t="s">
        <v>841</v>
      </c>
      <c r="E223" s="446">
        <v>1</v>
      </c>
      <c r="F223" s="447"/>
      <c r="G223" s="448">
        <f t="shared" si="7"/>
        <v>0</v>
      </c>
      <c r="H223" s="449"/>
      <c r="I223" s="444"/>
      <c r="J223" s="449"/>
      <c r="K223" s="444" t="s">
        <v>719</v>
      </c>
      <c r="L223" s="450" t="s">
        <v>681</v>
      </c>
      <c r="M223" s="444" t="s">
        <v>790</v>
      </c>
      <c r="N223" s="450"/>
      <c r="O223" s="450"/>
      <c r="P223" s="450" t="s">
        <v>416</v>
      </c>
      <c r="Q223" s="451" t="s">
        <v>726</v>
      </c>
      <c r="R223" s="451" t="s">
        <v>251</v>
      </c>
      <c r="S223" s="452" t="s">
        <v>842</v>
      </c>
      <c r="T223" s="452"/>
      <c r="U223" s="453"/>
      <c r="V223" s="454"/>
      <c r="W223" s="455" t="s">
        <v>406</v>
      </c>
      <c r="X223" s="455">
        <v>45611</v>
      </c>
      <c r="Y223" s="456" t="s">
        <v>377</v>
      </c>
      <c r="Z223" s="457"/>
      <c r="AA223" s="494"/>
    </row>
    <row r="224" spans="1:27" s="128" customFormat="1" ht="36" customHeight="1">
      <c r="A224" s="443">
        <v>55</v>
      </c>
      <c r="B224" s="444" t="s">
        <v>843</v>
      </c>
      <c r="C224" s="445" t="s">
        <v>58</v>
      </c>
      <c r="D224" s="444" t="s">
        <v>844</v>
      </c>
      <c r="E224" s="446">
        <v>1</v>
      </c>
      <c r="F224" s="447"/>
      <c r="G224" s="448">
        <f t="shared" si="7"/>
        <v>0</v>
      </c>
      <c r="H224" s="449"/>
      <c r="I224" s="444"/>
      <c r="J224" s="449"/>
      <c r="K224" s="444" t="s">
        <v>719</v>
      </c>
      <c r="L224" s="450" t="s">
        <v>681</v>
      </c>
      <c r="M224" s="444" t="s">
        <v>790</v>
      </c>
      <c r="N224" s="450"/>
      <c r="O224" s="450"/>
      <c r="P224" s="450" t="s">
        <v>416</v>
      </c>
      <c r="Q224" s="451" t="s">
        <v>726</v>
      </c>
      <c r="R224" s="451" t="s">
        <v>251</v>
      </c>
      <c r="S224" s="452" t="s">
        <v>842</v>
      </c>
      <c r="T224" s="452"/>
      <c r="U224" s="453"/>
      <c r="V224" s="454"/>
      <c r="W224" s="455" t="s">
        <v>406</v>
      </c>
      <c r="X224" s="455">
        <v>45611</v>
      </c>
      <c r="Y224" s="456" t="s">
        <v>377</v>
      </c>
      <c r="Z224" s="457"/>
      <c r="AA224" s="494"/>
    </row>
    <row r="225" spans="1:27" s="128" customFormat="1" ht="36" customHeight="1">
      <c r="A225" s="405">
        <v>56</v>
      </c>
      <c r="B225" s="407" t="s">
        <v>845</v>
      </c>
      <c r="C225" s="406" t="s">
        <v>58</v>
      </c>
      <c r="D225" s="407" t="s">
        <v>846</v>
      </c>
      <c r="E225" s="408">
        <v>1</v>
      </c>
      <c r="F225" s="409"/>
      <c r="G225" s="410">
        <f t="shared" si="7"/>
        <v>0</v>
      </c>
      <c r="H225" s="411"/>
      <c r="I225" s="407"/>
      <c r="J225" s="411"/>
      <c r="K225" s="407" t="s">
        <v>719</v>
      </c>
      <c r="L225" s="412" t="s">
        <v>681</v>
      </c>
      <c r="M225" s="407" t="s">
        <v>813</v>
      </c>
      <c r="N225" s="412"/>
      <c r="O225" s="412"/>
      <c r="P225" s="412" t="s">
        <v>721</v>
      </c>
      <c r="Q225" s="413" t="s">
        <v>726</v>
      </c>
      <c r="R225" s="413" t="s">
        <v>814</v>
      </c>
      <c r="S225" s="414" t="s">
        <v>727</v>
      </c>
      <c r="T225" s="414" t="s">
        <v>815</v>
      </c>
      <c r="U225" s="415"/>
      <c r="V225" s="416"/>
      <c r="W225" s="417"/>
      <c r="X225" s="417"/>
      <c r="Y225" s="418" t="s">
        <v>377</v>
      </c>
      <c r="Z225" s="419"/>
      <c r="AA225" s="492">
        <v>1</v>
      </c>
    </row>
    <row r="226" spans="1:27" s="128" customFormat="1" ht="36" customHeight="1">
      <c r="A226" s="443">
        <v>57</v>
      </c>
      <c r="B226" s="444" t="s">
        <v>847</v>
      </c>
      <c r="C226" s="445" t="s">
        <v>58</v>
      </c>
      <c r="D226" s="444" t="s">
        <v>848</v>
      </c>
      <c r="E226" s="446">
        <v>4</v>
      </c>
      <c r="F226" s="447"/>
      <c r="G226" s="448">
        <f t="shared" si="7"/>
        <v>0</v>
      </c>
      <c r="H226" s="449"/>
      <c r="I226" s="444"/>
      <c r="J226" s="449"/>
      <c r="K226" s="444" t="s">
        <v>719</v>
      </c>
      <c r="L226" s="450" t="s">
        <v>681</v>
      </c>
      <c r="M226" s="444" t="s">
        <v>755</v>
      </c>
      <c r="N226" s="450"/>
      <c r="O226" s="450"/>
      <c r="P226" s="450" t="s">
        <v>721</v>
      </c>
      <c r="Q226" s="451" t="s">
        <v>374</v>
      </c>
      <c r="R226" s="451" t="s">
        <v>249</v>
      </c>
      <c r="S226" s="452" t="s">
        <v>756</v>
      </c>
      <c r="T226" s="452"/>
      <c r="U226" s="453"/>
      <c r="V226" s="454"/>
      <c r="W226" s="455" t="s">
        <v>406</v>
      </c>
      <c r="X226" s="455">
        <v>45574</v>
      </c>
      <c r="Y226" s="456" t="s">
        <v>377</v>
      </c>
      <c r="Z226" s="457"/>
      <c r="AA226" s="494"/>
    </row>
    <row r="227" spans="1:27" s="128" customFormat="1" ht="36" customHeight="1">
      <c r="A227" s="443">
        <v>58</v>
      </c>
      <c r="B227" s="444" t="s">
        <v>849</v>
      </c>
      <c r="C227" s="445" t="s">
        <v>58</v>
      </c>
      <c r="D227" s="444" t="s">
        <v>850</v>
      </c>
      <c r="E227" s="446">
        <v>2</v>
      </c>
      <c r="F227" s="447"/>
      <c r="G227" s="448">
        <f t="shared" si="7"/>
        <v>0</v>
      </c>
      <c r="H227" s="449"/>
      <c r="I227" s="444"/>
      <c r="J227" s="449"/>
      <c r="K227" s="444" t="s">
        <v>719</v>
      </c>
      <c r="L227" s="450" t="s">
        <v>681</v>
      </c>
      <c r="M227" s="444" t="s">
        <v>755</v>
      </c>
      <c r="N227" s="450"/>
      <c r="O227" s="450"/>
      <c r="P227" s="450" t="s">
        <v>721</v>
      </c>
      <c r="Q227" s="451" t="s">
        <v>374</v>
      </c>
      <c r="R227" s="451" t="s">
        <v>249</v>
      </c>
      <c r="S227" s="452" t="s">
        <v>756</v>
      </c>
      <c r="T227" s="452"/>
      <c r="U227" s="453"/>
      <c r="V227" s="454"/>
      <c r="W227" s="455" t="s">
        <v>406</v>
      </c>
      <c r="X227" s="455">
        <v>45574</v>
      </c>
      <c r="Y227" s="456" t="s">
        <v>377</v>
      </c>
      <c r="Z227" s="457"/>
      <c r="AA227" s="494"/>
    </row>
    <row r="228" spans="1:27" s="128" customFormat="1" ht="36" customHeight="1">
      <c r="A228" s="443">
        <v>59</v>
      </c>
      <c r="B228" s="444" t="s">
        <v>851</v>
      </c>
      <c r="C228" s="445" t="s">
        <v>58</v>
      </c>
      <c r="D228" s="444" t="s">
        <v>852</v>
      </c>
      <c r="E228" s="446">
        <v>1</v>
      </c>
      <c r="F228" s="447"/>
      <c r="G228" s="448">
        <f t="shared" si="7"/>
        <v>0</v>
      </c>
      <c r="H228" s="449"/>
      <c r="I228" s="444"/>
      <c r="J228" s="449"/>
      <c r="K228" s="444" t="s">
        <v>719</v>
      </c>
      <c r="L228" s="450" t="s">
        <v>681</v>
      </c>
      <c r="M228" s="444" t="s">
        <v>755</v>
      </c>
      <c r="N228" s="450"/>
      <c r="O228" s="450"/>
      <c r="P228" s="450" t="s">
        <v>721</v>
      </c>
      <c r="Q228" s="451" t="s">
        <v>374</v>
      </c>
      <c r="R228" s="451" t="s">
        <v>249</v>
      </c>
      <c r="S228" s="452" t="s">
        <v>756</v>
      </c>
      <c r="T228" s="452"/>
      <c r="U228" s="453"/>
      <c r="V228" s="454"/>
      <c r="W228" s="455" t="s">
        <v>406</v>
      </c>
      <c r="X228" s="455">
        <v>45574</v>
      </c>
      <c r="Y228" s="456" t="s">
        <v>377</v>
      </c>
      <c r="Z228" s="457"/>
      <c r="AA228" s="494"/>
    </row>
    <row r="229" spans="1:27" s="128" customFormat="1" ht="36" customHeight="1">
      <c r="A229" s="443">
        <v>60</v>
      </c>
      <c r="B229" s="444" t="s">
        <v>853</v>
      </c>
      <c r="C229" s="445" t="s">
        <v>58</v>
      </c>
      <c r="D229" s="444" t="s">
        <v>854</v>
      </c>
      <c r="E229" s="446">
        <v>1</v>
      </c>
      <c r="F229" s="447"/>
      <c r="G229" s="448">
        <f t="shared" si="7"/>
        <v>0</v>
      </c>
      <c r="H229" s="449"/>
      <c r="I229" s="444"/>
      <c r="J229" s="449"/>
      <c r="K229" s="444" t="s">
        <v>719</v>
      </c>
      <c r="L229" s="450" t="s">
        <v>681</v>
      </c>
      <c r="M229" s="444" t="s">
        <v>755</v>
      </c>
      <c r="N229" s="450"/>
      <c r="O229" s="450"/>
      <c r="P229" s="450" t="s">
        <v>721</v>
      </c>
      <c r="Q229" s="451" t="s">
        <v>374</v>
      </c>
      <c r="R229" s="451" t="s">
        <v>249</v>
      </c>
      <c r="S229" s="452" t="s">
        <v>756</v>
      </c>
      <c r="T229" s="452"/>
      <c r="U229" s="453"/>
      <c r="V229" s="454"/>
      <c r="W229" s="455" t="s">
        <v>406</v>
      </c>
      <c r="X229" s="455">
        <v>45574</v>
      </c>
      <c r="Y229" s="456" t="s">
        <v>377</v>
      </c>
      <c r="Z229" s="457"/>
      <c r="AA229" s="494"/>
    </row>
    <row r="230" spans="1:27" s="128" customFormat="1" ht="36" customHeight="1">
      <c r="A230" s="443">
        <v>61</v>
      </c>
      <c r="B230" s="444" t="s">
        <v>855</v>
      </c>
      <c r="C230" s="445" t="s">
        <v>58</v>
      </c>
      <c r="D230" s="444" t="s">
        <v>856</v>
      </c>
      <c r="E230" s="446">
        <v>1</v>
      </c>
      <c r="F230" s="447"/>
      <c r="G230" s="448">
        <f t="shared" si="7"/>
        <v>0</v>
      </c>
      <c r="H230" s="449"/>
      <c r="I230" s="444"/>
      <c r="J230" s="449"/>
      <c r="K230" s="444" t="s">
        <v>719</v>
      </c>
      <c r="L230" s="450" t="s">
        <v>681</v>
      </c>
      <c r="M230" s="444" t="s">
        <v>857</v>
      </c>
      <c r="N230" s="450"/>
      <c r="O230" s="450"/>
      <c r="P230" s="450" t="s">
        <v>721</v>
      </c>
      <c r="Q230" s="451" t="s">
        <v>374</v>
      </c>
      <c r="R230" s="451" t="s">
        <v>858</v>
      </c>
      <c r="S230" s="452" t="s">
        <v>859</v>
      </c>
      <c r="T230" s="452"/>
      <c r="U230" s="453"/>
      <c r="V230" s="454"/>
      <c r="W230" s="455" t="s">
        <v>406</v>
      </c>
      <c r="X230" s="455">
        <v>45583</v>
      </c>
      <c r="Y230" s="456" t="s">
        <v>377</v>
      </c>
      <c r="Z230" s="457"/>
      <c r="AA230" s="494"/>
    </row>
    <row r="231" spans="1:27" s="128" customFormat="1" ht="36" customHeight="1">
      <c r="A231" s="443">
        <v>62</v>
      </c>
      <c r="B231" s="444" t="s">
        <v>860</v>
      </c>
      <c r="C231" s="445" t="s">
        <v>58</v>
      </c>
      <c r="D231" s="444" t="s">
        <v>861</v>
      </c>
      <c r="E231" s="446">
        <v>2</v>
      </c>
      <c r="F231" s="447"/>
      <c r="G231" s="448">
        <f t="shared" si="7"/>
        <v>0</v>
      </c>
      <c r="H231" s="449"/>
      <c r="I231" s="444"/>
      <c r="J231" s="449"/>
      <c r="K231" s="444" t="s">
        <v>719</v>
      </c>
      <c r="L231" s="450" t="s">
        <v>681</v>
      </c>
      <c r="M231" s="444" t="s">
        <v>755</v>
      </c>
      <c r="N231" s="450"/>
      <c r="O231" s="450"/>
      <c r="P231" s="450" t="s">
        <v>721</v>
      </c>
      <c r="Q231" s="451" t="s">
        <v>374</v>
      </c>
      <c r="R231" s="451" t="s">
        <v>249</v>
      </c>
      <c r="S231" s="452" t="s">
        <v>756</v>
      </c>
      <c r="T231" s="452"/>
      <c r="U231" s="453"/>
      <c r="V231" s="454"/>
      <c r="W231" s="455" t="s">
        <v>406</v>
      </c>
      <c r="X231" s="455">
        <v>45574</v>
      </c>
      <c r="Y231" s="456" t="s">
        <v>377</v>
      </c>
      <c r="Z231" s="457"/>
      <c r="AA231" s="494"/>
    </row>
    <row r="232" spans="1:27" s="128" customFormat="1" ht="36" customHeight="1">
      <c r="A232" s="443">
        <v>63</v>
      </c>
      <c r="B232" s="444" t="s">
        <v>479</v>
      </c>
      <c r="C232" s="445" t="s">
        <v>58</v>
      </c>
      <c r="D232" s="444" t="s">
        <v>480</v>
      </c>
      <c r="E232" s="446">
        <v>3</v>
      </c>
      <c r="F232" s="447"/>
      <c r="G232" s="448">
        <f t="shared" si="7"/>
        <v>0</v>
      </c>
      <c r="H232" s="449"/>
      <c r="I232" s="444"/>
      <c r="J232" s="449"/>
      <c r="K232" s="444" t="s">
        <v>719</v>
      </c>
      <c r="L232" s="450" t="s">
        <v>681</v>
      </c>
      <c r="M232" s="444" t="s">
        <v>759</v>
      </c>
      <c r="N232" s="450"/>
      <c r="O232" s="450"/>
      <c r="P232" s="450" t="s">
        <v>403</v>
      </c>
      <c r="Q232" s="451" t="s">
        <v>374</v>
      </c>
      <c r="R232" s="451" t="s">
        <v>404</v>
      </c>
      <c r="S232" s="452" t="s">
        <v>405</v>
      </c>
      <c r="T232" s="452"/>
      <c r="U232" s="453"/>
      <c r="V232" s="454"/>
      <c r="W232" s="455" t="s">
        <v>406</v>
      </c>
      <c r="X232" s="455">
        <v>45607</v>
      </c>
      <c r="Y232" s="456" t="s">
        <v>377</v>
      </c>
      <c r="Z232" s="457"/>
      <c r="AA232" s="494">
        <v>1</v>
      </c>
    </row>
    <row r="233" spans="1:27" s="128" customFormat="1" ht="36" customHeight="1">
      <c r="A233" s="443">
        <v>64</v>
      </c>
      <c r="B233" s="444" t="s">
        <v>862</v>
      </c>
      <c r="C233" s="445" t="s">
        <v>58</v>
      </c>
      <c r="D233" s="444" t="s">
        <v>863</v>
      </c>
      <c r="E233" s="446">
        <v>2</v>
      </c>
      <c r="F233" s="447"/>
      <c r="G233" s="448">
        <f t="shared" si="7"/>
        <v>0</v>
      </c>
      <c r="H233" s="449"/>
      <c r="I233" s="444"/>
      <c r="J233" s="449"/>
      <c r="K233" s="444" t="s">
        <v>719</v>
      </c>
      <c r="L233" s="450" t="s">
        <v>681</v>
      </c>
      <c r="M233" s="444" t="s">
        <v>755</v>
      </c>
      <c r="N233" s="450"/>
      <c r="O233" s="450"/>
      <c r="P233" s="450" t="s">
        <v>721</v>
      </c>
      <c r="Q233" s="451" t="s">
        <v>374</v>
      </c>
      <c r="R233" s="451" t="s">
        <v>249</v>
      </c>
      <c r="S233" s="452" t="s">
        <v>756</v>
      </c>
      <c r="T233" s="452"/>
      <c r="U233" s="453"/>
      <c r="V233" s="454"/>
      <c r="W233" s="455" t="s">
        <v>406</v>
      </c>
      <c r="X233" s="455">
        <v>45574</v>
      </c>
      <c r="Y233" s="456" t="s">
        <v>377</v>
      </c>
      <c r="Z233" s="457"/>
      <c r="AA233" s="494"/>
    </row>
    <row r="234" spans="1:27" s="128" customFormat="1" ht="36" customHeight="1">
      <c r="A234" s="443">
        <v>65</v>
      </c>
      <c r="B234" s="444" t="s">
        <v>864</v>
      </c>
      <c r="C234" s="445" t="s">
        <v>58</v>
      </c>
      <c r="D234" s="444" t="s">
        <v>865</v>
      </c>
      <c r="E234" s="446">
        <v>1</v>
      </c>
      <c r="F234" s="447"/>
      <c r="G234" s="448">
        <f t="shared" ref="G234:G265" si="8">E234*F234</f>
        <v>0</v>
      </c>
      <c r="H234" s="449"/>
      <c r="I234" s="444"/>
      <c r="J234" s="449"/>
      <c r="K234" s="444" t="s">
        <v>719</v>
      </c>
      <c r="L234" s="450" t="s">
        <v>681</v>
      </c>
      <c r="M234" s="444" t="s">
        <v>755</v>
      </c>
      <c r="N234" s="450"/>
      <c r="O234" s="450"/>
      <c r="P234" s="450" t="s">
        <v>721</v>
      </c>
      <c r="Q234" s="451" t="s">
        <v>374</v>
      </c>
      <c r="R234" s="451" t="s">
        <v>249</v>
      </c>
      <c r="S234" s="452" t="s">
        <v>756</v>
      </c>
      <c r="T234" s="452"/>
      <c r="U234" s="453"/>
      <c r="V234" s="454"/>
      <c r="W234" s="455" t="s">
        <v>406</v>
      </c>
      <c r="X234" s="455">
        <v>45574</v>
      </c>
      <c r="Y234" s="456" t="s">
        <v>377</v>
      </c>
      <c r="Z234" s="457"/>
      <c r="AA234" s="494"/>
    </row>
    <row r="235" spans="1:27" s="128" customFormat="1" ht="36" customHeight="1">
      <c r="A235" s="443">
        <v>66</v>
      </c>
      <c r="B235" s="444" t="s">
        <v>866</v>
      </c>
      <c r="C235" s="445" t="s">
        <v>58</v>
      </c>
      <c r="D235" s="444" t="s">
        <v>867</v>
      </c>
      <c r="E235" s="446">
        <v>1</v>
      </c>
      <c r="F235" s="447"/>
      <c r="G235" s="448">
        <f t="shared" si="8"/>
        <v>0</v>
      </c>
      <c r="H235" s="449"/>
      <c r="I235" s="444"/>
      <c r="J235" s="449"/>
      <c r="K235" s="444" t="s">
        <v>719</v>
      </c>
      <c r="L235" s="450" t="s">
        <v>681</v>
      </c>
      <c r="M235" s="444" t="s">
        <v>759</v>
      </c>
      <c r="N235" s="450"/>
      <c r="O235" s="450"/>
      <c r="P235" s="450" t="s">
        <v>403</v>
      </c>
      <c r="Q235" s="451" t="s">
        <v>374</v>
      </c>
      <c r="R235" s="451" t="s">
        <v>404</v>
      </c>
      <c r="S235" s="452" t="s">
        <v>405</v>
      </c>
      <c r="T235" s="452"/>
      <c r="U235" s="453"/>
      <c r="V235" s="454"/>
      <c r="W235" s="455" t="s">
        <v>406</v>
      </c>
      <c r="X235" s="455">
        <v>45607</v>
      </c>
      <c r="Y235" s="456" t="s">
        <v>377</v>
      </c>
      <c r="Z235" s="457"/>
      <c r="AA235" s="494">
        <v>1</v>
      </c>
    </row>
    <row r="236" spans="1:27" s="128" customFormat="1" ht="36" customHeight="1">
      <c r="A236" s="443">
        <v>67</v>
      </c>
      <c r="B236" s="444" t="s">
        <v>599</v>
      </c>
      <c r="C236" s="445" t="s">
        <v>58</v>
      </c>
      <c r="D236" s="444" t="s">
        <v>600</v>
      </c>
      <c r="E236" s="446">
        <v>3</v>
      </c>
      <c r="F236" s="447"/>
      <c r="G236" s="448">
        <f t="shared" si="8"/>
        <v>0</v>
      </c>
      <c r="H236" s="449"/>
      <c r="I236" s="444"/>
      <c r="J236" s="449"/>
      <c r="K236" s="444" t="s">
        <v>719</v>
      </c>
      <c r="L236" s="450" t="s">
        <v>681</v>
      </c>
      <c r="M236" s="444" t="s">
        <v>759</v>
      </c>
      <c r="N236" s="450"/>
      <c r="O236" s="450"/>
      <c r="P236" s="450" t="s">
        <v>403</v>
      </c>
      <c r="Q236" s="451" t="s">
        <v>374</v>
      </c>
      <c r="R236" s="451" t="s">
        <v>404</v>
      </c>
      <c r="S236" s="452" t="s">
        <v>405</v>
      </c>
      <c r="T236" s="452"/>
      <c r="U236" s="453"/>
      <c r="V236" s="454"/>
      <c r="W236" s="455" t="s">
        <v>406</v>
      </c>
      <c r="X236" s="455">
        <v>45607</v>
      </c>
      <c r="Y236" s="456" t="s">
        <v>377</v>
      </c>
      <c r="Z236" s="457"/>
      <c r="AA236" s="494">
        <v>1</v>
      </c>
    </row>
    <row r="237" spans="1:27" s="128" customFormat="1" ht="36" customHeight="1">
      <c r="A237" s="443">
        <v>68</v>
      </c>
      <c r="B237" s="444" t="s">
        <v>601</v>
      </c>
      <c r="C237" s="445" t="s">
        <v>58</v>
      </c>
      <c r="D237" s="444" t="s">
        <v>602</v>
      </c>
      <c r="E237" s="446">
        <v>3</v>
      </c>
      <c r="F237" s="447"/>
      <c r="G237" s="448">
        <f t="shared" si="8"/>
        <v>0</v>
      </c>
      <c r="H237" s="449"/>
      <c r="I237" s="444"/>
      <c r="J237" s="449"/>
      <c r="K237" s="444" t="s">
        <v>719</v>
      </c>
      <c r="L237" s="450" t="s">
        <v>681</v>
      </c>
      <c r="M237" s="444" t="s">
        <v>759</v>
      </c>
      <c r="N237" s="450"/>
      <c r="O237" s="450"/>
      <c r="P237" s="450" t="s">
        <v>403</v>
      </c>
      <c r="Q237" s="451" t="s">
        <v>374</v>
      </c>
      <c r="R237" s="451" t="s">
        <v>404</v>
      </c>
      <c r="S237" s="452" t="s">
        <v>405</v>
      </c>
      <c r="T237" s="452"/>
      <c r="U237" s="453"/>
      <c r="V237" s="454"/>
      <c r="W237" s="455" t="s">
        <v>406</v>
      </c>
      <c r="X237" s="455">
        <v>45607</v>
      </c>
      <c r="Y237" s="456" t="s">
        <v>377</v>
      </c>
      <c r="Z237" s="457"/>
      <c r="AA237" s="494">
        <v>1</v>
      </c>
    </row>
    <row r="238" spans="1:27" s="128" customFormat="1" ht="36" customHeight="1">
      <c r="A238" s="443">
        <v>69</v>
      </c>
      <c r="B238" s="444" t="s">
        <v>597</v>
      </c>
      <c r="C238" s="445" t="s">
        <v>58</v>
      </c>
      <c r="D238" s="444" t="s">
        <v>598</v>
      </c>
      <c r="E238" s="446">
        <v>2</v>
      </c>
      <c r="F238" s="447"/>
      <c r="G238" s="448">
        <f t="shared" si="8"/>
        <v>0</v>
      </c>
      <c r="H238" s="449"/>
      <c r="I238" s="444"/>
      <c r="J238" s="449"/>
      <c r="K238" s="444" t="s">
        <v>719</v>
      </c>
      <c r="L238" s="450" t="s">
        <v>681</v>
      </c>
      <c r="M238" s="444" t="s">
        <v>759</v>
      </c>
      <c r="N238" s="450"/>
      <c r="O238" s="450"/>
      <c r="P238" s="450" t="s">
        <v>403</v>
      </c>
      <c r="Q238" s="451" t="s">
        <v>374</v>
      </c>
      <c r="R238" s="451" t="s">
        <v>404</v>
      </c>
      <c r="S238" s="452" t="s">
        <v>405</v>
      </c>
      <c r="T238" s="452"/>
      <c r="U238" s="453"/>
      <c r="V238" s="454"/>
      <c r="W238" s="455" t="s">
        <v>406</v>
      </c>
      <c r="X238" s="455">
        <v>45607</v>
      </c>
      <c r="Y238" s="456" t="s">
        <v>377</v>
      </c>
      <c r="Z238" s="457"/>
      <c r="AA238" s="494">
        <v>1</v>
      </c>
    </row>
    <row r="239" spans="1:27" s="128" customFormat="1" ht="36" customHeight="1">
      <c r="A239" s="443">
        <v>70</v>
      </c>
      <c r="B239" s="444" t="s">
        <v>868</v>
      </c>
      <c r="C239" s="445" t="s">
        <v>58</v>
      </c>
      <c r="D239" s="444" t="s">
        <v>869</v>
      </c>
      <c r="E239" s="446">
        <v>33</v>
      </c>
      <c r="F239" s="447"/>
      <c r="G239" s="448">
        <f t="shared" si="8"/>
        <v>0</v>
      </c>
      <c r="H239" s="449"/>
      <c r="I239" s="444"/>
      <c r="J239" s="449"/>
      <c r="K239" s="444" t="s">
        <v>719</v>
      </c>
      <c r="L239" s="450" t="s">
        <v>681</v>
      </c>
      <c r="M239" s="444" t="s">
        <v>805</v>
      </c>
      <c r="N239" s="450"/>
      <c r="O239" s="450"/>
      <c r="P239" s="450" t="s">
        <v>721</v>
      </c>
      <c r="Q239" s="451" t="s">
        <v>374</v>
      </c>
      <c r="R239" s="451" t="s">
        <v>251</v>
      </c>
      <c r="S239" s="452" t="s">
        <v>806</v>
      </c>
      <c r="T239" s="452">
        <v>45568</v>
      </c>
      <c r="U239" s="453"/>
      <c r="V239" s="454"/>
      <c r="W239" s="455" t="s">
        <v>406</v>
      </c>
      <c r="X239" s="455">
        <v>45561</v>
      </c>
      <c r="Y239" s="456" t="s">
        <v>377</v>
      </c>
      <c r="Z239" s="457"/>
      <c r="AA239" s="494"/>
    </row>
    <row r="240" spans="1:27" s="128" customFormat="1" ht="36" customHeight="1">
      <c r="A240" s="443">
        <v>71</v>
      </c>
      <c r="B240" s="444" t="s">
        <v>870</v>
      </c>
      <c r="C240" s="445" t="s">
        <v>58</v>
      </c>
      <c r="D240" s="444" t="s">
        <v>871</v>
      </c>
      <c r="E240" s="446">
        <v>1</v>
      </c>
      <c r="F240" s="447"/>
      <c r="G240" s="448">
        <f t="shared" si="8"/>
        <v>0</v>
      </c>
      <c r="H240" s="449"/>
      <c r="I240" s="444"/>
      <c r="J240" s="449"/>
      <c r="K240" s="444" t="s">
        <v>719</v>
      </c>
      <c r="L240" s="450" t="s">
        <v>681</v>
      </c>
      <c r="M240" s="444" t="s">
        <v>805</v>
      </c>
      <c r="N240" s="450"/>
      <c r="O240" s="450"/>
      <c r="P240" s="450" t="s">
        <v>721</v>
      </c>
      <c r="Q240" s="451" t="s">
        <v>374</v>
      </c>
      <c r="R240" s="451" t="s">
        <v>251</v>
      </c>
      <c r="S240" s="452" t="s">
        <v>806</v>
      </c>
      <c r="T240" s="452">
        <v>45568</v>
      </c>
      <c r="U240" s="453"/>
      <c r="V240" s="454"/>
      <c r="W240" s="455" t="s">
        <v>406</v>
      </c>
      <c r="X240" s="455">
        <v>45561</v>
      </c>
      <c r="Y240" s="456" t="s">
        <v>377</v>
      </c>
      <c r="Z240" s="457"/>
      <c r="AA240" s="494"/>
    </row>
    <row r="241" spans="1:27" s="128" customFormat="1" ht="36" customHeight="1">
      <c r="A241" s="443">
        <v>72</v>
      </c>
      <c r="B241" s="444" t="s">
        <v>541</v>
      </c>
      <c r="C241" s="445" t="s">
        <v>58</v>
      </c>
      <c r="D241" s="444" t="s">
        <v>542</v>
      </c>
      <c r="E241" s="446">
        <v>3</v>
      </c>
      <c r="F241" s="447"/>
      <c r="G241" s="448">
        <f t="shared" si="8"/>
        <v>0</v>
      </c>
      <c r="H241" s="449"/>
      <c r="I241" s="444"/>
      <c r="J241" s="449"/>
      <c r="K241" s="444" t="s">
        <v>719</v>
      </c>
      <c r="L241" s="450" t="s">
        <v>681</v>
      </c>
      <c r="M241" s="444" t="s">
        <v>872</v>
      </c>
      <c r="N241" s="450"/>
      <c r="O241" s="450"/>
      <c r="P241" s="450" t="s">
        <v>373</v>
      </c>
      <c r="Q241" s="451" t="s">
        <v>374</v>
      </c>
      <c r="R241" s="451" t="s">
        <v>277</v>
      </c>
      <c r="S241" s="452" t="s">
        <v>873</v>
      </c>
      <c r="T241" s="452">
        <v>45561</v>
      </c>
      <c r="U241" s="453"/>
      <c r="V241" s="454"/>
      <c r="W241" s="455" t="s">
        <v>406</v>
      </c>
      <c r="X241" s="455">
        <v>45569</v>
      </c>
      <c r="Y241" s="456" t="s">
        <v>377</v>
      </c>
      <c r="Z241" s="457"/>
      <c r="AA241" s="494"/>
    </row>
    <row r="242" spans="1:27" s="128" customFormat="1" ht="36" customHeight="1">
      <c r="A242" s="443">
        <v>73</v>
      </c>
      <c r="B242" s="444" t="s">
        <v>874</v>
      </c>
      <c r="C242" s="445" t="s">
        <v>58</v>
      </c>
      <c r="D242" s="444" t="s">
        <v>875</v>
      </c>
      <c r="E242" s="446">
        <v>5</v>
      </c>
      <c r="F242" s="447"/>
      <c r="G242" s="448">
        <f t="shared" si="8"/>
        <v>0</v>
      </c>
      <c r="H242" s="449"/>
      <c r="I242" s="444"/>
      <c r="J242" s="449"/>
      <c r="K242" s="444" t="s">
        <v>719</v>
      </c>
      <c r="L242" s="450" t="s">
        <v>681</v>
      </c>
      <c r="M242" s="444" t="s">
        <v>828</v>
      </c>
      <c r="N242" s="450"/>
      <c r="O242" s="450"/>
      <c r="P242" s="450" t="s">
        <v>721</v>
      </c>
      <c r="Q242" s="451" t="s">
        <v>374</v>
      </c>
      <c r="R242" s="451" t="s">
        <v>263</v>
      </c>
      <c r="S242" s="452" t="s">
        <v>806</v>
      </c>
      <c r="T242" s="452">
        <v>45568</v>
      </c>
      <c r="U242" s="453"/>
      <c r="V242" s="454"/>
      <c r="W242" s="455" t="s">
        <v>406</v>
      </c>
      <c r="X242" s="455">
        <v>45566</v>
      </c>
      <c r="Y242" s="456" t="s">
        <v>377</v>
      </c>
      <c r="Z242" s="457"/>
      <c r="AA242" s="494"/>
    </row>
    <row r="243" spans="1:27" s="128" customFormat="1" ht="36" customHeight="1">
      <c r="A243" s="443">
        <v>74</v>
      </c>
      <c r="B243" s="444" t="s">
        <v>567</v>
      </c>
      <c r="C243" s="445" t="s">
        <v>58</v>
      </c>
      <c r="D243" s="444" t="s">
        <v>568</v>
      </c>
      <c r="E243" s="446">
        <v>9</v>
      </c>
      <c r="F243" s="447"/>
      <c r="G243" s="448">
        <f t="shared" si="8"/>
        <v>0</v>
      </c>
      <c r="H243" s="449"/>
      <c r="I243" s="444"/>
      <c r="J243" s="449"/>
      <c r="K243" s="444" t="s">
        <v>719</v>
      </c>
      <c r="L243" s="450" t="s">
        <v>681</v>
      </c>
      <c r="M243" s="444" t="s">
        <v>828</v>
      </c>
      <c r="N243" s="450"/>
      <c r="O243" s="450"/>
      <c r="P243" s="450" t="s">
        <v>721</v>
      </c>
      <c r="Q243" s="451" t="s">
        <v>374</v>
      </c>
      <c r="R243" s="451" t="s">
        <v>263</v>
      </c>
      <c r="S243" s="452" t="s">
        <v>806</v>
      </c>
      <c r="T243" s="452">
        <v>45568</v>
      </c>
      <c r="U243" s="453"/>
      <c r="V243" s="454"/>
      <c r="W243" s="455" t="s">
        <v>406</v>
      </c>
      <c r="X243" s="455">
        <v>45566</v>
      </c>
      <c r="Y243" s="456" t="s">
        <v>377</v>
      </c>
      <c r="Z243" s="457"/>
      <c r="AA243" s="494"/>
    </row>
    <row r="244" spans="1:27" s="128" customFormat="1" ht="36" customHeight="1">
      <c r="A244" s="443">
        <v>75</v>
      </c>
      <c r="B244" s="444" t="s">
        <v>876</v>
      </c>
      <c r="C244" s="445" t="s">
        <v>58</v>
      </c>
      <c r="D244" s="444" t="s">
        <v>877</v>
      </c>
      <c r="E244" s="446">
        <v>3</v>
      </c>
      <c r="F244" s="447"/>
      <c r="G244" s="448">
        <f t="shared" si="8"/>
        <v>0</v>
      </c>
      <c r="H244" s="449"/>
      <c r="I244" s="444"/>
      <c r="J244" s="449"/>
      <c r="K244" s="444" t="s">
        <v>719</v>
      </c>
      <c r="L244" s="450" t="s">
        <v>681</v>
      </c>
      <c r="M244" s="444" t="s">
        <v>828</v>
      </c>
      <c r="N244" s="450"/>
      <c r="O244" s="450"/>
      <c r="P244" s="450" t="s">
        <v>721</v>
      </c>
      <c r="Q244" s="451" t="s">
        <v>374</v>
      </c>
      <c r="R244" s="451" t="s">
        <v>263</v>
      </c>
      <c r="S244" s="452" t="s">
        <v>806</v>
      </c>
      <c r="T244" s="452">
        <v>45568</v>
      </c>
      <c r="U244" s="453"/>
      <c r="V244" s="454"/>
      <c r="W244" s="455" t="s">
        <v>406</v>
      </c>
      <c r="X244" s="455">
        <v>45566</v>
      </c>
      <c r="Y244" s="456" t="s">
        <v>377</v>
      </c>
      <c r="Z244" s="457"/>
      <c r="AA244" s="494"/>
    </row>
    <row r="245" spans="1:27" s="128" customFormat="1" ht="36" customHeight="1">
      <c r="A245" s="443">
        <v>76</v>
      </c>
      <c r="B245" s="444" t="s">
        <v>555</v>
      </c>
      <c r="C245" s="445" t="s">
        <v>58</v>
      </c>
      <c r="D245" s="444" t="s">
        <v>556</v>
      </c>
      <c r="E245" s="446">
        <v>6</v>
      </c>
      <c r="F245" s="447"/>
      <c r="G245" s="448">
        <f t="shared" si="8"/>
        <v>0</v>
      </c>
      <c r="H245" s="449"/>
      <c r="I245" s="444"/>
      <c r="J245" s="449"/>
      <c r="K245" s="444" t="s">
        <v>719</v>
      </c>
      <c r="L245" s="450" t="s">
        <v>681</v>
      </c>
      <c r="M245" s="444" t="s">
        <v>828</v>
      </c>
      <c r="N245" s="450"/>
      <c r="O245" s="450"/>
      <c r="P245" s="450" t="s">
        <v>721</v>
      </c>
      <c r="Q245" s="451" t="s">
        <v>374</v>
      </c>
      <c r="R245" s="451" t="s">
        <v>263</v>
      </c>
      <c r="S245" s="452" t="s">
        <v>806</v>
      </c>
      <c r="T245" s="452">
        <v>45568</v>
      </c>
      <c r="U245" s="453"/>
      <c r="V245" s="454"/>
      <c r="W245" s="455" t="s">
        <v>406</v>
      </c>
      <c r="X245" s="455">
        <v>45566</v>
      </c>
      <c r="Y245" s="456" t="s">
        <v>377</v>
      </c>
      <c r="Z245" s="457"/>
      <c r="AA245" s="494"/>
    </row>
    <row r="246" spans="1:27" s="128" customFormat="1" ht="36" customHeight="1">
      <c r="A246" s="443">
        <v>77</v>
      </c>
      <c r="B246" s="444" t="s">
        <v>878</v>
      </c>
      <c r="C246" s="445" t="s">
        <v>58</v>
      </c>
      <c r="D246" s="444" t="s">
        <v>879</v>
      </c>
      <c r="E246" s="446">
        <v>4</v>
      </c>
      <c r="F246" s="447"/>
      <c r="G246" s="448">
        <f t="shared" si="8"/>
        <v>0</v>
      </c>
      <c r="H246" s="449"/>
      <c r="I246" s="444"/>
      <c r="J246" s="449"/>
      <c r="K246" s="444" t="s">
        <v>719</v>
      </c>
      <c r="L246" s="450" t="s">
        <v>681</v>
      </c>
      <c r="M246" s="444" t="s">
        <v>828</v>
      </c>
      <c r="N246" s="450"/>
      <c r="O246" s="450"/>
      <c r="P246" s="450" t="s">
        <v>721</v>
      </c>
      <c r="Q246" s="451" t="s">
        <v>374</v>
      </c>
      <c r="R246" s="451" t="s">
        <v>263</v>
      </c>
      <c r="S246" s="452" t="s">
        <v>806</v>
      </c>
      <c r="T246" s="452">
        <v>45568</v>
      </c>
      <c r="U246" s="453"/>
      <c r="V246" s="454"/>
      <c r="W246" s="455" t="s">
        <v>406</v>
      </c>
      <c r="X246" s="455">
        <v>45566</v>
      </c>
      <c r="Y246" s="456" t="s">
        <v>377</v>
      </c>
      <c r="Z246" s="457"/>
      <c r="AA246" s="494"/>
    </row>
    <row r="247" spans="1:27" s="128" customFormat="1" ht="36" customHeight="1">
      <c r="A247" s="443">
        <v>78</v>
      </c>
      <c r="B247" s="444" t="s">
        <v>880</v>
      </c>
      <c r="C247" s="445" t="s">
        <v>58</v>
      </c>
      <c r="D247" s="444" t="s">
        <v>881</v>
      </c>
      <c r="E247" s="446">
        <v>6</v>
      </c>
      <c r="F247" s="447"/>
      <c r="G247" s="448">
        <f t="shared" si="8"/>
        <v>0</v>
      </c>
      <c r="H247" s="449"/>
      <c r="I247" s="444"/>
      <c r="J247" s="449"/>
      <c r="K247" s="444" t="s">
        <v>882</v>
      </c>
      <c r="L247" s="450" t="s">
        <v>883</v>
      </c>
      <c r="M247" s="444" t="s">
        <v>444</v>
      </c>
      <c r="N247" s="450"/>
      <c r="O247" s="450"/>
      <c r="P247" s="450" t="s">
        <v>444</v>
      </c>
      <c r="Q247" s="451" t="s">
        <v>591</v>
      </c>
      <c r="R247" s="451" t="s">
        <v>444</v>
      </c>
      <c r="S247" s="452" t="s">
        <v>444</v>
      </c>
      <c r="T247" s="452"/>
      <c r="U247" s="453"/>
      <c r="V247" s="454"/>
      <c r="W247" s="455" t="s">
        <v>406</v>
      </c>
      <c r="X247" s="455">
        <v>45541</v>
      </c>
      <c r="Y247" s="456" t="s">
        <v>377</v>
      </c>
      <c r="Z247" s="457"/>
      <c r="AA247" s="494"/>
    </row>
    <row r="248" spans="1:27" s="128" customFormat="1" ht="36" customHeight="1">
      <c r="A248" s="443">
        <v>79</v>
      </c>
      <c r="B248" s="444" t="s">
        <v>396</v>
      </c>
      <c r="C248" s="445" t="s">
        <v>58</v>
      </c>
      <c r="D248" s="444" t="s">
        <v>397</v>
      </c>
      <c r="E248" s="446">
        <v>3</v>
      </c>
      <c r="F248" s="447"/>
      <c r="G248" s="448">
        <f t="shared" si="8"/>
        <v>0</v>
      </c>
      <c r="H248" s="449"/>
      <c r="I248" s="444"/>
      <c r="J248" s="449"/>
      <c r="K248" s="444" t="s">
        <v>719</v>
      </c>
      <c r="L248" s="450" t="s">
        <v>681</v>
      </c>
      <c r="M248" s="444" t="s">
        <v>828</v>
      </c>
      <c r="N248" s="450"/>
      <c r="O248" s="450"/>
      <c r="P248" s="450" t="s">
        <v>721</v>
      </c>
      <c r="Q248" s="451" t="s">
        <v>374</v>
      </c>
      <c r="R248" s="451" t="s">
        <v>263</v>
      </c>
      <c r="S248" s="452" t="s">
        <v>806</v>
      </c>
      <c r="T248" s="452">
        <v>45568</v>
      </c>
      <c r="U248" s="453"/>
      <c r="V248" s="454"/>
      <c r="W248" s="455" t="s">
        <v>406</v>
      </c>
      <c r="X248" s="455">
        <v>45567</v>
      </c>
      <c r="Y248" s="456" t="s">
        <v>377</v>
      </c>
      <c r="Z248" s="457"/>
      <c r="AA248" s="494"/>
    </row>
    <row r="249" spans="1:27" s="128" customFormat="1" ht="36" customHeight="1">
      <c r="A249" s="443">
        <v>80</v>
      </c>
      <c r="B249" s="444" t="s">
        <v>884</v>
      </c>
      <c r="C249" s="445" t="s">
        <v>58</v>
      </c>
      <c r="D249" s="444" t="s">
        <v>885</v>
      </c>
      <c r="E249" s="446">
        <v>1</v>
      </c>
      <c r="F249" s="447"/>
      <c r="G249" s="448">
        <f t="shared" si="8"/>
        <v>0</v>
      </c>
      <c r="H249" s="449"/>
      <c r="I249" s="444"/>
      <c r="J249" s="449"/>
      <c r="K249" s="444" t="s">
        <v>719</v>
      </c>
      <c r="L249" s="450" t="s">
        <v>681</v>
      </c>
      <c r="M249" s="444" t="s">
        <v>828</v>
      </c>
      <c r="N249" s="450"/>
      <c r="O249" s="450"/>
      <c r="P249" s="450" t="s">
        <v>721</v>
      </c>
      <c r="Q249" s="451" t="s">
        <v>374</v>
      </c>
      <c r="R249" s="451" t="s">
        <v>263</v>
      </c>
      <c r="S249" s="452" t="s">
        <v>806</v>
      </c>
      <c r="T249" s="452">
        <v>45568</v>
      </c>
      <c r="U249" s="453"/>
      <c r="V249" s="454"/>
      <c r="W249" s="455" t="s">
        <v>406</v>
      </c>
      <c r="X249" s="455">
        <v>45566</v>
      </c>
      <c r="Y249" s="456" t="s">
        <v>377</v>
      </c>
      <c r="Z249" s="457"/>
      <c r="AA249" s="494"/>
    </row>
    <row r="250" spans="1:27" s="128" customFormat="1" ht="36" customHeight="1">
      <c r="A250" s="443">
        <v>81</v>
      </c>
      <c r="B250" s="444" t="s">
        <v>886</v>
      </c>
      <c r="C250" s="445" t="s">
        <v>58</v>
      </c>
      <c r="D250" s="444" t="s">
        <v>887</v>
      </c>
      <c r="E250" s="446">
        <v>1</v>
      </c>
      <c r="F250" s="447"/>
      <c r="G250" s="448">
        <f t="shared" si="8"/>
        <v>0</v>
      </c>
      <c r="H250" s="449"/>
      <c r="I250" s="444"/>
      <c r="J250" s="449"/>
      <c r="K250" s="444" t="s">
        <v>719</v>
      </c>
      <c r="L250" s="450" t="s">
        <v>681</v>
      </c>
      <c r="M250" s="444" t="s">
        <v>828</v>
      </c>
      <c r="N250" s="450"/>
      <c r="O250" s="450"/>
      <c r="P250" s="450" t="s">
        <v>721</v>
      </c>
      <c r="Q250" s="451" t="s">
        <v>374</v>
      </c>
      <c r="R250" s="451" t="s">
        <v>263</v>
      </c>
      <c r="S250" s="452" t="s">
        <v>806</v>
      </c>
      <c r="T250" s="452">
        <v>45568</v>
      </c>
      <c r="U250" s="453"/>
      <c r="V250" s="454"/>
      <c r="W250" s="455" t="s">
        <v>406</v>
      </c>
      <c r="X250" s="455">
        <v>45566</v>
      </c>
      <c r="Y250" s="456" t="s">
        <v>377</v>
      </c>
      <c r="Z250" s="457"/>
      <c r="AA250" s="494"/>
    </row>
    <row r="251" spans="1:27" s="128" customFormat="1" ht="36" customHeight="1">
      <c r="A251" s="443">
        <v>82</v>
      </c>
      <c r="B251" s="444" t="s">
        <v>888</v>
      </c>
      <c r="C251" s="445" t="s">
        <v>58</v>
      </c>
      <c r="D251" s="444" t="s">
        <v>889</v>
      </c>
      <c r="E251" s="446">
        <v>4</v>
      </c>
      <c r="F251" s="447"/>
      <c r="G251" s="448">
        <f t="shared" si="8"/>
        <v>0</v>
      </c>
      <c r="H251" s="449"/>
      <c r="I251" s="444"/>
      <c r="J251" s="449"/>
      <c r="K251" s="444" t="s">
        <v>719</v>
      </c>
      <c r="L251" s="450" t="s">
        <v>681</v>
      </c>
      <c r="M251" s="444" t="s">
        <v>755</v>
      </c>
      <c r="N251" s="450"/>
      <c r="O251" s="450"/>
      <c r="P251" s="450" t="s">
        <v>721</v>
      </c>
      <c r="Q251" s="451" t="s">
        <v>374</v>
      </c>
      <c r="R251" s="451" t="s">
        <v>249</v>
      </c>
      <c r="S251" s="452" t="s">
        <v>756</v>
      </c>
      <c r="T251" s="452"/>
      <c r="U251" s="453"/>
      <c r="V251" s="454"/>
      <c r="W251" s="455" t="s">
        <v>406</v>
      </c>
      <c r="X251" s="455">
        <v>45574</v>
      </c>
      <c r="Y251" s="456" t="s">
        <v>377</v>
      </c>
      <c r="Z251" s="457"/>
      <c r="AA251" s="494"/>
    </row>
    <row r="252" spans="1:27" s="128" customFormat="1" ht="36" customHeight="1">
      <c r="A252" s="443">
        <v>83</v>
      </c>
      <c r="B252" s="444" t="s">
        <v>890</v>
      </c>
      <c r="C252" s="445" t="s">
        <v>58</v>
      </c>
      <c r="D252" s="444" t="s">
        <v>891</v>
      </c>
      <c r="E252" s="446">
        <v>2</v>
      </c>
      <c r="F252" s="447"/>
      <c r="G252" s="448">
        <f t="shared" si="8"/>
        <v>0</v>
      </c>
      <c r="H252" s="449"/>
      <c r="I252" s="444"/>
      <c r="J252" s="449"/>
      <c r="K252" s="444" t="s">
        <v>719</v>
      </c>
      <c r="L252" s="450" t="s">
        <v>681</v>
      </c>
      <c r="M252" s="444" t="s">
        <v>828</v>
      </c>
      <c r="N252" s="450"/>
      <c r="O252" s="450"/>
      <c r="P252" s="450" t="s">
        <v>721</v>
      </c>
      <c r="Q252" s="451" t="s">
        <v>374</v>
      </c>
      <c r="R252" s="451" t="s">
        <v>263</v>
      </c>
      <c r="S252" s="452" t="s">
        <v>806</v>
      </c>
      <c r="T252" s="452">
        <v>45568</v>
      </c>
      <c r="U252" s="453"/>
      <c r="V252" s="454"/>
      <c r="W252" s="455" t="s">
        <v>406</v>
      </c>
      <c r="X252" s="455">
        <v>45565</v>
      </c>
      <c r="Y252" s="456" t="s">
        <v>377</v>
      </c>
      <c r="Z252" s="457"/>
      <c r="AA252" s="494"/>
    </row>
    <row r="253" spans="1:27" s="128" customFormat="1" ht="36" customHeight="1">
      <c r="A253" s="443">
        <v>84</v>
      </c>
      <c r="B253" s="444" t="s">
        <v>892</v>
      </c>
      <c r="C253" s="445" t="s">
        <v>58</v>
      </c>
      <c r="D253" s="444" t="s">
        <v>893</v>
      </c>
      <c r="E253" s="446">
        <v>1</v>
      </c>
      <c r="F253" s="447"/>
      <c r="G253" s="448">
        <f t="shared" si="8"/>
        <v>0</v>
      </c>
      <c r="H253" s="449"/>
      <c r="I253" s="444"/>
      <c r="J253" s="449"/>
      <c r="K253" s="444" t="s">
        <v>719</v>
      </c>
      <c r="L253" s="450" t="s">
        <v>681</v>
      </c>
      <c r="M253" s="444" t="s">
        <v>894</v>
      </c>
      <c r="N253" s="450"/>
      <c r="O253" s="450"/>
      <c r="P253" s="450" t="s">
        <v>721</v>
      </c>
      <c r="Q253" s="451" t="s">
        <v>374</v>
      </c>
      <c r="R253" s="451" t="s">
        <v>297</v>
      </c>
      <c r="S253" s="452" t="s">
        <v>895</v>
      </c>
      <c r="T253" s="452"/>
      <c r="U253" s="453"/>
      <c r="V253" s="454"/>
      <c r="W253" s="455" t="s">
        <v>406</v>
      </c>
      <c r="X253" s="455">
        <v>45583</v>
      </c>
      <c r="Y253" s="456" t="s">
        <v>377</v>
      </c>
      <c r="Z253" s="457"/>
      <c r="AA253" s="494"/>
    </row>
    <row r="254" spans="1:27" s="128" customFormat="1" ht="36" customHeight="1">
      <c r="A254" s="443">
        <v>85</v>
      </c>
      <c r="B254" s="444" t="s">
        <v>896</v>
      </c>
      <c r="C254" s="445" t="s">
        <v>58</v>
      </c>
      <c r="D254" s="444" t="s">
        <v>897</v>
      </c>
      <c r="E254" s="446">
        <v>1</v>
      </c>
      <c r="F254" s="447"/>
      <c r="G254" s="448">
        <f t="shared" si="8"/>
        <v>0</v>
      </c>
      <c r="H254" s="449"/>
      <c r="I254" s="444"/>
      <c r="J254" s="449"/>
      <c r="K254" s="444" t="s">
        <v>719</v>
      </c>
      <c r="L254" s="450" t="s">
        <v>681</v>
      </c>
      <c r="M254" s="444" t="s">
        <v>894</v>
      </c>
      <c r="N254" s="450"/>
      <c r="O254" s="450"/>
      <c r="P254" s="450" t="s">
        <v>721</v>
      </c>
      <c r="Q254" s="451" t="s">
        <v>374</v>
      </c>
      <c r="R254" s="451" t="s">
        <v>297</v>
      </c>
      <c r="S254" s="452" t="s">
        <v>895</v>
      </c>
      <c r="T254" s="452"/>
      <c r="U254" s="453"/>
      <c r="V254" s="454"/>
      <c r="W254" s="455" t="s">
        <v>406</v>
      </c>
      <c r="X254" s="455">
        <v>45583</v>
      </c>
      <c r="Y254" s="456" t="s">
        <v>377</v>
      </c>
      <c r="Z254" s="457"/>
      <c r="AA254" s="494"/>
    </row>
    <row r="255" spans="1:27" s="128" customFormat="1" ht="36" customHeight="1">
      <c r="A255" s="443">
        <v>86</v>
      </c>
      <c r="B255" s="444" t="s">
        <v>898</v>
      </c>
      <c r="C255" s="445" t="s">
        <v>58</v>
      </c>
      <c r="D255" s="444" t="s">
        <v>899</v>
      </c>
      <c r="E255" s="446">
        <v>1</v>
      </c>
      <c r="F255" s="447"/>
      <c r="G255" s="448">
        <f t="shared" si="8"/>
        <v>0</v>
      </c>
      <c r="H255" s="449"/>
      <c r="I255" s="444"/>
      <c r="J255" s="449"/>
      <c r="K255" s="444" t="s">
        <v>719</v>
      </c>
      <c r="L255" s="450" t="s">
        <v>681</v>
      </c>
      <c r="M255" s="444" t="s">
        <v>894</v>
      </c>
      <c r="N255" s="450"/>
      <c r="O255" s="450"/>
      <c r="P255" s="450" t="s">
        <v>721</v>
      </c>
      <c r="Q255" s="451" t="s">
        <v>374</v>
      </c>
      <c r="R255" s="451" t="s">
        <v>297</v>
      </c>
      <c r="S255" s="452" t="s">
        <v>895</v>
      </c>
      <c r="T255" s="452"/>
      <c r="U255" s="453"/>
      <c r="V255" s="454"/>
      <c r="W255" s="455" t="s">
        <v>406</v>
      </c>
      <c r="X255" s="455">
        <v>45583</v>
      </c>
      <c r="Y255" s="456" t="s">
        <v>377</v>
      </c>
      <c r="Z255" s="457"/>
      <c r="AA255" s="494"/>
    </row>
    <row r="256" spans="1:27" s="128" customFormat="1" ht="36" customHeight="1">
      <c r="A256" s="443">
        <v>87</v>
      </c>
      <c r="B256" s="444" t="s">
        <v>900</v>
      </c>
      <c r="C256" s="445" t="s">
        <v>58</v>
      </c>
      <c r="D256" s="444" t="s">
        <v>901</v>
      </c>
      <c r="E256" s="446">
        <v>1</v>
      </c>
      <c r="F256" s="447"/>
      <c r="G256" s="448">
        <f t="shared" si="8"/>
        <v>0</v>
      </c>
      <c r="H256" s="449"/>
      <c r="I256" s="444"/>
      <c r="J256" s="449"/>
      <c r="K256" s="444" t="s">
        <v>719</v>
      </c>
      <c r="L256" s="450" t="s">
        <v>681</v>
      </c>
      <c r="M256" s="444" t="s">
        <v>894</v>
      </c>
      <c r="N256" s="450"/>
      <c r="O256" s="450"/>
      <c r="P256" s="450" t="s">
        <v>721</v>
      </c>
      <c r="Q256" s="451" t="s">
        <v>374</v>
      </c>
      <c r="R256" s="451" t="s">
        <v>297</v>
      </c>
      <c r="S256" s="452" t="s">
        <v>895</v>
      </c>
      <c r="T256" s="452"/>
      <c r="U256" s="453"/>
      <c r="V256" s="454"/>
      <c r="W256" s="455" t="s">
        <v>406</v>
      </c>
      <c r="X256" s="455">
        <v>45583</v>
      </c>
      <c r="Y256" s="456" t="s">
        <v>377</v>
      </c>
      <c r="Z256" s="457"/>
      <c r="AA256" s="494"/>
    </row>
    <row r="257" spans="1:27" s="128" customFormat="1" ht="36" customHeight="1">
      <c r="A257" s="405">
        <v>88</v>
      </c>
      <c r="B257" s="407" t="s">
        <v>902</v>
      </c>
      <c r="C257" s="406" t="s">
        <v>58</v>
      </c>
      <c r="D257" s="407" t="s">
        <v>903</v>
      </c>
      <c r="E257" s="408">
        <v>1</v>
      </c>
      <c r="F257" s="409"/>
      <c r="G257" s="410">
        <f t="shared" si="8"/>
        <v>0</v>
      </c>
      <c r="H257" s="411"/>
      <c r="I257" s="407"/>
      <c r="J257" s="411"/>
      <c r="K257" s="407" t="s">
        <v>719</v>
      </c>
      <c r="L257" s="412" t="s">
        <v>681</v>
      </c>
      <c r="M257" s="407" t="s">
        <v>904</v>
      </c>
      <c r="N257" s="412"/>
      <c r="O257" s="412"/>
      <c r="P257" s="412" t="s">
        <v>721</v>
      </c>
      <c r="Q257" s="413" t="s">
        <v>726</v>
      </c>
      <c r="R257" s="413" t="s">
        <v>905</v>
      </c>
      <c r="S257" s="414" t="s">
        <v>906</v>
      </c>
      <c r="T257" s="414"/>
      <c r="U257" s="415"/>
      <c r="V257" s="416"/>
      <c r="W257" s="417"/>
      <c r="X257" s="417"/>
      <c r="Y257" s="418" t="s">
        <v>377</v>
      </c>
      <c r="Z257" s="419"/>
      <c r="AA257" s="492">
        <v>1</v>
      </c>
    </row>
    <row r="258" spans="1:27" s="128" customFormat="1" ht="36" customHeight="1">
      <c r="A258" s="443">
        <v>89</v>
      </c>
      <c r="B258" s="444" t="s">
        <v>907</v>
      </c>
      <c r="C258" s="445" t="s">
        <v>58</v>
      </c>
      <c r="D258" s="444" t="s">
        <v>908</v>
      </c>
      <c r="E258" s="446">
        <v>1</v>
      </c>
      <c r="F258" s="447"/>
      <c r="G258" s="448">
        <f t="shared" si="8"/>
        <v>0</v>
      </c>
      <c r="H258" s="449"/>
      <c r="I258" s="444"/>
      <c r="J258" s="449"/>
      <c r="K258" s="444" t="s">
        <v>719</v>
      </c>
      <c r="L258" s="450" t="s">
        <v>681</v>
      </c>
      <c r="M258" s="444" t="s">
        <v>828</v>
      </c>
      <c r="N258" s="450"/>
      <c r="O258" s="450"/>
      <c r="P258" s="450" t="s">
        <v>721</v>
      </c>
      <c r="Q258" s="451" t="s">
        <v>374</v>
      </c>
      <c r="R258" s="451" t="s">
        <v>263</v>
      </c>
      <c r="S258" s="452" t="s">
        <v>806</v>
      </c>
      <c r="T258" s="452">
        <v>45568</v>
      </c>
      <c r="U258" s="453"/>
      <c r="V258" s="454"/>
      <c r="W258" s="455" t="s">
        <v>406</v>
      </c>
      <c r="X258" s="455">
        <v>45561</v>
      </c>
      <c r="Y258" s="456" t="s">
        <v>377</v>
      </c>
      <c r="Z258" s="457"/>
      <c r="AA258" s="494"/>
    </row>
    <row r="259" spans="1:27" s="128" customFormat="1" ht="36" customHeight="1">
      <c r="A259" s="443">
        <v>90</v>
      </c>
      <c r="B259" s="444" t="s">
        <v>909</v>
      </c>
      <c r="C259" s="445" t="s">
        <v>58</v>
      </c>
      <c r="D259" s="444" t="s">
        <v>910</v>
      </c>
      <c r="E259" s="446">
        <v>2</v>
      </c>
      <c r="F259" s="447"/>
      <c r="G259" s="448">
        <f t="shared" si="8"/>
        <v>0</v>
      </c>
      <c r="H259" s="449"/>
      <c r="I259" s="444"/>
      <c r="J259" s="449"/>
      <c r="K259" s="444" t="s">
        <v>719</v>
      </c>
      <c r="L259" s="450" t="s">
        <v>681</v>
      </c>
      <c r="M259" s="444" t="s">
        <v>755</v>
      </c>
      <c r="N259" s="450"/>
      <c r="O259" s="450"/>
      <c r="P259" s="450" t="s">
        <v>721</v>
      </c>
      <c r="Q259" s="451" t="s">
        <v>374</v>
      </c>
      <c r="R259" s="451" t="s">
        <v>249</v>
      </c>
      <c r="S259" s="452" t="s">
        <v>756</v>
      </c>
      <c r="T259" s="452"/>
      <c r="U259" s="453"/>
      <c r="V259" s="454"/>
      <c r="W259" s="455" t="s">
        <v>406</v>
      </c>
      <c r="X259" s="455">
        <v>45574</v>
      </c>
      <c r="Y259" s="456" t="s">
        <v>377</v>
      </c>
      <c r="Z259" s="457"/>
      <c r="AA259" s="494"/>
    </row>
    <row r="260" spans="1:27" s="128" customFormat="1" ht="36" customHeight="1">
      <c r="A260" s="443">
        <v>91</v>
      </c>
      <c r="B260" s="444" t="s">
        <v>911</v>
      </c>
      <c r="C260" s="445" t="s">
        <v>58</v>
      </c>
      <c r="D260" s="444" t="s">
        <v>912</v>
      </c>
      <c r="E260" s="446">
        <v>1</v>
      </c>
      <c r="F260" s="447"/>
      <c r="G260" s="448">
        <f t="shared" si="8"/>
        <v>0</v>
      </c>
      <c r="H260" s="449"/>
      <c r="I260" s="444"/>
      <c r="J260" s="449"/>
      <c r="K260" s="444" t="s">
        <v>719</v>
      </c>
      <c r="L260" s="450" t="s">
        <v>681</v>
      </c>
      <c r="M260" s="444" t="s">
        <v>755</v>
      </c>
      <c r="N260" s="450"/>
      <c r="O260" s="450"/>
      <c r="P260" s="450" t="s">
        <v>721</v>
      </c>
      <c r="Q260" s="451" t="s">
        <v>374</v>
      </c>
      <c r="R260" s="451" t="s">
        <v>249</v>
      </c>
      <c r="S260" s="452" t="s">
        <v>756</v>
      </c>
      <c r="T260" s="452"/>
      <c r="U260" s="453"/>
      <c r="V260" s="454"/>
      <c r="W260" s="455" t="s">
        <v>406</v>
      </c>
      <c r="X260" s="455">
        <v>45574</v>
      </c>
      <c r="Y260" s="456" t="s">
        <v>377</v>
      </c>
      <c r="Z260" s="457"/>
      <c r="AA260" s="494"/>
    </row>
    <row r="261" spans="1:27" s="128" customFormat="1" ht="36" customHeight="1">
      <c r="A261" s="443">
        <v>92</v>
      </c>
      <c r="B261" s="444" t="s">
        <v>913</v>
      </c>
      <c r="C261" s="445" t="s">
        <v>58</v>
      </c>
      <c r="D261" s="444" t="s">
        <v>914</v>
      </c>
      <c r="E261" s="446">
        <v>1</v>
      </c>
      <c r="F261" s="447"/>
      <c r="G261" s="448">
        <f t="shared" si="8"/>
        <v>0</v>
      </c>
      <c r="H261" s="449"/>
      <c r="I261" s="444"/>
      <c r="J261" s="449"/>
      <c r="K261" s="444" t="s">
        <v>719</v>
      </c>
      <c r="L261" s="450" t="s">
        <v>681</v>
      </c>
      <c r="M261" s="444" t="s">
        <v>828</v>
      </c>
      <c r="N261" s="450"/>
      <c r="O261" s="450"/>
      <c r="P261" s="450" t="s">
        <v>721</v>
      </c>
      <c r="Q261" s="451" t="s">
        <v>374</v>
      </c>
      <c r="R261" s="451" t="s">
        <v>263</v>
      </c>
      <c r="S261" s="452" t="s">
        <v>806</v>
      </c>
      <c r="T261" s="452">
        <v>45568</v>
      </c>
      <c r="U261" s="453"/>
      <c r="V261" s="454"/>
      <c r="W261" s="455" t="s">
        <v>406</v>
      </c>
      <c r="X261" s="455">
        <v>45565</v>
      </c>
      <c r="Y261" s="456" t="s">
        <v>377</v>
      </c>
      <c r="Z261" s="457"/>
      <c r="AA261" s="494"/>
    </row>
    <row r="262" spans="1:27" s="128" customFormat="1" ht="36" customHeight="1">
      <c r="A262" s="443">
        <v>93</v>
      </c>
      <c r="B262" s="444" t="s">
        <v>915</v>
      </c>
      <c r="C262" s="445" t="s">
        <v>58</v>
      </c>
      <c r="D262" s="444" t="s">
        <v>916</v>
      </c>
      <c r="E262" s="446">
        <v>1</v>
      </c>
      <c r="F262" s="447"/>
      <c r="G262" s="448">
        <f t="shared" si="8"/>
        <v>0</v>
      </c>
      <c r="H262" s="449"/>
      <c r="I262" s="444"/>
      <c r="J262" s="449"/>
      <c r="K262" s="444" t="s">
        <v>719</v>
      </c>
      <c r="L262" s="450" t="s">
        <v>681</v>
      </c>
      <c r="M262" s="444" t="s">
        <v>917</v>
      </c>
      <c r="N262" s="450"/>
      <c r="O262" s="450"/>
      <c r="P262" s="450" t="s">
        <v>721</v>
      </c>
      <c r="Q262" s="451" t="s">
        <v>374</v>
      </c>
      <c r="R262" s="451" t="s">
        <v>572</v>
      </c>
      <c r="S262" s="452" t="s">
        <v>548</v>
      </c>
      <c r="T262" s="452">
        <v>45561</v>
      </c>
      <c r="U262" s="453"/>
      <c r="V262" s="454"/>
      <c r="W262" s="455" t="s">
        <v>406</v>
      </c>
      <c r="X262" s="455">
        <v>45561</v>
      </c>
      <c r="Y262" s="456" t="s">
        <v>377</v>
      </c>
      <c r="Z262" s="457"/>
      <c r="AA262" s="494"/>
    </row>
    <row r="263" spans="1:27" s="128" customFormat="1" ht="36" customHeight="1">
      <c r="A263" s="443">
        <v>94</v>
      </c>
      <c r="B263" s="444" t="s">
        <v>918</v>
      </c>
      <c r="C263" s="445" t="s">
        <v>58</v>
      </c>
      <c r="D263" s="444" t="s">
        <v>919</v>
      </c>
      <c r="E263" s="446">
        <v>3</v>
      </c>
      <c r="F263" s="447"/>
      <c r="G263" s="448">
        <f t="shared" si="8"/>
        <v>0</v>
      </c>
      <c r="H263" s="449"/>
      <c r="I263" s="444"/>
      <c r="J263" s="449"/>
      <c r="K263" s="444" t="s">
        <v>920</v>
      </c>
      <c r="L263" s="450" t="s">
        <v>921</v>
      </c>
      <c r="M263" s="444" t="s">
        <v>922</v>
      </c>
      <c r="N263" s="450"/>
      <c r="O263" s="450"/>
      <c r="P263" s="450" t="s">
        <v>923</v>
      </c>
      <c r="Q263" s="451" t="s">
        <v>374</v>
      </c>
      <c r="R263" s="451" t="s">
        <v>263</v>
      </c>
      <c r="S263" s="452" t="s">
        <v>756</v>
      </c>
      <c r="T263" s="452">
        <v>45568</v>
      </c>
      <c r="U263" s="453"/>
      <c r="V263" s="454"/>
      <c r="W263" s="455" t="s">
        <v>406</v>
      </c>
      <c r="X263" s="455">
        <v>45565</v>
      </c>
      <c r="Y263" s="456" t="s">
        <v>377</v>
      </c>
      <c r="Z263" s="457"/>
      <c r="AA263" s="494"/>
    </row>
    <row r="264" spans="1:27" s="128" customFormat="1" ht="36" customHeight="1">
      <c r="A264" s="443">
        <v>95</v>
      </c>
      <c r="B264" s="444" t="s">
        <v>924</v>
      </c>
      <c r="C264" s="445" t="s">
        <v>58</v>
      </c>
      <c r="D264" s="444" t="s">
        <v>925</v>
      </c>
      <c r="E264" s="446">
        <v>1</v>
      </c>
      <c r="F264" s="447"/>
      <c r="G264" s="448">
        <f t="shared" si="8"/>
        <v>0</v>
      </c>
      <c r="H264" s="449"/>
      <c r="I264" s="444"/>
      <c r="J264" s="449"/>
      <c r="K264" s="444" t="s">
        <v>719</v>
      </c>
      <c r="L264" s="450" t="s">
        <v>681</v>
      </c>
      <c r="M264" s="444" t="s">
        <v>755</v>
      </c>
      <c r="N264" s="450"/>
      <c r="O264" s="450"/>
      <c r="P264" s="450" t="s">
        <v>721</v>
      </c>
      <c r="Q264" s="451" t="s">
        <v>374</v>
      </c>
      <c r="R264" s="451" t="s">
        <v>249</v>
      </c>
      <c r="S264" s="452" t="s">
        <v>756</v>
      </c>
      <c r="T264" s="452"/>
      <c r="U264" s="453"/>
      <c r="V264" s="454"/>
      <c r="W264" s="455" t="s">
        <v>406</v>
      </c>
      <c r="X264" s="455">
        <v>45574</v>
      </c>
      <c r="Y264" s="456" t="s">
        <v>377</v>
      </c>
      <c r="Z264" s="457"/>
      <c r="AA264" s="494"/>
    </row>
    <row r="265" spans="1:27" s="128" customFormat="1" ht="36" customHeight="1">
      <c r="A265" s="443">
        <v>96</v>
      </c>
      <c r="B265" s="444" t="s">
        <v>926</v>
      </c>
      <c r="C265" s="445" t="s">
        <v>58</v>
      </c>
      <c r="D265" s="444" t="s">
        <v>927</v>
      </c>
      <c r="E265" s="446">
        <v>1</v>
      </c>
      <c r="F265" s="447"/>
      <c r="G265" s="448">
        <f t="shared" si="8"/>
        <v>0</v>
      </c>
      <c r="H265" s="449"/>
      <c r="I265" s="444"/>
      <c r="J265" s="449"/>
      <c r="K265" s="444" t="s">
        <v>719</v>
      </c>
      <c r="L265" s="450" t="s">
        <v>681</v>
      </c>
      <c r="M265" s="444" t="s">
        <v>805</v>
      </c>
      <c r="N265" s="450"/>
      <c r="O265" s="450"/>
      <c r="P265" s="450" t="s">
        <v>721</v>
      </c>
      <c r="Q265" s="451" t="s">
        <v>374</v>
      </c>
      <c r="R265" s="451" t="s">
        <v>251</v>
      </c>
      <c r="S265" s="452" t="s">
        <v>548</v>
      </c>
      <c r="T265" s="452">
        <v>45561</v>
      </c>
      <c r="U265" s="453"/>
      <c r="V265" s="454"/>
      <c r="W265" s="455" t="s">
        <v>406</v>
      </c>
      <c r="X265" s="455">
        <v>45561</v>
      </c>
      <c r="Y265" s="456" t="s">
        <v>377</v>
      </c>
      <c r="Z265" s="457"/>
      <c r="AA265" s="494"/>
    </row>
    <row r="266" spans="1:27" s="128" customFormat="1" ht="36" customHeight="1">
      <c r="A266" s="443">
        <v>97</v>
      </c>
      <c r="B266" s="444" t="s">
        <v>928</v>
      </c>
      <c r="C266" s="445" t="s">
        <v>58</v>
      </c>
      <c r="D266" s="444" t="s">
        <v>929</v>
      </c>
      <c r="E266" s="446">
        <v>3</v>
      </c>
      <c r="F266" s="447"/>
      <c r="G266" s="448">
        <f t="shared" ref="G266:G294" si="9">E266*F266</f>
        <v>0</v>
      </c>
      <c r="H266" s="449"/>
      <c r="I266" s="444"/>
      <c r="J266" s="449"/>
      <c r="K266" s="444" t="s">
        <v>719</v>
      </c>
      <c r="L266" s="450" t="s">
        <v>681</v>
      </c>
      <c r="M266" s="444" t="s">
        <v>755</v>
      </c>
      <c r="N266" s="450"/>
      <c r="O266" s="450"/>
      <c r="P266" s="450" t="s">
        <v>721</v>
      </c>
      <c r="Q266" s="451" t="s">
        <v>374</v>
      </c>
      <c r="R266" s="451" t="s">
        <v>249</v>
      </c>
      <c r="S266" s="452" t="s">
        <v>756</v>
      </c>
      <c r="T266" s="452"/>
      <c r="U266" s="453"/>
      <c r="V266" s="454"/>
      <c r="W266" s="455" t="s">
        <v>406</v>
      </c>
      <c r="X266" s="455">
        <v>45574</v>
      </c>
      <c r="Y266" s="456" t="s">
        <v>377</v>
      </c>
      <c r="Z266" s="457"/>
      <c r="AA266" s="494"/>
    </row>
    <row r="267" spans="1:27" s="128" customFormat="1" ht="36" customHeight="1">
      <c r="A267" s="443">
        <v>98</v>
      </c>
      <c r="B267" s="444" t="s">
        <v>930</v>
      </c>
      <c r="C267" s="445" t="s">
        <v>58</v>
      </c>
      <c r="D267" s="444" t="s">
        <v>931</v>
      </c>
      <c r="E267" s="446">
        <v>1</v>
      </c>
      <c r="F267" s="447"/>
      <c r="G267" s="448">
        <f t="shared" si="9"/>
        <v>0</v>
      </c>
      <c r="H267" s="449"/>
      <c r="I267" s="444"/>
      <c r="J267" s="449"/>
      <c r="K267" s="444" t="s">
        <v>719</v>
      </c>
      <c r="L267" s="450" t="s">
        <v>681</v>
      </c>
      <c r="M267" s="444" t="s">
        <v>755</v>
      </c>
      <c r="N267" s="450"/>
      <c r="O267" s="450"/>
      <c r="P267" s="450" t="s">
        <v>721</v>
      </c>
      <c r="Q267" s="451" t="s">
        <v>374</v>
      </c>
      <c r="R267" s="451" t="s">
        <v>249</v>
      </c>
      <c r="S267" s="452" t="s">
        <v>756</v>
      </c>
      <c r="T267" s="452"/>
      <c r="U267" s="453"/>
      <c r="V267" s="454"/>
      <c r="W267" s="455" t="s">
        <v>406</v>
      </c>
      <c r="X267" s="455">
        <v>45574</v>
      </c>
      <c r="Y267" s="456" t="s">
        <v>377</v>
      </c>
      <c r="Z267" s="457"/>
      <c r="AA267" s="494"/>
    </row>
    <row r="268" spans="1:27" s="128" customFormat="1" ht="36" customHeight="1">
      <c r="A268" s="443">
        <v>99</v>
      </c>
      <c r="B268" s="444" t="s">
        <v>932</v>
      </c>
      <c r="C268" s="445" t="s">
        <v>58</v>
      </c>
      <c r="D268" s="444" t="s">
        <v>933</v>
      </c>
      <c r="E268" s="446">
        <v>1</v>
      </c>
      <c r="F268" s="447"/>
      <c r="G268" s="448">
        <f t="shared" si="9"/>
        <v>0</v>
      </c>
      <c r="H268" s="449"/>
      <c r="I268" s="444"/>
      <c r="J268" s="449"/>
      <c r="K268" s="444" t="s">
        <v>719</v>
      </c>
      <c r="L268" s="450" t="s">
        <v>681</v>
      </c>
      <c r="M268" s="444" t="s">
        <v>755</v>
      </c>
      <c r="N268" s="450"/>
      <c r="O268" s="450"/>
      <c r="P268" s="450" t="s">
        <v>721</v>
      </c>
      <c r="Q268" s="451" t="s">
        <v>374</v>
      </c>
      <c r="R268" s="451" t="s">
        <v>249</v>
      </c>
      <c r="S268" s="452" t="s">
        <v>756</v>
      </c>
      <c r="T268" s="452"/>
      <c r="U268" s="453"/>
      <c r="V268" s="454"/>
      <c r="W268" s="455" t="s">
        <v>406</v>
      </c>
      <c r="X268" s="455">
        <v>45574</v>
      </c>
      <c r="Y268" s="456" t="s">
        <v>377</v>
      </c>
      <c r="Z268" s="457"/>
      <c r="AA268" s="494"/>
    </row>
    <row r="269" spans="1:27" s="128" customFormat="1" ht="36" customHeight="1">
      <c r="A269" s="443">
        <v>100</v>
      </c>
      <c r="B269" s="444" t="s">
        <v>934</v>
      </c>
      <c r="C269" s="445" t="s">
        <v>58</v>
      </c>
      <c r="D269" s="444" t="s">
        <v>935</v>
      </c>
      <c r="E269" s="446">
        <v>2</v>
      </c>
      <c r="F269" s="447"/>
      <c r="G269" s="448">
        <f t="shared" si="9"/>
        <v>0</v>
      </c>
      <c r="H269" s="449"/>
      <c r="I269" s="444"/>
      <c r="J269" s="449"/>
      <c r="K269" s="444" t="s">
        <v>719</v>
      </c>
      <c r="L269" s="450" t="s">
        <v>681</v>
      </c>
      <c r="M269" s="444" t="s">
        <v>828</v>
      </c>
      <c r="N269" s="450"/>
      <c r="O269" s="450"/>
      <c r="P269" s="450" t="s">
        <v>721</v>
      </c>
      <c r="Q269" s="451" t="s">
        <v>374</v>
      </c>
      <c r="R269" s="451" t="s">
        <v>263</v>
      </c>
      <c r="S269" s="452" t="s">
        <v>806</v>
      </c>
      <c r="T269" s="452">
        <v>45568</v>
      </c>
      <c r="U269" s="453"/>
      <c r="V269" s="454"/>
      <c r="W269" s="455" t="s">
        <v>406</v>
      </c>
      <c r="X269" s="455">
        <v>45565</v>
      </c>
      <c r="Y269" s="456" t="s">
        <v>377</v>
      </c>
      <c r="Z269" s="457"/>
      <c r="AA269" s="494"/>
    </row>
    <row r="270" spans="1:27" s="128" customFormat="1" ht="36" customHeight="1">
      <c r="A270" s="405">
        <v>101</v>
      </c>
      <c r="B270" s="407" t="s">
        <v>936</v>
      </c>
      <c r="C270" s="406" t="s">
        <v>58</v>
      </c>
      <c r="D270" s="407" t="s">
        <v>937</v>
      </c>
      <c r="E270" s="408">
        <v>1</v>
      </c>
      <c r="F270" s="409"/>
      <c r="G270" s="410">
        <f t="shared" si="9"/>
        <v>0</v>
      </c>
      <c r="H270" s="411"/>
      <c r="I270" s="407"/>
      <c r="J270" s="411"/>
      <c r="K270" s="407" t="s">
        <v>719</v>
      </c>
      <c r="L270" s="412" t="s">
        <v>681</v>
      </c>
      <c r="M270" s="407" t="s">
        <v>938</v>
      </c>
      <c r="N270" s="412"/>
      <c r="O270" s="412"/>
      <c r="P270" s="412" t="s">
        <v>721</v>
      </c>
      <c r="Q270" s="413" t="s">
        <v>726</v>
      </c>
      <c r="R270" s="413" t="s">
        <v>939</v>
      </c>
      <c r="S270" s="414" t="s">
        <v>940</v>
      </c>
      <c r="T270" s="414" t="s">
        <v>792</v>
      </c>
      <c r="U270" s="415"/>
      <c r="V270" s="416"/>
      <c r="W270" s="417"/>
      <c r="X270" s="417"/>
      <c r="Y270" s="418" t="s">
        <v>377</v>
      </c>
      <c r="Z270" s="419"/>
      <c r="AA270" s="492">
        <v>1</v>
      </c>
    </row>
    <row r="271" spans="1:27" s="128" customFormat="1" ht="36" customHeight="1">
      <c r="A271" s="443">
        <v>102</v>
      </c>
      <c r="B271" s="444" t="s">
        <v>941</v>
      </c>
      <c r="C271" s="445" t="s">
        <v>58</v>
      </c>
      <c r="D271" s="444" t="s">
        <v>942</v>
      </c>
      <c r="E271" s="446">
        <v>1</v>
      </c>
      <c r="F271" s="447"/>
      <c r="G271" s="448">
        <f t="shared" si="9"/>
        <v>0</v>
      </c>
      <c r="H271" s="449"/>
      <c r="I271" s="444"/>
      <c r="J271" s="449"/>
      <c r="K271" s="444" t="s">
        <v>719</v>
      </c>
      <c r="L271" s="450" t="s">
        <v>681</v>
      </c>
      <c r="M271" s="444" t="s">
        <v>444</v>
      </c>
      <c r="N271" s="450"/>
      <c r="O271" s="450"/>
      <c r="P271" s="450" t="s">
        <v>444</v>
      </c>
      <c r="Q271" s="451" t="s">
        <v>591</v>
      </c>
      <c r="R271" s="451" t="s">
        <v>444</v>
      </c>
      <c r="S271" s="452" t="s">
        <v>444</v>
      </c>
      <c r="T271" s="452"/>
      <c r="U271" s="453"/>
      <c r="V271" s="454"/>
      <c r="W271" s="455" t="s">
        <v>406</v>
      </c>
      <c r="X271" s="455">
        <v>45560</v>
      </c>
      <c r="Y271" s="456" t="s">
        <v>377</v>
      </c>
      <c r="Z271" s="457"/>
      <c r="AA271" s="494"/>
    </row>
    <row r="272" spans="1:27" s="128" customFormat="1" ht="36" customHeight="1">
      <c r="A272" s="443">
        <v>103</v>
      </c>
      <c r="B272" s="444" t="s">
        <v>943</v>
      </c>
      <c r="C272" s="445" t="s">
        <v>58</v>
      </c>
      <c r="D272" s="444" t="s">
        <v>944</v>
      </c>
      <c r="E272" s="446">
        <v>1</v>
      </c>
      <c r="F272" s="447"/>
      <c r="G272" s="448">
        <f t="shared" si="9"/>
        <v>0</v>
      </c>
      <c r="H272" s="449"/>
      <c r="I272" s="444"/>
      <c r="J272" s="449"/>
      <c r="K272" s="444" t="s">
        <v>719</v>
      </c>
      <c r="L272" s="450" t="s">
        <v>681</v>
      </c>
      <c r="M272" s="444" t="s">
        <v>759</v>
      </c>
      <c r="N272" s="450"/>
      <c r="O272" s="450"/>
      <c r="P272" s="450" t="s">
        <v>403</v>
      </c>
      <c r="Q272" s="451" t="s">
        <v>374</v>
      </c>
      <c r="R272" s="451" t="s">
        <v>404</v>
      </c>
      <c r="S272" s="452" t="s">
        <v>405</v>
      </c>
      <c r="T272" s="452" t="s">
        <v>945</v>
      </c>
      <c r="U272" s="453"/>
      <c r="V272" s="454"/>
      <c r="W272" s="455" t="s">
        <v>406</v>
      </c>
      <c r="X272" s="455">
        <v>45569</v>
      </c>
      <c r="Y272" s="456" t="s">
        <v>377</v>
      </c>
      <c r="Z272" s="457"/>
      <c r="AA272" s="494"/>
    </row>
    <row r="273" spans="1:27" s="128" customFormat="1" ht="36" customHeight="1">
      <c r="A273" s="443">
        <v>104</v>
      </c>
      <c r="B273" s="444" t="s">
        <v>946</v>
      </c>
      <c r="C273" s="445" t="s">
        <v>58</v>
      </c>
      <c r="D273" s="444" t="s">
        <v>947</v>
      </c>
      <c r="E273" s="446">
        <v>3</v>
      </c>
      <c r="F273" s="447"/>
      <c r="G273" s="448">
        <f t="shared" si="9"/>
        <v>0</v>
      </c>
      <c r="H273" s="449"/>
      <c r="I273" s="444"/>
      <c r="J273" s="449"/>
      <c r="K273" s="444" t="s">
        <v>719</v>
      </c>
      <c r="L273" s="450" t="s">
        <v>681</v>
      </c>
      <c r="M273" s="444" t="s">
        <v>755</v>
      </c>
      <c r="N273" s="450"/>
      <c r="O273" s="450"/>
      <c r="P273" s="450" t="s">
        <v>721</v>
      </c>
      <c r="Q273" s="451" t="s">
        <v>374</v>
      </c>
      <c r="R273" s="451" t="s">
        <v>249</v>
      </c>
      <c r="S273" s="452" t="s">
        <v>756</v>
      </c>
      <c r="T273" s="452"/>
      <c r="U273" s="453"/>
      <c r="V273" s="454"/>
      <c r="W273" s="455" t="s">
        <v>406</v>
      </c>
      <c r="X273" s="455">
        <v>45574</v>
      </c>
      <c r="Y273" s="456" t="s">
        <v>377</v>
      </c>
      <c r="Z273" s="457"/>
      <c r="AA273" s="494"/>
    </row>
    <row r="274" spans="1:27" s="128" customFormat="1" ht="36" customHeight="1">
      <c r="A274" s="443">
        <v>105</v>
      </c>
      <c r="B274" s="444" t="s">
        <v>948</v>
      </c>
      <c r="C274" s="445" t="s">
        <v>58</v>
      </c>
      <c r="D274" s="444" t="s">
        <v>949</v>
      </c>
      <c r="E274" s="446">
        <v>1</v>
      </c>
      <c r="F274" s="447"/>
      <c r="G274" s="448">
        <f t="shared" si="9"/>
        <v>0</v>
      </c>
      <c r="H274" s="449"/>
      <c r="I274" s="444"/>
      <c r="J274" s="449"/>
      <c r="K274" s="444" t="s">
        <v>719</v>
      </c>
      <c r="L274" s="450" t="s">
        <v>681</v>
      </c>
      <c r="M274" s="444" t="s">
        <v>950</v>
      </c>
      <c r="N274" s="450"/>
      <c r="O274" s="450"/>
      <c r="P274" s="450" t="s">
        <v>403</v>
      </c>
      <c r="Q274" s="451" t="s">
        <v>374</v>
      </c>
      <c r="R274" s="451" t="s">
        <v>404</v>
      </c>
      <c r="S274" s="452" t="s">
        <v>405</v>
      </c>
      <c r="T274" s="452"/>
      <c r="U274" s="453"/>
      <c r="V274" s="454"/>
      <c r="W274" s="455" t="s">
        <v>406</v>
      </c>
      <c r="X274" s="455">
        <v>45607</v>
      </c>
      <c r="Y274" s="456" t="s">
        <v>377</v>
      </c>
      <c r="Z274" s="457"/>
      <c r="AA274" s="494">
        <v>1</v>
      </c>
    </row>
    <row r="275" spans="1:27" s="128" customFormat="1" ht="36" customHeight="1">
      <c r="A275" s="443">
        <v>106</v>
      </c>
      <c r="B275" s="444" t="s">
        <v>951</v>
      </c>
      <c r="C275" s="445" t="s">
        <v>58</v>
      </c>
      <c r="D275" s="444" t="s">
        <v>952</v>
      </c>
      <c r="E275" s="446">
        <v>1</v>
      </c>
      <c r="F275" s="447"/>
      <c r="G275" s="448">
        <f t="shared" si="9"/>
        <v>0</v>
      </c>
      <c r="H275" s="449"/>
      <c r="I275" s="444"/>
      <c r="J275" s="449"/>
      <c r="K275" s="444" t="s">
        <v>882</v>
      </c>
      <c r="L275" s="450" t="s">
        <v>883</v>
      </c>
      <c r="M275" s="444" t="s">
        <v>953</v>
      </c>
      <c r="N275" s="450"/>
      <c r="O275" s="450"/>
      <c r="P275" s="450" t="s">
        <v>954</v>
      </c>
      <c r="Q275" s="451" t="s">
        <v>374</v>
      </c>
      <c r="R275" s="451" t="s">
        <v>404</v>
      </c>
      <c r="S275" s="452" t="s">
        <v>422</v>
      </c>
      <c r="T275" s="452"/>
      <c r="U275" s="453"/>
      <c r="V275" s="454"/>
      <c r="W275" s="455" t="s">
        <v>406</v>
      </c>
      <c r="X275" s="455">
        <v>45607</v>
      </c>
      <c r="Y275" s="456" t="s">
        <v>377</v>
      </c>
      <c r="Z275" s="457"/>
      <c r="AA275" s="494">
        <v>1</v>
      </c>
    </row>
    <row r="276" spans="1:27" s="441" customFormat="1" ht="36" customHeight="1">
      <c r="A276" s="427">
        <v>107</v>
      </c>
      <c r="B276" s="428" t="s">
        <v>955</v>
      </c>
      <c r="C276" s="429" t="s">
        <v>58</v>
      </c>
      <c r="D276" s="428" t="s">
        <v>956</v>
      </c>
      <c r="E276" s="430">
        <v>1</v>
      </c>
      <c r="F276" s="431"/>
      <c r="G276" s="432">
        <f t="shared" si="9"/>
        <v>0</v>
      </c>
      <c r="H276" s="442"/>
      <c r="I276" s="428"/>
      <c r="J276" s="442"/>
      <c r="K276" s="428" t="s">
        <v>719</v>
      </c>
      <c r="L276" s="433" t="s">
        <v>681</v>
      </c>
      <c r="M276" s="428" t="s">
        <v>444</v>
      </c>
      <c r="N276" s="433"/>
      <c r="O276" s="433"/>
      <c r="P276" s="433" t="s">
        <v>444</v>
      </c>
      <c r="Q276" s="434" t="s">
        <v>591</v>
      </c>
      <c r="R276" s="434"/>
      <c r="S276" s="435" t="s">
        <v>444</v>
      </c>
      <c r="T276" s="435"/>
      <c r="U276" s="436"/>
      <c r="V276" s="437"/>
      <c r="W276" s="438"/>
      <c r="X276" s="438"/>
      <c r="Y276" s="439" t="s">
        <v>592</v>
      </c>
      <c r="Z276" s="440"/>
      <c r="AA276" s="495"/>
    </row>
    <row r="277" spans="1:27" s="441" customFormat="1" ht="36" customHeight="1">
      <c r="A277" s="427">
        <v>108</v>
      </c>
      <c r="B277" s="428" t="s">
        <v>957</v>
      </c>
      <c r="C277" s="429" t="s">
        <v>58</v>
      </c>
      <c r="D277" s="428" t="s">
        <v>958</v>
      </c>
      <c r="E277" s="430">
        <v>1</v>
      </c>
      <c r="F277" s="431"/>
      <c r="G277" s="432">
        <f t="shared" si="9"/>
        <v>0</v>
      </c>
      <c r="H277" s="442"/>
      <c r="I277" s="428"/>
      <c r="J277" s="442"/>
      <c r="K277" s="428" t="s">
        <v>719</v>
      </c>
      <c r="L277" s="433" t="s">
        <v>681</v>
      </c>
      <c r="M277" s="428" t="s">
        <v>444</v>
      </c>
      <c r="N277" s="433"/>
      <c r="O277" s="433"/>
      <c r="P277" s="433" t="s">
        <v>444</v>
      </c>
      <c r="Q277" s="434" t="s">
        <v>591</v>
      </c>
      <c r="R277" s="434"/>
      <c r="S277" s="435" t="s">
        <v>444</v>
      </c>
      <c r="T277" s="435"/>
      <c r="U277" s="436"/>
      <c r="V277" s="437"/>
      <c r="W277" s="438"/>
      <c r="X277" s="438"/>
      <c r="Y277" s="439" t="s">
        <v>592</v>
      </c>
      <c r="Z277" s="440"/>
      <c r="AA277" s="495"/>
    </row>
    <row r="278" spans="1:27" s="128" customFormat="1" ht="36" customHeight="1">
      <c r="A278" s="443">
        <v>109</v>
      </c>
      <c r="B278" s="444" t="s">
        <v>959</v>
      </c>
      <c r="C278" s="445" t="s">
        <v>58</v>
      </c>
      <c r="D278" s="444" t="s">
        <v>960</v>
      </c>
      <c r="E278" s="446">
        <v>1</v>
      </c>
      <c r="F278" s="447"/>
      <c r="G278" s="448">
        <f t="shared" si="9"/>
        <v>0</v>
      </c>
      <c r="H278" s="449"/>
      <c r="I278" s="444"/>
      <c r="J278" s="449"/>
      <c r="K278" s="444" t="s">
        <v>882</v>
      </c>
      <c r="L278" s="450" t="s">
        <v>883</v>
      </c>
      <c r="M278" s="444" t="s">
        <v>953</v>
      </c>
      <c r="N278" s="450"/>
      <c r="O278" s="450"/>
      <c r="P278" s="450" t="s">
        <v>954</v>
      </c>
      <c r="Q278" s="451" t="s">
        <v>374</v>
      </c>
      <c r="R278" s="451" t="s">
        <v>404</v>
      </c>
      <c r="S278" s="452" t="s">
        <v>422</v>
      </c>
      <c r="T278" s="452"/>
      <c r="U278" s="453"/>
      <c r="V278" s="454"/>
      <c r="W278" s="455" t="s">
        <v>406</v>
      </c>
      <c r="X278" s="455">
        <v>45607</v>
      </c>
      <c r="Y278" s="456" t="s">
        <v>377</v>
      </c>
      <c r="Z278" s="457"/>
      <c r="AA278" s="494">
        <v>1</v>
      </c>
    </row>
    <row r="279" spans="1:27" s="128" customFormat="1" ht="36" customHeight="1">
      <c r="A279" s="443">
        <v>110</v>
      </c>
      <c r="B279" s="444" t="s">
        <v>961</v>
      </c>
      <c r="C279" s="445" t="s">
        <v>58</v>
      </c>
      <c r="D279" s="444" t="s">
        <v>962</v>
      </c>
      <c r="E279" s="446">
        <v>1</v>
      </c>
      <c r="F279" s="447"/>
      <c r="G279" s="448">
        <f t="shared" si="9"/>
        <v>0</v>
      </c>
      <c r="H279" s="449"/>
      <c r="I279" s="444"/>
      <c r="J279" s="449"/>
      <c r="K279" s="444" t="s">
        <v>719</v>
      </c>
      <c r="L279" s="450" t="s">
        <v>681</v>
      </c>
      <c r="M279" s="444" t="s">
        <v>963</v>
      </c>
      <c r="N279" s="450"/>
      <c r="O279" s="450"/>
      <c r="P279" s="450" t="s">
        <v>721</v>
      </c>
      <c r="Q279" s="451" t="s">
        <v>374</v>
      </c>
      <c r="R279" s="451" t="s">
        <v>277</v>
      </c>
      <c r="S279" s="452" t="s">
        <v>964</v>
      </c>
      <c r="T279" s="452">
        <v>45575</v>
      </c>
      <c r="U279" s="453"/>
      <c r="V279" s="454"/>
      <c r="W279" s="455" t="s">
        <v>406</v>
      </c>
      <c r="X279" s="455">
        <v>45569</v>
      </c>
      <c r="Y279" s="456" t="s">
        <v>377</v>
      </c>
      <c r="Z279" s="457"/>
      <c r="AA279" s="494"/>
    </row>
    <row r="280" spans="1:27" s="128" customFormat="1" ht="18" customHeight="1">
      <c r="A280" s="443">
        <v>111</v>
      </c>
      <c r="B280" s="444" t="s">
        <v>965</v>
      </c>
      <c r="C280" s="445" t="s">
        <v>58</v>
      </c>
      <c r="D280" s="444" t="s">
        <v>966</v>
      </c>
      <c r="E280" s="446">
        <v>1</v>
      </c>
      <c r="F280" s="447"/>
      <c r="G280" s="448">
        <f t="shared" si="9"/>
        <v>0</v>
      </c>
      <c r="H280" s="449"/>
      <c r="I280" s="444"/>
      <c r="J280" s="449"/>
      <c r="K280" s="444"/>
      <c r="L280" s="450"/>
      <c r="M280" s="444"/>
      <c r="N280" s="450"/>
      <c r="O280" s="450"/>
      <c r="P280" s="450"/>
      <c r="Q280" s="451" t="s">
        <v>374</v>
      </c>
      <c r="R280" s="451"/>
      <c r="S280" s="452"/>
      <c r="T280" s="452"/>
      <c r="U280" s="453"/>
      <c r="V280" s="454"/>
      <c r="W280" s="455" t="s">
        <v>406</v>
      </c>
      <c r="X280" s="455">
        <v>45518</v>
      </c>
      <c r="Y280" s="456" t="s">
        <v>377</v>
      </c>
      <c r="Z280" s="457"/>
      <c r="AA280" s="494"/>
    </row>
    <row r="281" spans="1:27" s="128" customFormat="1" ht="36" customHeight="1">
      <c r="A281" s="443">
        <v>112</v>
      </c>
      <c r="B281" s="444" t="s">
        <v>967</v>
      </c>
      <c r="C281" s="445" t="s">
        <v>58</v>
      </c>
      <c r="D281" s="444" t="s">
        <v>968</v>
      </c>
      <c r="E281" s="446">
        <v>1</v>
      </c>
      <c r="F281" s="447"/>
      <c r="G281" s="448">
        <f t="shared" si="9"/>
        <v>0</v>
      </c>
      <c r="H281" s="449"/>
      <c r="I281" s="444"/>
      <c r="J281" s="449"/>
      <c r="K281" s="444" t="s">
        <v>719</v>
      </c>
      <c r="L281" s="450" t="s">
        <v>681</v>
      </c>
      <c r="M281" s="444" t="s">
        <v>969</v>
      </c>
      <c r="N281" s="450"/>
      <c r="O281" s="450"/>
      <c r="P281" s="450" t="s">
        <v>721</v>
      </c>
      <c r="Q281" s="451" t="s">
        <v>374</v>
      </c>
      <c r="R281" s="451" t="s">
        <v>470</v>
      </c>
      <c r="S281" s="452" t="s">
        <v>471</v>
      </c>
      <c r="T281" s="452">
        <v>45589</v>
      </c>
      <c r="U281" s="453"/>
      <c r="V281" s="454"/>
      <c r="W281" s="455" t="s">
        <v>406</v>
      </c>
      <c r="X281" s="455">
        <v>45567</v>
      </c>
      <c r="Y281" s="456" t="s">
        <v>377</v>
      </c>
      <c r="Z281" s="457"/>
      <c r="AA281" s="494"/>
    </row>
    <row r="282" spans="1:27" s="128" customFormat="1" ht="36" customHeight="1">
      <c r="A282" s="443">
        <v>113</v>
      </c>
      <c r="B282" s="444" t="s">
        <v>970</v>
      </c>
      <c r="C282" s="445" t="s">
        <v>58</v>
      </c>
      <c r="D282" s="444" t="s">
        <v>971</v>
      </c>
      <c r="E282" s="446">
        <v>1</v>
      </c>
      <c r="F282" s="447"/>
      <c r="G282" s="448">
        <f t="shared" si="9"/>
        <v>0</v>
      </c>
      <c r="H282" s="449"/>
      <c r="I282" s="444"/>
      <c r="J282" s="449"/>
      <c r="K282" s="444" t="s">
        <v>719</v>
      </c>
      <c r="L282" s="450" t="s">
        <v>681</v>
      </c>
      <c r="M282" s="444" t="s">
        <v>963</v>
      </c>
      <c r="N282" s="450"/>
      <c r="O282" s="450"/>
      <c r="P282" s="450" t="s">
        <v>721</v>
      </c>
      <c r="Q282" s="451" t="s">
        <v>374</v>
      </c>
      <c r="R282" s="451" t="s">
        <v>277</v>
      </c>
      <c r="S282" s="452" t="s">
        <v>964</v>
      </c>
      <c r="T282" s="452">
        <v>45575</v>
      </c>
      <c r="U282" s="453"/>
      <c r="V282" s="454"/>
      <c r="W282" s="455" t="s">
        <v>406</v>
      </c>
      <c r="X282" s="455">
        <v>45569</v>
      </c>
      <c r="Y282" s="456" t="s">
        <v>377</v>
      </c>
      <c r="Z282" s="457"/>
      <c r="AA282" s="494"/>
    </row>
    <row r="283" spans="1:27" s="128" customFormat="1" ht="36" customHeight="1">
      <c r="A283" s="443">
        <v>114</v>
      </c>
      <c r="B283" s="444" t="s">
        <v>972</v>
      </c>
      <c r="C283" s="445" t="s">
        <v>58</v>
      </c>
      <c r="D283" s="444" t="s">
        <v>973</v>
      </c>
      <c r="E283" s="446">
        <v>2</v>
      </c>
      <c r="F283" s="447"/>
      <c r="G283" s="448">
        <f t="shared" si="9"/>
        <v>0</v>
      </c>
      <c r="H283" s="449"/>
      <c r="I283" s="444"/>
      <c r="J283" s="449"/>
      <c r="K283" s="444" t="s">
        <v>719</v>
      </c>
      <c r="L283" s="450" t="s">
        <v>681</v>
      </c>
      <c r="M283" s="444" t="s">
        <v>963</v>
      </c>
      <c r="N283" s="450"/>
      <c r="O283" s="450"/>
      <c r="P283" s="450" t="s">
        <v>721</v>
      </c>
      <c r="Q283" s="451" t="s">
        <v>374</v>
      </c>
      <c r="R283" s="451" t="s">
        <v>277</v>
      </c>
      <c r="S283" s="452" t="s">
        <v>964</v>
      </c>
      <c r="T283" s="452"/>
      <c r="U283" s="453"/>
      <c r="V283" s="454"/>
      <c r="W283" s="455" t="s">
        <v>406</v>
      </c>
      <c r="X283" s="455">
        <v>45573</v>
      </c>
      <c r="Y283" s="456" t="s">
        <v>377</v>
      </c>
      <c r="Z283" s="457"/>
      <c r="AA283" s="494"/>
    </row>
    <row r="284" spans="1:27" s="128" customFormat="1" ht="36" customHeight="1">
      <c r="A284" s="443">
        <v>115</v>
      </c>
      <c r="B284" s="444" t="s">
        <v>974</v>
      </c>
      <c r="C284" s="445" t="s">
        <v>58</v>
      </c>
      <c r="D284" s="444" t="s">
        <v>975</v>
      </c>
      <c r="E284" s="446">
        <v>2</v>
      </c>
      <c r="F284" s="447"/>
      <c r="G284" s="448">
        <f t="shared" si="9"/>
        <v>0</v>
      </c>
      <c r="H284" s="449"/>
      <c r="I284" s="444"/>
      <c r="J284" s="449"/>
      <c r="K284" s="444" t="s">
        <v>719</v>
      </c>
      <c r="L284" s="450" t="s">
        <v>681</v>
      </c>
      <c r="M284" s="444" t="s">
        <v>755</v>
      </c>
      <c r="N284" s="450"/>
      <c r="O284" s="450"/>
      <c r="P284" s="450" t="s">
        <v>721</v>
      </c>
      <c r="Q284" s="451" t="s">
        <v>374</v>
      </c>
      <c r="R284" s="451" t="s">
        <v>249</v>
      </c>
      <c r="S284" s="452" t="s">
        <v>756</v>
      </c>
      <c r="T284" s="452"/>
      <c r="U284" s="453"/>
      <c r="V284" s="454"/>
      <c r="W284" s="455" t="s">
        <v>406</v>
      </c>
      <c r="X284" s="455">
        <v>45574</v>
      </c>
      <c r="Y284" s="456" t="s">
        <v>377</v>
      </c>
      <c r="Z284" s="457"/>
      <c r="AA284" s="494"/>
    </row>
    <row r="285" spans="1:27" s="128" customFormat="1" ht="36" customHeight="1">
      <c r="A285" s="443">
        <v>116</v>
      </c>
      <c r="B285" s="444" t="s">
        <v>976</v>
      </c>
      <c r="C285" s="445" t="s">
        <v>58</v>
      </c>
      <c r="D285" s="444" t="s">
        <v>977</v>
      </c>
      <c r="E285" s="446">
        <v>1</v>
      </c>
      <c r="F285" s="447"/>
      <c r="G285" s="448">
        <f t="shared" si="9"/>
        <v>0</v>
      </c>
      <c r="H285" s="449"/>
      <c r="I285" s="444"/>
      <c r="J285" s="449"/>
      <c r="K285" s="444" t="s">
        <v>719</v>
      </c>
      <c r="L285" s="450" t="s">
        <v>681</v>
      </c>
      <c r="M285" s="444" t="s">
        <v>978</v>
      </c>
      <c r="N285" s="450"/>
      <c r="O285" s="450"/>
      <c r="P285" s="450" t="s">
        <v>721</v>
      </c>
      <c r="Q285" s="451" t="s">
        <v>374</v>
      </c>
      <c r="R285" s="451" t="s">
        <v>303</v>
      </c>
      <c r="S285" s="452" t="s">
        <v>979</v>
      </c>
      <c r="T285" s="452">
        <v>45568</v>
      </c>
      <c r="U285" s="453"/>
      <c r="V285" s="454"/>
      <c r="W285" s="455" t="s">
        <v>406</v>
      </c>
      <c r="X285" s="455">
        <v>45567</v>
      </c>
      <c r="Y285" s="456" t="s">
        <v>377</v>
      </c>
      <c r="Z285" s="457"/>
      <c r="AA285" s="494"/>
    </row>
    <row r="286" spans="1:27" s="128" customFormat="1" ht="36" customHeight="1">
      <c r="A286" s="443">
        <v>117</v>
      </c>
      <c r="B286" s="444" t="s">
        <v>980</v>
      </c>
      <c r="C286" s="445" t="s">
        <v>58</v>
      </c>
      <c r="D286" s="444" t="s">
        <v>981</v>
      </c>
      <c r="E286" s="446">
        <v>1</v>
      </c>
      <c r="F286" s="447"/>
      <c r="G286" s="448">
        <f t="shared" si="9"/>
        <v>0</v>
      </c>
      <c r="H286" s="449"/>
      <c r="I286" s="444"/>
      <c r="J286" s="449"/>
      <c r="K286" s="444" t="s">
        <v>719</v>
      </c>
      <c r="L286" s="450" t="s">
        <v>681</v>
      </c>
      <c r="M286" s="444" t="s">
        <v>978</v>
      </c>
      <c r="N286" s="450"/>
      <c r="O286" s="450"/>
      <c r="P286" s="450" t="s">
        <v>721</v>
      </c>
      <c r="Q286" s="451" t="s">
        <v>374</v>
      </c>
      <c r="R286" s="451" t="s">
        <v>303</v>
      </c>
      <c r="S286" s="452" t="s">
        <v>979</v>
      </c>
      <c r="T286" s="452">
        <v>45568</v>
      </c>
      <c r="U286" s="453"/>
      <c r="V286" s="454"/>
      <c r="W286" s="455" t="s">
        <v>406</v>
      </c>
      <c r="X286" s="455">
        <v>45567</v>
      </c>
      <c r="Y286" s="456" t="s">
        <v>377</v>
      </c>
      <c r="Z286" s="457"/>
      <c r="AA286" s="494"/>
    </row>
    <row r="287" spans="1:27" s="128" customFormat="1" ht="36" customHeight="1">
      <c r="A287" s="443">
        <v>118</v>
      </c>
      <c r="B287" s="444" t="s">
        <v>982</v>
      </c>
      <c r="C287" s="445" t="s">
        <v>58</v>
      </c>
      <c r="D287" s="444" t="s">
        <v>983</v>
      </c>
      <c r="E287" s="446">
        <v>1</v>
      </c>
      <c r="F287" s="447"/>
      <c r="G287" s="448">
        <f t="shared" si="9"/>
        <v>0</v>
      </c>
      <c r="H287" s="449"/>
      <c r="I287" s="444"/>
      <c r="J287" s="449"/>
      <c r="K287" s="444" t="s">
        <v>719</v>
      </c>
      <c r="L287" s="450" t="s">
        <v>681</v>
      </c>
      <c r="M287" s="444" t="s">
        <v>978</v>
      </c>
      <c r="N287" s="450"/>
      <c r="O287" s="450"/>
      <c r="P287" s="450" t="s">
        <v>721</v>
      </c>
      <c r="Q287" s="451" t="s">
        <v>374</v>
      </c>
      <c r="R287" s="451" t="s">
        <v>303</v>
      </c>
      <c r="S287" s="452" t="s">
        <v>979</v>
      </c>
      <c r="T287" s="452">
        <v>45561</v>
      </c>
      <c r="U287" s="453"/>
      <c r="V287" s="454"/>
      <c r="W287" s="455" t="s">
        <v>406</v>
      </c>
      <c r="X287" s="455">
        <v>45567</v>
      </c>
      <c r="Y287" s="456" t="s">
        <v>377</v>
      </c>
      <c r="Z287" s="457"/>
      <c r="AA287" s="494"/>
    </row>
    <row r="288" spans="1:27" s="128" customFormat="1" ht="18" customHeight="1">
      <c r="A288" s="443">
        <v>119</v>
      </c>
      <c r="B288" s="444" t="s">
        <v>688</v>
      </c>
      <c r="C288" s="445" t="s">
        <v>58</v>
      </c>
      <c r="D288" s="444" t="s">
        <v>689</v>
      </c>
      <c r="E288" s="446">
        <v>2</v>
      </c>
      <c r="F288" s="447"/>
      <c r="G288" s="448">
        <f t="shared" si="9"/>
        <v>0</v>
      </c>
      <c r="H288" s="449"/>
      <c r="I288" s="444"/>
      <c r="J288" s="449"/>
      <c r="K288" s="444"/>
      <c r="L288" s="450"/>
      <c r="M288" s="444"/>
      <c r="N288" s="450"/>
      <c r="O288" s="450"/>
      <c r="P288" s="450"/>
      <c r="Q288" s="451" t="s">
        <v>374</v>
      </c>
      <c r="R288" s="451"/>
      <c r="S288" s="452"/>
      <c r="T288" s="452"/>
      <c r="U288" s="453"/>
      <c r="V288" s="454"/>
      <c r="W288" s="455" t="s">
        <v>406</v>
      </c>
      <c r="X288" s="455">
        <v>45518</v>
      </c>
      <c r="Y288" s="456" t="s">
        <v>377</v>
      </c>
      <c r="Z288" s="457"/>
      <c r="AA288" s="494"/>
    </row>
    <row r="289" spans="1:27" s="128" customFormat="1" ht="36" customHeight="1">
      <c r="A289" s="443">
        <v>120</v>
      </c>
      <c r="B289" s="444" t="s">
        <v>392</v>
      </c>
      <c r="C289" s="445" t="s">
        <v>58</v>
      </c>
      <c r="D289" s="444" t="s">
        <v>393</v>
      </c>
      <c r="E289" s="446">
        <v>3</v>
      </c>
      <c r="F289" s="447"/>
      <c r="G289" s="448">
        <f t="shared" si="9"/>
        <v>0</v>
      </c>
      <c r="H289" s="449"/>
      <c r="I289" s="444"/>
      <c r="J289" s="449"/>
      <c r="K289" s="444" t="s">
        <v>920</v>
      </c>
      <c r="L289" s="450" t="s">
        <v>921</v>
      </c>
      <c r="M289" s="444" t="s">
        <v>922</v>
      </c>
      <c r="N289" s="450"/>
      <c r="O289" s="450"/>
      <c r="P289" s="450" t="s">
        <v>923</v>
      </c>
      <c r="Q289" s="451" t="s">
        <v>374</v>
      </c>
      <c r="R289" s="451" t="s">
        <v>263</v>
      </c>
      <c r="S289" s="452" t="s">
        <v>756</v>
      </c>
      <c r="T289" s="452">
        <v>45568</v>
      </c>
      <c r="U289" s="453"/>
      <c r="V289" s="454"/>
      <c r="W289" s="455" t="s">
        <v>406</v>
      </c>
      <c r="X289" s="455">
        <v>45565</v>
      </c>
      <c r="Y289" s="456" t="s">
        <v>377</v>
      </c>
      <c r="Z289" s="457"/>
      <c r="AA289" s="494"/>
    </row>
    <row r="290" spans="1:27" s="128" customFormat="1" ht="36" customHeight="1">
      <c r="A290" s="443">
        <v>121</v>
      </c>
      <c r="B290" s="444" t="s">
        <v>984</v>
      </c>
      <c r="C290" s="445" t="s">
        <v>58</v>
      </c>
      <c r="D290" s="444" t="s">
        <v>985</v>
      </c>
      <c r="E290" s="446">
        <v>6</v>
      </c>
      <c r="F290" s="447"/>
      <c r="G290" s="448">
        <f t="shared" si="9"/>
        <v>0</v>
      </c>
      <c r="H290" s="449"/>
      <c r="I290" s="444"/>
      <c r="J290" s="449"/>
      <c r="K290" s="444" t="s">
        <v>719</v>
      </c>
      <c r="L290" s="450" t="s">
        <v>681</v>
      </c>
      <c r="M290" s="444" t="s">
        <v>828</v>
      </c>
      <c r="N290" s="450"/>
      <c r="O290" s="450"/>
      <c r="P290" s="450" t="s">
        <v>721</v>
      </c>
      <c r="Q290" s="451" t="s">
        <v>374</v>
      </c>
      <c r="R290" s="451" t="s">
        <v>263</v>
      </c>
      <c r="S290" s="452" t="s">
        <v>986</v>
      </c>
      <c r="T290" s="452"/>
      <c r="U290" s="453"/>
      <c r="V290" s="454"/>
      <c r="W290" s="455" t="s">
        <v>406</v>
      </c>
      <c r="X290" s="455">
        <v>45553</v>
      </c>
      <c r="Y290" s="456" t="s">
        <v>377</v>
      </c>
      <c r="Z290" s="457"/>
      <c r="AA290" s="494"/>
    </row>
    <row r="291" spans="1:27" s="128" customFormat="1" ht="36" customHeight="1">
      <c r="A291" s="443">
        <v>122</v>
      </c>
      <c r="B291" s="444" t="s">
        <v>987</v>
      </c>
      <c r="C291" s="445" t="s">
        <v>58</v>
      </c>
      <c r="D291" s="444" t="s">
        <v>397</v>
      </c>
      <c r="E291" s="446">
        <v>2</v>
      </c>
      <c r="F291" s="447"/>
      <c r="G291" s="448">
        <f t="shared" si="9"/>
        <v>0</v>
      </c>
      <c r="H291" s="449"/>
      <c r="I291" s="444"/>
      <c r="J291" s="449"/>
      <c r="K291" s="444" t="s">
        <v>719</v>
      </c>
      <c r="L291" s="450" t="s">
        <v>681</v>
      </c>
      <c r="M291" s="444" t="s">
        <v>828</v>
      </c>
      <c r="N291" s="450"/>
      <c r="O291" s="450"/>
      <c r="P291" s="450" t="s">
        <v>721</v>
      </c>
      <c r="Q291" s="451" t="s">
        <v>374</v>
      </c>
      <c r="R291" s="451" t="s">
        <v>263</v>
      </c>
      <c r="S291" s="452" t="s">
        <v>806</v>
      </c>
      <c r="T291" s="452">
        <v>45568</v>
      </c>
      <c r="U291" s="453"/>
      <c r="V291" s="454"/>
      <c r="W291" s="455" t="s">
        <v>406</v>
      </c>
      <c r="X291" s="455">
        <v>45565</v>
      </c>
      <c r="Y291" s="456" t="s">
        <v>377</v>
      </c>
      <c r="Z291" s="457"/>
      <c r="AA291" s="494"/>
    </row>
    <row r="292" spans="1:27" s="128" customFormat="1" ht="36" customHeight="1">
      <c r="A292" s="443">
        <v>123</v>
      </c>
      <c r="B292" s="444" t="s">
        <v>988</v>
      </c>
      <c r="C292" s="445" t="s">
        <v>58</v>
      </c>
      <c r="D292" s="444" t="s">
        <v>989</v>
      </c>
      <c r="E292" s="446">
        <v>1</v>
      </c>
      <c r="F292" s="447"/>
      <c r="G292" s="448">
        <f t="shared" si="9"/>
        <v>0</v>
      </c>
      <c r="H292" s="449"/>
      <c r="I292" s="444"/>
      <c r="J292" s="449"/>
      <c r="K292" s="444" t="s">
        <v>920</v>
      </c>
      <c r="L292" s="450" t="s">
        <v>921</v>
      </c>
      <c r="M292" s="444" t="s">
        <v>922</v>
      </c>
      <c r="N292" s="450"/>
      <c r="O292" s="450"/>
      <c r="P292" s="450" t="s">
        <v>923</v>
      </c>
      <c r="Q292" s="451" t="s">
        <v>374</v>
      </c>
      <c r="R292" s="451" t="s">
        <v>263</v>
      </c>
      <c r="S292" s="452" t="s">
        <v>756</v>
      </c>
      <c r="T292" s="452">
        <v>45568</v>
      </c>
      <c r="U292" s="453"/>
      <c r="V292" s="454"/>
      <c r="W292" s="455" t="s">
        <v>406</v>
      </c>
      <c r="X292" s="455">
        <v>45565</v>
      </c>
      <c r="Y292" s="456" t="s">
        <v>377</v>
      </c>
      <c r="Z292" s="457"/>
      <c r="AA292" s="494"/>
    </row>
    <row r="293" spans="1:27" s="128" customFormat="1" ht="36" customHeight="1">
      <c r="A293" s="443">
        <v>124</v>
      </c>
      <c r="B293" s="444" t="s">
        <v>990</v>
      </c>
      <c r="C293" s="445" t="s">
        <v>58</v>
      </c>
      <c r="D293" s="444" t="s">
        <v>991</v>
      </c>
      <c r="E293" s="446">
        <v>1</v>
      </c>
      <c r="F293" s="447"/>
      <c r="G293" s="448">
        <f t="shared" si="9"/>
        <v>0</v>
      </c>
      <c r="H293" s="449"/>
      <c r="I293" s="444"/>
      <c r="J293" s="449"/>
      <c r="K293" s="444" t="s">
        <v>719</v>
      </c>
      <c r="L293" s="450" t="s">
        <v>681</v>
      </c>
      <c r="M293" s="444" t="s">
        <v>828</v>
      </c>
      <c r="N293" s="450"/>
      <c r="O293" s="450"/>
      <c r="P293" s="450" t="s">
        <v>721</v>
      </c>
      <c r="Q293" s="451" t="s">
        <v>374</v>
      </c>
      <c r="R293" s="451" t="s">
        <v>263</v>
      </c>
      <c r="S293" s="452" t="s">
        <v>806</v>
      </c>
      <c r="T293" s="452">
        <v>45568</v>
      </c>
      <c r="U293" s="453"/>
      <c r="V293" s="454"/>
      <c r="W293" s="455" t="s">
        <v>406</v>
      </c>
      <c r="X293" s="455">
        <v>45565</v>
      </c>
      <c r="Y293" s="456" t="s">
        <v>377</v>
      </c>
      <c r="Z293" s="457"/>
      <c r="AA293" s="494"/>
    </row>
    <row r="294" spans="1:27" s="128" customFormat="1" ht="36" customHeight="1">
      <c r="A294" s="458">
        <v>125</v>
      </c>
      <c r="B294" s="459" t="s">
        <v>992</v>
      </c>
      <c r="C294" s="460" t="s">
        <v>58</v>
      </c>
      <c r="D294" s="459" t="s">
        <v>993</v>
      </c>
      <c r="E294" s="461">
        <v>4</v>
      </c>
      <c r="F294" s="462"/>
      <c r="G294" s="463">
        <f t="shared" si="9"/>
        <v>0</v>
      </c>
      <c r="H294" s="464"/>
      <c r="I294" s="459"/>
      <c r="J294" s="464"/>
      <c r="K294" s="459" t="s">
        <v>719</v>
      </c>
      <c r="L294" s="465" t="s">
        <v>681</v>
      </c>
      <c r="M294" s="459" t="s">
        <v>994</v>
      </c>
      <c r="N294" s="465"/>
      <c r="O294" s="465"/>
      <c r="P294" s="465" t="s">
        <v>721</v>
      </c>
      <c r="Q294" s="466" t="s">
        <v>374</v>
      </c>
      <c r="R294" s="466" t="s">
        <v>995</v>
      </c>
      <c r="S294" s="467" t="s">
        <v>425</v>
      </c>
      <c r="T294" s="452">
        <v>45575</v>
      </c>
      <c r="U294" s="468"/>
      <c r="V294" s="469"/>
      <c r="W294" s="470" t="s">
        <v>406</v>
      </c>
      <c r="X294" s="470">
        <v>45561</v>
      </c>
      <c r="Y294" s="471" t="s">
        <v>377</v>
      </c>
      <c r="Z294" s="472"/>
      <c r="AA294" s="494"/>
    </row>
    <row r="295" spans="1:27" s="128" customFormat="1" ht="36" customHeight="1">
      <c r="A295" s="443">
        <v>126</v>
      </c>
      <c r="B295" s="444" t="s">
        <v>996</v>
      </c>
      <c r="C295" s="445" t="s">
        <v>58</v>
      </c>
      <c r="D295" s="444" t="s">
        <v>997</v>
      </c>
      <c r="E295" s="446">
        <v>26</v>
      </c>
      <c r="F295" s="447"/>
      <c r="G295" s="448">
        <f t="shared" ref="G295:G300" si="10">E295*F295</f>
        <v>0</v>
      </c>
      <c r="H295" s="449"/>
      <c r="I295" s="444"/>
      <c r="J295" s="449"/>
      <c r="K295" s="444" t="s">
        <v>719</v>
      </c>
      <c r="L295" s="450" t="s">
        <v>681</v>
      </c>
      <c r="M295" s="444" t="s">
        <v>805</v>
      </c>
      <c r="N295" s="450"/>
      <c r="O295" s="450"/>
      <c r="P295" s="450" t="s">
        <v>721</v>
      </c>
      <c r="Q295" s="451" t="s">
        <v>374</v>
      </c>
      <c r="R295" s="451" t="s">
        <v>251</v>
      </c>
      <c r="S295" s="452" t="s">
        <v>806</v>
      </c>
      <c r="T295" s="452">
        <v>45568</v>
      </c>
      <c r="U295" s="453"/>
      <c r="V295" s="454"/>
      <c r="W295" s="455" t="s">
        <v>406</v>
      </c>
      <c r="X295" s="455">
        <v>45561</v>
      </c>
      <c r="Y295" s="456" t="s">
        <v>377</v>
      </c>
      <c r="Z295" s="457"/>
      <c r="AA295" s="494"/>
    </row>
    <row r="296" spans="1:27" s="128" customFormat="1" ht="36" customHeight="1">
      <c r="A296" s="443">
        <v>127</v>
      </c>
      <c r="B296" s="444" t="s">
        <v>998</v>
      </c>
      <c r="C296" s="445" t="s">
        <v>58</v>
      </c>
      <c r="D296" s="444" t="s">
        <v>999</v>
      </c>
      <c r="E296" s="446">
        <v>1</v>
      </c>
      <c r="F296" s="447"/>
      <c r="G296" s="448">
        <f t="shared" si="10"/>
        <v>0</v>
      </c>
      <c r="H296" s="449"/>
      <c r="I296" s="444"/>
      <c r="J296" s="449"/>
      <c r="K296" s="444" t="s">
        <v>719</v>
      </c>
      <c r="L296" s="450" t="s">
        <v>681</v>
      </c>
      <c r="M296" s="444" t="s">
        <v>805</v>
      </c>
      <c r="N296" s="450"/>
      <c r="O296" s="450"/>
      <c r="P296" s="450" t="s">
        <v>721</v>
      </c>
      <c r="Q296" s="451" t="s">
        <v>374</v>
      </c>
      <c r="R296" s="451" t="s">
        <v>251</v>
      </c>
      <c r="S296" s="452" t="s">
        <v>806</v>
      </c>
      <c r="T296" s="452"/>
      <c r="U296" s="453"/>
      <c r="V296" s="454"/>
      <c r="W296" s="455" t="s">
        <v>406</v>
      </c>
      <c r="X296" s="455">
        <v>45541</v>
      </c>
      <c r="Y296" s="456" t="s">
        <v>377</v>
      </c>
      <c r="Z296" s="457"/>
      <c r="AA296" s="494"/>
    </row>
    <row r="297" spans="1:27" s="128" customFormat="1" ht="36" customHeight="1">
      <c r="A297" s="443">
        <v>128</v>
      </c>
      <c r="B297" s="444" t="s">
        <v>1000</v>
      </c>
      <c r="C297" s="445" t="s">
        <v>58</v>
      </c>
      <c r="D297" s="444" t="s">
        <v>1001</v>
      </c>
      <c r="E297" s="446">
        <v>13</v>
      </c>
      <c r="F297" s="447"/>
      <c r="G297" s="448">
        <f t="shared" si="10"/>
        <v>0</v>
      </c>
      <c r="H297" s="449"/>
      <c r="I297" s="444"/>
      <c r="J297" s="449"/>
      <c r="K297" s="444" t="s">
        <v>1002</v>
      </c>
      <c r="L297" s="450" t="s">
        <v>1003</v>
      </c>
      <c r="M297" s="444" t="s">
        <v>1004</v>
      </c>
      <c r="N297" s="450"/>
      <c r="O297" s="450"/>
      <c r="P297" s="450" t="s">
        <v>373</v>
      </c>
      <c r="Q297" s="451" t="s">
        <v>374</v>
      </c>
      <c r="R297" s="451" t="s">
        <v>251</v>
      </c>
      <c r="S297" s="452" t="s">
        <v>1005</v>
      </c>
      <c r="T297" s="452"/>
      <c r="U297" s="453"/>
      <c r="V297" s="454"/>
      <c r="W297" s="455" t="s">
        <v>376</v>
      </c>
      <c r="X297" s="455">
        <v>45548</v>
      </c>
      <c r="Y297" s="456" t="s">
        <v>377</v>
      </c>
      <c r="Z297" s="457"/>
      <c r="AA297" s="494"/>
    </row>
    <row r="298" spans="1:27" s="128" customFormat="1" ht="36" customHeight="1">
      <c r="A298" s="443">
        <v>129</v>
      </c>
      <c r="B298" s="444" t="s">
        <v>1006</v>
      </c>
      <c r="C298" s="445" t="s">
        <v>58</v>
      </c>
      <c r="D298" s="444" t="s">
        <v>1007</v>
      </c>
      <c r="E298" s="446">
        <v>1</v>
      </c>
      <c r="F298" s="447"/>
      <c r="G298" s="448">
        <f t="shared" si="10"/>
        <v>0</v>
      </c>
      <c r="H298" s="449"/>
      <c r="I298" s="444"/>
      <c r="J298" s="449"/>
      <c r="K298" s="444" t="s">
        <v>1008</v>
      </c>
      <c r="L298" s="450" t="s">
        <v>624</v>
      </c>
      <c r="M298" s="444" t="s">
        <v>1009</v>
      </c>
      <c r="N298" s="450"/>
      <c r="O298" s="450"/>
      <c r="P298" s="450" t="s">
        <v>403</v>
      </c>
      <c r="Q298" s="451" t="s">
        <v>374</v>
      </c>
      <c r="R298" s="451" t="s">
        <v>404</v>
      </c>
      <c r="S298" s="452" t="s">
        <v>405</v>
      </c>
      <c r="T298" s="452"/>
      <c r="U298" s="453"/>
      <c r="V298" s="454"/>
      <c r="W298" s="455" t="s">
        <v>406</v>
      </c>
      <c r="X298" s="455">
        <v>45607</v>
      </c>
      <c r="Y298" s="456" t="s">
        <v>377</v>
      </c>
      <c r="Z298" s="457"/>
      <c r="AA298" s="494">
        <v>1</v>
      </c>
    </row>
    <row r="299" spans="1:27" s="128" customFormat="1" ht="36" customHeight="1">
      <c r="A299" s="443">
        <v>130</v>
      </c>
      <c r="B299" s="444" t="s">
        <v>1010</v>
      </c>
      <c r="C299" s="445" t="s">
        <v>58</v>
      </c>
      <c r="D299" s="444" t="s">
        <v>1011</v>
      </c>
      <c r="E299" s="446">
        <v>1</v>
      </c>
      <c r="F299" s="447"/>
      <c r="G299" s="448">
        <f t="shared" si="10"/>
        <v>0</v>
      </c>
      <c r="H299" s="449"/>
      <c r="I299" s="444"/>
      <c r="J299" s="449"/>
      <c r="K299" s="444" t="s">
        <v>1008</v>
      </c>
      <c r="L299" s="450" t="s">
        <v>624</v>
      </c>
      <c r="M299" s="444" t="s">
        <v>1009</v>
      </c>
      <c r="N299" s="450"/>
      <c r="O299" s="450"/>
      <c r="P299" s="450" t="s">
        <v>403</v>
      </c>
      <c r="Q299" s="451" t="s">
        <v>374</v>
      </c>
      <c r="R299" s="451" t="s">
        <v>404</v>
      </c>
      <c r="S299" s="452" t="s">
        <v>405</v>
      </c>
      <c r="T299" s="452"/>
      <c r="U299" s="453"/>
      <c r="V299" s="454"/>
      <c r="W299" s="455" t="s">
        <v>406</v>
      </c>
      <c r="X299" s="455">
        <v>45607</v>
      </c>
      <c r="Y299" s="456" t="s">
        <v>377</v>
      </c>
      <c r="Z299" s="457"/>
      <c r="AA299" s="494">
        <v>1</v>
      </c>
    </row>
    <row r="300" spans="1:27" ht="18" customHeight="1">
      <c r="A300" s="389"/>
      <c r="B300" s="390" t="s">
        <v>1012</v>
      </c>
      <c r="C300" s="391"/>
      <c r="D300" s="392"/>
      <c r="E300" s="393"/>
      <c r="F300" s="394"/>
      <c r="G300" s="395">
        <f t="shared" si="10"/>
        <v>0</v>
      </c>
      <c r="H300" s="396"/>
      <c r="I300" s="392"/>
      <c r="J300" s="396"/>
      <c r="K300" s="392"/>
      <c r="L300" s="397"/>
      <c r="M300" s="392"/>
      <c r="N300" s="397"/>
      <c r="O300" s="397"/>
      <c r="P300" s="397"/>
      <c r="Q300" s="398"/>
      <c r="R300" s="398"/>
      <c r="S300" s="399"/>
      <c r="T300" s="399"/>
      <c r="U300" s="400"/>
      <c r="V300" s="401"/>
      <c r="W300" s="402"/>
      <c r="X300" s="402"/>
      <c r="Y300" s="403"/>
      <c r="Z300" s="404"/>
      <c r="AA300" s="492"/>
    </row>
    <row r="301" spans="1:27" s="128" customFormat="1" ht="36" customHeight="1">
      <c r="A301" s="443">
        <v>1</v>
      </c>
      <c r="B301" s="444" t="s">
        <v>1013</v>
      </c>
      <c r="C301" s="445" t="s">
        <v>60</v>
      </c>
      <c r="D301" s="444" t="s">
        <v>1014</v>
      </c>
      <c r="E301" s="446">
        <v>1</v>
      </c>
      <c r="F301" s="447"/>
      <c r="G301" s="448">
        <f t="shared" ref="G301:G332" si="11">E301*F301</f>
        <v>0</v>
      </c>
      <c r="H301" s="449"/>
      <c r="I301" s="444"/>
      <c r="J301" s="449"/>
      <c r="K301" s="444" t="s">
        <v>1015</v>
      </c>
      <c r="L301" s="450" t="s">
        <v>1003</v>
      </c>
      <c r="M301" s="444" t="s">
        <v>1016</v>
      </c>
      <c r="N301" s="450"/>
      <c r="O301" s="450"/>
      <c r="P301" s="450" t="s">
        <v>1017</v>
      </c>
      <c r="Q301" s="451" t="s">
        <v>374</v>
      </c>
      <c r="R301" s="451" t="s">
        <v>1018</v>
      </c>
      <c r="S301" s="452" t="s">
        <v>723</v>
      </c>
      <c r="T301" s="452"/>
      <c r="U301" s="453"/>
      <c r="V301" s="454"/>
      <c r="W301" s="455" t="s">
        <v>406</v>
      </c>
      <c r="X301" s="455">
        <v>45573</v>
      </c>
      <c r="Y301" s="456" t="s">
        <v>377</v>
      </c>
      <c r="Z301" s="457"/>
      <c r="AA301" s="494"/>
    </row>
    <row r="302" spans="1:27" s="128" customFormat="1" ht="36" customHeight="1">
      <c r="A302" s="443">
        <v>2</v>
      </c>
      <c r="B302" s="444" t="s">
        <v>1019</v>
      </c>
      <c r="C302" s="445" t="s">
        <v>60</v>
      </c>
      <c r="D302" s="444" t="s">
        <v>1020</v>
      </c>
      <c r="E302" s="446">
        <v>1</v>
      </c>
      <c r="F302" s="447"/>
      <c r="G302" s="448">
        <f t="shared" si="11"/>
        <v>0</v>
      </c>
      <c r="H302" s="449"/>
      <c r="I302" s="444"/>
      <c r="J302" s="449"/>
      <c r="K302" s="444" t="s">
        <v>1015</v>
      </c>
      <c r="L302" s="450" t="s">
        <v>1003</v>
      </c>
      <c r="M302" s="444" t="s">
        <v>1016</v>
      </c>
      <c r="N302" s="450"/>
      <c r="O302" s="450"/>
      <c r="P302" s="450" t="s">
        <v>1017</v>
      </c>
      <c r="Q302" s="451" t="s">
        <v>374</v>
      </c>
      <c r="R302" s="451" t="s">
        <v>1018</v>
      </c>
      <c r="S302" s="452" t="s">
        <v>723</v>
      </c>
      <c r="T302" s="452"/>
      <c r="U302" s="453"/>
      <c r="V302" s="454"/>
      <c r="W302" s="455" t="s">
        <v>406</v>
      </c>
      <c r="X302" s="455">
        <v>45573</v>
      </c>
      <c r="Y302" s="456" t="s">
        <v>377</v>
      </c>
      <c r="Z302" s="457"/>
      <c r="AA302" s="494"/>
    </row>
    <row r="303" spans="1:27" s="128" customFormat="1" ht="36" customHeight="1">
      <c r="A303" s="443">
        <v>3</v>
      </c>
      <c r="B303" s="444" t="s">
        <v>1021</v>
      </c>
      <c r="C303" s="445" t="s">
        <v>60</v>
      </c>
      <c r="D303" s="444" t="s">
        <v>1022</v>
      </c>
      <c r="E303" s="446">
        <v>1</v>
      </c>
      <c r="F303" s="447"/>
      <c r="G303" s="448">
        <f t="shared" si="11"/>
        <v>0</v>
      </c>
      <c r="H303" s="449"/>
      <c r="I303" s="444"/>
      <c r="J303" s="449"/>
      <c r="K303" s="444" t="s">
        <v>1015</v>
      </c>
      <c r="L303" s="450" t="s">
        <v>1003</v>
      </c>
      <c r="M303" s="444" t="s">
        <v>1016</v>
      </c>
      <c r="N303" s="450"/>
      <c r="O303" s="450"/>
      <c r="P303" s="450" t="s">
        <v>1017</v>
      </c>
      <c r="Q303" s="451" t="s">
        <v>374</v>
      </c>
      <c r="R303" s="451" t="s">
        <v>1018</v>
      </c>
      <c r="S303" s="452" t="s">
        <v>986</v>
      </c>
      <c r="T303" s="452"/>
      <c r="U303" s="453"/>
      <c r="V303" s="454"/>
      <c r="W303" s="455" t="s">
        <v>406</v>
      </c>
      <c r="X303" s="455">
        <v>45555</v>
      </c>
      <c r="Y303" s="456" t="s">
        <v>377</v>
      </c>
      <c r="Z303" s="457"/>
      <c r="AA303" s="494"/>
    </row>
    <row r="304" spans="1:27" s="128" customFormat="1" ht="37.5" customHeight="1">
      <c r="A304" s="443">
        <v>4</v>
      </c>
      <c r="B304" s="444" t="s">
        <v>1023</v>
      </c>
      <c r="C304" s="445" t="s">
        <v>60</v>
      </c>
      <c r="D304" s="444" t="s">
        <v>1024</v>
      </c>
      <c r="E304" s="446">
        <v>1</v>
      </c>
      <c r="F304" s="447"/>
      <c r="G304" s="448">
        <f t="shared" si="11"/>
        <v>0</v>
      </c>
      <c r="H304" s="449"/>
      <c r="I304" s="444"/>
      <c r="J304" s="449"/>
      <c r="K304" s="444" t="s">
        <v>1025</v>
      </c>
      <c r="L304" s="450" t="s">
        <v>444</v>
      </c>
      <c r="M304" s="444" t="s">
        <v>444</v>
      </c>
      <c r="N304" s="450"/>
      <c r="O304" s="450"/>
      <c r="P304" s="450" t="s">
        <v>444</v>
      </c>
      <c r="Q304" s="451" t="s">
        <v>374</v>
      </c>
      <c r="R304" s="451"/>
      <c r="S304" s="452"/>
      <c r="T304" s="452" t="s">
        <v>1026</v>
      </c>
      <c r="U304" s="453"/>
      <c r="V304" s="454"/>
      <c r="W304" s="455" t="s">
        <v>406</v>
      </c>
      <c r="X304" s="455">
        <v>45565</v>
      </c>
      <c r="Y304" s="456" t="s">
        <v>377</v>
      </c>
      <c r="Z304" s="457"/>
      <c r="AA304" s="494"/>
    </row>
    <row r="305" spans="1:27" s="128" customFormat="1" ht="36" customHeight="1">
      <c r="A305" s="443">
        <v>5</v>
      </c>
      <c r="B305" s="444" t="s">
        <v>1027</v>
      </c>
      <c r="C305" s="445" t="s">
        <v>60</v>
      </c>
      <c r="D305" s="444" t="s">
        <v>1028</v>
      </c>
      <c r="E305" s="446">
        <v>1</v>
      </c>
      <c r="F305" s="447"/>
      <c r="G305" s="448">
        <f t="shared" si="11"/>
        <v>0</v>
      </c>
      <c r="H305" s="449"/>
      <c r="I305" s="444"/>
      <c r="J305" s="449"/>
      <c r="K305" s="444" t="s">
        <v>1015</v>
      </c>
      <c r="L305" s="450" t="s">
        <v>1003</v>
      </c>
      <c r="M305" s="444" t="s">
        <v>1029</v>
      </c>
      <c r="N305" s="450"/>
      <c r="O305" s="450"/>
      <c r="P305" s="450" t="s">
        <v>1017</v>
      </c>
      <c r="Q305" s="451" t="s">
        <v>374</v>
      </c>
      <c r="R305" s="451" t="s">
        <v>277</v>
      </c>
      <c r="S305" s="452" t="s">
        <v>548</v>
      </c>
      <c r="T305" s="452">
        <v>45561</v>
      </c>
      <c r="U305" s="453"/>
      <c r="V305" s="454"/>
      <c r="W305" s="455" t="s">
        <v>376</v>
      </c>
      <c r="X305" s="455">
        <v>45559</v>
      </c>
      <c r="Y305" s="456" t="s">
        <v>377</v>
      </c>
      <c r="Z305" s="457"/>
      <c r="AA305" s="494"/>
    </row>
    <row r="306" spans="1:27" s="128" customFormat="1" ht="36" customHeight="1">
      <c r="A306" s="443">
        <v>6</v>
      </c>
      <c r="B306" s="444" t="s">
        <v>1030</v>
      </c>
      <c r="C306" s="445" t="s">
        <v>60</v>
      </c>
      <c r="D306" s="444" t="s">
        <v>1031</v>
      </c>
      <c r="E306" s="446">
        <v>4</v>
      </c>
      <c r="F306" s="447"/>
      <c r="G306" s="448">
        <f t="shared" si="11"/>
        <v>0</v>
      </c>
      <c r="H306" s="449"/>
      <c r="I306" s="444"/>
      <c r="J306" s="449"/>
      <c r="K306" s="444" t="s">
        <v>1025</v>
      </c>
      <c r="L306" s="450" t="s">
        <v>444</v>
      </c>
      <c r="M306" s="444" t="s">
        <v>444</v>
      </c>
      <c r="N306" s="450"/>
      <c r="O306" s="450"/>
      <c r="P306" s="450" t="s">
        <v>444</v>
      </c>
      <c r="Q306" s="451" t="s">
        <v>374</v>
      </c>
      <c r="R306" s="451"/>
      <c r="S306" s="452"/>
      <c r="T306" s="452" t="s">
        <v>1026</v>
      </c>
      <c r="U306" s="453"/>
      <c r="V306" s="454"/>
      <c r="W306" s="455" t="s">
        <v>406</v>
      </c>
      <c r="X306" s="455">
        <v>45565</v>
      </c>
      <c r="Y306" s="456" t="s">
        <v>377</v>
      </c>
      <c r="Z306" s="457"/>
      <c r="AA306" s="494"/>
    </row>
    <row r="307" spans="1:27" s="128" customFormat="1" ht="36" customHeight="1">
      <c r="A307" s="443">
        <v>7</v>
      </c>
      <c r="B307" s="444" t="s">
        <v>1032</v>
      </c>
      <c r="C307" s="445" t="s">
        <v>60</v>
      </c>
      <c r="D307" s="444" t="s">
        <v>1033</v>
      </c>
      <c r="E307" s="446">
        <v>1</v>
      </c>
      <c r="F307" s="447"/>
      <c r="G307" s="448">
        <f t="shared" si="11"/>
        <v>0</v>
      </c>
      <c r="H307" s="449"/>
      <c r="I307" s="444"/>
      <c r="J307" s="449"/>
      <c r="K307" s="444" t="s">
        <v>1015</v>
      </c>
      <c r="L307" s="450" t="s">
        <v>1003</v>
      </c>
      <c r="M307" s="444" t="s">
        <v>1029</v>
      </c>
      <c r="N307" s="450"/>
      <c r="O307" s="450"/>
      <c r="P307" s="450" t="s">
        <v>1017</v>
      </c>
      <c r="Q307" s="451" t="s">
        <v>374</v>
      </c>
      <c r="R307" s="451" t="s">
        <v>277</v>
      </c>
      <c r="S307" s="452" t="s">
        <v>548</v>
      </c>
      <c r="T307" s="452">
        <v>45561</v>
      </c>
      <c r="U307" s="453"/>
      <c r="V307" s="454"/>
      <c r="W307" s="455" t="s">
        <v>376</v>
      </c>
      <c r="X307" s="455">
        <v>45559</v>
      </c>
      <c r="Y307" s="456" t="s">
        <v>377</v>
      </c>
      <c r="Z307" s="457"/>
      <c r="AA307" s="494"/>
    </row>
    <row r="308" spans="1:27" s="128" customFormat="1" ht="36" customHeight="1">
      <c r="A308" s="443">
        <v>8</v>
      </c>
      <c r="B308" s="444" t="s">
        <v>1034</v>
      </c>
      <c r="C308" s="445" t="s">
        <v>60</v>
      </c>
      <c r="D308" s="444" t="s">
        <v>1035</v>
      </c>
      <c r="E308" s="446">
        <v>1</v>
      </c>
      <c r="F308" s="447"/>
      <c r="G308" s="448">
        <f t="shared" si="11"/>
        <v>0</v>
      </c>
      <c r="H308" s="449"/>
      <c r="I308" s="444"/>
      <c r="J308" s="449"/>
      <c r="K308" s="444" t="s">
        <v>1015</v>
      </c>
      <c r="L308" s="450" t="s">
        <v>1003</v>
      </c>
      <c r="M308" s="444" t="s">
        <v>1029</v>
      </c>
      <c r="N308" s="450"/>
      <c r="O308" s="450"/>
      <c r="P308" s="450" t="s">
        <v>1017</v>
      </c>
      <c r="Q308" s="451" t="s">
        <v>374</v>
      </c>
      <c r="R308" s="451" t="s">
        <v>277</v>
      </c>
      <c r="S308" s="452" t="s">
        <v>548</v>
      </c>
      <c r="T308" s="452">
        <v>45561</v>
      </c>
      <c r="U308" s="453"/>
      <c r="V308" s="454"/>
      <c r="W308" s="455" t="s">
        <v>376</v>
      </c>
      <c r="X308" s="455">
        <v>45559</v>
      </c>
      <c r="Y308" s="456" t="s">
        <v>377</v>
      </c>
      <c r="Z308" s="457"/>
      <c r="AA308" s="494"/>
    </row>
    <row r="309" spans="1:27" s="128" customFormat="1" ht="36" customHeight="1">
      <c r="A309" s="443">
        <v>9</v>
      </c>
      <c r="B309" s="444" t="s">
        <v>1036</v>
      </c>
      <c r="C309" s="445" t="s">
        <v>60</v>
      </c>
      <c r="D309" s="444" t="s">
        <v>1037</v>
      </c>
      <c r="E309" s="446">
        <v>1</v>
      </c>
      <c r="F309" s="447"/>
      <c r="G309" s="448">
        <f t="shared" si="11"/>
        <v>0</v>
      </c>
      <c r="H309" s="449"/>
      <c r="I309" s="444"/>
      <c r="J309" s="449"/>
      <c r="K309" s="444" t="s">
        <v>1015</v>
      </c>
      <c r="L309" s="450" t="s">
        <v>1003</v>
      </c>
      <c r="M309" s="444" t="s">
        <v>1029</v>
      </c>
      <c r="N309" s="450"/>
      <c r="O309" s="450"/>
      <c r="P309" s="450" t="s">
        <v>1017</v>
      </c>
      <c r="Q309" s="451" t="s">
        <v>374</v>
      </c>
      <c r="R309" s="451" t="s">
        <v>277</v>
      </c>
      <c r="S309" s="452" t="s">
        <v>548</v>
      </c>
      <c r="T309" s="452">
        <v>45561</v>
      </c>
      <c r="U309" s="453"/>
      <c r="V309" s="454"/>
      <c r="W309" s="455" t="s">
        <v>376</v>
      </c>
      <c r="X309" s="455">
        <v>45559</v>
      </c>
      <c r="Y309" s="456" t="s">
        <v>377</v>
      </c>
      <c r="Z309" s="457"/>
      <c r="AA309" s="494"/>
    </row>
    <row r="310" spans="1:27" s="128" customFormat="1" ht="36" customHeight="1">
      <c r="A310" s="443">
        <v>10</v>
      </c>
      <c r="B310" s="444" t="s">
        <v>1038</v>
      </c>
      <c r="C310" s="445" t="s">
        <v>60</v>
      </c>
      <c r="D310" s="444" t="s">
        <v>1039</v>
      </c>
      <c r="E310" s="446">
        <v>1</v>
      </c>
      <c r="F310" s="447"/>
      <c r="G310" s="448">
        <f t="shared" si="11"/>
        <v>0</v>
      </c>
      <c r="H310" s="449"/>
      <c r="I310" s="444"/>
      <c r="J310" s="449"/>
      <c r="K310" s="444" t="s">
        <v>1015</v>
      </c>
      <c r="L310" s="450" t="s">
        <v>1003</v>
      </c>
      <c r="M310" s="444" t="s">
        <v>1040</v>
      </c>
      <c r="N310" s="450"/>
      <c r="O310" s="450"/>
      <c r="P310" s="450" t="s">
        <v>1017</v>
      </c>
      <c r="Q310" s="451" t="s">
        <v>374</v>
      </c>
      <c r="R310" s="451" t="s">
        <v>1041</v>
      </c>
      <c r="S310" s="452" t="s">
        <v>548</v>
      </c>
      <c r="T310" s="452"/>
      <c r="U310" s="453"/>
      <c r="V310" s="454"/>
      <c r="W310" s="455" t="s">
        <v>406</v>
      </c>
      <c r="X310" s="455">
        <v>45554</v>
      </c>
      <c r="Y310" s="456" t="s">
        <v>377</v>
      </c>
      <c r="Z310" s="457"/>
      <c r="AA310" s="494"/>
    </row>
    <row r="311" spans="1:27" s="128" customFormat="1" ht="36" customHeight="1">
      <c r="A311" s="443">
        <v>11</v>
      </c>
      <c r="B311" s="444" t="s">
        <v>1042</v>
      </c>
      <c r="C311" s="445" t="s">
        <v>60</v>
      </c>
      <c r="D311" s="444" t="s">
        <v>1043</v>
      </c>
      <c r="E311" s="446">
        <v>1</v>
      </c>
      <c r="F311" s="447"/>
      <c r="G311" s="448">
        <f t="shared" si="11"/>
        <v>0</v>
      </c>
      <c r="H311" s="449"/>
      <c r="I311" s="444"/>
      <c r="J311" s="449"/>
      <c r="K311" s="444" t="s">
        <v>1015</v>
      </c>
      <c r="L311" s="450" t="s">
        <v>1003</v>
      </c>
      <c r="M311" s="444" t="s">
        <v>1044</v>
      </c>
      <c r="N311" s="450"/>
      <c r="O311" s="450"/>
      <c r="P311" s="450" t="s">
        <v>547</v>
      </c>
      <c r="Q311" s="451" t="s">
        <v>374</v>
      </c>
      <c r="R311" s="451" t="s">
        <v>263</v>
      </c>
      <c r="S311" s="452" t="s">
        <v>1045</v>
      </c>
      <c r="T311" s="452">
        <v>45588</v>
      </c>
      <c r="U311" s="453"/>
      <c r="V311" s="454"/>
      <c r="W311" s="455" t="s">
        <v>406</v>
      </c>
      <c r="X311" s="455">
        <v>45561</v>
      </c>
      <c r="Y311" s="456" t="s">
        <v>377</v>
      </c>
      <c r="Z311" s="457"/>
      <c r="AA311" s="494"/>
    </row>
    <row r="312" spans="1:27" s="128" customFormat="1" ht="36" customHeight="1">
      <c r="A312" s="443">
        <v>12</v>
      </c>
      <c r="B312" s="444" t="s">
        <v>884</v>
      </c>
      <c r="C312" s="445" t="s">
        <v>60</v>
      </c>
      <c r="D312" s="444" t="s">
        <v>885</v>
      </c>
      <c r="E312" s="446">
        <v>1</v>
      </c>
      <c r="F312" s="447"/>
      <c r="G312" s="448">
        <f t="shared" si="11"/>
        <v>0</v>
      </c>
      <c r="H312" s="449"/>
      <c r="I312" s="444"/>
      <c r="J312" s="449"/>
      <c r="K312" s="444" t="s">
        <v>1046</v>
      </c>
      <c r="L312" s="450" t="s">
        <v>1047</v>
      </c>
      <c r="M312" s="444" t="s">
        <v>1044</v>
      </c>
      <c r="N312" s="450"/>
      <c r="O312" s="450"/>
      <c r="P312" s="450" t="s">
        <v>547</v>
      </c>
      <c r="Q312" s="451" t="s">
        <v>374</v>
      </c>
      <c r="R312" s="451" t="s">
        <v>263</v>
      </c>
      <c r="S312" s="452" t="s">
        <v>1045</v>
      </c>
      <c r="T312" s="452"/>
      <c r="U312" s="453"/>
      <c r="V312" s="454"/>
      <c r="W312" s="455" t="s">
        <v>376</v>
      </c>
      <c r="X312" s="455">
        <v>45548</v>
      </c>
      <c r="Y312" s="456" t="s">
        <v>377</v>
      </c>
      <c r="Z312" s="457"/>
      <c r="AA312" s="494"/>
    </row>
    <row r="313" spans="1:27" s="128" customFormat="1" ht="36" customHeight="1">
      <c r="A313" s="443">
        <v>13</v>
      </c>
      <c r="B313" s="444" t="s">
        <v>976</v>
      </c>
      <c r="C313" s="445" t="s">
        <v>60</v>
      </c>
      <c r="D313" s="444" t="s">
        <v>977</v>
      </c>
      <c r="E313" s="446">
        <v>1</v>
      </c>
      <c r="F313" s="447"/>
      <c r="G313" s="448">
        <f t="shared" si="11"/>
        <v>0</v>
      </c>
      <c r="H313" s="449"/>
      <c r="I313" s="444"/>
      <c r="J313" s="449"/>
      <c r="K313" s="444" t="s">
        <v>1046</v>
      </c>
      <c r="L313" s="450" t="s">
        <v>1047</v>
      </c>
      <c r="M313" s="444" t="s">
        <v>1048</v>
      </c>
      <c r="N313" s="450"/>
      <c r="O313" s="450"/>
      <c r="P313" s="450" t="s">
        <v>1017</v>
      </c>
      <c r="Q313" s="451" t="s">
        <v>374</v>
      </c>
      <c r="R313" s="451" t="s">
        <v>303</v>
      </c>
      <c r="S313" s="452" t="s">
        <v>979</v>
      </c>
      <c r="T313" s="452"/>
      <c r="U313" s="453"/>
      <c r="V313" s="454"/>
      <c r="W313" s="455" t="s">
        <v>406</v>
      </c>
      <c r="X313" s="455">
        <v>45553</v>
      </c>
      <c r="Y313" s="456" t="s">
        <v>377</v>
      </c>
      <c r="Z313" s="457"/>
      <c r="AA313" s="494"/>
    </row>
    <row r="314" spans="1:27" s="128" customFormat="1" ht="36" customHeight="1">
      <c r="A314" s="443">
        <v>14</v>
      </c>
      <c r="B314" s="444" t="s">
        <v>980</v>
      </c>
      <c r="C314" s="445" t="s">
        <v>60</v>
      </c>
      <c r="D314" s="444" t="s">
        <v>981</v>
      </c>
      <c r="E314" s="446">
        <v>1</v>
      </c>
      <c r="F314" s="447"/>
      <c r="G314" s="448">
        <f t="shared" si="11"/>
        <v>0</v>
      </c>
      <c r="H314" s="449"/>
      <c r="I314" s="444"/>
      <c r="J314" s="449"/>
      <c r="K314" s="444" t="s">
        <v>1046</v>
      </c>
      <c r="L314" s="450" t="s">
        <v>1047</v>
      </c>
      <c r="M314" s="444" t="s">
        <v>1048</v>
      </c>
      <c r="N314" s="450"/>
      <c r="O314" s="450"/>
      <c r="P314" s="450" t="s">
        <v>1017</v>
      </c>
      <c r="Q314" s="451" t="s">
        <v>374</v>
      </c>
      <c r="R314" s="451" t="s">
        <v>303</v>
      </c>
      <c r="S314" s="452" t="s">
        <v>979</v>
      </c>
      <c r="T314" s="452"/>
      <c r="U314" s="453"/>
      <c r="V314" s="454"/>
      <c r="W314" s="455" t="s">
        <v>406</v>
      </c>
      <c r="X314" s="455">
        <v>45553</v>
      </c>
      <c r="Y314" s="456" t="s">
        <v>377</v>
      </c>
      <c r="Z314" s="457"/>
      <c r="AA314" s="494"/>
    </row>
    <row r="315" spans="1:27" s="128" customFormat="1" ht="36" customHeight="1">
      <c r="A315" s="443">
        <v>15</v>
      </c>
      <c r="B315" s="444" t="s">
        <v>982</v>
      </c>
      <c r="C315" s="445" t="s">
        <v>60</v>
      </c>
      <c r="D315" s="444" t="s">
        <v>983</v>
      </c>
      <c r="E315" s="446">
        <v>1</v>
      </c>
      <c r="F315" s="447"/>
      <c r="G315" s="448">
        <f t="shared" si="11"/>
        <v>0</v>
      </c>
      <c r="H315" s="449"/>
      <c r="I315" s="444"/>
      <c r="J315" s="449"/>
      <c r="K315" s="444" t="s">
        <v>1046</v>
      </c>
      <c r="L315" s="450" t="s">
        <v>1047</v>
      </c>
      <c r="M315" s="444" t="s">
        <v>1048</v>
      </c>
      <c r="N315" s="450"/>
      <c r="O315" s="450"/>
      <c r="P315" s="450" t="s">
        <v>1017</v>
      </c>
      <c r="Q315" s="451" t="s">
        <v>374</v>
      </c>
      <c r="R315" s="451" t="s">
        <v>303</v>
      </c>
      <c r="S315" s="452" t="s">
        <v>979</v>
      </c>
      <c r="T315" s="452"/>
      <c r="U315" s="453"/>
      <c r="V315" s="454"/>
      <c r="W315" s="455" t="s">
        <v>406</v>
      </c>
      <c r="X315" s="455">
        <v>45553</v>
      </c>
      <c r="Y315" s="456" t="s">
        <v>377</v>
      </c>
      <c r="Z315" s="457"/>
      <c r="AA315" s="494"/>
    </row>
    <row r="316" spans="1:27" s="128" customFormat="1" ht="36" customHeight="1">
      <c r="A316" s="443">
        <v>16</v>
      </c>
      <c r="B316" s="444" t="s">
        <v>1049</v>
      </c>
      <c r="C316" s="445" t="s">
        <v>60</v>
      </c>
      <c r="D316" s="444" t="s">
        <v>1050</v>
      </c>
      <c r="E316" s="446">
        <v>1</v>
      </c>
      <c r="F316" s="447"/>
      <c r="G316" s="448">
        <f t="shared" si="11"/>
        <v>0</v>
      </c>
      <c r="H316" s="449"/>
      <c r="I316" s="444"/>
      <c r="J316" s="449"/>
      <c r="K316" s="444" t="s">
        <v>1015</v>
      </c>
      <c r="L316" s="450" t="s">
        <v>1003</v>
      </c>
      <c r="M316" s="444" t="s">
        <v>1051</v>
      </c>
      <c r="N316" s="450"/>
      <c r="O316" s="450"/>
      <c r="P316" s="450" t="s">
        <v>1017</v>
      </c>
      <c r="Q316" s="451" t="s">
        <v>374</v>
      </c>
      <c r="R316" s="451" t="s">
        <v>249</v>
      </c>
      <c r="S316" s="452" t="s">
        <v>921</v>
      </c>
      <c r="T316" s="452">
        <v>45554</v>
      </c>
      <c r="U316" s="453"/>
      <c r="V316" s="454"/>
      <c r="W316" s="455" t="s">
        <v>406</v>
      </c>
      <c r="X316" s="455">
        <v>45562</v>
      </c>
      <c r="Y316" s="456" t="s">
        <v>377</v>
      </c>
      <c r="Z316" s="457"/>
      <c r="AA316" s="494"/>
    </row>
    <row r="317" spans="1:27" s="128" customFormat="1" ht="36" customHeight="1">
      <c r="A317" s="443">
        <v>17</v>
      </c>
      <c r="B317" s="444" t="s">
        <v>1052</v>
      </c>
      <c r="C317" s="445" t="s">
        <v>60</v>
      </c>
      <c r="D317" s="444" t="s">
        <v>1053</v>
      </c>
      <c r="E317" s="446">
        <v>1</v>
      </c>
      <c r="F317" s="447"/>
      <c r="G317" s="448">
        <f t="shared" si="11"/>
        <v>0</v>
      </c>
      <c r="H317" s="449"/>
      <c r="I317" s="444"/>
      <c r="J317" s="449"/>
      <c r="K317" s="444" t="s">
        <v>1015</v>
      </c>
      <c r="L317" s="450" t="s">
        <v>1003</v>
      </c>
      <c r="M317" s="444" t="s">
        <v>1051</v>
      </c>
      <c r="N317" s="450"/>
      <c r="O317" s="450"/>
      <c r="P317" s="450" t="s">
        <v>1017</v>
      </c>
      <c r="Q317" s="451" t="s">
        <v>374</v>
      </c>
      <c r="R317" s="451" t="s">
        <v>249</v>
      </c>
      <c r="S317" s="452" t="s">
        <v>921</v>
      </c>
      <c r="T317" s="452">
        <v>45554</v>
      </c>
      <c r="U317" s="453"/>
      <c r="V317" s="454"/>
      <c r="W317" s="455" t="s">
        <v>406</v>
      </c>
      <c r="X317" s="455">
        <v>45562</v>
      </c>
      <c r="Y317" s="456" t="s">
        <v>377</v>
      </c>
      <c r="Z317" s="457"/>
      <c r="AA317" s="494"/>
    </row>
    <row r="318" spans="1:27" s="128" customFormat="1" ht="36" customHeight="1">
      <c r="A318" s="443">
        <v>18</v>
      </c>
      <c r="B318" s="444" t="s">
        <v>1054</v>
      </c>
      <c r="C318" s="445" t="s">
        <v>60</v>
      </c>
      <c r="D318" s="444" t="s">
        <v>1055</v>
      </c>
      <c r="E318" s="446">
        <v>2</v>
      </c>
      <c r="F318" s="447"/>
      <c r="G318" s="448">
        <f t="shared" si="11"/>
        <v>0</v>
      </c>
      <c r="H318" s="449"/>
      <c r="I318" s="444"/>
      <c r="J318" s="449"/>
      <c r="K318" s="444" t="s">
        <v>1015</v>
      </c>
      <c r="L318" s="450" t="s">
        <v>1003</v>
      </c>
      <c r="M318" s="444" t="s">
        <v>1051</v>
      </c>
      <c r="N318" s="450"/>
      <c r="O318" s="450"/>
      <c r="P318" s="450" t="s">
        <v>1017</v>
      </c>
      <c r="Q318" s="451" t="s">
        <v>374</v>
      </c>
      <c r="R318" s="451" t="s">
        <v>249</v>
      </c>
      <c r="S318" s="452" t="s">
        <v>921</v>
      </c>
      <c r="T318" s="452">
        <v>45554</v>
      </c>
      <c r="U318" s="453"/>
      <c r="V318" s="454"/>
      <c r="W318" s="455" t="s">
        <v>406</v>
      </c>
      <c r="X318" s="455">
        <v>45562</v>
      </c>
      <c r="Y318" s="456" t="s">
        <v>377</v>
      </c>
      <c r="Z318" s="457"/>
      <c r="AA318" s="494"/>
    </row>
    <row r="319" spans="1:27" s="128" customFormat="1" ht="36" customHeight="1">
      <c r="A319" s="443">
        <v>19</v>
      </c>
      <c r="B319" s="444" t="s">
        <v>1056</v>
      </c>
      <c r="C319" s="445" t="s">
        <v>60</v>
      </c>
      <c r="D319" s="444" t="s">
        <v>1057</v>
      </c>
      <c r="E319" s="446">
        <v>2</v>
      </c>
      <c r="F319" s="447"/>
      <c r="G319" s="448">
        <f t="shared" si="11"/>
        <v>0</v>
      </c>
      <c r="H319" s="449"/>
      <c r="I319" s="444"/>
      <c r="J319" s="449"/>
      <c r="K319" s="444" t="s">
        <v>1015</v>
      </c>
      <c r="L319" s="450" t="s">
        <v>1003</v>
      </c>
      <c r="M319" s="444" t="s">
        <v>1051</v>
      </c>
      <c r="N319" s="450"/>
      <c r="O319" s="450"/>
      <c r="P319" s="450" t="s">
        <v>1017</v>
      </c>
      <c r="Q319" s="451" t="s">
        <v>374</v>
      </c>
      <c r="R319" s="451" t="s">
        <v>249</v>
      </c>
      <c r="S319" s="452" t="s">
        <v>921</v>
      </c>
      <c r="T319" s="452">
        <v>45554</v>
      </c>
      <c r="U319" s="453"/>
      <c r="V319" s="454"/>
      <c r="W319" s="455" t="s">
        <v>406</v>
      </c>
      <c r="X319" s="455">
        <v>45562</v>
      </c>
      <c r="Y319" s="456" t="s">
        <v>377</v>
      </c>
      <c r="Z319" s="457"/>
      <c r="AA319" s="494"/>
    </row>
    <row r="320" spans="1:27" s="128" customFormat="1" ht="36" customHeight="1">
      <c r="A320" s="443">
        <v>20</v>
      </c>
      <c r="B320" s="444" t="s">
        <v>1058</v>
      </c>
      <c r="C320" s="445" t="s">
        <v>60</v>
      </c>
      <c r="D320" s="444" t="s">
        <v>1059</v>
      </c>
      <c r="E320" s="446">
        <v>4</v>
      </c>
      <c r="F320" s="447"/>
      <c r="G320" s="448">
        <f t="shared" si="11"/>
        <v>0</v>
      </c>
      <c r="H320" s="449"/>
      <c r="I320" s="444"/>
      <c r="J320" s="449"/>
      <c r="K320" s="444" t="s">
        <v>1015</v>
      </c>
      <c r="L320" s="450" t="s">
        <v>1003</v>
      </c>
      <c r="M320" s="444" t="s">
        <v>1051</v>
      </c>
      <c r="N320" s="450"/>
      <c r="O320" s="450"/>
      <c r="P320" s="450" t="s">
        <v>1017</v>
      </c>
      <c r="Q320" s="451" t="s">
        <v>374</v>
      </c>
      <c r="R320" s="451" t="s">
        <v>249</v>
      </c>
      <c r="S320" s="452" t="s">
        <v>921</v>
      </c>
      <c r="T320" s="452">
        <v>45554</v>
      </c>
      <c r="U320" s="453"/>
      <c r="V320" s="454"/>
      <c r="W320" s="455" t="s">
        <v>406</v>
      </c>
      <c r="X320" s="455">
        <v>45562</v>
      </c>
      <c r="Y320" s="456" t="s">
        <v>377</v>
      </c>
      <c r="Z320" s="457"/>
      <c r="AA320" s="494"/>
    </row>
    <row r="321" spans="1:27" s="128" customFormat="1" ht="36" customHeight="1">
      <c r="A321" s="443">
        <v>21</v>
      </c>
      <c r="B321" s="444" t="s">
        <v>1060</v>
      </c>
      <c r="C321" s="445" t="s">
        <v>60</v>
      </c>
      <c r="D321" s="444" t="s">
        <v>1061</v>
      </c>
      <c r="E321" s="446">
        <v>3</v>
      </c>
      <c r="F321" s="447"/>
      <c r="G321" s="448">
        <f t="shared" si="11"/>
        <v>0</v>
      </c>
      <c r="H321" s="449"/>
      <c r="I321" s="444"/>
      <c r="J321" s="449"/>
      <c r="K321" s="444" t="s">
        <v>1015</v>
      </c>
      <c r="L321" s="450" t="s">
        <v>1003</v>
      </c>
      <c r="M321" s="444" t="s">
        <v>1051</v>
      </c>
      <c r="N321" s="450"/>
      <c r="O321" s="450"/>
      <c r="P321" s="450" t="s">
        <v>1017</v>
      </c>
      <c r="Q321" s="451" t="s">
        <v>374</v>
      </c>
      <c r="R321" s="451" t="s">
        <v>249</v>
      </c>
      <c r="S321" s="452" t="s">
        <v>921</v>
      </c>
      <c r="T321" s="452">
        <v>45554</v>
      </c>
      <c r="U321" s="453"/>
      <c r="V321" s="454"/>
      <c r="W321" s="455" t="s">
        <v>406</v>
      </c>
      <c r="X321" s="455">
        <v>45562</v>
      </c>
      <c r="Y321" s="456" t="s">
        <v>377</v>
      </c>
      <c r="Z321" s="457"/>
      <c r="AA321" s="494"/>
    </row>
    <row r="322" spans="1:27" s="128" customFormat="1" ht="36" customHeight="1">
      <c r="A322" s="443">
        <v>22</v>
      </c>
      <c r="B322" s="444" t="s">
        <v>1062</v>
      </c>
      <c r="C322" s="445" t="s">
        <v>60</v>
      </c>
      <c r="D322" s="444" t="s">
        <v>1063</v>
      </c>
      <c r="E322" s="446">
        <v>1</v>
      </c>
      <c r="F322" s="447"/>
      <c r="G322" s="448">
        <f t="shared" si="11"/>
        <v>0</v>
      </c>
      <c r="H322" s="449"/>
      <c r="I322" s="444"/>
      <c r="J322" s="449"/>
      <c r="K322" s="444" t="s">
        <v>1015</v>
      </c>
      <c r="L322" s="450" t="s">
        <v>1003</v>
      </c>
      <c r="M322" s="444" t="s">
        <v>1051</v>
      </c>
      <c r="N322" s="450"/>
      <c r="O322" s="450"/>
      <c r="P322" s="450" t="s">
        <v>1017</v>
      </c>
      <c r="Q322" s="451" t="s">
        <v>374</v>
      </c>
      <c r="R322" s="451" t="s">
        <v>249</v>
      </c>
      <c r="S322" s="452" t="s">
        <v>921</v>
      </c>
      <c r="T322" s="452">
        <v>45554</v>
      </c>
      <c r="U322" s="453"/>
      <c r="V322" s="454"/>
      <c r="W322" s="455" t="s">
        <v>406</v>
      </c>
      <c r="X322" s="455">
        <v>45562</v>
      </c>
      <c r="Y322" s="456" t="s">
        <v>377</v>
      </c>
      <c r="Z322" s="457"/>
      <c r="AA322" s="494"/>
    </row>
    <row r="323" spans="1:27" s="128" customFormat="1" ht="36" customHeight="1">
      <c r="A323" s="443">
        <v>23</v>
      </c>
      <c r="B323" s="444" t="s">
        <v>1064</v>
      </c>
      <c r="C323" s="445" t="s">
        <v>60</v>
      </c>
      <c r="D323" s="444" t="s">
        <v>1065</v>
      </c>
      <c r="E323" s="446">
        <v>1</v>
      </c>
      <c r="F323" s="447"/>
      <c r="G323" s="448">
        <f t="shared" si="11"/>
        <v>0</v>
      </c>
      <c r="H323" s="449"/>
      <c r="I323" s="444"/>
      <c r="J323" s="449"/>
      <c r="K323" s="444" t="s">
        <v>1015</v>
      </c>
      <c r="L323" s="450" t="s">
        <v>1003</v>
      </c>
      <c r="M323" s="444" t="s">
        <v>1051</v>
      </c>
      <c r="N323" s="450"/>
      <c r="O323" s="450"/>
      <c r="P323" s="450" t="s">
        <v>1017</v>
      </c>
      <c r="Q323" s="451" t="s">
        <v>374</v>
      </c>
      <c r="R323" s="451" t="s">
        <v>249</v>
      </c>
      <c r="S323" s="452" t="s">
        <v>921</v>
      </c>
      <c r="T323" s="452">
        <v>45554</v>
      </c>
      <c r="U323" s="453"/>
      <c r="V323" s="454"/>
      <c r="W323" s="455" t="s">
        <v>406</v>
      </c>
      <c r="X323" s="455">
        <v>45562</v>
      </c>
      <c r="Y323" s="456" t="s">
        <v>377</v>
      </c>
      <c r="Z323" s="457"/>
      <c r="AA323" s="494"/>
    </row>
    <row r="324" spans="1:27" s="128" customFormat="1" ht="36" customHeight="1">
      <c r="A324" s="443">
        <v>24</v>
      </c>
      <c r="B324" s="444" t="s">
        <v>1066</v>
      </c>
      <c r="C324" s="445" t="s">
        <v>60</v>
      </c>
      <c r="D324" s="444" t="s">
        <v>1067</v>
      </c>
      <c r="E324" s="446">
        <v>1</v>
      </c>
      <c r="F324" s="447"/>
      <c r="G324" s="448">
        <f t="shared" si="11"/>
        <v>0</v>
      </c>
      <c r="H324" s="449"/>
      <c r="I324" s="444"/>
      <c r="J324" s="449"/>
      <c r="K324" s="444" t="s">
        <v>1015</v>
      </c>
      <c r="L324" s="450" t="s">
        <v>1003</v>
      </c>
      <c r="M324" s="444" t="s">
        <v>1051</v>
      </c>
      <c r="N324" s="450"/>
      <c r="O324" s="450"/>
      <c r="P324" s="450" t="s">
        <v>1017</v>
      </c>
      <c r="Q324" s="451" t="s">
        <v>374</v>
      </c>
      <c r="R324" s="451" t="s">
        <v>249</v>
      </c>
      <c r="S324" s="452" t="s">
        <v>921</v>
      </c>
      <c r="T324" s="452">
        <v>45554</v>
      </c>
      <c r="U324" s="453"/>
      <c r="V324" s="454"/>
      <c r="W324" s="455" t="s">
        <v>406</v>
      </c>
      <c r="X324" s="455">
        <v>45562</v>
      </c>
      <c r="Y324" s="456" t="s">
        <v>377</v>
      </c>
      <c r="Z324" s="457"/>
      <c r="AA324" s="494"/>
    </row>
    <row r="325" spans="1:27" s="128" customFormat="1" ht="36" customHeight="1">
      <c r="A325" s="443">
        <v>25</v>
      </c>
      <c r="B325" s="444" t="s">
        <v>1068</v>
      </c>
      <c r="C325" s="445" t="s">
        <v>60</v>
      </c>
      <c r="D325" s="444" t="s">
        <v>1069</v>
      </c>
      <c r="E325" s="446">
        <v>1</v>
      </c>
      <c r="F325" s="447"/>
      <c r="G325" s="448">
        <f t="shared" si="11"/>
        <v>0</v>
      </c>
      <c r="H325" s="449"/>
      <c r="I325" s="444"/>
      <c r="J325" s="449"/>
      <c r="K325" s="444" t="s">
        <v>1015</v>
      </c>
      <c r="L325" s="450" t="s">
        <v>1003</v>
      </c>
      <c r="M325" s="444" t="s">
        <v>1051</v>
      </c>
      <c r="N325" s="450"/>
      <c r="O325" s="450"/>
      <c r="P325" s="450" t="s">
        <v>1017</v>
      </c>
      <c r="Q325" s="451" t="s">
        <v>374</v>
      </c>
      <c r="R325" s="451" t="s">
        <v>249</v>
      </c>
      <c r="S325" s="452" t="s">
        <v>921</v>
      </c>
      <c r="T325" s="452">
        <v>45554</v>
      </c>
      <c r="U325" s="453"/>
      <c r="V325" s="454"/>
      <c r="W325" s="455" t="s">
        <v>406</v>
      </c>
      <c r="X325" s="455">
        <v>45562</v>
      </c>
      <c r="Y325" s="456" t="s">
        <v>377</v>
      </c>
      <c r="Z325" s="457"/>
      <c r="AA325" s="494"/>
    </row>
    <row r="326" spans="1:27" s="128" customFormat="1" ht="36" customHeight="1">
      <c r="A326" s="443">
        <v>26</v>
      </c>
      <c r="B326" s="444" t="s">
        <v>1070</v>
      </c>
      <c r="C326" s="445" t="s">
        <v>60</v>
      </c>
      <c r="D326" s="444" t="s">
        <v>919</v>
      </c>
      <c r="E326" s="446">
        <v>5</v>
      </c>
      <c r="F326" s="447"/>
      <c r="G326" s="448">
        <f t="shared" si="11"/>
        <v>0</v>
      </c>
      <c r="H326" s="449"/>
      <c r="I326" s="444"/>
      <c r="J326" s="449"/>
      <c r="K326" s="444" t="s">
        <v>1046</v>
      </c>
      <c r="L326" s="450" t="s">
        <v>1047</v>
      </c>
      <c r="M326" s="444" t="s">
        <v>1044</v>
      </c>
      <c r="N326" s="450"/>
      <c r="O326" s="450"/>
      <c r="P326" s="450" t="s">
        <v>547</v>
      </c>
      <c r="Q326" s="451" t="s">
        <v>374</v>
      </c>
      <c r="R326" s="451" t="s">
        <v>263</v>
      </c>
      <c r="S326" s="452" t="s">
        <v>425</v>
      </c>
      <c r="T326" s="452"/>
      <c r="U326" s="453"/>
      <c r="V326" s="454"/>
      <c r="W326" s="455" t="s">
        <v>376</v>
      </c>
      <c r="X326" s="455">
        <v>45547</v>
      </c>
      <c r="Y326" s="456" t="s">
        <v>377</v>
      </c>
      <c r="Z326" s="457"/>
      <c r="AA326" s="494"/>
    </row>
    <row r="327" spans="1:27" s="128" customFormat="1" ht="36" customHeight="1">
      <c r="A327" s="443">
        <v>27</v>
      </c>
      <c r="B327" s="444" t="s">
        <v>1071</v>
      </c>
      <c r="C327" s="445" t="s">
        <v>60</v>
      </c>
      <c r="D327" s="444" t="s">
        <v>1072</v>
      </c>
      <c r="E327" s="446">
        <v>1</v>
      </c>
      <c r="F327" s="447"/>
      <c r="G327" s="448">
        <f t="shared" si="11"/>
        <v>0</v>
      </c>
      <c r="H327" s="449"/>
      <c r="I327" s="444"/>
      <c r="J327" s="449"/>
      <c r="K327" s="444" t="s">
        <v>1046</v>
      </c>
      <c r="L327" s="450" t="s">
        <v>1047</v>
      </c>
      <c r="M327" s="444" t="s">
        <v>1044</v>
      </c>
      <c r="N327" s="450"/>
      <c r="O327" s="450"/>
      <c r="P327" s="450" t="s">
        <v>547</v>
      </c>
      <c r="Q327" s="451" t="s">
        <v>374</v>
      </c>
      <c r="R327" s="451" t="s">
        <v>263</v>
      </c>
      <c r="S327" s="452" t="s">
        <v>921</v>
      </c>
      <c r="T327" s="452"/>
      <c r="U327" s="453"/>
      <c r="V327" s="454"/>
      <c r="W327" s="455" t="s">
        <v>376</v>
      </c>
      <c r="X327" s="455">
        <v>45547</v>
      </c>
      <c r="Y327" s="456" t="s">
        <v>377</v>
      </c>
      <c r="Z327" s="457"/>
      <c r="AA327" s="494"/>
    </row>
    <row r="328" spans="1:27" s="128" customFormat="1" ht="36" customHeight="1">
      <c r="A328" s="443">
        <v>28</v>
      </c>
      <c r="B328" s="444" t="s">
        <v>390</v>
      </c>
      <c r="C328" s="445" t="s">
        <v>60</v>
      </c>
      <c r="D328" s="444" t="s">
        <v>391</v>
      </c>
      <c r="E328" s="446">
        <v>1</v>
      </c>
      <c r="F328" s="447"/>
      <c r="G328" s="448">
        <f t="shared" si="11"/>
        <v>0</v>
      </c>
      <c r="H328" s="449"/>
      <c r="I328" s="444"/>
      <c r="J328" s="449"/>
      <c r="K328" s="444" t="s">
        <v>1046</v>
      </c>
      <c r="L328" s="450" t="s">
        <v>1047</v>
      </c>
      <c r="M328" s="444" t="s">
        <v>1073</v>
      </c>
      <c r="N328" s="450"/>
      <c r="O328" s="450"/>
      <c r="P328" s="450" t="s">
        <v>1074</v>
      </c>
      <c r="Q328" s="451" t="s">
        <v>374</v>
      </c>
      <c r="R328" s="451" t="s">
        <v>263</v>
      </c>
      <c r="S328" s="452" t="s">
        <v>1075</v>
      </c>
      <c r="T328" s="452"/>
      <c r="U328" s="453"/>
      <c r="V328" s="454"/>
      <c r="W328" s="455" t="s">
        <v>376</v>
      </c>
      <c r="X328" s="455">
        <v>45548</v>
      </c>
      <c r="Y328" s="456" t="s">
        <v>377</v>
      </c>
      <c r="Z328" s="457"/>
      <c r="AA328" s="494"/>
    </row>
    <row r="329" spans="1:27" s="128" customFormat="1" ht="36" customHeight="1">
      <c r="A329" s="443">
        <v>29</v>
      </c>
      <c r="B329" s="444" t="s">
        <v>1076</v>
      </c>
      <c r="C329" s="445" t="s">
        <v>60</v>
      </c>
      <c r="D329" s="444" t="s">
        <v>1077</v>
      </c>
      <c r="E329" s="446">
        <v>1</v>
      </c>
      <c r="F329" s="447"/>
      <c r="G329" s="448">
        <f t="shared" si="11"/>
        <v>0</v>
      </c>
      <c r="H329" s="449"/>
      <c r="I329" s="444"/>
      <c r="J329" s="449"/>
      <c r="K329" s="444" t="s">
        <v>1046</v>
      </c>
      <c r="L329" s="450" t="s">
        <v>1047</v>
      </c>
      <c r="M329" s="444" t="s">
        <v>1044</v>
      </c>
      <c r="N329" s="450"/>
      <c r="O329" s="450"/>
      <c r="P329" s="450" t="s">
        <v>547</v>
      </c>
      <c r="Q329" s="451" t="s">
        <v>374</v>
      </c>
      <c r="R329" s="451" t="s">
        <v>263</v>
      </c>
      <c r="S329" s="452" t="s">
        <v>921</v>
      </c>
      <c r="T329" s="452"/>
      <c r="U329" s="453"/>
      <c r="V329" s="454"/>
      <c r="W329" s="455" t="s">
        <v>376</v>
      </c>
      <c r="X329" s="455">
        <v>45547</v>
      </c>
      <c r="Y329" s="456" t="s">
        <v>377</v>
      </c>
      <c r="Z329" s="457"/>
      <c r="AA329" s="494"/>
    </row>
    <row r="330" spans="1:27" s="128" customFormat="1" ht="36" customHeight="1">
      <c r="A330" s="443">
        <v>30</v>
      </c>
      <c r="B330" s="444" t="s">
        <v>1078</v>
      </c>
      <c r="C330" s="445" t="s">
        <v>60</v>
      </c>
      <c r="D330" s="444" t="s">
        <v>1079</v>
      </c>
      <c r="E330" s="446">
        <v>42</v>
      </c>
      <c r="F330" s="447"/>
      <c r="G330" s="448">
        <f t="shared" si="11"/>
        <v>0</v>
      </c>
      <c r="H330" s="449"/>
      <c r="I330" s="444"/>
      <c r="J330" s="449"/>
      <c r="K330" s="444" t="s">
        <v>1015</v>
      </c>
      <c r="L330" s="450" t="s">
        <v>1003</v>
      </c>
      <c r="M330" s="444" t="s">
        <v>1080</v>
      </c>
      <c r="N330" s="450"/>
      <c r="O330" s="450"/>
      <c r="P330" s="450" t="s">
        <v>1017</v>
      </c>
      <c r="Q330" s="451" t="s">
        <v>374</v>
      </c>
      <c r="R330" s="451" t="s">
        <v>251</v>
      </c>
      <c r="S330" s="452" t="s">
        <v>548</v>
      </c>
      <c r="T330" s="452"/>
      <c r="U330" s="453"/>
      <c r="V330" s="454"/>
      <c r="W330" s="455" t="s">
        <v>376</v>
      </c>
      <c r="X330" s="455">
        <v>45548</v>
      </c>
      <c r="Y330" s="456" t="s">
        <v>377</v>
      </c>
      <c r="Z330" s="457"/>
      <c r="AA330" s="494"/>
    </row>
    <row r="331" spans="1:27" s="128" customFormat="1" ht="36" customHeight="1">
      <c r="A331" s="443">
        <v>31</v>
      </c>
      <c r="B331" s="444" t="s">
        <v>1081</v>
      </c>
      <c r="C331" s="445" t="s">
        <v>60</v>
      </c>
      <c r="D331" s="444" t="s">
        <v>1082</v>
      </c>
      <c r="E331" s="446">
        <v>1</v>
      </c>
      <c r="F331" s="447"/>
      <c r="G331" s="448">
        <f t="shared" si="11"/>
        <v>0</v>
      </c>
      <c r="H331" s="449"/>
      <c r="I331" s="444"/>
      <c r="J331" s="449"/>
      <c r="K331" s="444" t="s">
        <v>1015</v>
      </c>
      <c r="L331" s="450" t="s">
        <v>1003</v>
      </c>
      <c r="M331" s="444" t="s">
        <v>1080</v>
      </c>
      <c r="N331" s="450"/>
      <c r="O331" s="450"/>
      <c r="P331" s="450" t="s">
        <v>1017</v>
      </c>
      <c r="Q331" s="451" t="s">
        <v>374</v>
      </c>
      <c r="R331" s="451" t="s">
        <v>251</v>
      </c>
      <c r="S331" s="452" t="s">
        <v>548</v>
      </c>
      <c r="T331" s="452"/>
      <c r="U331" s="453"/>
      <c r="V331" s="454"/>
      <c r="W331" s="455" t="s">
        <v>376</v>
      </c>
      <c r="X331" s="455">
        <v>45548</v>
      </c>
      <c r="Y331" s="456" t="s">
        <v>377</v>
      </c>
      <c r="Z331" s="457"/>
      <c r="AA331" s="494"/>
    </row>
    <row r="332" spans="1:27" s="128" customFormat="1" ht="36" customHeight="1">
      <c r="A332" s="443">
        <v>32</v>
      </c>
      <c r="B332" s="444" t="s">
        <v>1083</v>
      </c>
      <c r="C332" s="445" t="s">
        <v>60</v>
      </c>
      <c r="D332" s="444" t="s">
        <v>1084</v>
      </c>
      <c r="E332" s="446">
        <v>1</v>
      </c>
      <c r="F332" s="447"/>
      <c r="G332" s="448">
        <f t="shared" si="11"/>
        <v>0</v>
      </c>
      <c r="H332" s="449"/>
      <c r="I332" s="444"/>
      <c r="J332" s="449"/>
      <c r="K332" s="444" t="s">
        <v>1085</v>
      </c>
      <c r="L332" s="450" t="s">
        <v>756</v>
      </c>
      <c r="M332" s="444" t="s">
        <v>1086</v>
      </c>
      <c r="N332" s="450"/>
      <c r="O332" s="450"/>
      <c r="P332" s="450" t="s">
        <v>954</v>
      </c>
      <c r="Q332" s="451" t="s">
        <v>374</v>
      </c>
      <c r="R332" s="451" t="s">
        <v>404</v>
      </c>
      <c r="S332" s="452" t="s">
        <v>422</v>
      </c>
      <c r="T332" s="452"/>
      <c r="U332" s="453"/>
      <c r="V332" s="454"/>
      <c r="W332" s="455" t="s">
        <v>406</v>
      </c>
      <c r="X332" s="455">
        <v>45607</v>
      </c>
      <c r="Y332" s="456" t="s">
        <v>377</v>
      </c>
      <c r="Z332" s="457"/>
      <c r="AA332" s="494">
        <v>1</v>
      </c>
    </row>
    <row r="333" spans="1:27" s="128" customFormat="1" ht="36" customHeight="1">
      <c r="A333" s="443">
        <v>33</v>
      </c>
      <c r="B333" s="444" t="s">
        <v>587</v>
      </c>
      <c r="C333" s="445" t="s">
        <v>60</v>
      </c>
      <c r="D333" s="444" t="s">
        <v>588</v>
      </c>
      <c r="E333" s="446">
        <v>1</v>
      </c>
      <c r="F333" s="447"/>
      <c r="G333" s="448">
        <f t="shared" ref="G333:G364" si="12">E333*F333</f>
        <v>0</v>
      </c>
      <c r="H333" s="449"/>
      <c r="I333" s="444"/>
      <c r="J333" s="449"/>
      <c r="K333" s="444" t="s">
        <v>1085</v>
      </c>
      <c r="L333" s="450" t="s">
        <v>756</v>
      </c>
      <c r="M333" s="444" t="s">
        <v>1086</v>
      </c>
      <c r="N333" s="450"/>
      <c r="O333" s="450"/>
      <c r="P333" s="450" t="s">
        <v>954</v>
      </c>
      <c r="Q333" s="451" t="s">
        <v>374</v>
      </c>
      <c r="R333" s="451" t="s">
        <v>404</v>
      </c>
      <c r="S333" s="452" t="s">
        <v>422</v>
      </c>
      <c r="T333" s="452"/>
      <c r="U333" s="453"/>
      <c r="V333" s="454"/>
      <c r="W333" s="455" t="s">
        <v>406</v>
      </c>
      <c r="X333" s="455">
        <v>45607</v>
      </c>
      <c r="Y333" s="456" t="s">
        <v>377</v>
      </c>
      <c r="Z333" s="457"/>
      <c r="AA333" s="494">
        <v>1</v>
      </c>
    </row>
    <row r="334" spans="1:27" s="441" customFormat="1" ht="36" customHeight="1">
      <c r="A334" s="427">
        <v>34</v>
      </c>
      <c r="B334" s="428" t="s">
        <v>957</v>
      </c>
      <c r="C334" s="429" t="s">
        <v>60</v>
      </c>
      <c r="D334" s="428" t="s">
        <v>1087</v>
      </c>
      <c r="E334" s="430">
        <v>1</v>
      </c>
      <c r="F334" s="431"/>
      <c r="G334" s="432">
        <f t="shared" si="12"/>
        <v>0</v>
      </c>
      <c r="H334" s="442"/>
      <c r="I334" s="428"/>
      <c r="J334" s="442"/>
      <c r="K334" s="428" t="s">
        <v>1046</v>
      </c>
      <c r="L334" s="433" t="s">
        <v>1047</v>
      </c>
      <c r="M334" s="428" t="s">
        <v>444</v>
      </c>
      <c r="N334" s="433"/>
      <c r="O334" s="433"/>
      <c r="P334" s="433" t="s">
        <v>444</v>
      </c>
      <c r="Q334" s="434" t="s">
        <v>591</v>
      </c>
      <c r="R334" s="434"/>
      <c r="S334" s="435" t="s">
        <v>444</v>
      </c>
      <c r="T334" s="435"/>
      <c r="U334" s="436"/>
      <c r="V334" s="437"/>
      <c r="W334" s="438"/>
      <c r="X334" s="438"/>
      <c r="Y334" s="439" t="s">
        <v>592</v>
      </c>
      <c r="Z334" s="440"/>
      <c r="AA334" s="495"/>
    </row>
    <row r="335" spans="1:27" s="441" customFormat="1" ht="36" customHeight="1">
      <c r="A335" s="427">
        <v>35</v>
      </c>
      <c r="B335" s="428" t="s">
        <v>955</v>
      </c>
      <c r="C335" s="429" t="s">
        <v>60</v>
      </c>
      <c r="D335" s="428" t="s">
        <v>1088</v>
      </c>
      <c r="E335" s="430">
        <v>1</v>
      </c>
      <c r="F335" s="431"/>
      <c r="G335" s="432">
        <f t="shared" si="12"/>
        <v>0</v>
      </c>
      <c r="H335" s="442"/>
      <c r="I335" s="428"/>
      <c r="J335" s="442"/>
      <c r="K335" s="428" t="s">
        <v>1046</v>
      </c>
      <c r="L335" s="433" t="s">
        <v>1047</v>
      </c>
      <c r="M335" s="428" t="s">
        <v>444</v>
      </c>
      <c r="N335" s="433"/>
      <c r="O335" s="433"/>
      <c r="P335" s="433" t="s">
        <v>444</v>
      </c>
      <c r="Q335" s="434" t="s">
        <v>591</v>
      </c>
      <c r="R335" s="434"/>
      <c r="S335" s="435" t="s">
        <v>444</v>
      </c>
      <c r="T335" s="435"/>
      <c r="U335" s="436"/>
      <c r="V335" s="437"/>
      <c r="W335" s="438"/>
      <c r="X335" s="438"/>
      <c r="Y335" s="439" t="s">
        <v>592</v>
      </c>
      <c r="Z335" s="440"/>
      <c r="AA335" s="495"/>
    </row>
    <row r="336" spans="1:27" s="128" customFormat="1" ht="36" customHeight="1">
      <c r="A336" s="443">
        <v>36</v>
      </c>
      <c r="B336" s="444" t="s">
        <v>1089</v>
      </c>
      <c r="C336" s="445" t="s">
        <v>60</v>
      </c>
      <c r="D336" s="444" t="s">
        <v>960</v>
      </c>
      <c r="E336" s="446">
        <v>2</v>
      </c>
      <c r="F336" s="447"/>
      <c r="G336" s="448">
        <f t="shared" si="12"/>
        <v>0</v>
      </c>
      <c r="H336" s="449"/>
      <c r="I336" s="444"/>
      <c r="J336" s="449"/>
      <c r="K336" s="444" t="s">
        <v>1046</v>
      </c>
      <c r="L336" s="450" t="s">
        <v>1047</v>
      </c>
      <c r="M336" s="444" t="s">
        <v>1090</v>
      </c>
      <c r="N336" s="450"/>
      <c r="O336" s="450"/>
      <c r="P336" s="450" t="s">
        <v>1091</v>
      </c>
      <c r="Q336" s="451" t="s">
        <v>374</v>
      </c>
      <c r="R336" s="451" t="s">
        <v>404</v>
      </c>
      <c r="S336" s="452" t="s">
        <v>405</v>
      </c>
      <c r="T336" s="452"/>
      <c r="U336" s="453"/>
      <c r="V336" s="454"/>
      <c r="W336" s="455" t="s">
        <v>406</v>
      </c>
      <c r="X336" s="455">
        <v>45607</v>
      </c>
      <c r="Y336" s="456" t="s">
        <v>377</v>
      </c>
      <c r="Z336" s="457"/>
      <c r="AA336" s="494">
        <v>1</v>
      </c>
    </row>
    <row r="337" spans="1:27" s="128" customFormat="1" ht="18" customHeight="1">
      <c r="A337" s="443">
        <v>37</v>
      </c>
      <c r="B337" s="444" t="s">
        <v>965</v>
      </c>
      <c r="C337" s="445" t="s">
        <v>60</v>
      </c>
      <c r="D337" s="444" t="s">
        <v>966</v>
      </c>
      <c r="E337" s="446">
        <v>1</v>
      </c>
      <c r="F337" s="447"/>
      <c r="G337" s="448">
        <f t="shared" si="12"/>
        <v>0</v>
      </c>
      <c r="H337" s="449"/>
      <c r="I337" s="444"/>
      <c r="J337" s="449"/>
      <c r="K337" s="444"/>
      <c r="L337" s="450"/>
      <c r="M337" s="444"/>
      <c r="N337" s="450"/>
      <c r="O337" s="450"/>
      <c r="P337" s="450"/>
      <c r="Q337" s="451" t="s">
        <v>374</v>
      </c>
      <c r="R337" s="451"/>
      <c r="S337" s="452"/>
      <c r="T337" s="452"/>
      <c r="U337" s="453"/>
      <c r="V337" s="454"/>
      <c r="W337" s="455" t="s">
        <v>406</v>
      </c>
      <c r="X337" s="455">
        <v>45518</v>
      </c>
      <c r="Y337" s="456" t="s">
        <v>377</v>
      </c>
      <c r="Z337" s="457"/>
      <c r="AA337" s="494"/>
    </row>
    <row r="338" spans="1:27" s="128" customFormat="1" ht="36" customHeight="1">
      <c r="A338" s="443">
        <v>38</v>
      </c>
      <c r="B338" s="444" t="s">
        <v>1092</v>
      </c>
      <c r="C338" s="445" t="s">
        <v>60</v>
      </c>
      <c r="D338" s="444" t="s">
        <v>1093</v>
      </c>
      <c r="E338" s="446">
        <v>1</v>
      </c>
      <c r="F338" s="447"/>
      <c r="G338" s="448">
        <f t="shared" si="12"/>
        <v>0</v>
      </c>
      <c r="H338" s="449"/>
      <c r="I338" s="444"/>
      <c r="J338" s="449"/>
      <c r="K338" s="444" t="s">
        <v>1046</v>
      </c>
      <c r="L338" s="450" t="s">
        <v>1047</v>
      </c>
      <c r="M338" s="444" t="s">
        <v>1090</v>
      </c>
      <c r="N338" s="450"/>
      <c r="O338" s="450"/>
      <c r="P338" s="450" t="s">
        <v>1091</v>
      </c>
      <c r="Q338" s="451" t="s">
        <v>374</v>
      </c>
      <c r="R338" s="451" t="s">
        <v>404</v>
      </c>
      <c r="S338" s="452" t="s">
        <v>405</v>
      </c>
      <c r="T338" s="452"/>
      <c r="U338" s="453"/>
      <c r="V338" s="454"/>
      <c r="W338" s="455" t="s">
        <v>406</v>
      </c>
      <c r="X338" s="455">
        <v>45607</v>
      </c>
      <c r="Y338" s="456" t="s">
        <v>377</v>
      </c>
      <c r="Z338" s="457"/>
      <c r="AA338" s="494">
        <v>1</v>
      </c>
    </row>
    <row r="339" spans="1:27" s="128" customFormat="1" ht="36" customHeight="1">
      <c r="A339" s="443">
        <v>39</v>
      </c>
      <c r="B339" s="444" t="s">
        <v>951</v>
      </c>
      <c r="C339" s="445" t="s">
        <v>60</v>
      </c>
      <c r="D339" s="444" t="s">
        <v>952</v>
      </c>
      <c r="E339" s="446">
        <v>1</v>
      </c>
      <c r="F339" s="447"/>
      <c r="G339" s="448">
        <f t="shared" si="12"/>
        <v>0</v>
      </c>
      <c r="H339" s="449"/>
      <c r="I339" s="444"/>
      <c r="J339" s="449"/>
      <c r="K339" s="444" t="s">
        <v>1046</v>
      </c>
      <c r="L339" s="450" t="s">
        <v>1047</v>
      </c>
      <c r="M339" s="444" t="s">
        <v>1090</v>
      </c>
      <c r="N339" s="450"/>
      <c r="O339" s="450"/>
      <c r="P339" s="450" t="s">
        <v>1091</v>
      </c>
      <c r="Q339" s="451" t="s">
        <v>374</v>
      </c>
      <c r="R339" s="451" t="s">
        <v>404</v>
      </c>
      <c r="S339" s="452" t="s">
        <v>405</v>
      </c>
      <c r="T339" s="452"/>
      <c r="U339" s="453"/>
      <c r="V339" s="454"/>
      <c r="W339" s="455" t="s">
        <v>406</v>
      </c>
      <c r="X339" s="455">
        <v>45607</v>
      </c>
      <c r="Y339" s="456" t="s">
        <v>377</v>
      </c>
      <c r="Z339" s="457"/>
      <c r="AA339" s="494">
        <v>1</v>
      </c>
    </row>
    <row r="340" spans="1:27" s="441" customFormat="1" ht="18" customHeight="1">
      <c r="A340" s="427">
        <v>40</v>
      </c>
      <c r="B340" s="428" t="s">
        <v>957</v>
      </c>
      <c r="C340" s="429" t="s">
        <v>60</v>
      </c>
      <c r="D340" s="428" t="s">
        <v>1087</v>
      </c>
      <c r="E340" s="430">
        <v>1</v>
      </c>
      <c r="F340" s="431"/>
      <c r="G340" s="432">
        <f t="shared" si="12"/>
        <v>0</v>
      </c>
      <c r="H340" s="442"/>
      <c r="I340" s="428"/>
      <c r="J340" s="442"/>
      <c r="K340" s="428"/>
      <c r="L340" s="433"/>
      <c r="M340" s="428"/>
      <c r="N340" s="433"/>
      <c r="O340" s="433"/>
      <c r="P340" s="433"/>
      <c r="Q340" s="434"/>
      <c r="R340" s="434"/>
      <c r="S340" s="435"/>
      <c r="T340" s="435"/>
      <c r="U340" s="436"/>
      <c r="V340" s="437"/>
      <c r="W340" s="438"/>
      <c r="X340" s="438"/>
      <c r="Y340" s="439" t="s">
        <v>592</v>
      </c>
      <c r="Z340" s="440"/>
      <c r="AA340" s="495"/>
    </row>
    <row r="341" spans="1:27" s="441" customFormat="1" ht="36" customHeight="1">
      <c r="A341" s="427">
        <v>41</v>
      </c>
      <c r="B341" s="428" t="s">
        <v>1094</v>
      </c>
      <c r="C341" s="429" t="s">
        <v>60</v>
      </c>
      <c r="D341" s="428" t="s">
        <v>1095</v>
      </c>
      <c r="E341" s="430">
        <v>1</v>
      </c>
      <c r="F341" s="431"/>
      <c r="G341" s="432">
        <f t="shared" si="12"/>
        <v>0</v>
      </c>
      <c r="H341" s="442"/>
      <c r="I341" s="428"/>
      <c r="J341" s="442"/>
      <c r="K341" s="428" t="s">
        <v>1015</v>
      </c>
      <c r="L341" s="433" t="s">
        <v>1003</v>
      </c>
      <c r="M341" s="428" t="s">
        <v>444</v>
      </c>
      <c r="N341" s="433"/>
      <c r="O341" s="433"/>
      <c r="P341" s="433" t="s">
        <v>444</v>
      </c>
      <c r="Q341" s="434" t="s">
        <v>591</v>
      </c>
      <c r="R341" s="434"/>
      <c r="S341" s="435" t="s">
        <v>444</v>
      </c>
      <c r="T341" s="435"/>
      <c r="U341" s="436"/>
      <c r="V341" s="437"/>
      <c r="W341" s="438"/>
      <c r="X341" s="438"/>
      <c r="Y341" s="439" t="s">
        <v>592</v>
      </c>
      <c r="Z341" s="440"/>
      <c r="AA341" s="495"/>
    </row>
    <row r="342" spans="1:27" s="441" customFormat="1" ht="18" customHeight="1">
      <c r="A342" s="427">
        <v>42</v>
      </c>
      <c r="B342" s="428" t="s">
        <v>955</v>
      </c>
      <c r="C342" s="429" t="s">
        <v>60</v>
      </c>
      <c r="D342" s="428" t="s">
        <v>1088</v>
      </c>
      <c r="E342" s="430">
        <v>1</v>
      </c>
      <c r="F342" s="431"/>
      <c r="G342" s="432">
        <f t="shared" si="12"/>
        <v>0</v>
      </c>
      <c r="H342" s="442"/>
      <c r="I342" s="428"/>
      <c r="J342" s="442"/>
      <c r="K342" s="428"/>
      <c r="L342" s="433"/>
      <c r="M342" s="428"/>
      <c r="N342" s="433"/>
      <c r="O342" s="433"/>
      <c r="P342" s="433"/>
      <c r="Q342" s="434"/>
      <c r="R342" s="434"/>
      <c r="S342" s="435"/>
      <c r="T342" s="435"/>
      <c r="U342" s="436"/>
      <c r="V342" s="437"/>
      <c r="W342" s="438"/>
      <c r="X342" s="438"/>
      <c r="Y342" s="439" t="s">
        <v>592</v>
      </c>
      <c r="Z342" s="440"/>
      <c r="AA342" s="495"/>
    </row>
    <row r="343" spans="1:27" s="128" customFormat="1" ht="36" customHeight="1">
      <c r="A343" s="443">
        <v>43</v>
      </c>
      <c r="B343" s="444" t="s">
        <v>757</v>
      </c>
      <c r="C343" s="445" t="s">
        <v>60</v>
      </c>
      <c r="D343" s="444" t="s">
        <v>758</v>
      </c>
      <c r="E343" s="446">
        <v>1</v>
      </c>
      <c r="F343" s="447"/>
      <c r="G343" s="448">
        <f t="shared" si="12"/>
        <v>0</v>
      </c>
      <c r="H343" s="449"/>
      <c r="I343" s="444"/>
      <c r="J343" s="449"/>
      <c r="K343" s="444" t="s">
        <v>1046</v>
      </c>
      <c r="L343" s="450" t="s">
        <v>1047</v>
      </c>
      <c r="M343" s="444" t="s">
        <v>1096</v>
      </c>
      <c r="N343" s="450"/>
      <c r="O343" s="450"/>
      <c r="P343" s="450" t="s">
        <v>1091</v>
      </c>
      <c r="Q343" s="451" t="s">
        <v>374</v>
      </c>
      <c r="R343" s="451" t="s">
        <v>404</v>
      </c>
      <c r="S343" s="452" t="s">
        <v>405</v>
      </c>
      <c r="T343" s="452"/>
      <c r="U343" s="453"/>
      <c r="V343" s="454"/>
      <c r="W343" s="455" t="s">
        <v>406</v>
      </c>
      <c r="X343" s="455">
        <v>45607</v>
      </c>
      <c r="Y343" s="456" t="s">
        <v>377</v>
      </c>
      <c r="Z343" s="457"/>
      <c r="AA343" s="494">
        <v>1</v>
      </c>
    </row>
    <row r="344" spans="1:27" s="128" customFormat="1" ht="36" customHeight="1">
      <c r="A344" s="443">
        <v>44</v>
      </c>
      <c r="B344" s="444" t="s">
        <v>1097</v>
      </c>
      <c r="C344" s="445" t="s">
        <v>60</v>
      </c>
      <c r="D344" s="444" t="s">
        <v>1098</v>
      </c>
      <c r="E344" s="446">
        <v>2</v>
      </c>
      <c r="F344" s="447"/>
      <c r="G344" s="448">
        <f t="shared" si="12"/>
        <v>0</v>
      </c>
      <c r="H344" s="449"/>
      <c r="I344" s="444"/>
      <c r="J344" s="449"/>
      <c r="K344" s="444" t="s">
        <v>1046</v>
      </c>
      <c r="L344" s="450" t="s">
        <v>1047</v>
      </c>
      <c r="M344" s="444" t="s">
        <v>1096</v>
      </c>
      <c r="N344" s="450"/>
      <c r="O344" s="450"/>
      <c r="P344" s="450" t="s">
        <v>1091</v>
      </c>
      <c r="Q344" s="451" t="s">
        <v>374</v>
      </c>
      <c r="R344" s="451" t="s">
        <v>404</v>
      </c>
      <c r="S344" s="452" t="s">
        <v>405</v>
      </c>
      <c r="T344" s="452"/>
      <c r="U344" s="453"/>
      <c r="V344" s="454"/>
      <c r="W344" s="455" t="s">
        <v>406</v>
      </c>
      <c r="X344" s="455">
        <v>45607</v>
      </c>
      <c r="Y344" s="456" t="s">
        <v>377</v>
      </c>
      <c r="Z344" s="457"/>
      <c r="AA344" s="494">
        <v>1</v>
      </c>
    </row>
    <row r="345" spans="1:27" s="128" customFormat="1" ht="36" customHeight="1">
      <c r="A345" s="443">
        <v>45</v>
      </c>
      <c r="B345" s="444" t="s">
        <v>597</v>
      </c>
      <c r="C345" s="445" t="s">
        <v>60</v>
      </c>
      <c r="D345" s="444" t="s">
        <v>598</v>
      </c>
      <c r="E345" s="446">
        <v>1</v>
      </c>
      <c r="F345" s="447"/>
      <c r="G345" s="448">
        <f t="shared" si="12"/>
        <v>0</v>
      </c>
      <c r="H345" s="449"/>
      <c r="I345" s="444"/>
      <c r="J345" s="449"/>
      <c r="K345" s="444" t="s">
        <v>1046</v>
      </c>
      <c r="L345" s="450" t="s">
        <v>1047</v>
      </c>
      <c r="M345" s="444" t="s">
        <v>1096</v>
      </c>
      <c r="N345" s="450"/>
      <c r="O345" s="450"/>
      <c r="P345" s="450" t="s">
        <v>1091</v>
      </c>
      <c r="Q345" s="451" t="s">
        <v>374</v>
      </c>
      <c r="R345" s="451" t="s">
        <v>404</v>
      </c>
      <c r="S345" s="452" t="s">
        <v>405</v>
      </c>
      <c r="T345" s="452"/>
      <c r="U345" s="453"/>
      <c r="V345" s="454"/>
      <c r="W345" s="455" t="s">
        <v>406</v>
      </c>
      <c r="X345" s="455">
        <v>45607</v>
      </c>
      <c r="Y345" s="456" t="s">
        <v>377</v>
      </c>
      <c r="Z345" s="457"/>
      <c r="AA345" s="494">
        <v>1</v>
      </c>
    </row>
    <row r="346" spans="1:27" s="128" customFormat="1" ht="36" customHeight="1">
      <c r="A346" s="443">
        <v>46</v>
      </c>
      <c r="B346" s="444" t="s">
        <v>601</v>
      </c>
      <c r="C346" s="445" t="s">
        <v>60</v>
      </c>
      <c r="D346" s="444" t="s">
        <v>602</v>
      </c>
      <c r="E346" s="446">
        <v>1</v>
      </c>
      <c r="F346" s="447"/>
      <c r="G346" s="448">
        <f t="shared" si="12"/>
        <v>0</v>
      </c>
      <c r="H346" s="449"/>
      <c r="I346" s="444"/>
      <c r="J346" s="449"/>
      <c r="K346" s="444" t="s">
        <v>1046</v>
      </c>
      <c r="L346" s="450" t="s">
        <v>1047</v>
      </c>
      <c r="M346" s="444" t="s">
        <v>1096</v>
      </c>
      <c r="N346" s="450"/>
      <c r="O346" s="450"/>
      <c r="P346" s="450" t="s">
        <v>1091</v>
      </c>
      <c r="Q346" s="451" t="s">
        <v>374</v>
      </c>
      <c r="R346" s="451" t="s">
        <v>404</v>
      </c>
      <c r="S346" s="452" t="s">
        <v>405</v>
      </c>
      <c r="T346" s="452"/>
      <c r="U346" s="453"/>
      <c r="V346" s="454"/>
      <c r="W346" s="455" t="s">
        <v>406</v>
      </c>
      <c r="X346" s="455">
        <v>45607</v>
      </c>
      <c r="Y346" s="456" t="s">
        <v>377</v>
      </c>
      <c r="Z346" s="457"/>
      <c r="AA346" s="494">
        <v>1</v>
      </c>
    </row>
    <row r="347" spans="1:27" s="128" customFormat="1" ht="36" customHeight="1">
      <c r="A347" s="443">
        <v>47</v>
      </c>
      <c r="B347" s="444" t="s">
        <v>599</v>
      </c>
      <c r="C347" s="445" t="s">
        <v>60</v>
      </c>
      <c r="D347" s="444" t="s">
        <v>600</v>
      </c>
      <c r="E347" s="446">
        <v>1</v>
      </c>
      <c r="F347" s="447"/>
      <c r="G347" s="448">
        <f t="shared" si="12"/>
        <v>0</v>
      </c>
      <c r="H347" s="449"/>
      <c r="I347" s="444"/>
      <c r="J347" s="449"/>
      <c r="K347" s="444" t="s">
        <v>1046</v>
      </c>
      <c r="L347" s="450" t="s">
        <v>1047</v>
      </c>
      <c r="M347" s="444" t="s">
        <v>1096</v>
      </c>
      <c r="N347" s="450"/>
      <c r="O347" s="450"/>
      <c r="P347" s="450" t="s">
        <v>1091</v>
      </c>
      <c r="Q347" s="451" t="s">
        <v>374</v>
      </c>
      <c r="R347" s="451" t="s">
        <v>404</v>
      </c>
      <c r="S347" s="452" t="s">
        <v>405</v>
      </c>
      <c r="T347" s="452"/>
      <c r="U347" s="453"/>
      <c r="V347" s="454"/>
      <c r="W347" s="455" t="s">
        <v>406</v>
      </c>
      <c r="X347" s="455">
        <v>45607</v>
      </c>
      <c r="Y347" s="456" t="s">
        <v>377</v>
      </c>
      <c r="Z347" s="457"/>
      <c r="AA347" s="494">
        <v>1</v>
      </c>
    </row>
    <row r="348" spans="1:27" s="128" customFormat="1" ht="36" customHeight="1">
      <c r="A348" s="443">
        <v>48</v>
      </c>
      <c r="B348" s="444" t="s">
        <v>482</v>
      </c>
      <c r="C348" s="445" t="s">
        <v>60</v>
      </c>
      <c r="D348" s="444" t="s">
        <v>483</v>
      </c>
      <c r="E348" s="446">
        <v>1</v>
      </c>
      <c r="F348" s="447"/>
      <c r="G348" s="448">
        <f t="shared" si="12"/>
        <v>0</v>
      </c>
      <c r="H348" s="449"/>
      <c r="I348" s="444"/>
      <c r="J348" s="449"/>
      <c r="K348" s="444" t="s">
        <v>1099</v>
      </c>
      <c r="L348" s="450" t="s">
        <v>477</v>
      </c>
      <c r="M348" s="444" t="s">
        <v>1096</v>
      </c>
      <c r="N348" s="450"/>
      <c r="O348" s="450"/>
      <c r="P348" s="450" t="s">
        <v>1091</v>
      </c>
      <c r="Q348" s="451" t="s">
        <v>374</v>
      </c>
      <c r="R348" s="451" t="s">
        <v>404</v>
      </c>
      <c r="S348" s="452" t="s">
        <v>405</v>
      </c>
      <c r="T348" s="452"/>
      <c r="U348" s="453"/>
      <c r="V348" s="454"/>
      <c r="W348" s="455" t="s">
        <v>406</v>
      </c>
      <c r="X348" s="455">
        <v>45607</v>
      </c>
      <c r="Y348" s="456" t="s">
        <v>377</v>
      </c>
      <c r="Z348" s="457"/>
      <c r="AA348" s="494">
        <v>1</v>
      </c>
    </row>
    <row r="349" spans="1:27" s="128" customFormat="1" ht="36" customHeight="1">
      <c r="A349" s="443">
        <v>49</v>
      </c>
      <c r="B349" s="444" t="s">
        <v>1100</v>
      </c>
      <c r="C349" s="445" t="s">
        <v>60</v>
      </c>
      <c r="D349" s="444" t="s">
        <v>1101</v>
      </c>
      <c r="E349" s="446">
        <v>1</v>
      </c>
      <c r="F349" s="447"/>
      <c r="G349" s="448">
        <f t="shared" si="12"/>
        <v>0</v>
      </c>
      <c r="H349" s="449"/>
      <c r="I349" s="444"/>
      <c r="J349" s="449"/>
      <c r="K349" s="444" t="s">
        <v>1015</v>
      </c>
      <c r="L349" s="450" t="s">
        <v>1003</v>
      </c>
      <c r="M349" s="444" t="s">
        <v>1102</v>
      </c>
      <c r="N349" s="450"/>
      <c r="O349" s="450"/>
      <c r="P349" s="450" t="s">
        <v>547</v>
      </c>
      <c r="Q349" s="451" t="s">
        <v>374</v>
      </c>
      <c r="R349" s="451" t="s">
        <v>470</v>
      </c>
      <c r="S349" s="452" t="s">
        <v>859</v>
      </c>
      <c r="T349" s="452">
        <v>45569</v>
      </c>
      <c r="U349" s="453"/>
      <c r="V349" s="454"/>
      <c r="W349" s="455" t="s">
        <v>406</v>
      </c>
      <c r="X349" s="455">
        <v>45560</v>
      </c>
      <c r="Y349" s="456" t="s">
        <v>377</v>
      </c>
      <c r="Z349" s="457"/>
      <c r="AA349" s="494"/>
    </row>
    <row r="350" spans="1:27" s="128" customFormat="1" ht="36" customHeight="1">
      <c r="A350" s="443">
        <v>50</v>
      </c>
      <c r="B350" s="444" t="s">
        <v>1103</v>
      </c>
      <c r="C350" s="445" t="s">
        <v>60</v>
      </c>
      <c r="D350" s="444" t="s">
        <v>1104</v>
      </c>
      <c r="E350" s="446">
        <v>1</v>
      </c>
      <c r="F350" s="447"/>
      <c r="G350" s="448">
        <f t="shared" si="12"/>
        <v>0</v>
      </c>
      <c r="H350" s="449"/>
      <c r="I350" s="444"/>
      <c r="J350" s="449"/>
      <c r="K350" s="444" t="s">
        <v>1046</v>
      </c>
      <c r="L350" s="450" t="s">
        <v>1047</v>
      </c>
      <c r="M350" s="444" t="s">
        <v>1102</v>
      </c>
      <c r="N350" s="450"/>
      <c r="O350" s="450"/>
      <c r="P350" s="450" t="s">
        <v>547</v>
      </c>
      <c r="Q350" s="451" t="s">
        <v>374</v>
      </c>
      <c r="R350" s="451" t="s">
        <v>470</v>
      </c>
      <c r="S350" s="452" t="s">
        <v>859</v>
      </c>
      <c r="T350" s="452"/>
      <c r="U350" s="453"/>
      <c r="V350" s="454"/>
      <c r="W350" s="455" t="s">
        <v>406</v>
      </c>
      <c r="X350" s="455">
        <v>45544</v>
      </c>
      <c r="Y350" s="456" t="s">
        <v>377</v>
      </c>
      <c r="Z350" s="457"/>
      <c r="AA350" s="494"/>
    </row>
    <row r="351" spans="1:27" s="441" customFormat="1" ht="36" customHeight="1">
      <c r="A351" s="427">
        <v>51</v>
      </c>
      <c r="B351" s="428" t="s">
        <v>1105</v>
      </c>
      <c r="C351" s="429" t="s">
        <v>60</v>
      </c>
      <c r="D351" s="428" t="s">
        <v>1106</v>
      </c>
      <c r="E351" s="430">
        <v>10</v>
      </c>
      <c r="F351" s="431"/>
      <c r="G351" s="432">
        <f t="shared" si="12"/>
        <v>0</v>
      </c>
      <c r="H351" s="442"/>
      <c r="I351" s="428"/>
      <c r="J351" s="442"/>
      <c r="K351" s="428" t="s">
        <v>1025</v>
      </c>
      <c r="L351" s="433" t="s">
        <v>444</v>
      </c>
      <c r="M351" s="428" t="s">
        <v>444</v>
      </c>
      <c r="N351" s="433"/>
      <c r="O351" s="433"/>
      <c r="P351" s="433" t="s">
        <v>444</v>
      </c>
      <c r="Q351" s="434"/>
      <c r="R351" s="434"/>
      <c r="S351" s="435"/>
      <c r="T351" s="435"/>
      <c r="U351" s="436"/>
      <c r="V351" s="437"/>
      <c r="W351" s="438"/>
      <c r="X351" s="438"/>
      <c r="Y351" s="439" t="s">
        <v>592</v>
      </c>
      <c r="Z351" s="440"/>
      <c r="AA351" s="495"/>
    </row>
    <row r="352" spans="1:27" s="128" customFormat="1" ht="36" customHeight="1">
      <c r="A352" s="443">
        <v>52</v>
      </c>
      <c r="B352" s="444" t="s">
        <v>1107</v>
      </c>
      <c r="C352" s="445" t="s">
        <v>60</v>
      </c>
      <c r="D352" s="444" t="s">
        <v>1108</v>
      </c>
      <c r="E352" s="446">
        <v>4</v>
      </c>
      <c r="F352" s="447"/>
      <c r="G352" s="448">
        <f t="shared" si="12"/>
        <v>0</v>
      </c>
      <c r="H352" s="449"/>
      <c r="I352" s="444"/>
      <c r="J352" s="449"/>
      <c r="K352" s="444" t="s">
        <v>1015</v>
      </c>
      <c r="L352" s="450" t="s">
        <v>1003</v>
      </c>
      <c r="M352" s="444" t="s">
        <v>1044</v>
      </c>
      <c r="N352" s="450"/>
      <c r="O352" s="450"/>
      <c r="P352" s="450" t="s">
        <v>547</v>
      </c>
      <c r="Q352" s="451" t="s">
        <v>374</v>
      </c>
      <c r="R352" s="451" t="s">
        <v>263</v>
      </c>
      <c r="S352" s="452" t="s">
        <v>921</v>
      </c>
      <c r="T352" s="452" t="s">
        <v>1109</v>
      </c>
      <c r="U352" s="453"/>
      <c r="V352" s="454"/>
      <c r="W352" s="455" t="s">
        <v>406</v>
      </c>
      <c r="X352" s="455">
        <v>45565</v>
      </c>
      <c r="Y352" s="456" t="s">
        <v>377</v>
      </c>
      <c r="Z352" s="457"/>
      <c r="AA352" s="494"/>
    </row>
    <row r="353" spans="1:27" s="128" customFormat="1" ht="36" customHeight="1">
      <c r="A353" s="443">
        <v>53</v>
      </c>
      <c r="B353" s="444" t="s">
        <v>567</v>
      </c>
      <c r="C353" s="445" t="s">
        <v>60</v>
      </c>
      <c r="D353" s="444" t="s">
        <v>568</v>
      </c>
      <c r="E353" s="446">
        <v>4</v>
      </c>
      <c r="F353" s="447"/>
      <c r="G353" s="448">
        <f t="shared" si="12"/>
        <v>0</v>
      </c>
      <c r="H353" s="449"/>
      <c r="I353" s="444"/>
      <c r="J353" s="449"/>
      <c r="K353" s="444" t="s">
        <v>1046</v>
      </c>
      <c r="L353" s="450" t="s">
        <v>1047</v>
      </c>
      <c r="M353" s="444" t="s">
        <v>1044</v>
      </c>
      <c r="N353" s="450"/>
      <c r="O353" s="450"/>
      <c r="P353" s="450" t="s">
        <v>547</v>
      </c>
      <c r="Q353" s="451" t="s">
        <v>374</v>
      </c>
      <c r="R353" s="451" t="s">
        <v>263</v>
      </c>
      <c r="S353" s="452" t="s">
        <v>921</v>
      </c>
      <c r="T353" s="452"/>
      <c r="U353" s="453"/>
      <c r="V353" s="454"/>
      <c r="W353" s="455" t="s">
        <v>376</v>
      </c>
      <c r="X353" s="455">
        <v>45547</v>
      </c>
      <c r="Y353" s="456" t="s">
        <v>377</v>
      </c>
      <c r="Z353" s="457"/>
      <c r="AA353" s="494"/>
    </row>
    <row r="354" spans="1:27" s="128" customFormat="1" ht="36" customHeight="1">
      <c r="A354" s="443">
        <v>54</v>
      </c>
      <c r="B354" s="444" t="s">
        <v>392</v>
      </c>
      <c r="C354" s="445" t="s">
        <v>60</v>
      </c>
      <c r="D354" s="444" t="s">
        <v>393</v>
      </c>
      <c r="E354" s="446">
        <v>7</v>
      </c>
      <c r="F354" s="447"/>
      <c r="G354" s="448">
        <f t="shared" si="12"/>
        <v>0</v>
      </c>
      <c r="H354" s="449"/>
      <c r="I354" s="444"/>
      <c r="J354" s="449"/>
      <c r="K354" s="444" t="s">
        <v>1046</v>
      </c>
      <c r="L354" s="450" t="s">
        <v>1047</v>
      </c>
      <c r="M354" s="444" t="s">
        <v>1044</v>
      </c>
      <c r="N354" s="450"/>
      <c r="O354" s="450"/>
      <c r="P354" s="450" t="s">
        <v>547</v>
      </c>
      <c r="Q354" s="451" t="s">
        <v>374</v>
      </c>
      <c r="R354" s="451" t="s">
        <v>263</v>
      </c>
      <c r="S354" s="452" t="s">
        <v>921</v>
      </c>
      <c r="T354" s="452"/>
      <c r="U354" s="453"/>
      <c r="V354" s="454"/>
      <c r="W354" s="455" t="s">
        <v>376</v>
      </c>
      <c r="X354" s="455">
        <v>45547</v>
      </c>
      <c r="Y354" s="456" t="s">
        <v>377</v>
      </c>
      <c r="Z354" s="457"/>
      <c r="AA354" s="494"/>
    </row>
    <row r="355" spans="1:27" s="128" customFormat="1" ht="36" customHeight="1">
      <c r="A355" s="443">
        <v>55</v>
      </c>
      <c r="B355" s="444" t="s">
        <v>555</v>
      </c>
      <c r="C355" s="445" t="s">
        <v>60</v>
      </c>
      <c r="D355" s="444" t="s">
        <v>556</v>
      </c>
      <c r="E355" s="446">
        <v>2</v>
      </c>
      <c r="F355" s="447"/>
      <c r="G355" s="448">
        <f t="shared" si="12"/>
        <v>0</v>
      </c>
      <c r="H355" s="449"/>
      <c r="I355" s="444"/>
      <c r="J355" s="449"/>
      <c r="K355" s="444" t="s">
        <v>1046</v>
      </c>
      <c r="L355" s="450" t="s">
        <v>1047</v>
      </c>
      <c r="M355" s="444" t="s">
        <v>1044</v>
      </c>
      <c r="N355" s="450"/>
      <c r="O355" s="450"/>
      <c r="P355" s="450" t="s">
        <v>547</v>
      </c>
      <c r="Q355" s="451" t="s">
        <v>374</v>
      </c>
      <c r="R355" s="451" t="s">
        <v>263</v>
      </c>
      <c r="S355" s="452" t="s">
        <v>921</v>
      </c>
      <c r="T355" s="452"/>
      <c r="U355" s="453"/>
      <c r="V355" s="454"/>
      <c r="W355" s="455" t="s">
        <v>376</v>
      </c>
      <c r="X355" s="455">
        <v>45547</v>
      </c>
      <c r="Y355" s="456" t="s">
        <v>377</v>
      </c>
      <c r="Z355" s="457"/>
      <c r="AA355" s="494"/>
    </row>
    <row r="356" spans="1:27" s="128" customFormat="1" ht="36" customHeight="1">
      <c r="A356" s="443">
        <v>56</v>
      </c>
      <c r="B356" s="444" t="s">
        <v>984</v>
      </c>
      <c r="C356" s="445" t="s">
        <v>60</v>
      </c>
      <c r="D356" s="444" t="s">
        <v>985</v>
      </c>
      <c r="E356" s="446">
        <v>2</v>
      </c>
      <c r="F356" s="447"/>
      <c r="G356" s="448">
        <f t="shared" si="12"/>
        <v>0</v>
      </c>
      <c r="H356" s="449"/>
      <c r="I356" s="444"/>
      <c r="J356" s="449"/>
      <c r="K356" s="444" t="s">
        <v>1046</v>
      </c>
      <c r="L356" s="450" t="s">
        <v>1047</v>
      </c>
      <c r="M356" s="444" t="s">
        <v>1044</v>
      </c>
      <c r="N356" s="450"/>
      <c r="O356" s="450"/>
      <c r="P356" s="450" t="s">
        <v>547</v>
      </c>
      <c r="Q356" s="451" t="s">
        <v>374</v>
      </c>
      <c r="R356" s="451" t="s">
        <v>263</v>
      </c>
      <c r="S356" s="452" t="s">
        <v>548</v>
      </c>
      <c r="T356" s="452"/>
      <c r="U356" s="453"/>
      <c r="V356" s="454"/>
      <c r="W356" s="455" t="s">
        <v>376</v>
      </c>
      <c r="X356" s="455">
        <v>45547</v>
      </c>
      <c r="Y356" s="456" t="s">
        <v>377</v>
      </c>
      <c r="Z356" s="457"/>
      <c r="AA356" s="494"/>
    </row>
    <row r="357" spans="1:27" s="128" customFormat="1" ht="36" customHeight="1">
      <c r="A357" s="443">
        <v>57</v>
      </c>
      <c r="B357" s="444" t="s">
        <v>990</v>
      </c>
      <c r="C357" s="445" t="s">
        <v>60</v>
      </c>
      <c r="D357" s="444" t="s">
        <v>991</v>
      </c>
      <c r="E357" s="446">
        <v>1</v>
      </c>
      <c r="F357" s="447"/>
      <c r="G357" s="448">
        <f t="shared" si="12"/>
        <v>0</v>
      </c>
      <c r="H357" s="449"/>
      <c r="I357" s="444"/>
      <c r="J357" s="449"/>
      <c r="K357" s="444" t="s">
        <v>1046</v>
      </c>
      <c r="L357" s="450" t="s">
        <v>1047</v>
      </c>
      <c r="M357" s="444" t="s">
        <v>1044</v>
      </c>
      <c r="N357" s="450"/>
      <c r="O357" s="450"/>
      <c r="P357" s="450" t="s">
        <v>547</v>
      </c>
      <c r="Q357" s="451" t="s">
        <v>374</v>
      </c>
      <c r="R357" s="451" t="s">
        <v>263</v>
      </c>
      <c r="S357" s="452" t="s">
        <v>921</v>
      </c>
      <c r="T357" s="452"/>
      <c r="U357" s="453"/>
      <c r="V357" s="454"/>
      <c r="W357" s="455" t="s">
        <v>376</v>
      </c>
      <c r="X357" s="455">
        <v>45547</v>
      </c>
      <c r="Y357" s="456" t="s">
        <v>377</v>
      </c>
      <c r="Z357" s="457"/>
      <c r="AA357" s="494"/>
    </row>
    <row r="358" spans="1:27" s="128" customFormat="1" ht="36" customHeight="1">
      <c r="A358" s="443">
        <v>58</v>
      </c>
      <c r="B358" s="444" t="s">
        <v>1110</v>
      </c>
      <c r="C358" s="445" t="s">
        <v>60</v>
      </c>
      <c r="D358" s="444" t="s">
        <v>1111</v>
      </c>
      <c r="E358" s="446">
        <v>1</v>
      </c>
      <c r="F358" s="447"/>
      <c r="G358" s="448">
        <f t="shared" si="12"/>
        <v>0</v>
      </c>
      <c r="H358" s="449"/>
      <c r="I358" s="444"/>
      <c r="J358" s="449"/>
      <c r="K358" s="444" t="s">
        <v>1046</v>
      </c>
      <c r="L358" s="450" t="s">
        <v>1047</v>
      </c>
      <c r="M358" s="444" t="s">
        <v>1044</v>
      </c>
      <c r="N358" s="450"/>
      <c r="O358" s="450"/>
      <c r="P358" s="450" t="s">
        <v>547</v>
      </c>
      <c r="Q358" s="451" t="s">
        <v>374</v>
      </c>
      <c r="R358" s="451" t="s">
        <v>263</v>
      </c>
      <c r="S358" s="452" t="s">
        <v>921</v>
      </c>
      <c r="T358" s="452"/>
      <c r="U358" s="453"/>
      <c r="V358" s="454"/>
      <c r="W358" s="455" t="s">
        <v>376</v>
      </c>
      <c r="X358" s="455">
        <v>45548</v>
      </c>
      <c r="Y358" s="456" t="s">
        <v>377</v>
      </c>
      <c r="Z358" s="457"/>
      <c r="AA358" s="494"/>
    </row>
    <row r="359" spans="1:27" s="128" customFormat="1" ht="36" customHeight="1">
      <c r="A359" s="443">
        <v>59</v>
      </c>
      <c r="B359" s="444" t="s">
        <v>1112</v>
      </c>
      <c r="C359" s="445" t="s">
        <v>60</v>
      </c>
      <c r="D359" s="444" t="s">
        <v>1113</v>
      </c>
      <c r="E359" s="446">
        <v>1</v>
      </c>
      <c r="F359" s="447"/>
      <c r="G359" s="448">
        <f t="shared" si="12"/>
        <v>0</v>
      </c>
      <c r="H359" s="449"/>
      <c r="I359" s="444"/>
      <c r="J359" s="449"/>
      <c r="K359" s="444" t="s">
        <v>1015</v>
      </c>
      <c r="L359" s="450" t="s">
        <v>1003</v>
      </c>
      <c r="M359" s="444" t="s">
        <v>1044</v>
      </c>
      <c r="N359" s="450"/>
      <c r="O359" s="450"/>
      <c r="P359" s="450" t="s">
        <v>547</v>
      </c>
      <c r="Q359" s="451" t="s">
        <v>374</v>
      </c>
      <c r="R359" s="451" t="s">
        <v>263</v>
      </c>
      <c r="S359" s="452" t="s">
        <v>1045</v>
      </c>
      <c r="T359" s="452"/>
      <c r="U359" s="453"/>
      <c r="V359" s="454"/>
      <c r="W359" s="455" t="s">
        <v>406</v>
      </c>
      <c r="X359" s="455">
        <v>45554</v>
      </c>
      <c r="Y359" s="456" t="s">
        <v>377</v>
      </c>
      <c r="Z359" s="457"/>
      <c r="AA359" s="494"/>
    </row>
    <row r="360" spans="1:27" s="128" customFormat="1" ht="36" customHeight="1">
      <c r="A360" s="443">
        <v>60</v>
      </c>
      <c r="B360" s="444" t="s">
        <v>1114</v>
      </c>
      <c r="C360" s="445" t="s">
        <v>60</v>
      </c>
      <c r="D360" s="444" t="s">
        <v>1115</v>
      </c>
      <c r="E360" s="446">
        <v>1</v>
      </c>
      <c r="F360" s="447"/>
      <c r="G360" s="448">
        <f t="shared" si="12"/>
        <v>0</v>
      </c>
      <c r="H360" s="449"/>
      <c r="I360" s="444"/>
      <c r="J360" s="449"/>
      <c r="K360" s="444" t="s">
        <v>1015</v>
      </c>
      <c r="L360" s="450" t="s">
        <v>1003</v>
      </c>
      <c r="M360" s="444" t="s">
        <v>1044</v>
      </c>
      <c r="N360" s="450"/>
      <c r="O360" s="450"/>
      <c r="P360" s="450" t="s">
        <v>547</v>
      </c>
      <c r="Q360" s="451" t="s">
        <v>374</v>
      </c>
      <c r="R360" s="451" t="s">
        <v>263</v>
      </c>
      <c r="S360" s="452" t="s">
        <v>921</v>
      </c>
      <c r="T360" s="452"/>
      <c r="U360" s="453"/>
      <c r="V360" s="454"/>
      <c r="W360" s="455" t="s">
        <v>406</v>
      </c>
      <c r="X360" s="455">
        <v>45554</v>
      </c>
      <c r="Y360" s="456" t="s">
        <v>377</v>
      </c>
      <c r="Z360" s="457"/>
      <c r="AA360" s="494"/>
    </row>
    <row r="361" spans="1:27" s="128" customFormat="1" ht="36" customHeight="1">
      <c r="A361" s="443">
        <v>61</v>
      </c>
      <c r="B361" s="444" t="s">
        <v>886</v>
      </c>
      <c r="C361" s="445" t="s">
        <v>60</v>
      </c>
      <c r="D361" s="444" t="s">
        <v>887</v>
      </c>
      <c r="E361" s="446">
        <v>1</v>
      </c>
      <c r="F361" s="447"/>
      <c r="G361" s="448">
        <f t="shared" si="12"/>
        <v>0</v>
      </c>
      <c r="H361" s="449"/>
      <c r="I361" s="444"/>
      <c r="J361" s="449"/>
      <c r="K361" s="444" t="s">
        <v>1046</v>
      </c>
      <c r="L361" s="450" t="s">
        <v>1047</v>
      </c>
      <c r="M361" s="444" t="s">
        <v>1044</v>
      </c>
      <c r="N361" s="450"/>
      <c r="O361" s="450"/>
      <c r="P361" s="450" t="s">
        <v>547</v>
      </c>
      <c r="Q361" s="451" t="s">
        <v>374</v>
      </c>
      <c r="R361" s="451" t="s">
        <v>263</v>
      </c>
      <c r="S361" s="452" t="s">
        <v>921</v>
      </c>
      <c r="T361" s="452"/>
      <c r="U361" s="453"/>
      <c r="V361" s="454"/>
      <c r="W361" s="455" t="s">
        <v>376</v>
      </c>
      <c r="X361" s="455">
        <v>45547</v>
      </c>
      <c r="Y361" s="456" t="s">
        <v>377</v>
      </c>
      <c r="Z361" s="457"/>
      <c r="AA361" s="494"/>
    </row>
    <row r="362" spans="1:27" s="128" customFormat="1" ht="36" customHeight="1">
      <c r="A362" s="443">
        <v>62</v>
      </c>
      <c r="B362" s="444" t="s">
        <v>643</v>
      </c>
      <c r="C362" s="445" t="s">
        <v>60</v>
      </c>
      <c r="D362" s="444" t="s">
        <v>644</v>
      </c>
      <c r="E362" s="446">
        <v>2</v>
      </c>
      <c r="F362" s="447"/>
      <c r="G362" s="448">
        <f t="shared" si="12"/>
        <v>0</v>
      </c>
      <c r="H362" s="449"/>
      <c r="I362" s="444"/>
      <c r="J362" s="449"/>
      <c r="K362" s="444" t="s">
        <v>1025</v>
      </c>
      <c r="L362" s="450" t="s">
        <v>444</v>
      </c>
      <c r="M362" s="444" t="s">
        <v>444</v>
      </c>
      <c r="N362" s="450"/>
      <c r="O362" s="450"/>
      <c r="P362" s="450" t="s">
        <v>444</v>
      </c>
      <c r="Q362" s="451" t="s">
        <v>374</v>
      </c>
      <c r="R362" s="451"/>
      <c r="S362" s="452"/>
      <c r="T362" s="452" t="s">
        <v>1026</v>
      </c>
      <c r="U362" s="453"/>
      <c r="V362" s="454"/>
      <c r="W362" s="455" t="s">
        <v>406</v>
      </c>
      <c r="X362" s="455">
        <v>45565</v>
      </c>
      <c r="Y362" s="456" t="s">
        <v>377</v>
      </c>
      <c r="Z362" s="457"/>
      <c r="AA362" s="494"/>
    </row>
    <row r="363" spans="1:27" s="128" customFormat="1" ht="36" customHeight="1">
      <c r="A363" s="443">
        <v>63</v>
      </c>
      <c r="B363" s="444" t="s">
        <v>649</v>
      </c>
      <c r="C363" s="445" t="s">
        <v>60</v>
      </c>
      <c r="D363" s="444" t="s">
        <v>650</v>
      </c>
      <c r="E363" s="446">
        <v>4</v>
      </c>
      <c r="F363" s="447"/>
      <c r="G363" s="448">
        <f t="shared" si="12"/>
        <v>0</v>
      </c>
      <c r="H363" s="449"/>
      <c r="I363" s="444"/>
      <c r="J363" s="449"/>
      <c r="K363" s="444" t="s">
        <v>1015</v>
      </c>
      <c r="L363" s="450" t="s">
        <v>1003</v>
      </c>
      <c r="M363" s="444" t="s">
        <v>1044</v>
      </c>
      <c r="N363" s="450"/>
      <c r="O363" s="450"/>
      <c r="P363" s="450" t="s">
        <v>547</v>
      </c>
      <c r="Q363" s="451" t="s">
        <v>374</v>
      </c>
      <c r="R363" s="451" t="s">
        <v>263</v>
      </c>
      <c r="S363" s="452" t="s">
        <v>1045</v>
      </c>
      <c r="T363" s="452" t="s">
        <v>1116</v>
      </c>
      <c r="U363" s="453"/>
      <c r="V363" s="454"/>
      <c r="W363" s="455" t="s">
        <v>406</v>
      </c>
      <c r="X363" s="455">
        <v>45601</v>
      </c>
      <c r="Y363" s="456" t="s">
        <v>377</v>
      </c>
      <c r="Z363" s="457"/>
      <c r="AA363" s="494"/>
    </row>
    <row r="364" spans="1:27" s="128" customFormat="1" ht="36" customHeight="1">
      <c r="A364" s="443">
        <v>64</v>
      </c>
      <c r="B364" s="444" t="s">
        <v>1117</v>
      </c>
      <c r="C364" s="445" t="s">
        <v>60</v>
      </c>
      <c r="D364" s="444" t="s">
        <v>1118</v>
      </c>
      <c r="E364" s="446">
        <v>1</v>
      </c>
      <c r="F364" s="447"/>
      <c r="G364" s="448">
        <f t="shared" si="12"/>
        <v>0</v>
      </c>
      <c r="H364" s="449"/>
      <c r="I364" s="444"/>
      <c r="J364" s="449"/>
      <c r="K364" s="444" t="s">
        <v>1015</v>
      </c>
      <c r="L364" s="450" t="s">
        <v>1003</v>
      </c>
      <c r="M364" s="444" t="s">
        <v>1044</v>
      </c>
      <c r="N364" s="450"/>
      <c r="O364" s="450"/>
      <c r="P364" s="450" t="s">
        <v>547</v>
      </c>
      <c r="Q364" s="451" t="s">
        <v>374</v>
      </c>
      <c r="R364" s="451" t="s">
        <v>263</v>
      </c>
      <c r="S364" s="452" t="s">
        <v>921</v>
      </c>
      <c r="T364" s="452"/>
      <c r="U364" s="453"/>
      <c r="V364" s="454"/>
      <c r="W364" s="455" t="s">
        <v>406</v>
      </c>
      <c r="X364" s="455">
        <v>45554</v>
      </c>
      <c r="Y364" s="456" t="s">
        <v>377</v>
      </c>
      <c r="Z364" s="457"/>
      <c r="AA364" s="494"/>
    </row>
    <row r="365" spans="1:27" s="128" customFormat="1" ht="36" customHeight="1">
      <c r="A365" s="443">
        <v>65</v>
      </c>
      <c r="B365" s="444" t="s">
        <v>1119</v>
      </c>
      <c r="C365" s="445" t="s">
        <v>60</v>
      </c>
      <c r="D365" s="444" t="s">
        <v>1120</v>
      </c>
      <c r="E365" s="446">
        <v>2</v>
      </c>
      <c r="F365" s="447"/>
      <c r="G365" s="448">
        <f t="shared" ref="G365:G386" si="13">E365*F365</f>
        <v>0</v>
      </c>
      <c r="H365" s="449"/>
      <c r="I365" s="444"/>
      <c r="J365" s="449"/>
      <c r="K365" s="444" t="s">
        <v>1015</v>
      </c>
      <c r="L365" s="450" t="s">
        <v>1003</v>
      </c>
      <c r="M365" s="444" t="s">
        <v>1029</v>
      </c>
      <c r="N365" s="450"/>
      <c r="O365" s="450"/>
      <c r="P365" s="450" t="s">
        <v>1017</v>
      </c>
      <c r="Q365" s="451" t="s">
        <v>374</v>
      </c>
      <c r="R365" s="451" t="s">
        <v>277</v>
      </c>
      <c r="S365" s="452" t="s">
        <v>548</v>
      </c>
      <c r="T365" s="452">
        <v>45561</v>
      </c>
      <c r="U365" s="453"/>
      <c r="V365" s="454"/>
      <c r="W365" s="455" t="s">
        <v>406</v>
      </c>
      <c r="X365" s="455">
        <v>45554</v>
      </c>
      <c r="Y365" s="456" t="s">
        <v>377</v>
      </c>
      <c r="Z365" s="457"/>
      <c r="AA365" s="494"/>
    </row>
    <row r="366" spans="1:27" s="128" customFormat="1" ht="36" customHeight="1">
      <c r="A366" s="443">
        <v>66</v>
      </c>
      <c r="B366" s="444" t="s">
        <v>1121</v>
      </c>
      <c r="C366" s="445" t="s">
        <v>60</v>
      </c>
      <c r="D366" s="444" t="s">
        <v>1122</v>
      </c>
      <c r="E366" s="446">
        <v>4</v>
      </c>
      <c r="F366" s="447"/>
      <c r="G366" s="448">
        <f t="shared" si="13"/>
        <v>0</v>
      </c>
      <c r="H366" s="449"/>
      <c r="I366" s="444"/>
      <c r="J366" s="449"/>
      <c r="K366" s="444" t="s">
        <v>1015</v>
      </c>
      <c r="L366" s="450" t="s">
        <v>1003</v>
      </c>
      <c r="M366" s="444" t="s">
        <v>1044</v>
      </c>
      <c r="N366" s="450"/>
      <c r="O366" s="450"/>
      <c r="P366" s="450" t="s">
        <v>547</v>
      </c>
      <c r="Q366" s="451" t="s">
        <v>374</v>
      </c>
      <c r="R366" s="451" t="s">
        <v>263</v>
      </c>
      <c r="S366" s="452" t="s">
        <v>921</v>
      </c>
      <c r="T366" s="452" t="s">
        <v>1123</v>
      </c>
      <c r="U366" s="453"/>
      <c r="V366" s="454"/>
      <c r="W366" s="455" t="s">
        <v>406</v>
      </c>
      <c r="X366" s="455">
        <v>45590</v>
      </c>
      <c r="Y366" s="456" t="s">
        <v>377</v>
      </c>
      <c r="Z366" s="457" t="s">
        <v>1124</v>
      </c>
      <c r="AA366" s="494"/>
    </row>
    <row r="367" spans="1:27" s="128" customFormat="1" ht="18" customHeight="1">
      <c r="A367" s="443">
        <v>67</v>
      </c>
      <c r="B367" s="444" t="s">
        <v>688</v>
      </c>
      <c r="C367" s="445" t="s">
        <v>60</v>
      </c>
      <c r="D367" s="444" t="s">
        <v>689</v>
      </c>
      <c r="E367" s="446">
        <v>1</v>
      </c>
      <c r="F367" s="447"/>
      <c r="G367" s="448">
        <f t="shared" si="13"/>
        <v>0</v>
      </c>
      <c r="H367" s="449"/>
      <c r="I367" s="444"/>
      <c r="J367" s="449"/>
      <c r="K367" s="444"/>
      <c r="L367" s="450"/>
      <c r="M367" s="444"/>
      <c r="N367" s="450"/>
      <c r="O367" s="450"/>
      <c r="P367" s="450"/>
      <c r="Q367" s="451" t="s">
        <v>374</v>
      </c>
      <c r="R367" s="451"/>
      <c r="S367" s="452"/>
      <c r="T367" s="452"/>
      <c r="U367" s="453"/>
      <c r="V367" s="454"/>
      <c r="W367" s="455" t="s">
        <v>406</v>
      </c>
      <c r="X367" s="455">
        <v>45518</v>
      </c>
      <c r="Y367" s="456" t="s">
        <v>377</v>
      </c>
      <c r="Z367" s="457"/>
      <c r="AA367" s="494"/>
    </row>
    <row r="368" spans="1:27" s="128" customFormat="1" ht="36" customHeight="1">
      <c r="A368" s="443">
        <v>68</v>
      </c>
      <c r="B368" s="444" t="s">
        <v>1125</v>
      </c>
      <c r="C368" s="445" t="s">
        <v>60</v>
      </c>
      <c r="D368" s="444" t="s">
        <v>1126</v>
      </c>
      <c r="E368" s="446">
        <v>2</v>
      </c>
      <c r="F368" s="447"/>
      <c r="G368" s="448">
        <f t="shared" si="13"/>
        <v>0</v>
      </c>
      <c r="H368" s="449"/>
      <c r="I368" s="444"/>
      <c r="J368" s="449"/>
      <c r="K368" s="444" t="s">
        <v>1085</v>
      </c>
      <c r="L368" s="450" t="s">
        <v>756</v>
      </c>
      <c r="M368" s="444" t="s">
        <v>1127</v>
      </c>
      <c r="N368" s="450"/>
      <c r="O368" s="450"/>
      <c r="P368" s="450" t="s">
        <v>954</v>
      </c>
      <c r="Q368" s="451" t="s">
        <v>374</v>
      </c>
      <c r="R368" s="451" t="s">
        <v>263</v>
      </c>
      <c r="S368" s="452" t="s">
        <v>1128</v>
      </c>
      <c r="T368" s="452"/>
      <c r="U368" s="453"/>
      <c r="V368" s="454"/>
      <c r="W368" s="455" t="s">
        <v>406</v>
      </c>
      <c r="X368" s="455">
        <v>45587</v>
      </c>
      <c r="Y368" s="456" t="s">
        <v>377</v>
      </c>
      <c r="Z368" s="457"/>
      <c r="AA368" s="494"/>
    </row>
    <row r="369" spans="1:27" s="128" customFormat="1" ht="36" customHeight="1">
      <c r="A369" s="443">
        <v>69</v>
      </c>
      <c r="B369" s="444" t="s">
        <v>878</v>
      </c>
      <c r="C369" s="445" t="s">
        <v>60</v>
      </c>
      <c r="D369" s="444" t="s">
        <v>879</v>
      </c>
      <c r="E369" s="446">
        <v>3</v>
      </c>
      <c r="F369" s="447"/>
      <c r="G369" s="448">
        <f t="shared" si="13"/>
        <v>0</v>
      </c>
      <c r="H369" s="449"/>
      <c r="I369" s="444"/>
      <c r="J369" s="449"/>
      <c r="K369" s="444" t="s">
        <v>1046</v>
      </c>
      <c r="L369" s="450" t="s">
        <v>1047</v>
      </c>
      <c r="M369" s="444" t="s">
        <v>1044</v>
      </c>
      <c r="N369" s="450"/>
      <c r="O369" s="450"/>
      <c r="P369" s="450" t="s">
        <v>547</v>
      </c>
      <c r="Q369" s="451" t="s">
        <v>374</v>
      </c>
      <c r="R369" s="451" t="s">
        <v>263</v>
      </c>
      <c r="S369" s="452" t="s">
        <v>921</v>
      </c>
      <c r="T369" s="452"/>
      <c r="U369" s="453"/>
      <c r="V369" s="454"/>
      <c r="W369" s="455" t="s">
        <v>376</v>
      </c>
      <c r="X369" s="455">
        <v>45547</v>
      </c>
      <c r="Y369" s="456" t="s">
        <v>377</v>
      </c>
      <c r="Z369" s="457"/>
      <c r="AA369" s="494"/>
    </row>
    <row r="370" spans="1:27" s="128" customFormat="1" ht="36" customHeight="1">
      <c r="A370" s="443">
        <v>70</v>
      </c>
      <c r="B370" s="444" t="s">
        <v>1129</v>
      </c>
      <c r="C370" s="445" t="s">
        <v>60</v>
      </c>
      <c r="D370" s="444" t="s">
        <v>1130</v>
      </c>
      <c r="E370" s="446">
        <v>2</v>
      </c>
      <c r="F370" s="447"/>
      <c r="G370" s="448">
        <f t="shared" si="13"/>
        <v>0</v>
      </c>
      <c r="H370" s="449"/>
      <c r="I370" s="444"/>
      <c r="J370" s="449"/>
      <c r="K370" s="444" t="s">
        <v>1046</v>
      </c>
      <c r="L370" s="450" t="s">
        <v>1047</v>
      </c>
      <c r="M370" s="444" t="s">
        <v>1044</v>
      </c>
      <c r="N370" s="450"/>
      <c r="O370" s="450"/>
      <c r="P370" s="450" t="s">
        <v>547</v>
      </c>
      <c r="Q370" s="451" t="s">
        <v>374</v>
      </c>
      <c r="R370" s="451" t="s">
        <v>263</v>
      </c>
      <c r="S370" s="452" t="s">
        <v>921</v>
      </c>
      <c r="T370" s="452"/>
      <c r="U370" s="453"/>
      <c r="V370" s="454"/>
      <c r="W370" s="455" t="s">
        <v>376</v>
      </c>
      <c r="X370" s="455">
        <v>45547</v>
      </c>
      <c r="Y370" s="456" t="s">
        <v>377</v>
      </c>
      <c r="Z370" s="457"/>
      <c r="AA370" s="494"/>
    </row>
    <row r="371" spans="1:27" s="128" customFormat="1" ht="36" customHeight="1">
      <c r="A371" s="443">
        <v>71</v>
      </c>
      <c r="B371" s="444" t="s">
        <v>1131</v>
      </c>
      <c r="C371" s="445" t="s">
        <v>60</v>
      </c>
      <c r="D371" s="444" t="s">
        <v>1132</v>
      </c>
      <c r="E371" s="446">
        <v>1</v>
      </c>
      <c r="F371" s="447"/>
      <c r="G371" s="448">
        <f t="shared" si="13"/>
        <v>0</v>
      </c>
      <c r="H371" s="449"/>
      <c r="I371" s="444"/>
      <c r="J371" s="449"/>
      <c r="K371" s="444" t="s">
        <v>1046</v>
      </c>
      <c r="L371" s="450" t="s">
        <v>1047</v>
      </c>
      <c r="M371" s="444" t="s">
        <v>1044</v>
      </c>
      <c r="N371" s="450"/>
      <c r="O371" s="450"/>
      <c r="P371" s="450" t="s">
        <v>547</v>
      </c>
      <c r="Q371" s="451" t="s">
        <v>374</v>
      </c>
      <c r="R371" s="451" t="s">
        <v>263</v>
      </c>
      <c r="S371" s="452" t="s">
        <v>921</v>
      </c>
      <c r="T371" s="452"/>
      <c r="U371" s="453"/>
      <c r="V371" s="454"/>
      <c r="W371" s="455" t="s">
        <v>376</v>
      </c>
      <c r="X371" s="455">
        <v>45548</v>
      </c>
      <c r="Y371" s="456" t="s">
        <v>377</v>
      </c>
      <c r="Z371" s="457"/>
      <c r="AA371" s="494"/>
    </row>
    <row r="372" spans="1:27" s="128" customFormat="1" ht="36" customHeight="1">
      <c r="A372" s="443">
        <v>72</v>
      </c>
      <c r="B372" s="444" t="s">
        <v>1133</v>
      </c>
      <c r="C372" s="445" t="s">
        <v>60</v>
      </c>
      <c r="D372" s="444" t="s">
        <v>1134</v>
      </c>
      <c r="E372" s="446">
        <v>2</v>
      </c>
      <c r="F372" s="447"/>
      <c r="G372" s="448">
        <f t="shared" si="13"/>
        <v>0</v>
      </c>
      <c r="H372" s="449"/>
      <c r="I372" s="444"/>
      <c r="J372" s="449"/>
      <c r="K372" s="444" t="s">
        <v>1046</v>
      </c>
      <c r="L372" s="450" t="s">
        <v>1047</v>
      </c>
      <c r="M372" s="444" t="s">
        <v>1044</v>
      </c>
      <c r="N372" s="450"/>
      <c r="O372" s="450"/>
      <c r="P372" s="450" t="s">
        <v>547</v>
      </c>
      <c r="Q372" s="451" t="s">
        <v>374</v>
      </c>
      <c r="R372" s="451" t="s">
        <v>263</v>
      </c>
      <c r="S372" s="452" t="s">
        <v>921</v>
      </c>
      <c r="T372" s="452"/>
      <c r="U372" s="453"/>
      <c r="V372" s="454"/>
      <c r="W372" s="455" t="s">
        <v>376</v>
      </c>
      <c r="X372" s="455">
        <v>45547</v>
      </c>
      <c r="Y372" s="456" t="s">
        <v>377</v>
      </c>
      <c r="Z372" s="457"/>
      <c r="AA372" s="494"/>
    </row>
    <row r="373" spans="1:27" s="128" customFormat="1" ht="36" customHeight="1">
      <c r="A373" s="443">
        <v>73</v>
      </c>
      <c r="B373" s="444" t="s">
        <v>1135</v>
      </c>
      <c r="C373" s="445" t="s">
        <v>60</v>
      </c>
      <c r="D373" s="444" t="s">
        <v>1136</v>
      </c>
      <c r="E373" s="446">
        <v>1</v>
      </c>
      <c r="F373" s="447"/>
      <c r="G373" s="448">
        <f t="shared" si="13"/>
        <v>0</v>
      </c>
      <c r="H373" s="449"/>
      <c r="I373" s="444"/>
      <c r="J373" s="449"/>
      <c r="K373" s="444" t="s">
        <v>1046</v>
      </c>
      <c r="L373" s="450" t="s">
        <v>1047</v>
      </c>
      <c r="M373" s="444" t="s">
        <v>1044</v>
      </c>
      <c r="N373" s="450"/>
      <c r="O373" s="450"/>
      <c r="P373" s="450" t="s">
        <v>547</v>
      </c>
      <c r="Q373" s="451" t="s">
        <v>374</v>
      </c>
      <c r="R373" s="451" t="s">
        <v>263</v>
      </c>
      <c r="S373" s="452" t="s">
        <v>921</v>
      </c>
      <c r="T373" s="452"/>
      <c r="U373" s="453"/>
      <c r="V373" s="454"/>
      <c r="W373" s="455" t="s">
        <v>376</v>
      </c>
      <c r="X373" s="455">
        <v>45547</v>
      </c>
      <c r="Y373" s="456" t="s">
        <v>377</v>
      </c>
      <c r="Z373" s="457"/>
      <c r="AA373" s="494"/>
    </row>
    <row r="374" spans="1:27" s="128" customFormat="1" ht="36" customHeight="1">
      <c r="A374" s="443">
        <v>74</v>
      </c>
      <c r="B374" s="444" t="s">
        <v>1137</v>
      </c>
      <c r="C374" s="445" t="s">
        <v>60</v>
      </c>
      <c r="D374" s="444" t="s">
        <v>1138</v>
      </c>
      <c r="E374" s="446">
        <v>2</v>
      </c>
      <c r="F374" s="447"/>
      <c r="G374" s="448">
        <f t="shared" si="13"/>
        <v>0</v>
      </c>
      <c r="H374" s="449"/>
      <c r="I374" s="444"/>
      <c r="J374" s="449"/>
      <c r="K374" s="444" t="s">
        <v>1046</v>
      </c>
      <c r="L374" s="450" t="s">
        <v>1047</v>
      </c>
      <c r="M374" s="444" t="s">
        <v>1044</v>
      </c>
      <c r="N374" s="450"/>
      <c r="O374" s="450"/>
      <c r="P374" s="450" t="s">
        <v>547</v>
      </c>
      <c r="Q374" s="451" t="s">
        <v>374</v>
      </c>
      <c r="R374" s="451" t="s">
        <v>263</v>
      </c>
      <c r="S374" s="452" t="s">
        <v>921</v>
      </c>
      <c r="T374" s="452"/>
      <c r="U374" s="453"/>
      <c r="V374" s="454"/>
      <c r="W374" s="455" t="s">
        <v>376</v>
      </c>
      <c r="X374" s="455">
        <v>45547</v>
      </c>
      <c r="Y374" s="456" t="s">
        <v>377</v>
      </c>
      <c r="Z374" s="457"/>
      <c r="AA374" s="494"/>
    </row>
    <row r="375" spans="1:27" s="128" customFormat="1" ht="36" customHeight="1">
      <c r="A375" s="443">
        <v>75</v>
      </c>
      <c r="B375" s="444" t="s">
        <v>1139</v>
      </c>
      <c r="C375" s="445" t="s">
        <v>60</v>
      </c>
      <c r="D375" s="444" t="s">
        <v>1140</v>
      </c>
      <c r="E375" s="446">
        <v>1</v>
      </c>
      <c r="F375" s="447"/>
      <c r="G375" s="448">
        <f t="shared" si="13"/>
        <v>0</v>
      </c>
      <c r="H375" s="449"/>
      <c r="I375" s="444"/>
      <c r="J375" s="449"/>
      <c r="K375" s="444" t="s">
        <v>1015</v>
      </c>
      <c r="L375" s="450" t="s">
        <v>1003</v>
      </c>
      <c r="M375" s="444" t="s">
        <v>1051</v>
      </c>
      <c r="N375" s="450"/>
      <c r="O375" s="450"/>
      <c r="P375" s="450" t="s">
        <v>1017</v>
      </c>
      <c r="Q375" s="451" t="s">
        <v>374</v>
      </c>
      <c r="R375" s="451" t="s">
        <v>249</v>
      </c>
      <c r="S375" s="452" t="s">
        <v>921</v>
      </c>
      <c r="T375" s="452">
        <v>45554</v>
      </c>
      <c r="U375" s="453"/>
      <c r="V375" s="454"/>
      <c r="W375" s="455" t="s">
        <v>406</v>
      </c>
      <c r="X375" s="455">
        <v>45562</v>
      </c>
      <c r="Y375" s="456" t="s">
        <v>377</v>
      </c>
      <c r="Z375" s="457"/>
      <c r="AA375" s="494"/>
    </row>
    <row r="376" spans="1:27" s="128" customFormat="1" ht="36" customHeight="1">
      <c r="A376" s="443">
        <v>76</v>
      </c>
      <c r="B376" s="444" t="s">
        <v>1141</v>
      </c>
      <c r="C376" s="445" t="s">
        <v>60</v>
      </c>
      <c r="D376" s="444" t="s">
        <v>1142</v>
      </c>
      <c r="E376" s="446">
        <v>10</v>
      </c>
      <c r="F376" s="447"/>
      <c r="G376" s="448">
        <f t="shared" si="13"/>
        <v>0</v>
      </c>
      <c r="H376" s="449"/>
      <c r="I376" s="444"/>
      <c r="J376" s="449"/>
      <c r="K376" s="444" t="s">
        <v>1015</v>
      </c>
      <c r="L376" s="450" t="s">
        <v>1003</v>
      </c>
      <c r="M376" s="444" t="s">
        <v>1143</v>
      </c>
      <c r="N376" s="450"/>
      <c r="O376" s="450"/>
      <c r="P376" s="450" t="s">
        <v>1017</v>
      </c>
      <c r="Q376" s="451" t="s">
        <v>374</v>
      </c>
      <c r="R376" s="451" t="s">
        <v>1144</v>
      </c>
      <c r="S376" s="452" t="s">
        <v>1145</v>
      </c>
      <c r="T376" s="452"/>
      <c r="U376" s="453"/>
      <c r="V376" s="454"/>
      <c r="W376" s="455" t="s">
        <v>406</v>
      </c>
      <c r="X376" s="455">
        <v>45552</v>
      </c>
      <c r="Y376" s="456" t="s">
        <v>377</v>
      </c>
      <c r="Z376" s="457"/>
      <c r="AA376" s="494"/>
    </row>
    <row r="377" spans="1:27" s="128" customFormat="1" ht="36" customHeight="1">
      <c r="A377" s="443">
        <v>77</v>
      </c>
      <c r="B377" s="444" t="s">
        <v>1146</v>
      </c>
      <c r="C377" s="445" t="s">
        <v>60</v>
      </c>
      <c r="D377" s="444" t="s">
        <v>1147</v>
      </c>
      <c r="E377" s="446">
        <v>20</v>
      </c>
      <c r="F377" s="447"/>
      <c r="G377" s="448">
        <f t="shared" si="13"/>
        <v>0</v>
      </c>
      <c r="H377" s="449"/>
      <c r="I377" s="444"/>
      <c r="J377" s="449"/>
      <c r="K377" s="444" t="s">
        <v>1015</v>
      </c>
      <c r="L377" s="450" t="s">
        <v>1003</v>
      </c>
      <c r="M377" s="444" t="s">
        <v>1143</v>
      </c>
      <c r="N377" s="450"/>
      <c r="O377" s="450"/>
      <c r="P377" s="450" t="s">
        <v>1017</v>
      </c>
      <c r="Q377" s="451" t="s">
        <v>374</v>
      </c>
      <c r="R377" s="451" t="s">
        <v>1144</v>
      </c>
      <c r="S377" s="452" t="s">
        <v>1145</v>
      </c>
      <c r="T377" s="452"/>
      <c r="U377" s="453"/>
      <c r="V377" s="454"/>
      <c r="W377" s="455" t="s">
        <v>406</v>
      </c>
      <c r="X377" s="455">
        <v>45590</v>
      </c>
      <c r="Y377" s="456" t="s">
        <v>377</v>
      </c>
      <c r="Z377" s="457"/>
      <c r="AA377" s="494"/>
    </row>
    <row r="378" spans="1:27" s="128" customFormat="1" ht="36" customHeight="1">
      <c r="A378" s="443">
        <v>78</v>
      </c>
      <c r="B378" s="444" t="s">
        <v>1148</v>
      </c>
      <c r="C378" s="445" t="s">
        <v>60</v>
      </c>
      <c r="D378" s="444" t="s">
        <v>1149</v>
      </c>
      <c r="E378" s="446">
        <v>1</v>
      </c>
      <c r="F378" s="447"/>
      <c r="G378" s="448">
        <f t="shared" si="13"/>
        <v>0</v>
      </c>
      <c r="H378" s="449"/>
      <c r="I378" s="444"/>
      <c r="J378" s="449"/>
      <c r="K378" s="444" t="s">
        <v>1015</v>
      </c>
      <c r="L378" s="450" t="s">
        <v>1003</v>
      </c>
      <c r="M378" s="444" t="s">
        <v>1143</v>
      </c>
      <c r="N378" s="450"/>
      <c r="O378" s="450"/>
      <c r="P378" s="450" t="s">
        <v>1017</v>
      </c>
      <c r="Q378" s="451" t="s">
        <v>374</v>
      </c>
      <c r="R378" s="451" t="s">
        <v>1144</v>
      </c>
      <c r="S378" s="452" t="s">
        <v>1145</v>
      </c>
      <c r="T378" s="452"/>
      <c r="U378" s="453"/>
      <c r="V378" s="454"/>
      <c r="W378" s="455" t="s">
        <v>406</v>
      </c>
      <c r="X378" s="455">
        <v>45552</v>
      </c>
      <c r="Y378" s="456" t="s">
        <v>377</v>
      </c>
      <c r="Z378" s="457"/>
      <c r="AA378" s="494"/>
    </row>
    <row r="379" spans="1:27" s="128" customFormat="1" ht="36" customHeight="1">
      <c r="A379" s="443">
        <v>79</v>
      </c>
      <c r="B379" s="444" t="s">
        <v>657</v>
      </c>
      <c r="C379" s="445" t="s">
        <v>60</v>
      </c>
      <c r="D379" s="444" t="s">
        <v>658</v>
      </c>
      <c r="E379" s="446">
        <v>21</v>
      </c>
      <c r="F379" s="447"/>
      <c r="G379" s="448">
        <f t="shared" si="13"/>
        <v>0</v>
      </c>
      <c r="H379" s="449"/>
      <c r="I379" s="444"/>
      <c r="J379" s="449"/>
      <c r="K379" s="444" t="s">
        <v>1015</v>
      </c>
      <c r="L379" s="450" t="s">
        <v>1003</v>
      </c>
      <c r="M379" s="444" t="s">
        <v>1080</v>
      </c>
      <c r="N379" s="450"/>
      <c r="O379" s="450"/>
      <c r="P379" s="450" t="s">
        <v>1017</v>
      </c>
      <c r="Q379" s="451" t="s">
        <v>374</v>
      </c>
      <c r="R379" s="451" t="s">
        <v>251</v>
      </c>
      <c r="S379" s="452" t="s">
        <v>548</v>
      </c>
      <c r="T379" s="452"/>
      <c r="U379" s="453"/>
      <c r="V379" s="454"/>
      <c r="W379" s="455" t="s">
        <v>406</v>
      </c>
      <c r="X379" s="455">
        <v>45590</v>
      </c>
      <c r="Y379" s="456" t="s">
        <v>377</v>
      </c>
      <c r="Z379" s="457"/>
      <c r="AA379" s="494"/>
    </row>
    <row r="380" spans="1:27" s="128" customFormat="1" ht="36" customHeight="1">
      <c r="A380" s="443">
        <v>80</v>
      </c>
      <c r="B380" s="444" t="s">
        <v>1150</v>
      </c>
      <c r="C380" s="445" t="s">
        <v>60</v>
      </c>
      <c r="D380" s="444" t="s">
        <v>1151</v>
      </c>
      <c r="E380" s="446">
        <v>1</v>
      </c>
      <c r="F380" s="447"/>
      <c r="G380" s="448">
        <f t="shared" si="13"/>
        <v>0</v>
      </c>
      <c r="H380" s="449"/>
      <c r="I380" s="444"/>
      <c r="J380" s="449"/>
      <c r="K380" s="444" t="s">
        <v>1015</v>
      </c>
      <c r="L380" s="450" t="s">
        <v>1003</v>
      </c>
      <c r="M380" s="444" t="s">
        <v>1152</v>
      </c>
      <c r="N380" s="450"/>
      <c r="O380" s="450"/>
      <c r="P380" s="450" t="s">
        <v>1017</v>
      </c>
      <c r="Q380" s="451" t="s">
        <v>374</v>
      </c>
      <c r="R380" s="451" t="s">
        <v>299</v>
      </c>
      <c r="S380" s="452" t="s">
        <v>471</v>
      </c>
      <c r="T380" s="452"/>
      <c r="U380" s="453"/>
      <c r="V380" s="454"/>
      <c r="W380" s="455" t="s">
        <v>406</v>
      </c>
      <c r="X380" s="455">
        <v>45573</v>
      </c>
      <c r="Y380" s="456" t="s">
        <v>377</v>
      </c>
      <c r="Z380" s="457"/>
      <c r="AA380" s="494"/>
    </row>
    <row r="381" spans="1:27" s="128" customFormat="1" ht="36" customHeight="1">
      <c r="A381" s="443">
        <v>81</v>
      </c>
      <c r="B381" s="444" t="s">
        <v>1153</v>
      </c>
      <c r="C381" s="445" t="s">
        <v>60</v>
      </c>
      <c r="D381" s="444" t="s">
        <v>1154</v>
      </c>
      <c r="E381" s="446">
        <v>4</v>
      </c>
      <c r="F381" s="447"/>
      <c r="G381" s="448">
        <f t="shared" si="13"/>
        <v>0</v>
      </c>
      <c r="H381" s="449"/>
      <c r="I381" s="444"/>
      <c r="J381" s="449"/>
      <c r="K381" s="444" t="s">
        <v>1015</v>
      </c>
      <c r="L381" s="450" t="s">
        <v>1003</v>
      </c>
      <c r="M381" s="444" t="s">
        <v>1044</v>
      </c>
      <c r="N381" s="450"/>
      <c r="O381" s="450"/>
      <c r="P381" s="450" t="s">
        <v>547</v>
      </c>
      <c r="Q381" s="451" t="s">
        <v>374</v>
      </c>
      <c r="R381" s="451" t="s">
        <v>263</v>
      </c>
      <c r="S381" s="452" t="s">
        <v>921</v>
      </c>
      <c r="T381" s="452"/>
      <c r="U381" s="453"/>
      <c r="V381" s="454"/>
      <c r="W381" s="455" t="s">
        <v>406</v>
      </c>
      <c r="X381" s="455">
        <v>45554</v>
      </c>
      <c r="Y381" s="456" t="s">
        <v>377</v>
      </c>
      <c r="Z381" s="457"/>
      <c r="AA381" s="494"/>
    </row>
    <row r="382" spans="1:27" s="128" customFormat="1" ht="36" customHeight="1">
      <c r="A382" s="443">
        <v>82</v>
      </c>
      <c r="B382" s="444" t="s">
        <v>987</v>
      </c>
      <c r="C382" s="445" t="s">
        <v>60</v>
      </c>
      <c r="D382" s="444" t="s">
        <v>397</v>
      </c>
      <c r="E382" s="446">
        <v>1</v>
      </c>
      <c r="F382" s="447"/>
      <c r="G382" s="448">
        <f t="shared" si="13"/>
        <v>0</v>
      </c>
      <c r="H382" s="449"/>
      <c r="I382" s="444"/>
      <c r="J382" s="449"/>
      <c r="K382" s="444" t="s">
        <v>1046</v>
      </c>
      <c r="L382" s="450" t="s">
        <v>1047</v>
      </c>
      <c r="M382" s="444" t="s">
        <v>1044</v>
      </c>
      <c r="N382" s="450"/>
      <c r="O382" s="450"/>
      <c r="P382" s="450" t="s">
        <v>547</v>
      </c>
      <c r="Q382" s="451" t="s">
        <v>374</v>
      </c>
      <c r="R382" s="451" t="s">
        <v>263</v>
      </c>
      <c r="S382" s="452" t="s">
        <v>921</v>
      </c>
      <c r="T382" s="452"/>
      <c r="U382" s="453"/>
      <c r="V382" s="454"/>
      <c r="W382" s="455" t="s">
        <v>376</v>
      </c>
      <c r="X382" s="455">
        <v>45547</v>
      </c>
      <c r="Y382" s="456" t="s">
        <v>377</v>
      </c>
      <c r="Z382" s="457"/>
      <c r="AA382" s="494"/>
    </row>
    <row r="383" spans="1:27" s="128" customFormat="1" ht="36" customHeight="1">
      <c r="A383" s="443">
        <v>83</v>
      </c>
      <c r="B383" s="444" t="s">
        <v>1155</v>
      </c>
      <c r="C383" s="445" t="s">
        <v>60</v>
      </c>
      <c r="D383" s="444" t="s">
        <v>1156</v>
      </c>
      <c r="E383" s="446">
        <v>3</v>
      </c>
      <c r="F383" s="447"/>
      <c r="G383" s="448">
        <f t="shared" si="13"/>
        <v>0</v>
      </c>
      <c r="H383" s="449"/>
      <c r="I383" s="444"/>
      <c r="J383" s="449"/>
      <c r="K383" s="444" t="s">
        <v>1015</v>
      </c>
      <c r="L383" s="450" t="s">
        <v>1003</v>
      </c>
      <c r="M383" s="444" t="s">
        <v>1051</v>
      </c>
      <c r="N383" s="450"/>
      <c r="O383" s="450"/>
      <c r="P383" s="450" t="s">
        <v>1017</v>
      </c>
      <c r="Q383" s="451" t="s">
        <v>374</v>
      </c>
      <c r="R383" s="451" t="s">
        <v>249</v>
      </c>
      <c r="S383" s="452" t="s">
        <v>921</v>
      </c>
      <c r="T383" s="452">
        <v>45554</v>
      </c>
      <c r="U383" s="453"/>
      <c r="V383" s="454"/>
      <c r="W383" s="455" t="s">
        <v>406</v>
      </c>
      <c r="X383" s="455">
        <v>45562</v>
      </c>
      <c r="Y383" s="456" t="s">
        <v>377</v>
      </c>
      <c r="Z383" s="456" t="s">
        <v>1157</v>
      </c>
      <c r="AA383" s="494"/>
    </row>
    <row r="384" spans="1:27" s="128" customFormat="1" ht="36" customHeight="1">
      <c r="A384" s="443">
        <v>84</v>
      </c>
      <c r="B384" s="444" t="s">
        <v>1158</v>
      </c>
      <c r="C384" s="445" t="s">
        <v>60</v>
      </c>
      <c r="D384" s="444" t="s">
        <v>1159</v>
      </c>
      <c r="E384" s="446">
        <v>4</v>
      </c>
      <c r="F384" s="447"/>
      <c r="G384" s="448">
        <f t="shared" si="13"/>
        <v>0</v>
      </c>
      <c r="H384" s="449"/>
      <c r="I384" s="444"/>
      <c r="J384" s="449"/>
      <c r="K384" s="444" t="s">
        <v>1015</v>
      </c>
      <c r="L384" s="450" t="s">
        <v>1003</v>
      </c>
      <c r="M384" s="444" t="s">
        <v>1051</v>
      </c>
      <c r="N384" s="450"/>
      <c r="O384" s="450"/>
      <c r="P384" s="450" t="s">
        <v>1017</v>
      </c>
      <c r="Q384" s="451" t="s">
        <v>374</v>
      </c>
      <c r="R384" s="451" t="s">
        <v>249</v>
      </c>
      <c r="S384" s="452" t="s">
        <v>921</v>
      </c>
      <c r="T384" s="452">
        <v>45554</v>
      </c>
      <c r="U384" s="453"/>
      <c r="V384" s="454"/>
      <c r="W384" s="455" t="s">
        <v>406</v>
      </c>
      <c r="X384" s="455">
        <v>45562</v>
      </c>
      <c r="Y384" s="456" t="s">
        <v>377</v>
      </c>
      <c r="Z384" s="457"/>
      <c r="AA384" s="494"/>
    </row>
    <row r="385" spans="1:27" s="128" customFormat="1" ht="36" customHeight="1">
      <c r="A385" s="443">
        <v>85</v>
      </c>
      <c r="B385" s="444" t="s">
        <v>992</v>
      </c>
      <c r="C385" s="445" t="s">
        <v>60</v>
      </c>
      <c r="D385" s="444" t="s">
        <v>993</v>
      </c>
      <c r="E385" s="446">
        <v>2</v>
      </c>
      <c r="F385" s="447"/>
      <c r="G385" s="448">
        <f t="shared" si="13"/>
        <v>0</v>
      </c>
      <c r="H385" s="449"/>
      <c r="I385" s="444"/>
      <c r="J385" s="449"/>
      <c r="K385" s="444" t="s">
        <v>1046</v>
      </c>
      <c r="L385" s="450" t="s">
        <v>1047</v>
      </c>
      <c r="M385" s="444" t="s">
        <v>1160</v>
      </c>
      <c r="N385" s="450"/>
      <c r="O385" s="450"/>
      <c r="P385" s="450" t="s">
        <v>1017</v>
      </c>
      <c r="Q385" s="451" t="s">
        <v>374</v>
      </c>
      <c r="R385" s="451" t="s">
        <v>995</v>
      </c>
      <c r="S385" s="452" t="s">
        <v>548</v>
      </c>
      <c r="T385" s="452"/>
      <c r="U385" s="453"/>
      <c r="V385" s="454"/>
      <c r="W385" s="455" t="s">
        <v>376</v>
      </c>
      <c r="X385" s="455">
        <v>45546</v>
      </c>
      <c r="Y385" s="456" t="s">
        <v>377</v>
      </c>
      <c r="Z385" s="457"/>
      <c r="AA385" s="494"/>
    </row>
    <row r="386" spans="1:27" s="128" customFormat="1" ht="36" customHeight="1">
      <c r="A386" s="458">
        <v>86</v>
      </c>
      <c r="B386" s="459" t="s">
        <v>1161</v>
      </c>
      <c r="C386" s="460" t="s">
        <v>60</v>
      </c>
      <c r="D386" s="459" t="s">
        <v>1162</v>
      </c>
      <c r="E386" s="461">
        <v>2</v>
      </c>
      <c r="F386" s="462"/>
      <c r="G386" s="463">
        <f t="shared" si="13"/>
        <v>0</v>
      </c>
      <c r="H386" s="464"/>
      <c r="I386" s="459"/>
      <c r="J386" s="464"/>
      <c r="K386" s="459" t="s">
        <v>1015</v>
      </c>
      <c r="L386" s="465" t="s">
        <v>1003</v>
      </c>
      <c r="M386" s="459" t="s">
        <v>1051</v>
      </c>
      <c r="N386" s="465"/>
      <c r="O386" s="465"/>
      <c r="P386" s="465" t="s">
        <v>1017</v>
      </c>
      <c r="Q386" s="466" t="s">
        <v>374</v>
      </c>
      <c r="R386" s="466" t="s">
        <v>249</v>
      </c>
      <c r="S386" s="467" t="s">
        <v>921</v>
      </c>
      <c r="T386" s="452"/>
      <c r="U386" s="468"/>
      <c r="V386" s="469"/>
      <c r="W386" s="470" t="s">
        <v>406</v>
      </c>
      <c r="X386" s="470">
        <v>45562</v>
      </c>
      <c r="Y386" s="471" t="s">
        <v>377</v>
      </c>
      <c r="Z386" s="472"/>
      <c r="AA386" s="494"/>
    </row>
    <row r="387" spans="1:27" s="128" customFormat="1" ht="36" customHeight="1">
      <c r="A387" s="443">
        <v>87</v>
      </c>
      <c r="B387" s="444" t="s">
        <v>394</v>
      </c>
      <c r="C387" s="445" t="s">
        <v>60</v>
      </c>
      <c r="D387" s="444" t="s">
        <v>395</v>
      </c>
      <c r="E387" s="446">
        <v>10</v>
      </c>
      <c r="F387" s="447"/>
      <c r="G387" s="448">
        <f>E387*F387</f>
        <v>0</v>
      </c>
      <c r="H387" s="449"/>
      <c r="I387" s="444"/>
      <c r="J387" s="449"/>
      <c r="K387" s="444" t="s">
        <v>1046</v>
      </c>
      <c r="L387" s="450" t="s">
        <v>1047</v>
      </c>
      <c r="M387" s="444" t="s">
        <v>1073</v>
      </c>
      <c r="N387" s="450"/>
      <c r="O387" s="450"/>
      <c r="P387" s="450" t="s">
        <v>1074</v>
      </c>
      <c r="Q387" s="451" t="s">
        <v>374</v>
      </c>
      <c r="R387" s="451" t="s">
        <v>263</v>
      </c>
      <c r="S387" s="452" t="s">
        <v>1075</v>
      </c>
      <c r="T387" s="452"/>
      <c r="U387" s="453"/>
      <c r="V387" s="454"/>
      <c r="W387" s="455" t="s">
        <v>376</v>
      </c>
      <c r="X387" s="455">
        <v>45547</v>
      </c>
      <c r="Y387" s="456" t="s">
        <v>377</v>
      </c>
      <c r="Z387" s="457"/>
      <c r="AA387" s="494"/>
    </row>
    <row r="388" spans="1:27" s="128" customFormat="1" ht="36" customHeight="1">
      <c r="A388" s="443">
        <v>88</v>
      </c>
      <c r="B388" s="444" t="s">
        <v>1163</v>
      </c>
      <c r="C388" s="445" t="s">
        <v>60</v>
      </c>
      <c r="D388" s="444" t="s">
        <v>1164</v>
      </c>
      <c r="E388" s="446">
        <v>1</v>
      </c>
      <c r="F388" s="447"/>
      <c r="G388" s="448">
        <f>E388*F388</f>
        <v>0</v>
      </c>
      <c r="H388" s="449"/>
      <c r="I388" s="444"/>
      <c r="J388" s="449"/>
      <c r="K388" s="444" t="s">
        <v>1165</v>
      </c>
      <c r="L388" s="450" t="s">
        <v>624</v>
      </c>
      <c r="M388" s="444" t="s">
        <v>1166</v>
      </c>
      <c r="N388" s="450"/>
      <c r="O388" s="450"/>
      <c r="P388" s="450" t="s">
        <v>1091</v>
      </c>
      <c r="Q388" s="451" t="s">
        <v>374</v>
      </c>
      <c r="R388" s="451" t="s">
        <v>404</v>
      </c>
      <c r="S388" s="452" t="s">
        <v>405</v>
      </c>
      <c r="T388" s="452"/>
      <c r="U388" s="453"/>
      <c r="V388" s="454"/>
      <c r="W388" s="455" t="s">
        <v>406</v>
      </c>
      <c r="X388" s="455">
        <v>45607</v>
      </c>
      <c r="Y388" s="456" t="s">
        <v>377</v>
      </c>
      <c r="Z388" s="457"/>
      <c r="AA388" s="494">
        <v>1</v>
      </c>
    </row>
    <row r="389" spans="1:27" s="128" customFormat="1" ht="36" customHeight="1">
      <c r="A389" s="443">
        <v>89</v>
      </c>
      <c r="B389" s="444" t="s">
        <v>1167</v>
      </c>
      <c r="C389" s="445" t="s">
        <v>60</v>
      </c>
      <c r="D389" s="444" t="s">
        <v>1168</v>
      </c>
      <c r="E389" s="446">
        <v>2</v>
      </c>
      <c r="F389" s="447"/>
      <c r="G389" s="448">
        <f>E389*F389</f>
        <v>0</v>
      </c>
      <c r="H389" s="449"/>
      <c r="I389" s="444"/>
      <c r="J389" s="449"/>
      <c r="K389" s="444" t="s">
        <v>1165</v>
      </c>
      <c r="L389" s="450" t="s">
        <v>624</v>
      </c>
      <c r="M389" s="444" t="s">
        <v>1166</v>
      </c>
      <c r="N389" s="450"/>
      <c r="O389" s="450"/>
      <c r="P389" s="450" t="s">
        <v>1091</v>
      </c>
      <c r="Q389" s="451" t="s">
        <v>374</v>
      </c>
      <c r="R389" s="451" t="s">
        <v>404</v>
      </c>
      <c r="S389" s="452" t="s">
        <v>405</v>
      </c>
      <c r="T389" s="452"/>
      <c r="U389" s="453"/>
      <c r="V389" s="454"/>
      <c r="W389" s="455" t="s">
        <v>406</v>
      </c>
      <c r="X389" s="455">
        <v>45607</v>
      </c>
      <c r="Y389" s="456" t="s">
        <v>377</v>
      </c>
      <c r="Z389" s="457"/>
      <c r="AA389" s="494">
        <v>1</v>
      </c>
    </row>
    <row r="390" spans="1:27" s="128" customFormat="1" ht="36" customHeight="1">
      <c r="A390" s="443">
        <v>90</v>
      </c>
      <c r="B390" s="444" t="s">
        <v>1169</v>
      </c>
      <c r="C390" s="445" t="s">
        <v>60</v>
      </c>
      <c r="D390" s="444" t="s">
        <v>1170</v>
      </c>
      <c r="E390" s="446">
        <v>2</v>
      </c>
      <c r="F390" s="447"/>
      <c r="G390" s="448">
        <f>E390*F390</f>
        <v>0</v>
      </c>
      <c r="H390" s="449"/>
      <c r="I390" s="444"/>
      <c r="J390" s="449"/>
      <c r="K390" s="444" t="s">
        <v>1165</v>
      </c>
      <c r="L390" s="450" t="s">
        <v>624</v>
      </c>
      <c r="M390" s="444" t="s">
        <v>1166</v>
      </c>
      <c r="N390" s="450"/>
      <c r="O390" s="450"/>
      <c r="P390" s="450" t="s">
        <v>1091</v>
      </c>
      <c r="Q390" s="451" t="s">
        <v>374</v>
      </c>
      <c r="R390" s="451" t="s">
        <v>404</v>
      </c>
      <c r="S390" s="452" t="s">
        <v>405</v>
      </c>
      <c r="T390" s="452"/>
      <c r="U390" s="453"/>
      <c r="V390" s="454"/>
      <c r="W390" s="455" t="s">
        <v>406</v>
      </c>
      <c r="X390" s="455">
        <v>45607</v>
      </c>
      <c r="Y390" s="456" t="s">
        <v>377</v>
      </c>
      <c r="Z390" s="457"/>
      <c r="AA390" s="494">
        <v>1</v>
      </c>
    </row>
    <row r="391" spans="1:27" ht="18" customHeight="1">
      <c r="A391" s="389"/>
      <c r="B391" s="390" t="s">
        <v>1171</v>
      </c>
      <c r="C391" s="391"/>
      <c r="D391" s="392"/>
      <c r="E391" s="393"/>
      <c r="F391" s="394"/>
      <c r="G391" s="395">
        <f>E391*F391</f>
        <v>0</v>
      </c>
      <c r="H391" s="396"/>
      <c r="I391" s="392"/>
      <c r="J391" s="396"/>
      <c r="K391" s="392"/>
      <c r="L391" s="397"/>
      <c r="M391" s="392"/>
      <c r="N391" s="397"/>
      <c r="O391" s="397"/>
      <c r="P391" s="397"/>
      <c r="Q391" s="398"/>
      <c r="R391" s="398"/>
      <c r="S391" s="399"/>
      <c r="T391" s="399"/>
      <c r="U391" s="400"/>
      <c r="V391" s="401"/>
      <c r="W391" s="402"/>
      <c r="X391" s="402"/>
      <c r="Y391" s="403"/>
      <c r="Z391" s="404"/>
      <c r="AA391" s="492"/>
    </row>
    <row r="392" spans="1:27" s="128" customFormat="1" ht="37.5" customHeight="1">
      <c r="A392" s="443">
        <v>1</v>
      </c>
      <c r="B392" s="444" t="s">
        <v>1023</v>
      </c>
      <c r="C392" s="445" t="s">
        <v>62</v>
      </c>
      <c r="D392" s="444" t="s">
        <v>1024</v>
      </c>
      <c r="E392" s="446">
        <v>1</v>
      </c>
      <c r="F392" s="447"/>
      <c r="G392" s="448">
        <f t="shared" ref="G392:G422" si="14">E392*F392</f>
        <v>0</v>
      </c>
      <c r="H392" s="449"/>
      <c r="I392" s="444"/>
      <c r="J392" s="449"/>
      <c r="K392" s="444" t="s">
        <v>1172</v>
      </c>
      <c r="L392" s="450" t="s">
        <v>1173</v>
      </c>
      <c r="M392" s="444" t="s">
        <v>1174</v>
      </c>
      <c r="N392" s="450"/>
      <c r="O392" s="450"/>
      <c r="P392" s="450" t="s">
        <v>1017</v>
      </c>
      <c r="Q392" s="451" t="s">
        <v>374</v>
      </c>
      <c r="R392" s="451" t="s">
        <v>277</v>
      </c>
      <c r="S392" s="452" t="s">
        <v>1175</v>
      </c>
      <c r="T392" s="452"/>
      <c r="U392" s="453"/>
      <c r="V392" s="454"/>
      <c r="W392" s="455" t="s">
        <v>406</v>
      </c>
      <c r="X392" s="455">
        <v>45555</v>
      </c>
      <c r="Y392" s="456" t="s">
        <v>377</v>
      </c>
      <c r="Z392" s="457"/>
      <c r="AA392" s="494"/>
    </row>
    <row r="393" spans="1:27" s="128" customFormat="1" ht="18" customHeight="1">
      <c r="A393" s="443">
        <v>2</v>
      </c>
      <c r="B393" s="444" t="s">
        <v>1030</v>
      </c>
      <c r="C393" s="445" t="s">
        <v>62</v>
      </c>
      <c r="D393" s="444" t="s">
        <v>1031</v>
      </c>
      <c r="E393" s="446">
        <v>4</v>
      </c>
      <c r="F393" s="447"/>
      <c r="G393" s="448">
        <f t="shared" si="14"/>
        <v>0</v>
      </c>
      <c r="H393" s="449"/>
      <c r="I393" s="444"/>
      <c r="J393" s="449"/>
      <c r="K393" s="444" t="s">
        <v>1172</v>
      </c>
      <c r="L393" s="450" t="s">
        <v>1173</v>
      </c>
      <c r="M393" s="444" t="s">
        <v>1174</v>
      </c>
      <c r="N393" s="450"/>
      <c r="O393" s="450"/>
      <c r="P393" s="450" t="s">
        <v>1017</v>
      </c>
      <c r="Q393" s="451" t="s">
        <v>1176</v>
      </c>
      <c r="R393" s="451" t="s">
        <v>277</v>
      </c>
      <c r="S393" s="452" t="s">
        <v>1175</v>
      </c>
      <c r="T393" s="452"/>
      <c r="U393" s="453"/>
      <c r="V393" s="454"/>
      <c r="W393" s="455" t="s">
        <v>406</v>
      </c>
      <c r="X393" s="455">
        <v>45555</v>
      </c>
      <c r="Y393" s="456" t="s">
        <v>377</v>
      </c>
      <c r="Z393" s="457"/>
      <c r="AA393" s="494"/>
    </row>
    <row r="394" spans="1:27" s="128" customFormat="1" ht="36" customHeight="1">
      <c r="A394" s="443">
        <v>3</v>
      </c>
      <c r="B394" s="444" t="s">
        <v>1161</v>
      </c>
      <c r="C394" s="445" t="s">
        <v>62</v>
      </c>
      <c r="D394" s="444" t="s">
        <v>1162</v>
      </c>
      <c r="E394" s="446">
        <v>3</v>
      </c>
      <c r="F394" s="447"/>
      <c r="G394" s="448">
        <f t="shared" si="14"/>
        <v>0</v>
      </c>
      <c r="H394" s="449"/>
      <c r="I394" s="444"/>
      <c r="J394" s="449"/>
      <c r="K394" s="444" t="s">
        <v>1172</v>
      </c>
      <c r="L394" s="450" t="s">
        <v>1173</v>
      </c>
      <c r="M394" s="444" t="s">
        <v>1177</v>
      </c>
      <c r="N394" s="450"/>
      <c r="O394" s="450"/>
      <c r="P394" s="450" t="s">
        <v>1017</v>
      </c>
      <c r="Q394" s="451" t="s">
        <v>374</v>
      </c>
      <c r="R394" s="451" t="s">
        <v>249</v>
      </c>
      <c r="S394" s="452" t="s">
        <v>1145</v>
      </c>
      <c r="T394" s="452"/>
      <c r="U394" s="453"/>
      <c r="V394" s="454"/>
      <c r="W394" s="455" t="s">
        <v>406</v>
      </c>
      <c r="X394" s="455">
        <v>45553</v>
      </c>
      <c r="Y394" s="456" t="s">
        <v>377</v>
      </c>
      <c r="Z394" s="457"/>
      <c r="AA394" s="494"/>
    </row>
    <row r="395" spans="1:27" s="128" customFormat="1" ht="36" customHeight="1">
      <c r="A395" s="443">
        <v>4</v>
      </c>
      <c r="B395" s="444" t="s">
        <v>1027</v>
      </c>
      <c r="C395" s="445" t="s">
        <v>62</v>
      </c>
      <c r="D395" s="444" t="s">
        <v>1028</v>
      </c>
      <c r="E395" s="446">
        <v>1</v>
      </c>
      <c r="F395" s="447"/>
      <c r="G395" s="448">
        <f t="shared" si="14"/>
        <v>0</v>
      </c>
      <c r="H395" s="449"/>
      <c r="I395" s="444"/>
      <c r="J395" s="449"/>
      <c r="K395" s="444" t="s">
        <v>1172</v>
      </c>
      <c r="L395" s="450" t="s">
        <v>1173</v>
      </c>
      <c r="M395" s="444" t="s">
        <v>1174</v>
      </c>
      <c r="N395" s="450"/>
      <c r="O395" s="450"/>
      <c r="P395" s="450" t="s">
        <v>1017</v>
      </c>
      <c r="Q395" s="451" t="s">
        <v>374</v>
      </c>
      <c r="R395" s="451" t="s">
        <v>277</v>
      </c>
      <c r="S395" s="452" t="s">
        <v>1175</v>
      </c>
      <c r="T395" s="452"/>
      <c r="U395" s="453"/>
      <c r="V395" s="454"/>
      <c r="W395" s="455" t="s">
        <v>406</v>
      </c>
      <c r="X395" s="455">
        <v>45555</v>
      </c>
      <c r="Y395" s="456" t="s">
        <v>377</v>
      </c>
      <c r="Z395" s="457"/>
      <c r="AA395" s="494"/>
    </row>
    <row r="396" spans="1:27" s="128" customFormat="1" ht="36" customHeight="1">
      <c r="A396" s="443">
        <v>5</v>
      </c>
      <c r="B396" s="444" t="s">
        <v>1178</v>
      </c>
      <c r="C396" s="445" t="s">
        <v>62</v>
      </c>
      <c r="D396" s="444" t="s">
        <v>1179</v>
      </c>
      <c r="E396" s="446">
        <v>1</v>
      </c>
      <c r="F396" s="447"/>
      <c r="G396" s="448">
        <f t="shared" si="14"/>
        <v>0</v>
      </c>
      <c r="H396" s="449"/>
      <c r="I396" s="444"/>
      <c r="J396" s="449"/>
      <c r="K396" s="444" t="s">
        <v>1172</v>
      </c>
      <c r="L396" s="450" t="s">
        <v>1173</v>
      </c>
      <c r="M396" s="444" t="s">
        <v>1180</v>
      </c>
      <c r="N396" s="450"/>
      <c r="O396" s="450"/>
      <c r="P396" s="450" t="s">
        <v>1017</v>
      </c>
      <c r="Q396" s="451" t="s">
        <v>374</v>
      </c>
      <c r="R396" s="451" t="s">
        <v>939</v>
      </c>
      <c r="S396" s="452" t="s">
        <v>1181</v>
      </c>
      <c r="T396" s="452"/>
      <c r="U396" s="453"/>
      <c r="V396" s="454"/>
      <c r="W396" s="455" t="s">
        <v>406</v>
      </c>
      <c r="X396" s="455">
        <v>45580</v>
      </c>
      <c r="Y396" s="456" t="s">
        <v>377</v>
      </c>
      <c r="Z396" s="457"/>
      <c r="AA396" s="494"/>
    </row>
    <row r="397" spans="1:27" s="128" customFormat="1" ht="36" customHeight="1">
      <c r="A397" s="443">
        <v>6</v>
      </c>
      <c r="B397" s="444" t="s">
        <v>1182</v>
      </c>
      <c r="C397" s="445" t="s">
        <v>62</v>
      </c>
      <c r="D397" s="444" t="s">
        <v>1183</v>
      </c>
      <c r="E397" s="446">
        <v>1</v>
      </c>
      <c r="F397" s="447"/>
      <c r="G397" s="448">
        <f t="shared" si="14"/>
        <v>0</v>
      </c>
      <c r="H397" s="449"/>
      <c r="I397" s="444"/>
      <c r="J397" s="449"/>
      <c r="K397" s="444" t="s">
        <v>1172</v>
      </c>
      <c r="L397" s="450" t="s">
        <v>1173</v>
      </c>
      <c r="M397" s="444" t="s">
        <v>1184</v>
      </c>
      <c r="N397" s="450"/>
      <c r="O397" s="450"/>
      <c r="P397" s="450" t="s">
        <v>1017</v>
      </c>
      <c r="Q397" s="451" t="s">
        <v>374</v>
      </c>
      <c r="R397" s="451" t="s">
        <v>1185</v>
      </c>
      <c r="S397" s="452" t="s">
        <v>624</v>
      </c>
      <c r="T397" s="452">
        <v>45574</v>
      </c>
      <c r="U397" s="453"/>
      <c r="V397" s="454"/>
      <c r="W397" s="455" t="s">
        <v>406</v>
      </c>
      <c r="X397" s="455">
        <v>45562</v>
      </c>
      <c r="Y397" s="456" t="s">
        <v>377</v>
      </c>
      <c r="Z397" s="457"/>
      <c r="AA397" s="494"/>
    </row>
    <row r="398" spans="1:27" s="128" customFormat="1" ht="36" customHeight="1">
      <c r="A398" s="443">
        <v>7</v>
      </c>
      <c r="B398" s="444" t="s">
        <v>1186</v>
      </c>
      <c r="C398" s="445" t="s">
        <v>62</v>
      </c>
      <c r="D398" s="444" t="s">
        <v>1187</v>
      </c>
      <c r="E398" s="446">
        <v>1</v>
      </c>
      <c r="F398" s="447"/>
      <c r="G398" s="448">
        <f t="shared" si="14"/>
        <v>0</v>
      </c>
      <c r="H398" s="449"/>
      <c r="I398" s="444"/>
      <c r="J398" s="449"/>
      <c r="K398" s="444" t="s">
        <v>1172</v>
      </c>
      <c r="L398" s="450" t="s">
        <v>1173</v>
      </c>
      <c r="M398" s="444" t="s">
        <v>1184</v>
      </c>
      <c r="N398" s="450"/>
      <c r="O398" s="450"/>
      <c r="P398" s="450" t="s">
        <v>1017</v>
      </c>
      <c r="Q398" s="451" t="s">
        <v>374</v>
      </c>
      <c r="R398" s="451" t="s">
        <v>1185</v>
      </c>
      <c r="S398" s="452" t="s">
        <v>624</v>
      </c>
      <c r="T398" s="452">
        <v>45574</v>
      </c>
      <c r="U398" s="453"/>
      <c r="V398" s="454"/>
      <c r="W398" s="455" t="s">
        <v>406</v>
      </c>
      <c r="X398" s="455">
        <v>45562</v>
      </c>
      <c r="Y398" s="456" t="s">
        <v>377</v>
      </c>
      <c r="Z398" s="457"/>
      <c r="AA398" s="494"/>
    </row>
    <row r="399" spans="1:27" s="128" customFormat="1" ht="36" customHeight="1">
      <c r="A399" s="443">
        <v>8</v>
      </c>
      <c r="B399" s="444" t="s">
        <v>1188</v>
      </c>
      <c r="C399" s="445" t="s">
        <v>62</v>
      </c>
      <c r="D399" s="444" t="s">
        <v>1189</v>
      </c>
      <c r="E399" s="446">
        <v>1</v>
      </c>
      <c r="F399" s="447"/>
      <c r="G399" s="448">
        <f t="shared" si="14"/>
        <v>0</v>
      </c>
      <c r="H399" s="449"/>
      <c r="I399" s="444"/>
      <c r="J399" s="449"/>
      <c r="K399" s="444" t="s">
        <v>1172</v>
      </c>
      <c r="L399" s="450" t="s">
        <v>1173</v>
      </c>
      <c r="M399" s="444" t="s">
        <v>1184</v>
      </c>
      <c r="N399" s="450"/>
      <c r="O399" s="450"/>
      <c r="P399" s="450" t="s">
        <v>1017</v>
      </c>
      <c r="Q399" s="451" t="s">
        <v>374</v>
      </c>
      <c r="R399" s="451" t="s">
        <v>1185</v>
      </c>
      <c r="S399" s="452" t="s">
        <v>624</v>
      </c>
      <c r="T399" s="452">
        <v>45574</v>
      </c>
      <c r="U399" s="453"/>
      <c r="V399" s="454"/>
      <c r="W399" s="455" t="s">
        <v>406</v>
      </c>
      <c r="X399" s="455">
        <v>45562</v>
      </c>
      <c r="Y399" s="456" t="s">
        <v>377</v>
      </c>
      <c r="Z399" s="457"/>
      <c r="AA399" s="494"/>
    </row>
    <row r="400" spans="1:27" s="128" customFormat="1" ht="36" customHeight="1">
      <c r="A400" s="443">
        <v>9</v>
      </c>
      <c r="B400" s="444" t="s">
        <v>965</v>
      </c>
      <c r="C400" s="445" t="s">
        <v>62</v>
      </c>
      <c r="D400" s="444" t="s">
        <v>966</v>
      </c>
      <c r="E400" s="446">
        <v>2</v>
      </c>
      <c r="F400" s="447"/>
      <c r="G400" s="448">
        <f t="shared" si="14"/>
        <v>0</v>
      </c>
      <c r="H400" s="449"/>
      <c r="I400" s="444"/>
      <c r="J400" s="449"/>
      <c r="K400" s="444"/>
      <c r="L400" s="450"/>
      <c r="M400" s="444"/>
      <c r="N400" s="450"/>
      <c r="O400" s="450"/>
      <c r="P400" s="450"/>
      <c r="Q400" s="451" t="s">
        <v>374</v>
      </c>
      <c r="R400" s="451"/>
      <c r="S400" s="452"/>
      <c r="T400" s="452" t="s">
        <v>829</v>
      </c>
      <c r="U400" s="453"/>
      <c r="V400" s="454"/>
      <c r="W400" s="455" t="s">
        <v>406</v>
      </c>
      <c r="X400" s="455">
        <v>45580</v>
      </c>
      <c r="Y400" s="456" t="s">
        <v>377</v>
      </c>
      <c r="Z400" s="457"/>
      <c r="AA400" s="494"/>
    </row>
    <row r="401" spans="1:27" s="128" customFormat="1" ht="36" customHeight="1">
      <c r="A401" s="443">
        <v>10</v>
      </c>
      <c r="B401" s="444" t="s">
        <v>1190</v>
      </c>
      <c r="C401" s="445" t="s">
        <v>62</v>
      </c>
      <c r="D401" s="444" t="s">
        <v>1191</v>
      </c>
      <c r="E401" s="446">
        <v>1</v>
      </c>
      <c r="F401" s="447"/>
      <c r="G401" s="448">
        <f t="shared" si="14"/>
        <v>0</v>
      </c>
      <c r="H401" s="449"/>
      <c r="I401" s="444"/>
      <c r="J401" s="449"/>
      <c r="K401" s="444" t="s">
        <v>1172</v>
      </c>
      <c r="L401" s="450" t="s">
        <v>1173</v>
      </c>
      <c r="M401" s="444" t="s">
        <v>1192</v>
      </c>
      <c r="N401" s="450"/>
      <c r="O401" s="450"/>
      <c r="P401" s="450" t="s">
        <v>1017</v>
      </c>
      <c r="Q401" s="451" t="s">
        <v>374</v>
      </c>
      <c r="R401" s="451" t="s">
        <v>470</v>
      </c>
      <c r="S401" s="452" t="s">
        <v>573</v>
      </c>
      <c r="T401" s="452">
        <v>45573</v>
      </c>
      <c r="U401" s="453"/>
      <c r="V401" s="454"/>
      <c r="W401" s="455" t="s">
        <v>406</v>
      </c>
      <c r="X401" s="455">
        <v>45560</v>
      </c>
      <c r="Y401" s="456" t="s">
        <v>377</v>
      </c>
      <c r="Z401" s="457"/>
      <c r="AA401" s="494"/>
    </row>
    <row r="402" spans="1:27" s="128" customFormat="1" ht="36" customHeight="1">
      <c r="A402" s="443">
        <v>11</v>
      </c>
      <c r="B402" s="444" t="s">
        <v>1193</v>
      </c>
      <c r="C402" s="445" t="s">
        <v>62</v>
      </c>
      <c r="D402" s="444" t="s">
        <v>1194</v>
      </c>
      <c r="E402" s="446">
        <v>1</v>
      </c>
      <c r="F402" s="447"/>
      <c r="G402" s="448">
        <f t="shared" si="14"/>
        <v>0</v>
      </c>
      <c r="H402" s="449"/>
      <c r="I402" s="444"/>
      <c r="J402" s="449"/>
      <c r="K402" s="444" t="s">
        <v>1172</v>
      </c>
      <c r="L402" s="450" t="s">
        <v>1173</v>
      </c>
      <c r="M402" s="444" t="s">
        <v>1177</v>
      </c>
      <c r="N402" s="450"/>
      <c r="O402" s="450"/>
      <c r="P402" s="450" t="s">
        <v>1017</v>
      </c>
      <c r="Q402" s="451" t="s">
        <v>374</v>
      </c>
      <c r="R402" s="451" t="s">
        <v>249</v>
      </c>
      <c r="S402" s="452" t="s">
        <v>1145</v>
      </c>
      <c r="T402" s="452"/>
      <c r="U402" s="453"/>
      <c r="V402" s="454"/>
      <c r="W402" s="455" t="s">
        <v>406</v>
      </c>
      <c r="X402" s="455">
        <v>45553</v>
      </c>
      <c r="Y402" s="456" t="s">
        <v>377</v>
      </c>
      <c r="Z402" s="457"/>
      <c r="AA402" s="494"/>
    </row>
    <row r="403" spans="1:27" s="128" customFormat="1" ht="36" customHeight="1">
      <c r="A403" s="443">
        <v>12</v>
      </c>
      <c r="B403" s="444" t="s">
        <v>1092</v>
      </c>
      <c r="C403" s="445" t="s">
        <v>62</v>
      </c>
      <c r="D403" s="444" t="s">
        <v>1093</v>
      </c>
      <c r="E403" s="446">
        <v>1</v>
      </c>
      <c r="F403" s="447"/>
      <c r="G403" s="448">
        <f t="shared" si="14"/>
        <v>0</v>
      </c>
      <c r="H403" s="449"/>
      <c r="I403" s="444"/>
      <c r="J403" s="449"/>
      <c r="K403" s="444" t="s">
        <v>1172</v>
      </c>
      <c r="L403" s="450" t="s">
        <v>1173</v>
      </c>
      <c r="M403" s="444" t="s">
        <v>1195</v>
      </c>
      <c r="N403" s="450"/>
      <c r="O403" s="450"/>
      <c r="P403" s="450" t="s">
        <v>1196</v>
      </c>
      <c r="Q403" s="451" t="s">
        <v>374</v>
      </c>
      <c r="R403" s="451" t="s">
        <v>404</v>
      </c>
      <c r="S403" s="452" t="s">
        <v>405</v>
      </c>
      <c r="T403" s="452"/>
      <c r="U403" s="453"/>
      <c r="V403" s="454"/>
      <c r="W403" s="455" t="s">
        <v>406</v>
      </c>
      <c r="X403" s="455">
        <v>45607</v>
      </c>
      <c r="Y403" s="456" t="s">
        <v>377</v>
      </c>
      <c r="Z403" s="457"/>
      <c r="AA403" s="494">
        <v>1</v>
      </c>
    </row>
    <row r="404" spans="1:27" s="128" customFormat="1" ht="36" customHeight="1">
      <c r="A404" s="443">
        <v>13</v>
      </c>
      <c r="B404" s="444" t="s">
        <v>951</v>
      </c>
      <c r="C404" s="445" t="s">
        <v>62</v>
      </c>
      <c r="D404" s="444" t="s">
        <v>952</v>
      </c>
      <c r="E404" s="446">
        <v>2</v>
      </c>
      <c r="F404" s="447"/>
      <c r="G404" s="448">
        <f t="shared" si="14"/>
        <v>0</v>
      </c>
      <c r="H404" s="449"/>
      <c r="I404" s="444"/>
      <c r="J404" s="449"/>
      <c r="K404" s="444" t="s">
        <v>1172</v>
      </c>
      <c r="L404" s="450" t="s">
        <v>1173</v>
      </c>
      <c r="M404" s="444" t="s">
        <v>1195</v>
      </c>
      <c r="N404" s="450"/>
      <c r="O404" s="450"/>
      <c r="P404" s="450" t="s">
        <v>1196</v>
      </c>
      <c r="Q404" s="451" t="s">
        <v>374</v>
      </c>
      <c r="R404" s="451" t="s">
        <v>404</v>
      </c>
      <c r="S404" s="452" t="s">
        <v>405</v>
      </c>
      <c r="T404" s="452"/>
      <c r="U404" s="453"/>
      <c r="V404" s="454"/>
      <c r="W404" s="455" t="s">
        <v>406</v>
      </c>
      <c r="X404" s="455">
        <v>45607</v>
      </c>
      <c r="Y404" s="456" t="s">
        <v>377</v>
      </c>
      <c r="Z404" s="457"/>
      <c r="AA404" s="494">
        <v>1</v>
      </c>
    </row>
    <row r="405" spans="1:27" s="441" customFormat="1" ht="36" customHeight="1">
      <c r="A405" s="427">
        <v>14</v>
      </c>
      <c r="B405" s="428" t="s">
        <v>1197</v>
      </c>
      <c r="C405" s="429" t="s">
        <v>62</v>
      </c>
      <c r="D405" s="428" t="s">
        <v>1198</v>
      </c>
      <c r="E405" s="430">
        <v>1</v>
      </c>
      <c r="F405" s="431"/>
      <c r="G405" s="432">
        <f t="shared" si="14"/>
        <v>0</v>
      </c>
      <c r="H405" s="442"/>
      <c r="I405" s="428"/>
      <c r="J405" s="442"/>
      <c r="K405" s="428" t="s">
        <v>1172</v>
      </c>
      <c r="L405" s="433" t="s">
        <v>1173</v>
      </c>
      <c r="M405" s="428" t="s">
        <v>444</v>
      </c>
      <c r="N405" s="433"/>
      <c r="O405" s="433"/>
      <c r="P405" s="433" t="s">
        <v>444</v>
      </c>
      <c r="Q405" s="434" t="s">
        <v>591</v>
      </c>
      <c r="R405" s="434"/>
      <c r="S405" s="435" t="s">
        <v>444</v>
      </c>
      <c r="T405" s="435"/>
      <c r="U405" s="436"/>
      <c r="V405" s="437"/>
      <c r="W405" s="438"/>
      <c r="X405" s="438"/>
      <c r="Y405" s="439" t="s">
        <v>592</v>
      </c>
      <c r="Z405" s="440"/>
      <c r="AA405" s="495"/>
    </row>
    <row r="406" spans="1:27" s="441" customFormat="1" ht="36" customHeight="1">
      <c r="A406" s="427">
        <v>15</v>
      </c>
      <c r="B406" s="428" t="s">
        <v>1199</v>
      </c>
      <c r="C406" s="429" t="s">
        <v>62</v>
      </c>
      <c r="D406" s="428" t="s">
        <v>1200</v>
      </c>
      <c r="E406" s="430">
        <v>1</v>
      </c>
      <c r="F406" s="431"/>
      <c r="G406" s="432">
        <f t="shared" si="14"/>
        <v>0</v>
      </c>
      <c r="H406" s="442"/>
      <c r="I406" s="428"/>
      <c r="J406" s="442"/>
      <c r="K406" s="428" t="s">
        <v>1172</v>
      </c>
      <c r="L406" s="433" t="s">
        <v>1173</v>
      </c>
      <c r="M406" s="428" t="s">
        <v>444</v>
      </c>
      <c r="N406" s="433"/>
      <c r="O406" s="433"/>
      <c r="P406" s="433" t="s">
        <v>444</v>
      </c>
      <c r="Q406" s="434" t="s">
        <v>591</v>
      </c>
      <c r="R406" s="434"/>
      <c r="S406" s="435" t="s">
        <v>444</v>
      </c>
      <c r="T406" s="435"/>
      <c r="U406" s="436"/>
      <c r="V406" s="437"/>
      <c r="W406" s="438"/>
      <c r="X406" s="438"/>
      <c r="Y406" s="439" t="s">
        <v>592</v>
      </c>
      <c r="Z406" s="440"/>
      <c r="AA406" s="495"/>
    </row>
    <row r="407" spans="1:27" s="441" customFormat="1" ht="36" customHeight="1">
      <c r="A407" s="427">
        <v>16</v>
      </c>
      <c r="B407" s="428" t="s">
        <v>1201</v>
      </c>
      <c r="C407" s="429" t="s">
        <v>62</v>
      </c>
      <c r="D407" s="428" t="s">
        <v>1202</v>
      </c>
      <c r="E407" s="430">
        <v>1</v>
      </c>
      <c r="F407" s="431"/>
      <c r="G407" s="432">
        <f t="shared" si="14"/>
        <v>0</v>
      </c>
      <c r="H407" s="442"/>
      <c r="I407" s="428"/>
      <c r="J407" s="442"/>
      <c r="K407" s="428" t="s">
        <v>1172</v>
      </c>
      <c r="L407" s="433" t="s">
        <v>1173</v>
      </c>
      <c r="M407" s="428" t="s">
        <v>444</v>
      </c>
      <c r="N407" s="433"/>
      <c r="O407" s="433"/>
      <c r="P407" s="433" t="s">
        <v>444</v>
      </c>
      <c r="Q407" s="434" t="s">
        <v>591</v>
      </c>
      <c r="R407" s="434"/>
      <c r="S407" s="435" t="s">
        <v>444</v>
      </c>
      <c r="T407" s="435"/>
      <c r="U407" s="436"/>
      <c r="V407" s="437"/>
      <c r="W407" s="438"/>
      <c r="X407" s="438"/>
      <c r="Y407" s="439" t="s">
        <v>592</v>
      </c>
      <c r="Z407" s="440"/>
      <c r="AA407" s="495"/>
    </row>
    <row r="408" spans="1:27" s="128" customFormat="1" ht="36" customHeight="1">
      <c r="A408" s="443">
        <v>17</v>
      </c>
      <c r="B408" s="444" t="s">
        <v>1089</v>
      </c>
      <c r="C408" s="445" t="s">
        <v>62</v>
      </c>
      <c r="D408" s="444" t="s">
        <v>960</v>
      </c>
      <c r="E408" s="446">
        <v>2</v>
      </c>
      <c r="F408" s="447"/>
      <c r="G408" s="448">
        <f t="shared" si="14"/>
        <v>0</v>
      </c>
      <c r="H408" s="449"/>
      <c r="I408" s="444"/>
      <c r="J408" s="449"/>
      <c r="K408" s="444" t="s">
        <v>1172</v>
      </c>
      <c r="L408" s="450" t="s">
        <v>1173</v>
      </c>
      <c r="M408" s="444" t="s">
        <v>1195</v>
      </c>
      <c r="N408" s="450"/>
      <c r="O408" s="450"/>
      <c r="P408" s="450" t="s">
        <v>1196</v>
      </c>
      <c r="Q408" s="451" t="s">
        <v>374</v>
      </c>
      <c r="R408" s="451" t="s">
        <v>404</v>
      </c>
      <c r="S408" s="452" t="s">
        <v>405</v>
      </c>
      <c r="T408" s="452"/>
      <c r="U408" s="453"/>
      <c r="V408" s="454"/>
      <c r="W408" s="455" t="s">
        <v>406</v>
      </c>
      <c r="X408" s="455">
        <v>45607</v>
      </c>
      <c r="Y408" s="456" t="s">
        <v>377</v>
      </c>
      <c r="Z408" s="457"/>
      <c r="AA408" s="494">
        <v>1</v>
      </c>
    </row>
    <row r="409" spans="1:27" s="128" customFormat="1" ht="36" customHeight="1">
      <c r="A409" s="443">
        <v>18</v>
      </c>
      <c r="B409" s="444" t="s">
        <v>1083</v>
      </c>
      <c r="C409" s="445" t="s">
        <v>62</v>
      </c>
      <c r="D409" s="444" t="s">
        <v>1084</v>
      </c>
      <c r="E409" s="446">
        <v>1</v>
      </c>
      <c r="F409" s="447"/>
      <c r="G409" s="448">
        <f t="shared" si="14"/>
        <v>0</v>
      </c>
      <c r="H409" s="449"/>
      <c r="I409" s="444"/>
      <c r="J409" s="449"/>
      <c r="K409" s="444" t="s">
        <v>1172</v>
      </c>
      <c r="L409" s="450" t="s">
        <v>1173</v>
      </c>
      <c r="M409" s="444" t="s">
        <v>1195</v>
      </c>
      <c r="N409" s="450"/>
      <c r="O409" s="450"/>
      <c r="P409" s="450" t="s">
        <v>1196</v>
      </c>
      <c r="Q409" s="451" t="s">
        <v>374</v>
      </c>
      <c r="R409" s="451" t="s">
        <v>404</v>
      </c>
      <c r="S409" s="452" t="s">
        <v>405</v>
      </c>
      <c r="T409" s="452"/>
      <c r="U409" s="453"/>
      <c r="V409" s="454"/>
      <c r="W409" s="455" t="s">
        <v>406</v>
      </c>
      <c r="X409" s="455">
        <v>45607</v>
      </c>
      <c r="Y409" s="456" t="s">
        <v>377</v>
      </c>
      <c r="Z409" s="457"/>
      <c r="AA409" s="494">
        <v>1</v>
      </c>
    </row>
    <row r="410" spans="1:27" s="128" customFormat="1" ht="36" customHeight="1">
      <c r="A410" s="443">
        <v>19</v>
      </c>
      <c r="B410" s="444" t="s">
        <v>587</v>
      </c>
      <c r="C410" s="445" t="s">
        <v>62</v>
      </c>
      <c r="D410" s="444" t="s">
        <v>588</v>
      </c>
      <c r="E410" s="446">
        <v>1</v>
      </c>
      <c r="F410" s="447"/>
      <c r="G410" s="448">
        <f t="shared" si="14"/>
        <v>0</v>
      </c>
      <c r="H410" s="449"/>
      <c r="I410" s="444"/>
      <c r="J410" s="449"/>
      <c r="K410" s="444" t="s">
        <v>1172</v>
      </c>
      <c r="L410" s="450" t="s">
        <v>1173</v>
      </c>
      <c r="M410" s="444" t="s">
        <v>1195</v>
      </c>
      <c r="N410" s="450"/>
      <c r="O410" s="450"/>
      <c r="P410" s="450" t="s">
        <v>1196</v>
      </c>
      <c r="Q410" s="451" t="s">
        <v>374</v>
      </c>
      <c r="R410" s="451" t="s">
        <v>404</v>
      </c>
      <c r="S410" s="452" t="s">
        <v>405</v>
      </c>
      <c r="T410" s="452"/>
      <c r="U410" s="453"/>
      <c r="V410" s="454"/>
      <c r="W410" s="455" t="s">
        <v>406</v>
      </c>
      <c r="X410" s="455">
        <v>45607</v>
      </c>
      <c r="Y410" s="456" t="s">
        <v>377</v>
      </c>
      <c r="Z410" s="457"/>
      <c r="AA410" s="494">
        <v>1</v>
      </c>
    </row>
    <row r="411" spans="1:27" s="441" customFormat="1" ht="36" customHeight="1">
      <c r="A411" s="427">
        <v>20</v>
      </c>
      <c r="B411" s="428" t="s">
        <v>1203</v>
      </c>
      <c r="C411" s="429" t="s">
        <v>62</v>
      </c>
      <c r="D411" s="428" t="s">
        <v>1204</v>
      </c>
      <c r="E411" s="430">
        <v>1</v>
      </c>
      <c r="F411" s="431"/>
      <c r="G411" s="432">
        <f t="shared" si="14"/>
        <v>0</v>
      </c>
      <c r="H411" s="442"/>
      <c r="I411" s="428"/>
      <c r="J411" s="442"/>
      <c r="K411" s="428" t="s">
        <v>1172</v>
      </c>
      <c r="L411" s="433" t="s">
        <v>1173</v>
      </c>
      <c r="M411" s="428" t="s">
        <v>444</v>
      </c>
      <c r="N411" s="433"/>
      <c r="O411" s="433"/>
      <c r="P411" s="433" t="s">
        <v>444</v>
      </c>
      <c r="Q411" s="434" t="s">
        <v>591</v>
      </c>
      <c r="R411" s="434"/>
      <c r="S411" s="435" t="s">
        <v>444</v>
      </c>
      <c r="T411" s="435"/>
      <c r="U411" s="436"/>
      <c r="V411" s="437"/>
      <c r="W411" s="438"/>
      <c r="X411" s="438"/>
      <c r="Y411" s="439" t="s">
        <v>592</v>
      </c>
      <c r="Z411" s="440"/>
      <c r="AA411" s="495"/>
    </row>
    <row r="412" spans="1:27" s="441" customFormat="1" ht="36" customHeight="1">
      <c r="A412" s="427">
        <v>21</v>
      </c>
      <c r="B412" s="428" t="s">
        <v>1205</v>
      </c>
      <c r="C412" s="429" t="s">
        <v>62</v>
      </c>
      <c r="D412" s="428" t="s">
        <v>1206</v>
      </c>
      <c r="E412" s="430">
        <v>1</v>
      </c>
      <c r="F412" s="431"/>
      <c r="G412" s="432">
        <f t="shared" si="14"/>
        <v>0</v>
      </c>
      <c r="H412" s="442"/>
      <c r="I412" s="428"/>
      <c r="J412" s="442"/>
      <c r="K412" s="428" t="s">
        <v>1172</v>
      </c>
      <c r="L412" s="433" t="s">
        <v>1173</v>
      </c>
      <c r="M412" s="428" t="s">
        <v>444</v>
      </c>
      <c r="N412" s="433"/>
      <c r="O412" s="433"/>
      <c r="P412" s="433" t="s">
        <v>444</v>
      </c>
      <c r="Q412" s="434" t="s">
        <v>591</v>
      </c>
      <c r="R412" s="434"/>
      <c r="S412" s="435" t="s">
        <v>444</v>
      </c>
      <c r="T412" s="435"/>
      <c r="U412" s="436"/>
      <c r="V412" s="437"/>
      <c r="W412" s="438"/>
      <c r="X412" s="438"/>
      <c r="Y412" s="439" t="s">
        <v>592</v>
      </c>
      <c r="Z412" s="440"/>
      <c r="AA412" s="495"/>
    </row>
    <row r="413" spans="1:27" s="128" customFormat="1" ht="36" customHeight="1">
      <c r="A413" s="443">
        <v>22</v>
      </c>
      <c r="B413" s="444" t="s">
        <v>463</v>
      </c>
      <c r="C413" s="445" t="s">
        <v>62</v>
      </c>
      <c r="D413" s="444" t="s">
        <v>1207</v>
      </c>
      <c r="E413" s="446">
        <v>1</v>
      </c>
      <c r="F413" s="447"/>
      <c r="G413" s="448">
        <f t="shared" si="14"/>
        <v>0</v>
      </c>
      <c r="H413" s="449"/>
      <c r="I413" s="444"/>
      <c r="J413" s="449"/>
      <c r="K413" s="444" t="s">
        <v>1172</v>
      </c>
      <c r="L413" s="450" t="s">
        <v>1173</v>
      </c>
      <c r="M413" s="444" t="s">
        <v>1208</v>
      </c>
      <c r="N413" s="450"/>
      <c r="O413" s="450"/>
      <c r="P413" s="450" t="s">
        <v>1017</v>
      </c>
      <c r="Q413" s="451" t="s">
        <v>374</v>
      </c>
      <c r="R413" s="451" t="s">
        <v>237</v>
      </c>
      <c r="S413" s="452" t="s">
        <v>979</v>
      </c>
      <c r="T413" s="452"/>
      <c r="U413" s="453"/>
      <c r="V413" s="454"/>
      <c r="W413" s="455" t="s">
        <v>376</v>
      </c>
      <c r="X413" s="455">
        <v>45548</v>
      </c>
      <c r="Y413" s="456" t="s">
        <v>377</v>
      </c>
      <c r="Z413" s="457"/>
      <c r="AA413" s="494"/>
    </row>
    <row r="414" spans="1:27" s="128" customFormat="1" ht="36" customHeight="1">
      <c r="A414" s="443">
        <v>23</v>
      </c>
      <c r="B414" s="444" t="s">
        <v>1209</v>
      </c>
      <c r="C414" s="445" t="s">
        <v>62</v>
      </c>
      <c r="D414" s="444" t="s">
        <v>1210</v>
      </c>
      <c r="E414" s="446">
        <v>1</v>
      </c>
      <c r="F414" s="447"/>
      <c r="G414" s="448">
        <f t="shared" si="14"/>
        <v>0</v>
      </c>
      <c r="H414" s="449"/>
      <c r="I414" s="444"/>
      <c r="J414" s="449"/>
      <c r="K414" s="444" t="s">
        <v>1172</v>
      </c>
      <c r="L414" s="450" t="s">
        <v>1173</v>
      </c>
      <c r="M414" s="444" t="s">
        <v>1208</v>
      </c>
      <c r="N414" s="450"/>
      <c r="O414" s="450"/>
      <c r="P414" s="450" t="s">
        <v>1017</v>
      </c>
      <c r="Q414" s="451" t="s">
        <v>374</v>
      </c>
      <c r="R414" s="451" t="s">
        <v>237</v>
      </c>
      <c r="S414" s="452" t="s">
        <v>979</v>
      </c>
      <c r="T414" s="452"/>
      <c r="U414" s="453"/>
      <c r="V414" s="454"/>
      <c r="W414" s="455" t="s">
        <v>376</v>
      </c>
      <c r="X414" s="455">
        <v>45548</v>
      </c>
      <c r="Y414" s="456" t="s">
        <v>377</v>
      </c>
      <c r="Z414" s="457"/>
      <c r="AA414" s="494"/>
    </row>
    <row r="415" spans="1:27" s="128" customFormat="1" ht="36" customHeight="1">
      <c r="A415" s="443">
        <v>24</v>
      </c>
      <c r="B415" s="444" t="s">
        <v>1211</v>
      </c>
      <c r="C415" s="445" t="s">
        <v>62</v>
      </c>
      <c r="D415" s="444" t="s">
        <v>1212</v>
      </c>
      <c r="E415" s="446">
        <v>1</v>
      </c>
      <c r="F415" s="447"/>
      <c r="G415" s="448">
        <f t="shared" si="14"/>
        <v>0</v>
      </c>
      <c r="H415" s="449"/>
      <c r="I415" s="444"/>
      <c r="J415" s="449"/>
      <c r="K415" s="444"/>
      <c r="L415" s="450"/>
      <c r="M415" s="444"/>
      <c r="N415" s="450"/>
      <c r="O415" s="450"/>
      <c r="P415" s="450"/>
      <c r="Q415" s="451" t="s">
        <v>374</v>
      </c>
      <c r="R415" s="451"/>
      <c r="S415" s="452"/>
      <c r="T415" s="452" t="s">
        <v>1213</v>
      </c>
      <c r="U415" s="453"/>
      <c r="V415" s="454"/>
      <c r="W415" s="455" t="s">
        <v>406</v>
      </c>
      <c r="X415" s="455">
        <v>45580</v>
      </c>
      <c r="Y415" s="456" t="s">
        <v>377</v>
      </c>
      <c r="Z415" s="457"/>
      <c r="AA415" s="494"/>
    </row>
    <row r="416" spans="1:27" s="128" customFormat="1" ht="18" customHeight="1">
      <c r="A416" s="443">
        <v>25</v>
      </c>
      <c r="B416" s="444" t="s">
        <v>465</v>
      </c>
      <c r="C416" s="445" t="s">
        <v>62</v>
      </c>
      <c r="D416" s="444" t="s">
        <v>1214</v>
      </c>
      <c r="E416" s="446">
        <v>1</v>
      </c>
      <c r="F416" s="447"/>
      <c r="G416" s="448">
        <f t="shared" si="14"/>
        <v>0</v>
      </c>
      <c r="H416" s="449"/>
      <c r="I416" s="444"/>
      <c r="J416" s="449"/>
      <c r="K416" s="444"/>
      <c r="L416" s="450"/>
      <c r="M416" s="444"/>
      <c r="N416" s="450"/>
      <c r="O416" s="450"/>
      <c r="P416" s="450"/>
      <c r="Q416" s="451" t="s">
        <v>374</v>
      </c>
      <c r="R416" s="451"/>
      <c r="S416" s="452"/>
      <c r="T416" s="452" t="s">
        <v>481</v>
      </c>
      <c r="U416" s="453"/>
      <c r="V416" s="454"/>
      <c r="W416" s="455" t="s">
        <v>406</v>
      </c>
      <c r="X416" s="455">
        <v>45587</v>
      </c>
      <c r="Y416" s="456" t="s">
        <v>377</v>
      </c>
      <c r="Z416" s="457"/>
      <c r="AA416" s="494"/>
    </row>
    <row r="417" spans="1:27" s="128" customFormat="1" ht="36" customHeight="1">
      <c r="A417" s="443">
        <v>26</v>
      </c>
      <c r="B417" s="444" t="s">
        <v>1141</v>
      </c>
      <c r="C417" s="445" t="s">
        <v>62</v>
      </c>
      <c r="D417" s="444" t="s">
        <v>1142</v>
      </c>
      <c r="E417" s="446">
        <v>36</v>
      </c>
      <c r="F417" s="447"/>
      <c r="G417" s="448">
        <f t="shared" si="14"/>
        <v>0</v>
      </c>
      <c r="H417" s="449"/>
      <c r="I417" s="444"/>
      <c r="J417" s="449"/>
      <c r="K417" s="444" t="s">
        <v>1172</v>
      </c>
      <c r="L417" s="450" t="s">
        <v>1173</v>
      </c>
      <c r="M417" s="444" t="s">
        <v>1215</v>
      </c>
      <c r="N417" s="450"/>
      <c r="O417" s="450"/>
      <c r="P417" s="450" t="s">
        <v>1017</v>
      </c>
      <c r="Q417" s="451" t="s">
        <v>374</v>
      </c>
      <c r="R417" s="451" t="s">
        <v>1144</v>
      </c>
      <c r="S417" s="452" t="s">
        <v>477</v>
      </c>
      <c r="T417" s="452"/>
      <c r="U417" s="453"/>
      <c r="V417" s="454"/>
      <c r="W417" s="455" t="s">
        <v>406</v>
      </c>
      <c r="X417" s="455">
        <v>45552</v>
      </c>
      <c r="Y417" s="456" t="s">
        <v>377</v>
      </c>
      <c r="Z417" s="457"/>
      <c r="AA417" s="494"/>
    </row>
    <row r="418" spans="1:27" s="128" customFormat="1" ht="36" customHeight="1">
      <c r="A418" s="443">
        <v>27</v>
      </c>
      <c r="B418" s="444" t="s">
        <v>1216</v>
      </c>
      <c r="C418" s="445" t="s">
        <v>62</v>
      </c>
      <c r="D418" s="444" t="s">
        <v>1217</v>
      </c>
      <c r="E418" s="446">
        <v>50</v>
      </c>
      <c r="F418" s="447"/>
      <c r="G418" s="448">
        <f t="shared" si="14"/>
        <v>0</v>
      </c>
      <c r="H418" s="449"/>
      <c r="I418" s="444"/>
      <c r="J418" s="449"/>
      <c r="K418" s="444" t="s">
        <v>1172</v>
      </c>
      <c r="L418" s="450" t="s">
        <v>1173</v>
      </c>
      <c r="M418" s="444" t="s">
        <v>1215</v>
      </c>
      <c r="N418" s="450"/>
      <c r="O418" s="450"/>
      <c r="P418" s="450" t="s">
        <v>1017</v>
      </c>
      <c r="Q418" s="451" t="s">
        <v>374</v>
      </c>
      <c r="R418" s="451" t="s">
        <v>1144</v>
      </c>
      <c r="S418" s="452" t="s">
        <v>1175</v>
      </c>
      <c r="T418" s="452">
        <v>45566</v>
      </c>
      <c r="U418" s="453"/>
      <c r="V418" s="454"/>
      <c r="W418" s="455" t="s">
        <v>406</v>
      </c>
      <c r="X418" s="455">
        <v>45553</v>
      </c>
      <c r="Y418" s="456" t="s">
        <v>377</v>
      </c>
      <c r="Z418" s="457"/>
      <c r="AA418" s="494"/>
    </row>
    <row r="419" spans="1:27" s="128" customFormat="1" ht="36" customHeight="1">
      <c r="A419" s="443">
        <v>28</v>
      </c>
      <c r="B419" s="444" t="s">
        <v>1218</v>
      </c>
      <c r="C419" s="445" t="s">
        <v>62</v>
      </c>
      <c r="D419" s="444" t="s">
        <v>1219</v>
      </c>
      <c r="E419" s="446">
        <v>1</v>
      </c>
      <c r="F419" s="447"/>
      <c r="G419" s="448">
        <f t="shared" si="14"/>
        <v>0</v>
      </c>
      <c r="H419" s="449"/>
      <c r="I419" s="444"/>
      <c r="J419" s="449"/>
      <c r="K419" s="444" t="s">
        <v>1172</v>
      </c>
      <c r="L419" s="450" t="s">
        <v>1173</v>
      </c>
      <c r="M419" s="444" t="s">
        <v>1215</v>
      </c>
      <c r="N419" s="450"/>
      <c r="O419" s="450"/>
      <c r="P419" s="450" t="s">
        <v>1017</v>
      </c>
      <c r="Q419" s="451" t="s">
        <v>374</v>
      </c>
      <c r="R419" s="451" t="s">
        <v>1144</v>
      </c>
      <c r="S419" s="452" t="s">
        <v>477</v>
      </c>
      <c r="T419" s="452"/>
      <c r="U419" s="453"/>
      <c r="V419" s="454"/>
      <c r="W419" s="455" t="s">
        <v>406</v>
      </c>
      <c r="X419" s="455">
        <v>45552</v>
      </c>
      <c r="Y419" s="456" t="s">
        <v>377</v>
      </c>
      <c r="Z419" s="457"/>
      <c r="AA419" s="494"/>
    </row>
    <row r="420" spans="1:27" s="128" customFormat="1" ht="18" customHeight="1">
      <c r="A420" s="443">
        <v>29</v>
      </c>
      <c r="B420" s="444" t="s">
        <v>1220</v>
      </c>
      <c r="C420" s="445" t="s">
        <v>62</v>
      </c>
      <c r="D420" s="444" t="s">
        <v>1221</v>
      </c>
      <c r="E420" s="446">
        <v>21</v>
      </c>
      <c r="F420" s="447"/>
      <c r="G420" s="448">
        <f t="shared" si="14"/>
        <v>0</v>
      </c>
      <c r="H420" s="449"/>
      <c r="I420" s="444"/>
      <c r="J420" s="449"/>
      <c r="K420" s="444" t="s">
        <v>1172</v>
      </c>
      <c r="L420" s="450" t="s">
        <v>1173</v>
      </c>
      <c r="M420" s="444" t="s">
        <v>1215</v>
      </c>
      <c r="N420" s="450"/>
      <c r="O420" s="450"/>
      <c r="P420" s="450" t="s">
        <v>1017</v>
      </c>
      <c r="Q420" s="451" t="s">
        <v>374</v>
      </c>
      <c r="R420" s="451" t="s">
        <v>1144</v>
      </c>
      <c r="S420" s="452" t="s">
        <v>477</v>
      </c>
      <c r="T420" s="452" t="s">
        <v>1222</v>
      </c>
      <c r="U420" s="453"/>
      <c r="V420" s="454"/>
      <c r="W420" s="455" t="s">
        <v>406</v>
      </c>
      <c r="X420" s="455">
        <v>45580</v>
      </c>
      <c r="Y420" s="456" t="s">
        <v>377</v>
      </c>
      <c r="Z420" s="457"/>
      <c r="AA420" s="494"/>
    </row>
    <row r="421" spans="1:27" s="128" customFormat="1" ht="36" customHeight="1">
      <c r="A421" s="443">
        <v>30</v>
      </c>
      <c r="B421" s="444" t="s">
        <v>1223</v>
      </c>
      <c r="C421" s="445" t="s">
        <v>62</v>
      </c>
      <c r="D421" s="444" t="s">
        <v>1224</v>
      </c>
      <c r="E421" s="446">
        <v>1</v>
      </c>
      <c r="F421" s="447"/>
      <c r="G421" s="448">
        <f t="shared" si="14"/>
        <v>0</v>
      </c>
      <c r="H421" s="449"/>
      <c r="I421" s="444"/>
      <c r="J421" s="449"/>
      <c r="K421" s="444" t="s">
        <v>1172</v>
      </c>
      <c r="L421" s="450" t="s">
        <v>1173</v>
      </c>
      <c r="M421" s="444" t="s">
        <v>1215</v>
      </c>
      <c r="N421" s="450"/>
      <c r="O421" s="450"/>
      <c r="P421" s="450" t="s">
        <v>1017</v>
      </c>
      <c r="Q421" s="451" t="s">
        <v>374</v>
      </c>
      <c r="R421" s="451" t="s">
        <v>1144</v>
      </c>
      <c r="S421" s="452" t="s">
        <v>477</v>
      </c>
      <c r="T421" s="452"/>
      <c r="U421" s="453"/>
      <c r="V421" s="454"/>
      <c r="W421" s="455" t="s">
        <v>406</v>
      </c>
      <c r="X421" s="455">
        <v>45552</v>
      </c>
      <c r="Y421" s="456" t="s">
        <v>377</v>
      </c>
      <c r="Z421" s="457"/>
      <c r="AA421" s="494"/>
    </row>
    <row r="422" spans="1:27" s="128" customFormat="1" ht="36" customHeight="1">
      <c r="A422" s="458">
        <v>31</v>
      </c>
      <c r="B422" s="459" t="s">
        <v>992</v>
      </c>
      <c r="C422" s="460" t="s">
        <v>62</v>
      </c>
      <c r="D422" s="459" t="s">
        <v>993</v>
      </c>
      <c r="E422" s="461">
        <v>2</v>
      </c>
      <c r="F422" s="462"/>
      <c r="G422" s="463">
        <f t="shared" si="14"/>
        <v>0</v>
      </c>
      <c r="H422" s="464"/>
      <c r="I422" s="459"/>
      <c r="J422" s="464"/>
      <c r="K422" s="459" t="s">
        <v>1172</v>
      </c>
      <c r="L422" s="465" t="s">
        <v>1173</v>
      </c>
      <c r="M422" s="459" t="s">
        <v>1225</v>
      </c>
      <c r="N422" s="465"/>
      <c r="O422" s="465"/>
      <c r="P422" s="465" t="s">
        <v>1017</v>
      </c>
      <c r="Q422" s="466" t="s">
        <v>374</v>
      </c>
      <c r="R422" s="466" t="s">
        <v>995</v>
      </c>
      <c r="S422" s="467" t="s">
        <v>979</v>
      </c>
      <c r="T422" s="467"/>
      <c r="U422" s="468"/>
      <c r="V422" s="469"/>
      <c r="W422" s="470" t="s">
        <v>376</v>
      </c>
      <c r="X422" s="470">
        <v>45548</v>
      </c>
      <c r="Y422" s="471" t="s">
        <v>377</v>
      </c>
      <c r="Z422" s="472"/>
      <c r="AA422" s="494"/>
    </row>
    <row r="423" spans="1:27" s="128" customFormat="1" ht="18" customHeight="1">
      <c r="A423" s="443">
        <v>32</v>
      </c>
      <c r="B423" s="444" t="s">
        <v>1006</v>
      </c>
      <c r="C423" s="445" t="s">
        <v>62</v>
      </c>
      <c r="D423" s="444" t="s">
        <v>1007</v>
      </c>
      <c r="E423" s="446">
        <v>1</v>
      </c>
      <c r="F423" s="447"/>
      <c r="G423" s="448">
        <f t="shared" ref="G423:G428" si="15">E423*F423</f>
        <v>0</v>
      </c>
      <c r="H423" s="449"/>
      <c r="I423" s="444"/>
      <c r="J423" s="449"/>
      <c r="K423" s="444" t="s">
        <v>1226</v>
      </c>
      <c r="L423" s="450" t="s">
        <v>624</v>
      </c>
      <c r="M423" s="444" t="s">
        <v>1227</v>
      </c>
      <c r="N423" s="450"/>
      <c r="O423" s="450"/>
      <c r="P423" s="450" t="s">
        <v>1091</v>
      </c>
      <c r="Q423" s="451" t="s">
        <v>374</v>
      </c>
      <c r="R423" s="451" t="s">
        <v>404</v>
      </c>
      <c r="S423" s="452" t="s">
        <v>405</v>
      </c>
      <c r="T423" s="452"/>
      <c r="U423" s="453"/>
      <c r="V423" s="454"/>
      <c r="W423" s="455" t="s">
        <v>406</v>
      </c>
      <c r="X423" s="455">
        <v>45607</v>
      </c>
      <c r="Y423" s="456" t="s">
        <v>377</v>
      </c>
      <c r="Z423" s="457"/>
      <c r="AA423" s="494">
        <v>1</v>
      </c>
    </row>
    <row r="424" spans="1:27" s="128" customFormat="1" ht="36" customHeight="1">
      <c r="A424" s="443">
        <v>33</v>
      </c>
      <c r="B424" s="444" t="s">
        <v>1010</v>
      </c>
      <c r="C424" s="445" t="s">
        <v>62</v>
      </c>
      <c r="D424" s="444" t="s">
        <v>1011</v>
      </c>
      <c r="E424" s="446">
        <v>1</v>
      </c>
      <c r="F424" s="447"/>
      <c r="G424" s="448">
        <f t="shared" si="15"/>
        <v>0</v>
      </c>
      <c r="H424" s="449"/>
      <c r="I424" s="444"/>
      <c r="J424" s="449"/>
      <c r="K424" s="444" t="s">
        <v>1226</v>
      </c>
      <c r="L424" s="450" t="s">
        <v>624</v>
      </c>
      <c r="M424" s="444" t="s">
        <v>1227</v>
      </c>
      <c r="N424" s="450"/>
      <c r="O424" s="450"/>
      <c r="P424" s="450" t="s">
        <v>1091</v>
      </c>
      <c r="Q424" s="451" t="s">
        <v>374</v>
      </c>
      <c r="R424" s="451" t="s">
        <v>404</v>
      </c>
      <c r="S424" s="452" t="s">
        <v>405</v>
      </c>
      <c r="T424" s="452"/>
      <c r="U424" s="453"/>
      <c r="V424" s="454"/>
      <c r="W424" s="455" t="s">
        <v>406</v>
      </c>
      <c r="X424" s="455">
        <v>45607</v>
      </c>
      <c r="Y424" s="456" t="s">
        <v>377</v>
      </c>
      <c r="Z424" s="457"/>
      <c r="AA424" s="494">
        <v>1</v>
      </c>
    </row>
    <row r="425" spans="1:27" s="128" customFormat="1" ht="36" customHeight="1">
      <c r="A425" s="443">
        <v>34</v>
      </c>
      <c r="B425" s="444" t="s">
        <v>1228</v>
      </c>
      <c r="C425" s="445" t="s">
        <v>62</v>
      </c>
      <c r="D425" s="444" t="s">
        <v>1229</v>
      </c>
      <c r="E425" s="446">
        <v>1</v>
      </c>
      <c r="F425" s="447"/>
      <c r="G425" s="448">
        <f t="shared" si="15"/>
        <v>0</v>
      </c>
      <c r="H425" s="449"/>
      <c r="I425" s="444"/>
      <c r="J425" s="449"/>
      <c r="K425" s="444" t="s">
        <v>1226</v>
      </c>
      <c r="L425" s="450" t="s">
        <v>624</v>
      </c>
      <c r="M425" s="444" t="s">
        <v>1227</v>
      </c>
      <c r="N425" s="450"/>
      <c r="O425" s="450"/>
      <c r="P425" s="450" t="s">
        <v>1091</v>
      </c>
      <c r="Q425" s="451" t="s">
        <v>374</v>
      </c>
      <c r="R425" s="451" t="s">
        <v>404</v>
      </c>
      <c r="S425" s="452" t="s">
        <v>405</v>
      </c>
      <c r="T425" s="452"/>
      <c r="U425" s="453"/>
      <c r="V425" s="454"/>
      <c r="W425" s="455" t="s">
        <v>406</v>
      </c>
      <c r="X425" s="455">
        <v>45607</v>
      </c>
      <c r="Y425" s="456" t="s">
        <v>377</v>
      </c>
      <c r="Z425" s="457"/>
      <c r="AA425" s="494">
        <v>1</v>
      </c>
    </row>
    <row r="426" spans="1:27" s="128" customFormat="1" ht="36" customHeight="1">
      <c r="A426" s="443">
        <v>35</v>
      </c>
      <c r="B426" s="444" t="s">
        <v>1230</v>
      </c>
      <c r="C426" s="445" t="s">
        <v>62</v>
      </c>
      <c r="D426" s="444" t="s">
        <v>1231</v>
      </c>
      <c r="E426" s="446">
        <v>1</v>
      </c>
      <c r="F426" s="447"/>
      <c r="G426" s="448">
        <f t="shared" si="15"/>
        <v>0</v>
      </c>
      <c r="H426" s="449"/>
      <c r="I426" s="444"/>
      <c r="J426" s="449"/>
      <c r="K426" s="444" t="s">
        <v>1226</v>
      </c>
      <c r="L426" s="450" t="s">
        <v>624</v>
      </c>
      <c r="M426" s="444" t="s">
        <v>1227</v>
      </c>
      <c r="N426" s="450"/>
      <c r="O426" s="450"/>
      <c r="P426" s="450" t="s">
        <v>1091</v>
      </c>
      <c r="Q426" s="451" t="s">
        <v>374</v>
      </c>
      <c r="R426" s="451" t="s">
        <v>404</v>
      </c>
      <c r="S426" s="452" t="s">
        <v>405</v>
      </c>
      <c r="T426" s="452"/>
      <c r="U426" s="453"/>
      <c r="V426" s="454"/>
      <c r="W426" s="455" t="s">
        <v>406</v>
      </c>
      <c r="X426" s="455">
        <v>45607</v>
      </c>
      <c r="Y426" s="456" t="s">
        <v>377</v>
      </c>
      <c r="Z426" s="457"/>
      <c r="AA426" s="494">
        <v>1</v>
      </c>
    </row>
    <row r="427" spans="1:27" s="128" customFormat="1" ht="36" customHeight="1">
      <c r="A427" s="443">
        <v>36</v>
      </c>
      <c r="B427" s="444" t="s">
        <v>1232</v>
      </c>
      <c r="C427" s="445" t="s">
        <v>62</v>
      </c>
      <c r="D427" s="444" t="s">
        <v>1233</v>
      </c>
      <c r="E427" s="446">
        <v>1</v>
      </c>
      <c r="F427" s="447"/>
      <c r="G427" s="448">
        <f t="shared" si="15"/>
        <v>0</v>
      </c>
      <c r="H427" s="449"/>
      <c r="I427" s="444"/>
      <c r="J427" s="449"/>
      <c r="K427" s="444" t="s">
        <v>1226</v>
      </c>
      <c r="L427" s="450" t="s">
        <v>624</v>
      </c>
      <c r="M427" s="444" t="s">
        <v>1227</v>
      </c>
      <c r="N427" s="450"/>
      <c r="O427" s="450"/>
      <c r="P427" s="450" t="s">
        <v>1091</v>
      </c>
      <c r="Q427" s="451" t="s">
        <v>374</v>
      </c>
      <c r="R427" s="451" t="s">
        <v>404</v>
      </c>
      <c r="S427" s="452" t="s">
        <v>405</v>
      </c>
      <c r="T427" s="452"/>
      <c r="U427" s="453"/>
      <c r="V427" s="454"/>
      <c r="W427" s="455" t="s">
        <v>406</v>
      </c>
      <c r="X427" s="455">
        <v>45607</v>
      </c>
      <c r="Y427" s="456" t="s">
        <v>377</v>
      </c>
      <c r="Z427" s="457"/>
      <c r="AA427" s="494">
        <v>1</v>
      </c>
    </row>
    <row r="428" spans="1:27" ht="18" customHeight="1">
      <c r="A428" s="389"/>
      <c r="B428" s="390" t="s">
        <v>1234</v>
      </c>
      <c r="C428" s="391"/>
      <c r="D428" s="392"/>
      <c r="E428" s="393"/>
      <c r="F428" s="394"/>
      <c r="G428" s="395">
        <f t="shared" si="15"/>
        <v>0</v>
      </c>
      <c r="H428" s="396"/>
      <c r="I428" s="392"/>
      <c r="J428" s="396"/>
      <c r="K428" s="392"/>
      <c r="L428" s="397"/>
      <c r="M428" s="392"/>
      <c r="N428" s="397"/>
      <c r="O428" s="397"/>
      <c r="P428" s="397"/>
      <c r="Q428" s="398"/>
      <c r="R428" s="398"/>
      <c r="S428" s="399"/>
      <c r="T428" s="399"/>
      <c r="U428" s="400"/>
      <c r="V428" s="401"/>
      <c r="W428" s="402"/>
      <c r="X428" s="402"/>
      <c r="Y428" s="403"/>
      <c r="Z428" s="404"/>
      <c r="AA428" s="492"/>
    </row>
    <row r="429" spans="1:27" s="128" customFormat="1" ht="36" customHeight="1">
      <c r="A429" s="443">
        <v>1</v>
      </c>
      <c r="B429" s="444" t="s">
        <v>1235</v>
      </c>
      <c r="C429" s="445" t="s">
        <v>64</v>
      </c>
      <c r="D429" s="444" t="s">
        <v>1236</v>
      </c>
      <c r="E429" s="446">
        <v>1</v>
      </c>
      <c r="F429" s="447"/>
      <c r="G429" s="448">
        <f t="shared" ref="G429:G460" si="16">E429*F429</f>
        <v>0</v>
      </c>
      <c r="H429" s="449"/>
      <c r="I429" s="444"/>
      <c r="J429" s="449"/>
      <c r="K429" s="444" t="s">
        <v>1237</v>
      </c>
      <c r="L429" s="450" t="s">
        <v>1003</v>
      </c>
      <c r="M429" s="444" t="s">
        <v>1238</v>
      </c>
      <c r="N429" s="450"/>
      <c r="O429" s="450"/>
      <c r="P429" s="450" t="s">
        <v>373</v>
      </c>
      <c r="Q429" s="451" t="s">
        <v>374</v>
      </c>
      <c r="R429" s="451" t="s">
        <v>263</v>
      </c>
      <c r="S429" s="452" t="s">
        <v>425</v>
      </c>
      <c r="T429" s="452">
        <v>45576</v>
      </c>
      <c r="U429" s="453"/>
      <c r="V429" s="454"/>
      <c r="W429" s="455" t="s">
        <v>406</v>
      </c>
      <c r="X429" s="455">
        <v>45569</v>
      </c>
      <c r="Y429" s="456" t="s">
        <v>377</v>
      </c>
      <c r="Z429" s="457"/>
      <c r="AA429" s="494"/>
    </row>
    <row r="430" spans="1:27" s="128" customFormat="1" ht="36" customHeight="1">
      <c r="A430" s="443">
        <v>2</v>
      </c>
      <c r="B430" s="444" t="s">
        <v>1239</v>
      </c>
      <c r="C430" s="445" t="s">
        <v>64</v>
      </c>
      <c r="D430" s="444" t="s">
        <v>1240</v>
      </c>
      <c r="E430" s="446">
        <v>48</v>
      </c>
      <c r="F430" s="447"/>
      <c r="G430" s="448">
        <f t="shared" si="16"/>
        <v>0</v>
      </c>
      <c r="H430" s="449"/>
      <c r="I430" s="444"/>
      <c r="J430" s="449"/>
      <c r="K430" s="444" t="s">
        <v>1237</v>
      </c>
      <c r="L430" s="450" t="s">
        <v>1003</v>
      </c>
      <c r="M430" s="444" t="s">
        <v>1241</v>
      </c>
      <c r="N430" s="450"/>
      <c r="O430" s="450"/>
      <c r="P430" s="450" t="s">
        <v>373</v>
      </c>
      <c r="Q430" s="451" t="s">
        <v>374</v>
      </c>
      <c r="R430" s="451" t="s">
        <v>1144</v>
      </c>
      <c r="S430" s="452" t="s">
        <v>1242</v>
      </c>
      <c r="T430" s="452"/>
      <c r="U430" s="453"/>
      <c r="V430" s="454"/>
      <c r="W430" s="455" t="s">
        <v>376</v>
      </c>
      <c r="X430" s="455">
        <v>45548</v>
      </c>
      <c r="Y430" s="456" t="s">
        <v>377</v>
      </c>
      <c r="Z430" s="457"/>
      <c r="AA430" s="494"/>
    </row>
    <row r="431" spans="1:27" s="128" customFormat="1" ht="36" customHeight="1">
      <c r="A431" s="443">
        <v>3</v>
      </c>
      <c r="B431" s="444" t="s">
        <v>1243</v>
      </c>
      <c r="C431" s="445" t="s">
        <v>64</v>
      </c>
      <c r="D431" s="444" t="s">
        <v>1244</v>
      </c>
      <c r="E431" s="446">
        <v>2</v>
      </c>
      <c r="F431" s="447"/>
      <c r="G431" s="448">
        <f t="shared" si="16"/>
        <v>0</v>
      </c>
      <c r="H431" s="449"/>
      <c r="I431" s="444"/>
      <c r="J431" s="449"/>
      <c r="K431" s="444" t="s">
        <v>1237</v>
      </c>
      <c r="L431" s="450" t="s">
        <v>1003</v>
      </c>
      <c r="M431" s="444" t="s">
        <v>1241</v>
      </c>
      <c r="N431" s="450"/>
      <c r="O431" s="450"/>
      <c r="P431" s="450" t="s">
        <v>373</v>
      </c>
      <c r="Q431" s="451" t="s">
        <v>374</v>
      </c>
      <c r="R431" s="451" t="s">
        <v>1144</v>
      </c>
      <c r="S431" s="452" t="s">
        <v>1242</v>
      </c>
      <c r="T431" s="452"/>
      <c r="U431" s="453"/>
      <c r="V431" s="454"/>
      <c r="W431" s="455" t="s">
        <v>376</v>
      </c>
      <c r="X431" s="455">
        <v>45548</v>
      </c>
      <c r="Y431" s="456" t="s">
        <v>377</v>
      </c>
      <c r="Z431" s="457"/>
      <c r="AA431" s="494"/>
    </row>
    <row r="432" spans="1:27" s="128" customFormat="1" ht="36" customHeight="1">
      <c r="A432" s="443">
        <v>4</v>
      </c>
      <c r="B432" s="444" t="s">
        <v>1103</v>
      </c>
      <c r="C432" s="445" t="s">
        <v>64</v>
      </c>
      <c r="D432" s="444" t="s">
        <v>1104</v>
      </c>
      <c r="E432" s="446">
        <v>1</v>
      </c>
      <c r="F432" s="447"/>
      <c r="G432" s="448">
        <f t="shared" si="16"/>
        <v>0</v>
      </c>
      <c r="H432" s="449"/>
      <c r="I432" s="444"/>
      <c r="J432" s="449"/>
      <c r="K432" s="444" t="s">
        <v>1237</v>
      </c>
      <c r="L432" s="450" t="s">
        <v>1003</v>
      </c>
      <c r="M432" s="444" t="s">
        <v>1245</v>
      </c>
      <c r="N432" s="450"/>
      <c r="O432" s="450"/>
      <c r="P432" s="450" t="s">
        <v>373</v>
      </c>
      <c r="Q432" s="451" t="s">
        <v>374</v>
      </c>
      <c r="R432" s="451" t="s">
        <v>470</v>
      </c>
      <c r="S432" s="452" t="s">
        <v>806</v>
      </c>
      <c r="T432" s="452">
        <v>45568</v>
      </c>
      <c r="U432" s="453"/>
      <c r="V432" s="454"/>
      <c r="W432" s="455" t="s">
        <v>406</v>
      </c>
      <c r="X432" s="455">
        <v>45560</v>
      </c>
      <c r="Y432" s="456" t="s">
        <v>377</v>
      </c>
      <c r="Z432" s="457"/>
      <c r="AA432" s="494"/>
    </row>
    <row r="433" spans="1:27" s="128" customFormat="1" ht="36" customHeight="1">
      <c r="A433" s="443">
        <v>5</v>
      </c>
      <c r="B433" s="444" t="s">
        <v>1246</v>
      </c>
      <c r="C433" s="445" t="s">
        <v>64</v>
      </c>
      <c r="D433" s="444" t="s">
        <v>1247</v>
      </c>
      <c r="E433" s="446">
        <v>1</v>
      </c>
      <c r="F433" s="447"/>
      <c r="G433" s="448">
        <f t="shared" si="16"/>
        <v>0</v>
      </c>
      <c r="H433" s="449"/>
      <c r="I433" s="444"/>
      <c r="J433" s="449"/>
      <c r="K433" s="444" t="s">
        <v>1237</v>
      </c>
      <c r="L433" s="450" t="s">
        <v>1003</v>
      </c>
      <c r="M433" s="444" t="s">
        <v>1245</v>
      </c>
      <c r="N433" s="450"/>
      <c r="O433" s="450"/>
      <c r="P433" s="450" t="s">
        <v>373</v>
      </c>
      <c r="Q433" s="451" t="s">
        <v>374</v>
      </c>
      <c r="R433" s="451" t="s">
        <v>470</v>
      </c>
      <c r="S433" s="452" t="s">
        <v>806</v>
      </c>
      <c r="T433" s="452">
        <v>45568</v>
      </c>
      <c r="U433" s="453"/>
      <c r="V433" s="454"/>
      <c r="W433" s="455" t="s">
        <v>406</v>
      </c>
      <c r="X433" s="455">
        <v>45567</v>
      </c>
      <c r="Y433" s="456" t="s">
        <v>377</v>
      </c>
      <c r="Z433" s="457"/>
      <c r="AA433" s="494"/>
    </row>
    <row r="434" spans="1:27" s="128" customFormat="1" ht="36" customHeight="1">
      <c r="A434" s="443">
        <v>6</v>
      </c>
      <c r="B434" s="444" t="s">
        <v>1248</v>
      </c>
      <c r="C434" s="445" t="s">
        <v>64</v>
      </c>
      <c r="D434" s="444" t="s">
        <v>1249</v>
      </c>
      <c r="E434" s="446">
        <v>1</v>
      </c>
      <c r="F434" s="447"/>
      <c r="G434" s="448">
        <f t="shared" si="16"/>
        <v>0</v>
      </c>
      <c r="H434" s="449"/>
      <c r="I434" s="444"/>
      <c r="J434" s="449"/>
      <c r="K434" s="444" t="s">
        <v>1237</v>
      </c>
      <c r="L434" s="450" t="s">
        <v>1003</v>
      </c>
      <c r="M434" s="444" t="s">
        <v>1250</v>
      </c>
      <c r="N434" s="450"/>
      <c r="O434" s="450"/>
      <c r="P434" s="450" t="s">
        <v>373</v>
      </c>
      <c r="Q434" s="451" t="s">
        <v>374</v>
      </c>
      <c r="R434" s="451" t="s">
        <v>299</v>
      </c>
      <c r="S434" s="452" t="s">
        <v>477</v>
      </c>
      <c r="T434" s="452"/>
      <c r="U434" s="453"/>
      <c r="V434" s="454"/>
      <c r="W434" s="455" t="s">
        <v>376</v>
      </c>
      <c r="X434" s="455">
        <v>45547</v>
      </c>
      <c r="Y434" s="456" t="s">
        <v>377</v>
      </c>
      <c r="Z434" s="457"/>
      <c r="AA434" s="494"/>
    </row>
    <row r="435" spans="1:27" s="128" customFormat="1" ht="36" customHeight="1">
      <c r="A435" s="443">
        <v>7</v>
      </c>
      <c r="B435" s="444" t="s">
        <v>1251</v>
      </c>
      <c r="C435" s="445" t="s">
        <v>64</v>
      </c>
      <c r="D435" s="444" t="s">
        <v>1252</v>
      </c>
      <c r="E435" s="446">
        <v>1</v>
      </c>
      <c r="F435" s="447"/>
      <c r="G435" s="448">
        <f t="shared" si="16"/>
        <v>0</v>
      </c>
      <c r="H435" s="449"/>
      <c r="I435" s="444"/>
      <c r="J435" s="449"/>
      <c r="K435" s="444" t="s">
        <v>1237</v>
      </c>
      <c r="L435" s="450" t="s">
        <v>1003</v>
      </c>
      <c r="M435" s="444" t="s">
        <v>1250</v>
      </c>
      <c r="N435" s="450"/>
      <c r="O435" s="450"/>
      <c r="P435" s="450" t="s">
        <v>373</v>
      </c>
      <c r="Q435" s="451" t="s">
        <v>374</v>
      </c>
      <c r="R435" s="451" t="s">
        <v>299</v>
      </c>
      <c r="S435" s="452" t="s">
        <v>477</v>
      </c>
      <c r="T435" s="452"/>
      <c r="U435" s="453"/>
      <c r="V435" s="454"/>
      <c r="W435" s="455" t="s">
        <v>376</v>
      </c>
      <c r="X435" s="455">
        <v>45547</v>
      </c>
      <c r="Y435" s="456" t="s">
        <v>377</v>
      </c>
      <c r="Z435" s="457"/>
      <c r="AA435" s="494"/>
    </row>
    <row r="436" spans="1:27" s="128" customFormat="1" ht="18" customHeight="1">
      <c r="A436" s="443">
        <v>8</v>
      </c>
      <c r="B436" s="444" t="s">
        <v>965</v>
      </c>
      <c r="C436" s="445" t="s">
        <v>64</v>
      </c>
      <c r="D436" s="444" t="s">
        <v>966</v>
      </c>
      <c r="E436" s="446">
        <v>1</v>
      </c>
      <c r="F436" s="447"/>
      <c r="G436" s="448">
        <f t="shared" si="16"/>
        <v>0</v>
      </c>
      <c r="H436" s="449"/>
      <c r="I436" s="444"/>
      <c r="J436" s="449"/>
      <c r="K436" s="444"/>
      <c r="L436" s="450"/>
      <c r="M436" s="444"/>
      <c r="N436" s="450"/>
      <c r="O436" s="450"/>
      <c r="P436" s="450"/>
      <c r="Q436" s="451" t="s">
        <v>374</v>
      </c>
      <c r="R436" s="451"/>
      <c r="S436" s="452"/>
      <c r="T436" s="452"/>
      <c r="U436" s="453"/>
      <c r="V436" s="454"/>
      <c r="W436" s="455" t="s">
        <v>406</v>
      </c>
      <c r="X436" s="455">
        <v>45518</v>
      </c>
      <c r="Y436" s="456" t="s">
        <v>377</v>
      </c>
      <c r="Z436" s="457"/>
      <c r="AA436" s="494"/>
    </row>
    <row r="437" spans="1:27" s="128" customFormat="1" ht="36" customHeight="1">
      <c r="A437" s="443">
        <v>9</v>
      </c>
      <c r="B437" s="444" t="s">
        <v>1092</v>
      </c>
      <c r="C437" s="445" t="s">
        <v>64</v>
      </c>
      <c r="D437" s="444" t="s">
        <v>1093</v>
      </c>
      <c r="E437" s="446">
        <v>1</v>
      </c>
      <c r="F437" s="447"/>
      <c r="G437" s="448">
        <f t="shared" si="16"/>
        <v>0</v>
      </c>
      <c r="H437" s="449"/>
      <c r="I437" s="444"/>
      <c r="J437" s="449"/>
      <c r="K437" s="444" t="s">
        <v>1253</v>
      </c>
      <c r="L437" s="450" t="s">
        <v>1003</v>
      </c>
      <c r="M437" s="444" t="s">
        <v>1254</v>
      </c>
      <c r="N437" s="450"/>
      <c r="O437" s="450"/>
      <c r="P437" s="450" t="s">
        <v>1091</v>
      </c>
      <c r="Q437" s="451" t="s">
        <v>374</v>
      </c>
      <c r="R437" s="451" t="s">
        <v>404</v>
      </c>
      <c r="S437" s="452" t="s">
        <v>405</v>
      </c>
      <c r="T437" s="452"/>
      <c r="U437" s="453"/>
      <c r="V437" s="454"/>
      <c r="W437" s="455" t="s">
        <v>406</v>
      </c>
      <c r="X437" s="455">
        <v>45607</v>
      </c>
      <c r="Y437" s="456" t="s">
        <v>377</v>
      </c>
      <c r="Z437" s="457"/>
      <c r="AA437" s="494">
        <v>1</v>
      </c>
    </row>
    <row r="438" spans="1:27" s="128" customFormat="1" ht="36" customHeight="1">
      <c r="A438" s="443">
        <v>10</v>
      </c>
      <c r="B438" s="444" t="s">
        <v>951</v>
      </c>
      <c r="C438" s="445" t="s">
        <v>64</v>
      </c>
      <c r="D438" s="444" t="s">
        <v>952</v>
      </c>
      <c r="E438" s="446">
        <v>1</v>
      </c>
      <c r="F438" s="447"/>
      <c r="G438" s="448">
        <f t="shared" si="16"/>
        <v>0</v>
      </c>
      <c r="H438" s="449"/>
      <c r="I438" s="444"/>
      <c r="J438" s="449"/>
      <c r="K438" s="444" t="s">
        <v>1253</v>
      </c>
      <c r="L438" s="450" t="s">
        <v>1003</v>
      </c>
      <c r="M438" s="444" t="s">
        <v>1254</v>
      </c>
      <c r="N438" s="450"/>
      <c r="O438" s="450"/>
      <c r="P438" s="450" t="s">
        <v>1091</v>
      </c>
      <c r="Q438" s="451" t="s">
        <v>374</v>
      </c>
      <c r="R438" s="451" t="s">
        <v>404</v>
      </c>
      <c r="S438" s="452" t="s">
        <v>405</v>
      </c>
      <c r="T438" s="452"/>
      <c r="U438" s="453"/>
      <c r="V438" s="454"/>
      <c r="W438" s="455" t="s">
        <v>406</v>
      </c>
      <c r="X438" s="455">
        <v>45607</v>
      </c>
      <c r="Y438" s="456" t="s">
        <v>377</v>
      </c>
      <c r="Z438" s="457"/>
      <c r="AA438" s="494">
        <v>1</v>
      </c>
    </row>
    <row r="439" spans="1:27" s="128" customFormat="1" ht="36" customHeight="1">
      <c r="A439" s="443">
        <v>11</v>
      </c>
      <c r="B439" s="444" t="s">
        <v>959</v>
      </c>
      <c r="C439" s="445" t="s">
        <v>64</v>
      </c>
      <c r="D439" s="444" t="s">
        <v>960</v>
      </c>
      <c r="E439" s="446">
        <v>2</v>
      </c>
      <c r="F439" s="447"/>
      <c r="G439" s="448">
        <f t="shared" si="16"/>
        <v>0</v>
      </c>
      <c r="H439" s="449"/>
      <c r="I439" s="444"/>
      <c r="J439" s="449"/>
      <c r="K439" s="444" t="s">
        <v>1237</v>
      </c>
      <c r="L439" s="450" t="s">
        <v>1003</v>
      </c>
      <c r="M439" s="444" t="s">
        <v>1255</v>
      </c>
      <c r="N439" s="450"/>
      <c r="O439" s="450"/>
      <c r="P439" s="450" t="s">
        <v>1091</v>
      </c>
      <c r="Q439" s="451" t="s">
        <v>374</v>
      </c>
      <c r="R439" s="451" t="s">
        <v>404</v>
      </c>
      <c r="S439" s="452" t="s">
        <v>405</v>
      </c>
      <c r="T439" s="452"/>
      <c r="U439" s="453"/>
      <c r="V439" s="454"/>
      <c r="W439" s="455" t="s">
        <v>406</v>
      </c>
      <c r="X439" s="455">
        <v>45607</v>
      </c>
      <c r="Y439" s="456" t="s">
        <v>377</v>
      </c>
      <c r="Z439" s="457"/>
      <c r="AA439" s="494">
        <v>1</v>
      </c>
    </row>
    <row r="440" spans="1:27" s="128" customFormat="1" ht="36" customHeight="1">
      <c r="A440" s="443">
        <v>12</v>
      </c>
      <c r="B440" s="444" t="s">
        <v>1083</v>
      </c>
      <c r="C440" s="445" t="s">
        <v>64</v>
      </c>
      <c r="D440" s="444" t="s">
        <v>1084</v>
      </c>
      <c r="E440" s="446">
        <v>1</v>
      </c>
      <c r="F440" s="447"/>
      <c r="G440" s="448">
        <f t="shared" si="16"/>
        <v>0</v>
      </c>
      <c r="H440" s="449"/>
      <c r="I440" s="444"/>
      <c r="J440" s="449"/>
      <c r="K440" s="444" t="s">
        <v>1237</v>
      </c>
      <c r="L440" s="450" t="s">
        <v>1003</v>
      </c>
      <c r="M440" s="444" t="s">
        <v>1255</v>
      </c>
      <c r="N440" s="450"/>
      <c r="O440" s="450"/>
      <c r="P440" s="450" t="s">
        <v>1091</v>
      </c>
      <c r="Q440" s="451" t="s">
        <v>374</v>
      </c>
      <c r="R440" s="451" t="s">
        <v>404</v>
      </c>
      <c r="S440" s="452" t="s">
        <v>405</v>
      </c>
      <c r="T440" s="452"/>
      <c r="U440" s="453"/>
      <c r="V440" s="454"/>
      <c r="W440" s="455" t="s">
        <v>406</v>
      </c>
      <c r="X440" s="455">
        <v>45607</v>
      </c>
      <c r="Y440" s="456" t="s">
        <v>377</v>
      </c>
      <c r="Z440" s="457"/>
      <c r="AA440" s="494">
        <v>1</v>
      </c>
    </row>
    <row r="441" spans="1:27" s="128" customFormat="1" ht="36" customHeight="1">
      <c r="A441" s="405">
        <v>13</v>
      </c>
      <c r="B441" s="407" t="s">
        <v>587</v>
      </c>
      <c r="C441" s="406" t="s">
        <v>64</v>
      </c>
      <c r="D441" s="407" t="s">
        <v>588</v>
      </c>
      <c r="E441" s="408">
        <v>1</v>
      </c>
      <c r="F441" s="409"/>
      <c r="G441" s="410">
        <f t="shared" si="16"/>
        <v>0</v>
      </c>
      <c r="H441" s="411"/>
      <c r="I441" s="407"/>
      <c r="J441" s="411"/>
      <c r="K441" s="407"/>
      <c r="L441" s="412"/>
      <c r="M441" s="407"/>
      <c r="N441" s="412"/>
      <c r="O441" s="412"/>
      <c r="P441" s="412"/>
      <c r="Q441" s="413"/>
      <c r="R441" s="413"/>
      <c r="S441" s="414"/>
      <c r="T441" s="414">
        <v>45625</v>
      </c>
      <c r="U441" s="415"/>
      <c r="V441" s="416"/>
      <c r="W441" s="417"/>
      <c r="X441" s="417"/>
      <c r="Y441" s="418" t="s">
        <v>377</v>
      </c>
      <c r="Z441" s="496" t="s">
        <v>1256</v>
      </c>
      <c r="AA441" s="492">
        <v>1</v>
      </c>
    </row>
    <row r="442" spans="1:27" s="128" customFormat="1" ht="36" customHeight="1">
      <c r="A442" s="443">
        <v>14</v>
      </c>
      <c r="B442" s="444" t="s">
        <v>597</v>
      </c>
      <c r="C442" s="445" t="s">
        <v>64</v>
      </c>
      <c r="D442" s="444" t="s">
        <v>598</v>
      </c>
      <c r="E442" s="446">
        <v>2</v>
      </c>
      <c r="F442" s="447"/>
      <c r="G442" s="448">
        <f t="shared" si="16"/>
        <v>0</v>
      </c>
      <c r="H442" s="449"/>
      <c r="I442" s="444"/>
      <c r="J442" s="449"/>
      <c r="K442" s="444" t="s">
        <v>1237</v>
      </c>
      <c r="L442" s="450" t="s">
        <v>1003</v>
      </c>
      <c r="M442" s="444" t="s">
        <v>1257</v>
      </c>
      <c r="N442" s="450"/>
      <c r="O442" s="450"/>
      <c r="P442" s="450" t="s">
        <v>1091</v>
      </c>
      <c r="Q442" s="451" t="s">
        <v>374</v>
      </c>
      <c r="R442" s="451" t="s">
        <v>404</v>
      </c>
      <c r="S442" s="452" t="s">
        <v>405</v>
      </c>
      <c r="T442" s="452"/>
      <c r="U442" s="453"/>
      <c r="V442" s="454"/>
      <c r="W442" s="455" t="s">
        <v>406</v>
      </c>
      <c r="X442" s="455">
        <v>45607</v>
      </c>
      <c r="Y442" s="456" t="s">
        <v>377</v>
      </c>
      <c r="Z442" s="457"/>
      <c r="AA442" s="494">
        <v>1</v>
      </c>
    </row>
    <row r="443" spans="1:27" s="128" customFormat="1" ht="36" customHeight="1">
      <c r="A443" s="443">
        <v>15</v>
      </c>
      <c r="B443" s="444" t="s">
        <v>601</v>
      </c>
      <c r="C443" s="445" t="s">
        <v>64</v>
      </c>
      <c r="D443" s="444" t="s">
        <v>602</v>
      </c>
      <c r="E443" s="446">
        <v>2</v>
      </c>
      <c r="F443" s="447"/>
      <c r="G443" s="448">
        <f t="shared" si="16"/>
        <v>0</v>
      </c>
      <c r="H443" s="449"/>
      <c r="I443" s="444"/>
      <c r="J443" s="449"/>
      <c r="K443" s="444" t="s">
        <v>1253</v>
      </c>
      <c r="L443" s="450" t="s">
        <v>1003</v>
      </c>
      <c r="M443" s="444" t="s">
        <v>1258</v>
      </c>
      <c r="N443" s="450"/>
      <c r="O443" s="450"/>
      <c r="P443" s="450" t="s">
        <v>1091</v>
      </c>
      <c r="Q443" s="451" t="s">
        <v>374</v>
      </c>
      <c r="R443" s="451" t="s">
        <v>404</v>
      </c>
      <c r="S443" s="452" t="s">
        <v>405</v>
      </c>
      <c r="T443" s="452"/>
      <c r="U443" s="453"/>
      <c r="V443" s="454"/>
      <c r="W443" s="455" t="s">
        <v>406</v>
      </c>
      <c r="X443" s="455">
        <v>45607</v>
      </c>
      <c r="Y443" s="456" t="s">
        <v>377</v>
      </c>
      <c r="Z443" s="457"/>
      <c r="AA443" s="494">
        <v>1</v>
      </c>
    </row>
    <row r="444" spans="1:27" s="128" customFormat="1" ht="36" customHeight="1">
      <c r="A444" s="443">
        <v>16</v>
      </c>
      <c r="B444" s="444" t="s">
        <v>599</v>
      </c>
      <c r="C444" s="445" t="s">
        <v>64</v>
      </c>
      <c r="D444" s="444" t="s">
        <v>600</v>
      </c>
      <c r="E444" s="446">
        <v>2</v>
      </c>
      <c r="F444" s="447"/>
      <c r="G444" s="448">
        <f t="shared" si="16"/>
        <v>0</v>
      </c>
      <c r="H444" s="449"/>
      <c r="I444" s="444"/>
      <c r="J444" s="449"/>
      <c r="K444" s="444" t="s">
        <v>1253</v>
      </c>
      <c r="L444" s="450" t="s">
        <v>1003</v>
      </c>
      <c r="M444" s="444" t="s">
        <v>1258</v>
      </c>
      <c r="N444" s="450"/>
      <c r="O444" s="450"/>
      <c r="P444" s="450" t="s">
        <v>1091</v>
      </c>
      <c r="Q444" s="451" t="s">
        <v>374</v>
      </c>
      <c r="R444" s="451" t="s">
        <v>404</v>
      </c>
      <c r="S444" s="452" t="s">
        <v>405</v>
      </c>
      <c r="T444" s="452"/>
      <c r="U444" s="453"/>
      <c r="V444" s="454"/>
      <c r="W444" s="455" t="s">
        <v>406</v>
      </c>
      <c r="X444" s="455">
        <v>45607</v>
      </c>
      <c r="Y444" s="456" t="s">
        <v>377</v>
      </c>
      <c r="Z444" s="457"/>
      <c r="AA444" s="494">
        <v>1</v>
      </c>
    </row>
    <row r="445" spans="1:27" s="128" customFormat="1" ht="36" customHeight="1">
      <c r="A445" s="443">
        <v>17</v>
      </c>
      <c r="B445" s="444" t="s">
        <v>884</v>
      </c>
      <c r="C445" s="445" t="s">
        <v>64</v>
      </c>
      <c r="D445" s="444" t="s">
        <v>885</v>
      </c>
      <c r="E445" s="446">
        <v>2</v>
      </c>
      <c r="F445" s="447"/>
      <c r="G445" s="448">
        <f t="shared" si="16"/>
        <v>0</v>
      </c>
      <c r="H445" s="449"/>
      <c r="I445" s="444"/>
      <c r="J445" s="449"/>
      <c r="K445" s="444" t="s">
        <v>1237</v>
      </c>
      <c r="L445" s="450" t="s">
        <v>1003</v>
      </c>
      <c r="M445" s="444" t="s">
        <v>1238</v>
      </c>
      <c r="N445" s="450"/>
      <c r="O445" s="450"/>
      <c r="P445" s="450" t="s">
        <v>373</v>
      </c>
      <c r="Q445" s="451" t="s">
        <v>374</v>
      </c>
      <c r="R445" s="451" t="s">
        <v>263</v>
      </c>
      <c r="S445" s="452" t="s">
        <v>921</v>
      </c>
      <c r="T445" s="452"/>
      <c r="U445" s="453"/>
      <c r="V445" s="454"/>
      <c r="W445" s="455" t="s">
        <v>406</v>
      </c>
      <c r="X445" s="455">
        <v>45553</v>
      </c>
      <c r="Y445" s="456" t="s">
        <v>377</v>
      </c>
      <c r="Z445" s="457"/>
      <c r="AA445" s="494"/>
    </row>
    <row r="446" spans="1:27" s="128" customFormat="1" ht="36" customHeight="1">
      <c r="A446" s="443">
        <v>18</v>
      </c>
      <c r="B446" s="444" t="s">
        <v>1259</v>
      </c>
      <c r="C446" s="445" t="s">
        <v>64</v>
      </c>
      <c r="D446" s="444" t="s">
        <v>1260</v>
      </c>
      <c r="E446" s="446">
        <v>2</v>
      </c>
      <c r="F446" s="447"/>
      <c r="G446" s="448">
        <f t="shared" si="16"/>
        <v>0</v>
      </c>
      <c r="H446" s="449"/>
      <c r="I446" s="444"/>
      <c r="J446" s="449"/>
      <c r="K446" s="444" t="s">
        <v>1237</v>
      </c>
      <c r="L446" s="450" t="s">
        <v>1003</v>
      </c>
      <c r="M446" s="444" t="s">
        <v>1238</v>
      </c>
      <c r="N446" s="450"/>
      <c r="O446" s="450"/>
      <c r="P446" s="450" t="s">
        <v>373</v>
      </c>
      <c r="Q446" s="451" t="s">
        <v>374</v>
      </c>
      <c r="R446" s="451" t="s">
        <v>263</v>
      </c>
      <c r="S446" s="452" t="s">
        <v>921</v>
      </c>
      <c r="T446" s="452"/>
      <c r="U446" s="453"/>
      <c r="V446" s="454"/>
      <c r="W446" s="455" t="s">
        <v>406</v>
      </c>
      <c r="X446" s="455">
        <v>45553</v>
      </c>
      <c r="Y446" s="456" t="s">
        <v>377</v>
      </c>
      <c r="Z446" s="457"/>
      <c r="AA446" s="494"/>
    </row>
    <row r="447" spans="1:27" s="128" customFormat="1" ht="36" customHeight="1">
      <c r="A447" s="443">
        <v>19</v>
      </c>
      <c r="B447" s="444" t="s">
        <v>1261</v>
      </c>
      <c r="C447" s="445" t="s">
        <v>64</v>
      </c>
      <c r="D447" s="444" t="s">
        <v>1262</v>
      </c>
      <c r="E447" s="446">
        <v>2</v>
      </c>
      <c r="F447" s="447"/>
      <c r="G447" s="448">
        <f t="shared" si="16"/>
        <v>0</v>
      </c>
      <c r="H447" s="449"/>
      <c r="I447" s="444"/>
      <c r="J447" s="449"/>
      <c r="K447" s="444" t="s">
        <v>1237</v>
      </c>
      <c r="L447" s="450" t="s">
        <v>1003</v>
      </c>
      <c r="M447" s="444" t="s">
        <v>1238</v>
      </c>
      <c r="N447" s="450"/>
      <c r="O447" s="450"/>
      <c r="P447" s="450" t="s">
        <v>373</v>
      </c>
      <c r="Q447" s="451" t="s">
        <v>374</v>
      </c>
      <c r="R447" s="451" t="s">
        <v>263</v>
      </c>
      <c r="S447" s="452" t="s">
        <v>921</v>
      </c>
      <c r="T447" s="452"/>
      <c r="U447" s="453"/>
      <c r="V447" s="454"/>
      <c r="W447" s="455" t="s">
        <v>406</v>
      </c>
      <c r="X447" s="455">
        <v>45553</v>
      </c>
      <c r="Y447" s="456" t="s">
        <v>377</v>
      </c>
      <c r="Z447" s="457"/>
      <c r="AA447" s="494"/>
    </row>
    <row r="448" spans="1:27" s="128" customFormat="1" ht="36" customHeight="1">
      <c r="A448" s="443">
        <v>20</v>
      </c>
      <c r="B448" s="444" t="s">
        <v>1263</v>
      </c>
      <c r="C448" s="445" t="s">
        <v>64</v>
      </c>
      <c r="D448" s="444" t="s">
        <v>1264</v>
      </c>
      <c r="E448" s="446">
        <v>1</v>
      </c>
      <c r="F448" s="447"/>
      <c r="G448" s="448">
        <f t="shared" si="16"/>
        <v>0</v>
      </c>
      <c r="H448" s="449"/>
      <c r="I448" s="444"/>
      <c r="J448" s="449"/>
      <c r="K448" s="444" t="s">
        <v>1237</v>
      </c>
      <c r="L448" s="450" t="s">
        <v>1003</v>
      </c>
      <c r="M448" s="444" t="s">
        <v>1238</v>
      </c>
      <c r="N448" s="450"/>
      <c r="O448" s="450"/>
      <c r="P448" s="450" t="s">
        <v>373</v>
      </c>
      <c r="Q448" s="451" t="s">
        <v>374</v>
      </c>
      <c r="R448" s="451" t="s">
        <v>263</v>
      </c>
      <c r="S448" s="452" t="s">
        <v>921</v>
      </c>
      <c r="T448" s="452"/>
      <c r="U448" s="453"/>
      <c r="V448" s="454"/>
      <c r="W448" s="455" t="s">
        <v>406</v>
      </c>
      <c r="X448" s="455">
        <v>45553</v>
      </c>
      <c r="Y448" s="456" t="s">
        <v>377</v>
      </c>
      <c r="Z448" s="457"/>
      <c r="AA448" s="494"/>
    </row>
    <row r="449" spans="1:27" s="128" customFormat="1" ht="36" customHeight="1">
      <c r="A449" s="443">
        <v>21</v>
      </c>
      <c r="B449" s="444" t="s">
        <v>1265</v>
      </c>
      <c r="C449" s="445" t="s">
        <v>64</v>
      </c>
      <c r="D449" s="444" t="s">
        <v>1266</v>
      </c>
      <c r="E449" s="446">
        <v>1</v>
      </c>
      <c r="F449" s="447"/>
      <c r="G449" s="448">
        <f t="shared" si="16"/>
        <v>0</v>
      </c>
      <c r="H449" s="449"/>
      <c r="I449" s="444"/>
      <c r="J449" s="449"/>
      <c r="K449" s="444" t="s">
        <v>1237</v>
      </c>
      <c r="L449" s="450" t="s">
        <v>1003</v>
      </c>
      <c r="M449" s="444" t="s">
        <v>1238</v>
      </c>
      <c r="N449" s="450"/>
      <c r="O449" s="450"/>
      <c r="P449" s="450" t="s">
        <v>373</v>
      </c>
      <c r="Q449" s="451" t="s">
        <v>374</v>
      </c>
      <c r="R449" s="451" t="s">
        <v>263</v>
      </c>
      <c r="S449" s="452" t="s">
        <v>921</v>
      </c>
      <c r="T449" s="452"/>
      <c r="U449" s="453"/>
      <c r="V449" s="454"/>
      <c r="W449" s="455" t="s">
        <v>406</v>
      </c>
      <c r="X449" s="455">
        <v>45553</v>
      </c>
      <c r="Y449" s="456" t="s">
        <v>377</v>
      </c>
      <c r="Z449" s="457"/>
      <c r="AA449" s="494"/>
    </row>
    <row r="450" spans="1:27" s="128" customFormat="1" ht="36" customHeight="1">
      <c r="A450" s="443">
        <v>22</v>
      </c>
      <c r="B450" s="444" t="s">
        <v>1267</v>
      </c>
      <c r="C450" s="445" t="s">
        <v>64</v>
      </c>
      <c r="D450" s="444" t="s">
        <v>1268</v>
      </c>
      <c r="E450" s="446">
        <v>1</v>
      </c>
      <c r="F450" s="447"/>
      <c r="G450" s="448">
        <f t="shared" si="16"/>
        <v>0</v>
      </c>
      <c r="H450" s="449"/>
      <c r="I450" s="444"/>
      <c r="J450" s="449"/>
      <c r="K450" s="444" t="s">
        <v>1237</v>
      </c>
      <c r="L450" s="450" t="s">
        <v>1003</v>
      </c>
      <c r="M450" s="444" t="s">
        <v>1269</v>
      </c>
      <c r="N450" s="450"/>
      <c r="O450" s="450"/>
      <c r="P450" s="450" t="s">
        <v>373</v>
      </c>
      <c r="Q450" s="451" t="s">
        <v>374</v>
      </c>
      <c r="R450" s="451" t="s">
        <v>249</v>
      </c>
      <c r="S450" s="452" t="s">
        <v>1005</v>
      </c>
      <c r="T450" s="452"/>
      <c r="U450" s="453"/>
      <c r="V450" s="454"/>
      <c r="W450" s="455" t="s">
        <v>376</v>
      </c>
      <c r="X450" s="455">
        <v>45547</v>
      </c>
      <c r="Y450" s="456" t="s">
        <v>377</v>
      </c>
      <c r="Z450" s="457"/>
      <c r="AA450" s="494"/>
    </row>
    <row r="451" spans="1:27" s="128" customFormat="1" ht="36" customHeight="1">
      <c r="A451" s="443">
        <v>23</v>
      </c>
      <c r="B451" s="444" t="s">
        <v>1270</v>
      </c>
      <c r="C451" s="445" t="s">
        <v>64</v>
      </c>
      <c r="D451" s="444" t="s">
        <v>1271</v>
      </c>
      <c r="E451" s="446">
        <v>1</v>
      </c>
      <c r="F451" s="447"/>
      <c r="G451" s="448">
        <f t="shared" si="16"/>
        <v>0</v>
      </c>
      <c r="H451" s="449"/>
      <c r="I451" s="444"/>
      <c r="J451" s="449"/>
      <c r="K451" s="444" t="s">
        <v>1237</v>
      </c>
      <c r="L451" s="450" t="s">
        <v>1003</v>
      </c>
      <c r="M451" s="444" t="s">
        <v>1269</v>
      </c>
      <c r="N451" s="450"/>
      <c r="O451" s="450"/>
      <c r="P451" s="450" t="s">
        <v>373</v>
      </c>
      <c r="Q451" s="451" t="s">
        <v>374</v>
      </c>
      <c r="R451" s="451" t="s">
        <v>249</v>
      </c>
      <c r="S451" s="452" t="s">
        <v>1005</v>
      </c>
      <c r="T451" s="452"/>
      <c r="U451" s="453"/>
      <c r="V451" s="454"/>
      <c r="W451" s="455" t="s">
        <v>376</v>
      </c>
      <c r="X451" s="455">
        <v>45547</v>
      </c>
      <c r="Y451" s="456" t="s">
        <v>377</v>
      </c>
      <c r="Z451" s="457"/>
      <c r="AA451" s="494"/>
    </row>
    <row r="452" spans="1:27" s="128" customFormat="1" ht="36" customHeight="1">
      <c r="A452" s="443">
        <v>24</v>
      </c>
      <c r="B452" s="444" t="s">
        <v>913</v>
      </c>
      <c r="C452" s="445" t="s">
        <v>64</v>
      </c>
      <c r="D452" s="444" t="s">
        <v>914</v>
      </c>
      <c r="E452" s="446">
        <v>3</v>
      </c>
      <c r="F452" s="447"/>
      <c r="G452" s="448">
        <f t="shared" si="16"/>
        <v>0</v>
      </c>
      <c r="H452" s="449"/>
      <c r="I452" s="444"/>
      <c r="J452" s="449"/>
      <c r="K452" s="444" t="s">
        <v>1237</v>
      </c>
      <c r="L452" s="450" t="s">
        <v>1003</v>
      </c>
      <c r="M452" s="444" t="s">
        <v>1238</v>
      </c>
      <c r="N452" s="450"/>
      <c r="O452" s="450"/>
      <c r="P452" s="450" t="s">
        <v>373</v>
      </c>
      <c r="Q452" s="451" t="s">
        <v>374</v>
      </c>
      <c r="R452" s="451" t="s">
        <v>263</v>
      </c>
      <c r="S452" s="452" t="s">
        <v>921</v>
      </c>
      <c r="T452" s="452"/>
      <c r="U452" s="453"/>
      <c r="V452" s="454"/>
      <c r="W452" s="455" t="s">
        <v>406</v>
      </c>
      <c r="X452" s="455">
        <v>45553</v>
      </c>
      <c r="Y452" s="456" t="s">
        <v>377</v>
      </c>
      <c r="Z452" s="457"/>
      <c r="AA452" s="494"/>
    </row>
    <row r="453" spans="1:27" s="128" customFormat="1" ht="36" customHeight="1">
      <c r="A453" s="443">
        <v>25</v>
      </c>
      <c r="B453" s="444" t="s">
        <v>1272</v>
      </c>
      <c r="C453" s="445" t="s">
        <v>64</v>
      </c>
      <c r="D453" s="444" t="s">
        <v>985</v>
      </c>
      <c r="E453" s="446">
        <v>5</v>
      </c>
      <c r="F453" s="447"/>
      <c r="G453" s="448">
        <f t="shared" si="16"/>
        <v>0</v>
      </c>
      <c r="H453" s="449"/>
      <c r="I453" s="444"/>
      <c r="J453" s="449"/>
      <c r="K453" s="444" t="s">
        <v>1253</v>
      </c>
      <c r="L453" s="450" t="s">
        <v>1003</v>
      </c>
      <c r="M453" s="444" t="s">
        <v>1273</v>
      </c>
      <c r="N453" s="450"/>
      <c r="O453" s="450"/>
      <c r="P453" s="450" t="s">
        <v>373</v>
      </c>
      <c r="Q453" s="451" t="s">
        <v>374</v>
      </c>
      <c r="R453" s="451" t="s">
        <v>263</v>
      </c>
      <c r="S453" s="452" t="s">
        <v>385</v>
      </c>
      <c r="T453" s="452"/>
      <c r="U453" s="453"/>
      <c r="V453" s="454"/>
      <c r="W453" s="455" t="s">
        <v>406</v>
      </c>
      <c r="X453" s="455">
        <v>45553</v>
      </c>
      <c r="Y453" s="456" t="s">
        <v>377</v>
      </c>
      <c r="Z453" s="457"/>
      <c r="AA453" s="494"/>
    </row>
    <row r="454" spans="1:27" s="128" customFormat="1" ht="18" customHeight="1">
      <c r="A454" s="443">
        <v>26</v>
      </c>
      <c r="B454" s="444" t="s">
        <v>1274</v>
      </c>
      <c r="C454" s="445" t="s">
        <v>64</v>
      </c>
      <c r="D454" s="444" t="s">
        <v>1275</v>
      </c>
      <c r="E454" s="446">
        <v>1</v>
      </c>
      <c r="F454" s="447"/>
      <c r="G454" s="448">
        <f t="shared" si="16"/>
        <v>0</v>
      </c>
      <c r="H454" s="449"/>
      <c r="I454" s="444"/>
      <c r="J454" s="449"/>
      <c r="K454" s="444"/>
      <c r="L454" s="450"/>
      <c r="M454" s="444"/>
      <c r="N454" s="450"/>
      <c r="O454" s="450"/>
      <c r="P454" s="450"/>
      <c r="Q454" s="451" t="s">
        <v>374</v>
      </c>
      <c r="R454" s="451"/>
      <c r="S454" s="452"/>
      <c r="T454" s="452"/>
      <c r="U454" s="453"/>
      <c r="V454" s="454"/>
      <c r="W454" s="455" t="s">
        <v>406</v>
      </c>
      <c r="X454" s="455">
        <v>45518</v>
      </c>
      <c r="Y454" s="456" t="s">
        <v>377</v>
      </c>
      <c r="Z454" s="457"/>
      <c r="AA454" s="494"/>
    </row>
    <row r="455" spans="1:27" s="128" customFormat="1" ht="36" customHeight="1">
      <c r="A455" s="443">
        <v>27</v>
      </c>
      <c r="B455" s="444" t="s">
        <v>1276</v>
      </c>
      <c r="C455" s="445" t="s">
        <v>64</v>
      </c>
      <c r="D455" s="444" t="s">
        <v>1277</v>
      </c>
      <c r="E455" s="446">
        <v>1</v>
      </c>
      <c r="F455" s="447"/>
      <c r="G455" s="448">
        <f t="shared" si="16"/>
        <v>0</v>
      </c>
      <c r="H455" s="449"/>
      <c r="I455" s="444"/>
      <c r="J455" s="449"/>
      <c r="K455" s="444" t="s">
        <v>1237</v>
      </c>
      <c r="L455" s="450" t="s">
        <v>1003</v>
      </c>
      <c r="M455" s="444" t="s">
        <v>1238</v>
      </c>
      <c r="N455" s="450"/>
      <c r="O455" s="450"/>
      <c r="P455" s="450" t="s">
        <v>373</v>
      </c>
      <c r="Q455" s="451" t="s">
        <v>374</v>
      </c>
      <c r="R455" s="451" t="s">
        <v>263</v>
      </c>
      <c r="S455" s="452" t="s">
        <v>921</v>
      </c>
      <c r="T455" s="452"/>
      <c r="U455" s="453"/>
      <c r="V455" s="454"/>
      <c r="W455" s="455" t="s">
        <v>406</v>
      </c>
      <c r="X455" s="455">
        <v>45553</v>
      </c>
      <c r="Y455" s="456" t="s">
        <v>377</v>
      </c>
      <c r="Z455" s="457"/>
      <c r="AA455" s="494"/>
    </row>
    <row r="456" spans="1:27" s="128" customFormat="1" ht="18" customHeight="1">
      <c r="A456" s="443">
        <v>28</v>
      </c>
      <c r="B456" s="444" t="s">
        <v>1278</v>
      </c>
      <c r="C456" s="445" t="s">
        <v>64</v>
      </c>
      <c r="D456" s="444" t="s">
        <v>1279</v>
      </c>
      <c r="E456" s="446">
        <v>1</v>
      </c>
      <c r="F456" s="447"/>
      <c r="G456" s="448">
        <f t="shared" si="16"/>
        <v>0</v>
      </c>
      <c r="H456" s="449"/>
      <c r="I456" s="444"/>
      <c r="J456" s="449"/>
      <c r="K456" s="444"/>
      <c r="L456" s="450"/>
      <c r="M456" s="444"/>
      <c r="N456" s="450"/>
      <c r="O456" s="450"/>
      <c r="P456" s="450"/>
      <c r="Q456" s="451" t="s">
        <v>374</v>
      </c>
      <c r="R456" s="451"/>
      <c r="S456" s="452"/>
      <c r="T456" s="452"/>
      <c r="U456" s="453"/>
      <c r="V456" s="454"/>
      <c r="W456" s="455" t="s">
        <v>406</v>
      </c>
      <c r="X456" s="455">
        <v>45518</v>
      </c>
      <c r="Y456" s="456" t="s">
        <v>377</v>
      </c>
      <c r="Z456" s="457"/>
      <c r="AA456" s="494"/>
    </row>
    <row r="457" spans="1:27" s="128" customFormat="1" ht="18" customHeight="1">
      <c r="A457" s="443">
        <v>29</v>
      </c>
      <c r="B457" s="444" t="s">
        <v>631</v>
      </c>
      <c r="C457" s="445" t="s">
        <v>64</v>
      </c>
      <c r="D457" s="444" t="s">
        <v>632</v>
      </c>
      <c r="E457" s="446">
        <v>1</v>
      </c>
      <c r="F457" s="447"/>
      <c r="G457" s="448">
        <f t="shared" si="16"/>
        <v>0</v>
      </c>
      <c r="H457" s="449"/>
      <c r="I457" s="444"/>
      <c r="J457" s="449"/>
      <c r="K457" s="444"/>
      <c r="L457" s="450"/>
      <c r="M457" s="444"/>
      <c r="N457" s="450"/>
      <c r="O457" s="450"/>
      <c r="P457" s="450"/>
      <c r="Q457" s="451" t="s">
        <v>374</v>
      </c>
      <c r="R457" s="451"/>
      <c r="S457" s="452"/>
      <c r="T457" s="452"/>
      <c r="U457" s="453"/>
      <c r="V457" s="454"/>
      <c r="W457" s="455" t="s">
        <v>406</v>
      </c>
      <c r="X457" s="455">
        <v>45518</v>
      </c>
      <c r="Y457" s="456" t="s">
        <v>377</v>
      </c>
      <c r="Z457" s="457"/>
      <c r="AA457" s="494"/>
    </row>
    <row r="458" spans="1:27" s="128" customFormat="1" ht="36" customHeight="1">
      <c r="A458" s="443">
        <v>30</v>
      </c>
      <c r="B458" s="444" t="s">
        <v>1280</v>
      </c>
      <c r="C458" s="445" t="s">
        <v>64</v>
      </c>
      <c r="D458" s="444" t="s">
        <v>1281</v>
      </c>
      <c r="E458" s="446">
        <v>3</v>
      </c>
      <c r="F458" s="447"/>
      <c r="G458" s="448">
        <f t="shared" si="16"/>
        <v>0</v>
      </c>
      <c r="H458" s="449"/>
      <c r="I458" s="444"/>
      <c r="J458" s="449"/>
      <c r="K458" s="444" t="s">
        <v>1237</v>
      </c>
      <c r="L458" s="450" t="s">
        <v>1003</v>
      </c>
      <c r="M458" s="444" t="s">
        <v>1238</v>
      </c>
      <c r="N458" s="450"/>
      <c r="O458" s="450"/>
      <c r="P458" s="450" t="s">
        <v>373</v>
      </c>
      <c r="Q458" s="451" t="s">
        <v>374</v>
      </c>
      <c r="R458" s="451" t="s">
        <v>263</v>
      </c>
      <c r="S458" s="452" t="s">
        <v>921</v>
      </c>
      <c r="T458" s="452"/>
      <c r="U458" s="453"/>
      <c r="V458" s="454"/>
      <c r="W458" s="455" t="s">
        <v>406</v>
      </c>
      <c r="X458" s="455">
        <v>45553</v>
      </c>
      <c r="Y458" s="456" t="s">
        <v>377</v>
      </c>
      <c r="Z458" s="457"/>
      <c r="AA458" s="494"/>
    </row>
    <row r="459" spans="1:27" s="128" customFormat="1" ht="36" customHeight="1">
      <c r="A459" s="443">
        <v>31</v>
      </c>
      <c r="B459" s="444" t="s">
        <v>757</v>
      </c>
      <c r="C459" s="445" t="s">
        <v>64</v>
      </c>
      <c r="D459" s="444" t="s">
        <v>758</v>
      </c>
      <c r="E459" s="446">
        <v>1</v>
      </c>
      <c r="F459" s="447"/>
      <c r="G459" s="448">
        <f t="shared" si="16"/>
        <v>0</v>
      </c>
      <c r="H459" s="449"/>
      <c r="I459" s="444"/>
      <c r="J459" s="449"/>
      <c r="K459" s="444" t="s">
        <v>1237</v>
      </c>
      <c r="L459" s="450" t="s">
        <v>1003</v>
      </c>
      <c r="M459" s="444" t="s">
        <v>1257</v>
      </c>
      <c r="N459" s="450"/>
      <c r="O459" s="450"/>
      <c r="P459" s="450" t="s">
        <v>1091</v>
      </c>
      <c r="Q459" s="451" t="s">
        <v>374</v>
      </c>
      <c r="R459" s="451" t="s">
        <v>404</v>
      </c>
      <c r="S459" s="452" t="s">
        <v>405</v>
      </c>
      <c r="T459" s="452"/>
      <c r="U459" s="453"/>
      <c r="V459" s="454"/>
      <c r="W459" s="455" t="s">
        <v>406</v>
      </c>
      <c r="X459" s="455">
        <v>45607</v>
      </c>
      <c r="Y459" s="456" t="s">
        <v>377</v>
      </c>
      <c r="Z459" s="457"/>
      <c r="AA459" s="494">
        <v>1</v>
      </c>
    </row>
    <row r="460" spans="1:27" s="128" customFormat="1" ht="36" customHeight="1">
      <c r="A460" s="443">
        <v>32</v>
      </c>
      <c r="B460" s="444" t="s">
        <v>1282</v>
      </c>
      <c r="C460" s="445" t="s">
        <v>64</v>
      </c>
      <c r="D460" s="444" t="s">
        <v>1283</v>
      </c>
      <c r="E460" s="446">
        <v>1</v>
      </c>
      <c r="F460" s="447"/>
      <c r="G460" s="448">
        <f t="shared" si="16"/>
        <v>0</v>
      </c>
      <c r="H460" s="449"/>
      <c r="I460" s="444"/>
      <c r="J460" s="449"/>
      <c r="K460" s="444" t="s">
        <v>1237</v>
      </c>
      <c r="L460" s="450" t="s">
        <v>1003</v>
      </c>
      <c r="M460" s="444" t="s">
        <v>1238</v>
      </c>
      <c r="N460" s="450"/>
      <c r="O460" s="450"/>
      <c r="P460" s="450" t="s">
        <v>373</v>
      </c>
      <c r="Q460" s="451" t="s">
        <v>374</v>
      </c>
      <c r="R460" s="451" t="s">
        <v>263</v>
      </c>
      <c r="S460" s="452" t="s">
        <v>921</v>
      </c>
      <c r="T460" s="452"/>
      <c r="U460" s="453"/>
      <c r="V460" s="454"/>
      <c r="W460" s="455" t="s">
        <v>406</v>
      </c>
      <c r="X460" s="455">
        <v>45553</v>
      </c>
      <c r="Y460" s="456" t="s">
        <v>377</v>
      </c>
      <c r="Z460" s="457"/>
      <c r="AA460" s="494"/>
    </row>
    <row r="461" spans="1:27" s="128" customFormat="1" ht="36" customHeight="1">
      <c r="A461" s="443">
        <v>33</v>
      </c>
      <c r="B461" s="444" t="s">
        <v>1284</v>
      </c>
      <c r="C461" s="445" t="s">
        <v>64</v>
      </c>
      <c r="D461" s="444" t="s">
        <v>1285</v>
      </c>
      <c r="E461" s="446">
        <v>3</v>
      </c>
      <c r="F461" s="447"/>
      <c r="G461" s="448">
        <f t="shared" ref="G461:G492" si="17">E461*F461</f>
        <v>0</v>
      </c>
      <c r="H461" s="449"/>
      <c r="I461" s="444"/>
      <c r="J461" s="449"/>
      <c r="K461" s="444" t="s">
        <v>1237</v>
      </c>
      <c r="L461" s="450" t="s">
        <v>444</v>
      </c>
      <c r="M461" s="444" t="s">
        <v>444</v>
      </c>
      <c r="N461" s="450"/>
      <c r="O461" s="450"/>
      <c r="P461" s="450" t="s">
        <v>444</v>
      </c>
      <c r="Q461" s="451" t="s">
        <v>374</v>
      </c>
      <c r="R461" s="451"/>
      <c r="S461" s="452"/>
      <c r="T461" s="452" t="s">
        <v>1286</v>
      </c>
      <c r="U461" s="453"/>
      <c r="V461" s="454"/>
      <c r="W461" s="455" t="s">
        <v>406</v>
      </c>
      <c r="X461" s="455">
        <v>45565</v>
      </c>
      <c r="Y461" s="456" t="s">
        <v>377</v>
      </c>
      <c r="Z461" s="457"/>
      <c r="AA461" s="494"/>
    </row>
    <row r="462" spans="1:27" s="128" customFormat="1" ht="18" customHeight="1">
      <c r="A462" s="443">
        <v>34</v>
      </c>
      <c r="B462" s="444" t="s">
        <v>1129</v>
      </c>
      <c r="C462" s="445" t="s">
        <v>64</v>
      </c>
      <c r="D462" s="444" t="s">
        <v>1130</v>
      </c>
      <c r="E462" s="446">
        <v>1</v>
      </c>
      <c r="F462" s="447"/>
      <c r="G462" s="448">
        <f t="shared" si="17"/>
        <v>0</v>
      </c>
      <c r="H462" s="449"/>
      <c r="I462" s="444"/>
      <c r="J462" s="449"/>
      <c r="K462" s="444"/>
      <c r="L462" s="450"/>
      <c r="M462" s="444"/>
      <c r="N462" s="450"/>
      <c r="O462" s="450"/>
      <c r="P462" s="450"/>
      <c r="Q462" s="451" t="s">
        <v>374</v>
      </c>
      <c r="R462" s="451"/>
      <c r="S462" s="452"/>
      <c r="T462" s="452" t="s">
        <v>712</v>
      </c>
      <c r="U462" s="453"/>
      <c r="V462" s="454"/>
      <c r="W462" s="455" t="s">
        <v>406</v>
      </c>
      <c r="X462" s="455">
        <v>45611</v>
      </c>
      <c r="Y462" s="456" t="s">
        <v>377</v>
      </c>
      <c r="Z462" s="498"/>
      <c r="AA462" s="494"/>
    </row>
    <row r="463" spans="1:27" s="128" customFormat="1" ht="36" customHeight="1">
      <c r="A463" s="443">
        <v>35</v>
      </c>
      <c r="B463" s="444" t="s">
        <v>1131</v>
      </c>
      <c r="C463" s="445" t="s">
        <v>64</v>
      </c>
      <c r="D463" s="444" t="s">
        <v>1132</v>
      </c>
      <c r="E463" s="446">
        <v>1</v>
      </c>
      <c r="F463" s="447"/>
      <c r="G463" s="448">
        <f t="shared" si="17"/>
        <v>0</v>
      </c>
      <c r="H463" s="449"/>
      <c r="I463" s="444"/>
      <c r="J463" s="449"/>
      <c r="K463" s="444" t="s">
        <v>1237</v>
      </c>
      <c r="L463" s="450" t="s">
        <v>1003</v>
      </c>
      <c r="M463" s="444" t="s">
        <v>1238</v>
      </c>
      <c r="N463" s="450"/>
      <c r="O463" s="450"/>
      <c r="P463" s="450" t="s">
        <v>373</v>
      </c>
      <c r="Q463" s="451" t="s">
        <v>374</v>
      </c>
      <c r="R463" s="451" t="s">
        <v>263</v>
      </c>
      <c r="S463" s="452" t="s">
        <v>921</v>
      </c>
      <c r="T463" s="452"/>
      <c r="U463" s="453"/>
      <c r="V463" s="454"/>
      <c r="W463" s="455" t="s">
        <v>406</v>
      </c>
      <c r="X463" s="455">
        <v>45553</v>
      </c>
      <c r="Y463" s="456" t="s">
        <v>377</v>
      </c>
      <c r="Z463" s="457"/>
      <c r="AA463" s="494"/>
    </row>
    <row r="464" spans="1:27" s="128" customFormat="1" ht="36" customHeight="1">
      <c r="A464" s="443">
        <v>36</v>
      </c>
      <c r="B464" s="444" t="s">
        <v>482</v>
      </c>
      <c r="C464" s="445" t="s">
        <v>64</v>
      </c>
      <c r="D464" s="444" t="s">
        <v>483</v>
      </c>
      <c r="E464" s="446">
        <v>3</v>
      </c>
      <c r="F464" s="447"/>
      <c r="G464" s="448">
        <f t="shared" si="17"/>
        <v>0</v>
      </c>
      <c r="H464" s="449"/>
      <c r="I464" s="444"/>
      <c r="J464" s="449"/>
      <c r="K464" s="444" t="s">
        <v>1237</v>
      </c>
      <c r="L464" s="450" t="s">
        <v>1003</v>
      </c>
      <c r="M464" s="444" t="s">
        <v>1257</v>
      </c>
      <c r="N464" s="450"/>
      <c r="O464" s="450"/>
      <c r="P464" s="450" t="s">
        <v>1091</v>
      </c>
      <c r="Q464" s="451" t="s">
        <v>374</v>
      </c>
      <c r="R464" s="451" t="s">
        <v>404</v>
      </c>
      <c r="S464" s="452" t="s">
        <v>405</v>
      </c>
      <c r="T464" s="452"/>
      <c r="U464" s="453"/>
      <c r="V464" s="454"/>
      <c r="W464" s="455" t="s">
        <v>406</v>
      </c>
      <c r="X464" s="455">
        <v>45607</v>
      </c>
      <c r="Y464" s="456" t="s">
        <v>377</v>
      </c>
      <c r="Z464" s="457"/>
      <c r="AA464" s="494">
        <v>1</v>
      </c>
    </row>
    <row r="465" spans="1:27" s="128" customFormat="1" ht="36" customHeight="1">
      <c r="A465" s="443">
        <v>37</v>
      </c>
      <c r="B465" s="444" t="s">
        <v>472</v>
      </c>
      <c r="C465" s="445" t="s">
        <v>64</v>
      </c>
      <c r="D465" s="444" t="s">
        <v>473</v>
      </c>
      <c r="E465" s="446">
        <v>2</v>
      </c>
      <c r="F465" s="447"/>
      <c r="G465" s="448">
        <f t="shared" si="17"/>
        <v>0</v>
      </c>
      <c r="H465" s="449"/>
      <c r="I465" s="444"/>
      <c r="J465" s="449"/>
      <c r="K465" s="444" t="s">
        <v>1237</v>
      </c>
      <c r="L465" s="450" t="s">
        <v>1003</v>
      </c>
      <c r="M465" s="444" t="s">
        <v>1238</v>
      </c>
      <c r="N465" s="450"/>
      <c r="O465" s="450"/>
      <c r="P465" s="450" t="s">
        <v>373</v>
      </c>
      <c r="Q465" s="451" t="s">
        <v>374</v>
      </c>
      <c r="R465" s="451" t="s">
        <v>263</v>
      </c>
      <c r="S465" s="452" t="s">
        <v>921</v>
      </c>
      <c r="T465" s="452"/>
      <c r="U465" s="453"/>
      <c r="V465" s="454"/>
      <c r="W465" s="455" t="s">
        <v>406</v>
      </c>
      <c r="X465" s="455">
        <v>45553</v>
      </c>
      <c r="Y465" s="456" t="s">
        <v>377</v>
      </c>
      <c r="Z465" s="457"/>
      <c r="AA465" s="494"/>
    </row>
    <row r="466" spans="1:27" s="128" customFormat="1" ht="36" customHeight="1">
      <c r="A466" s="443">
        <v>38</v>
      </c>
      <c r="B466" s="444" t="s">
        <v>1071</v>
      </c>
      <c r="C466" s="445" t="s">
        <v>64</v>
      </c>
      <c r="D466" s="444" t="s">
        <v>1072</v>
      </c>
      <c r="E466" s="446">
        <v>1</v>
      </c>
      <c r="F466" s="447"/>
      <c r="G466" s="448">
        <f t="shared" si="17"/>
        <v>0</v>
      </c>
      <c r="H466" s="449"/>
      <c r="I466" s="444"/>
      <c r="J466" s="449"/>
      <c r="K466" s="444" t="s">
        <v>1237</v>
      </c>
      <c r="L466" s="450" t="s">
        <v>1003</v>
      </c>
      <c r="M466" s="444" t="s">
        <v>1238</v>
      </c>
      <c r="N466" s="450"/>
      <c r="O466" s="450"/>
      <c r="P466" s="450" t="s">
        <v>373</v>
      </c>
      <c r="Q466" s="451" t="s">
        <v>374</v>
      </c>
      <c r="R466" s="451" t="s">
        <v>263</v>
      </c>
      <c r="S466" s="452" t="s">
        <v>921</v>
      </c>
      <c r="T466" s="452"/>
      <c r="U466" s="453"/>
      <c r="V466" s="454"/>
      <c r="W466" s="455" t="s">
        <v>406</v>
      </c>
      <c r="X466" s="455">
        <v>45553</v>
      </c>
      <c r="Y466" s="456" t="s">
        <v>377</v>
      </c>
      <c r="Z466" s="457"/>
      <c r="AA466" s="494"/>
    </row>
    <row r="467" spans="1:27" s="128" customFormat="1" ht="75">
      <c r="A467" s="443">
        <v>39</v>
      </c>
      <c r="B467" s="444" t="s">
        <v>392</v>
      </c>
      <c r="C467" s="445" t="s">
        <v>64</v>
      </c>
      <c r="D467" s="444" t="s">
        <v>393</v>
      </c>
      <c r="E467" s="446">
        <v>7</v>
      </c>
      <c r="F467" s="447"/>
      <c r="G467" s="448">
        <f t="shared" si="17"/>
        <v>0</v>
      </c>
      <c r="H467" s="449"/>
      <c r="I467" s="444"/>
      <c r="J467" s="449"/>
      <c r="K467" s="444" t="s">
        <v>1237</v>
      </c>
      <c r="L467" s="450" t="s">
        <v>1003</v>
      </c>
      <c r="M467" s="444" t="s">
        <v>1238</v>
      </c>
      <c r="N467" s="450"/>
      <c r="O467" s="450"/>
      <c r="P467" s="450" t="s">
        <v>373</v>
      </c>
      <c r="Q467" s="451" t="s">
        <v>374</v>
      </c>
      <c r="R467" s="451" t="s">
        <v>263</v>
      </c>
      <c r="S467" s="452" t="s">
        <v>921</v>
      </c>
      <c r="T467" s="452" t="s">
        <v>1287</v>
      </c>
      <c r="U467" s="453"/>
      <c r="V467" s="454"/>
      <c r="W467" s="455" t="s">
        <v>406</v>
      </c>
      <c r="X467" s="455">
        <v>45601</v>
      </c>
      <c r="Y467" s="456" t="s">
        <v>377</v>
      </c>
      <c r="Z467" s="457"/>
      <c r="AA467" s="494"/>
    </row>
    <row r="468" spans="1:27" s="441" customFormat="1" ht="18" customHeight="1">
      <c r="A468" s="427">
        <v>40</v>
      </c>
      <c r="B468" s="428" t="s">
        <v>1105</v>
      </c>
      <c r="C468" s="429" t="s">
        <v>64</v>
      </c>
      <c r="D468" s="428" t="s">
        <v>1106</v>
      </c>
      <c r="E468" s="430">
        <v>6</v>
      </c>
      <c r="F468" s="431"/>
      <c r="G468" s="432">
        <f t="shared" si="17"/>
        <v>0</v>
      </c>
      <c r="H468" s="442"/>
      <c r="I468" s="428"/>
      <c r="J468" s="442"/>
      <c r="K468" s="428"/>
      <c r="L468" s="433"/>
      <c r="M468" s="428"/>
      <c r="N468" s="433"/>
      <c r="O468" s="433"/>
      <c r="P468" s="433"/>
      <c r="Q468" s="434"/>
      <c r="R468" s="434"/>
      <c r="S468" s="435"/>
      <c r="T468" s="435"/>
      <c r="U468" s="436"/>
      <c r="V468" s="437"/>
      <c r="W468" s="438"/>
      <c r="X468" s="438"/>
      <c r="Y468" s="439" t="s">
        <v>592</v>
      </c>
      <c r="Z468" s="440"/>
      <c r="AA468" s="495"/>
    </row>
    <row r="469" spans="1:27" s="128" customFormat="1" ht="36" customHeight="1">
      <c r="A469" s="443">
        <v>41</v>
      </c>
      <c r="B469" s="444" t="s">
        <v>386</v>
      </c>
      <c r="C469" s="445" t="s">
        <v>64</v>
      </c>
      <c r="D469" s="444" t="s">
        <v>387</v>
      </c>
      <c r="E469" s="446">
        <v>1</v>
      </c>
      <c r="F469" s="447"/>
      <c r="G469" s="448">
        <f t="shared" si="17"/>
        <v>0</v>
      </c>
      <c r="H469" s="449"/>
      <c r="I469" s="444"/>
      <c r="J469" s="449"/>
      <c r="K469" s="444" t="s">
        <v>1237</v>
      </c>
      <c r="L469" s="450" t="s">
        <v>1003</v>
      </c>
      <c r="M469" s="444" t="s">
        <v>1238</v>
      </c>
      <c r="N469" s="450"/>
      <c r="O469" s="450"/>
      <c r="P469" s="450" t="s">
        <v>373</v>
      </c>
      <c r="Q469" s="451" t="s">
        <v>374</v>
      </c>
      <c r="R469" s="451" t="s">
        <v>263</v>
      </c>
      <c r="S469" s="452" t="s">
        <v>921</v>
      </c>
      <c r="T469" s="452"/>
      <c r="U469" s="453"/>
      <c r="V469" s="454"/>
      <c r="W469" s="455" t="s">
        <v>406</v>
      </c>
      <c r="X469" s="455">
        <v>45553</v>
      </c>
      <c r="Y469" s="456" t="s">
        <v>377</v>
      </c>
      <c r="Z469" s="457"/>
      <c r="AA469" s="494"/>
    </row>
    <row r="470" spans="1:27" s="128" customFormat="1" ht="36" customHeight="1">
      <c r="A470" s="443">
        <v>42</v>
      </c>
      <c r="B470" s="444" t="s">
        <v>976</v>
      </c>
      <c r="C470" s="445" t="s">
        <v>64</v>
      </c>
      <c r="D470" s="444" t="s">
        <v>977</v>
      </c>
      <c r="E470" s="446">
        <v>2</v>
      </c>
      <c r="F470" s="447"/>
      <c r="G470" s="448">
        <f t="shared" si="17"/>
        <v>0</v>
      </c>
      <c r="H470" s="449"/>
      <c r="I470" s="444"/>
      <c r="J470" s="449"/>
      <c r="K470" s="444" t="s">
        <v>1237</v>
      </c>
      <c r="L470" s="450" t="s">
        <v>1003</v>
      </c>
      <c r="M470" s="444" t="s">
        <v>1288</v>
      </c>
      <c r="N470" s="450"/>
      <c r="O470" s="450"/>
      <c r="P470" s="450" t="s">
        <v>373</v>
      </c>
      <c r="Q470" s="451" t="s">
        <v>374</v>
      </c>
      <c r="R470" s="451" t="s">
        <v>303</v>
      </c>
      <c r="S470" s="452" t="s">
        <v>921</v>
      </c>
      <c r="T470" s="452"/>
      <c r="U470" s="453"/>
      <c r="V470" s="454"/>
      <c r="W470" s="455" t="s">
        <v>406</v>
      </c>
      <c r="X470" s="455">
        <v>45553</v>
      </c>
      <c r="Y470" s="456" t="s">
        <v>377</v>
      </c>
      <c r="Z470" s="457"/>
      <c r="AA470" s="494"/>
    </row>
    <row r="471" spans="1:27" s="128" customFormat="1" ht="36" customHeight="1">
      <c r="A471" s="443">
        <v>43</v>
      </c>
      <c r="B471" s="444" t="s">
        <v>980</v>
      </c>
      <c r="C471" s="445" t="s">
        <v>64</v>
      </c>
      <c r="D471" s="444" t="s">
        <v>981</v>
      </c>
      <c r="E471" s="446">
        <v>2</v>
      </c>
      <c r="F471" s="447"/>
      <c r="G471" s="448">
        <f t="shared" si="17"/>
        <v>0</v>
      </c>
      <c r="H471" s="449"/>
      <c r="I471" s="444"/>
      <c r="J471" s="449"/>
      <c r="K471" s="444" t="s">
        <v>1237</v>
      </c>
      <c r="L471" s="450" t="s">
        <v>1003</v>
      </c>
      <c r="M471" s="444" t="s">
        <v>1288</v>
      </c>
      <c r="N471" s="450"/>
      <c r="O471" s="450"/>
      <c r="P471" s="450" t="s">
        <v>373</v>
      </c>
      <c r="Q471" s="451" t="s">
        <v>374</v>
      </c>
      <c r="R471" s="451" t="s">
        <v>303</v>
      </c>
      <c r="S471" s="452" t="s">
        <v>921</v>
      </c>
      <c r="T471" s="452"/>
      <c r="U471" s="453"/>
      <c r="V471" s="454"/>
      <c r="W471" s="455" t="s">
        <v>406</v>
      </c>
      <c r="X471" s="455">
        <v>45553</v>
      </c>
      <c r="Y471" s="456" t="s">
        <v>377</v>
      </c>
      <c r="Z471" s="457"/>
      <c r="AA471" s="494"/>
    </row>
    <row r="472" spans="1:27" s="128" customFormat="1" ht="36" customHeight="1">
      <c r="A472" s="443">
        <v>44</v>
      </c>
      <c r="B472" s="444" t="s">
        <v>982</v>
      </c>
      <c r="C472" s="445" t="s">
        <v>64</v>
      </c>
      <c r="D472" s="444" t="s">
        <v>983</v>
      </c>
      <c r="E472" s="446">
        <v>2</v>
      </c>
      <c r="F472" s="447"/>
      <c r="G472" s="448">
        <f t="shared" si="17"/>
        <v>0</v>
      </c>
      <c r="H472" s="449"/>
      <c r="I472" s="444"/>
      <c r="J472" s="449"/>
      <c r="K472" s="444" t="s">
        <v>1237</v>
      </c>
      <c r="L472" s="450" t="s">
        <v>1003</v>
      </c>
      <c r="M472" s="444" t="s">
        <v>1288</v>
      </c>
      <c r="N472" s="450"/>
      <c r="O472" s="450"/>
      <c r="P472" s="450" t="s">
        <v>373</v>
      </c>
      <c r="Q472" s="451" t="s">
        <v>374</v>
      </c>
      <c r="R472" s="451" t="s">
        <v>303</v>
      </c>
      <c r="S472" s="452" t="s">
        <v>1242</v>
      </c>
      <c r="T472" s="452"/>
      <c r="U472" s="453"/>
      <c r="V472" s="454"/>
      <c r="W472" s="455" t="s">
        <v>406</v>
      </c>
      <c r="X472" s="455">
        <v>45553</v>
      </c>
      <c r="Y472" s="456" t="s">
        <v>377</v>
      </c>
      <c r="Z472" s="457"/>
      <c r="AA472" s="494"/>
    </row>
    <row r="473" spans="1:27" s="128" customFormat="1" ht="36" customHeight="1">
      <c r="A473" s="443">
        <v>45</v>
      </c>
      <c r="B473" s="444" t="s">
        <v>918</v>
      </c>
      <c r="C473" s="445" t="s">
        <v>64</v>
      </c>
      <c r="D473" s="444" t="s">
        <v>919</v>
      </c>
      <c r="E473" s="446">
        <v>5</v>
      </c>
      <c r="F473" s="447"/>
      <c r="G473" s="448">
        <f t="shared" si="17"/>
        <v>0</v>
      </c>
      <c r="H473" s="449"/>
      <c r="I473" s="444"/>
      <c r="J473" s="449"/>
      <c r="K473" s="444" t="s">
        <v>1237</v>
      </c>
      <c r="L473" s="450" t="s">
        <v>1003</v>
      </c>
      <c r="M473" s="444" t="s">
        <v>1238</v>
      </c>
      <c r="N473" s="450"/>
      <c r="O473" s="450"/>
      <c r="P473" s="450" t="s">
        <v>373</v>
      </c>
      <c r="Q473" s="451" t="s">
        <v>374</v>
      </c>
      <c r="R473" s="451" t="s">
        <v>263</v>
      </c>
      <c r="S473" s="452" t="s">
        <v>425</v>
      </c>
      <c r="T473" s="452" t="s">
        <v>1289</v>
      </c>
      <c r="U473" s="453"/>
      <c r="V473" s="454"/>
      <c r="W473" s="455" t="s">
        <v>406</v>
      </c>
      <c r="X473" s="455">
        <v>45590</v>
      </c>
      <c r="Y473" s="456" t="s">
        <v>377</v>
      </c>
      <c r="Z473" s="457"/>
      <c r="AA473" s="494"/>
    </row>
    <row r="474" spans="1:27" s="128" customFormat="1" ht="36" customHeight="1">
      <c r="A474" s="443">
        <v>46</v>
      </c>
      <c r="B474" s="444" t="s">
        <v>886</v>
      </c>
      <c r="C474" s="445" t="s">
        <v>64</v>
      </c>
      <c r="D474" s="444" t="s">
        <v>887</v>
      </c>
      <c r="E474" s="446">
        <v>1</v>
      </c>
      <c r="F474" s="447"/>
      <c r="G474" s="448">
        <f t="shared" si="17"/>
        <v>0</v>
      </c>
      <c r="H474" s="449"/>
      <c r="I474" s="444"/>
      <c r="J474" s="449"/>
      <c r="K474" s="444" t="s">
        <v>1237</v>
      </c>
      <c r="L474" s="450" t="s">
        <v>1003</v>
      </c>
      <c r="M474" s="444" t="s">
        <v>1238</v>
      </c>
      <c r="N474" s="450"/>
      <c r="O474" s="450"/>
      <c r="P474" s="450" t="s">
        <v>373</v>
      </c>
      <c r="Q474" s="451" t="s">
        <v>374</v>
      </c>
      <c r="R474" s="451" t="s">
        <v>263</v>
      </c>
      <c r="S474" s="452" t="s">
        <v>921</v>
      </c>
      <c r="T474" s="452"/>
      <c r="U474" s="453"/>
      <c r="V474" s="454"/>
      <c r="W474" s="455" t="s">
        <v>406</v>
      </c>
      <c r="X474" s="455">
        <v>45553</v>
      </c>
      <c r="Y474" s="456" t="s">
        <v>377</v>
      </c>
      <c r="Z474" s="457"/>
      <c r="AA474" s="494"/>
    </row>
    <row r="475" spans="1:27" s="128" customFormat="1" ht="18" customHeight="1">
      <c r="A475" s="443">
        <v>47</v>
      </c>
      <c r="B475" s="444" t="s">
        <v>555</v>
      </c>
      <c r="C475" s="445" t="s">
        <v>64</v>
      </c>
      <c r="D475" s="444" t="s">
        <v>556</v>
      </c>
      <c r="E475" s="446">
        <v>3</v>
      </c>
      <c r="F475" s="447"/>
      <c r="G475" s="448">
        <f t="shared" si="17"/>
        <v>0</v>
      </c>
      <c r="H475" s="449"/>
      <c r="I475" s="444"/>
      <c r="J475" s="449"/>
      <c r="K475" s="444" t="s">
        <v>1237</v>
      </c>
      <c r="L475" s="450" t="s">
        <v>1003</v>
      </c>
      <c r="M475" s="444" t="s">
        <v>1238</v>
      </c>
      <c r="N475" s="450"/>
      <c r="O475" s="450"/>
      <c r="P475" s="450" t="s">
        <v>373</v>
      </c>
      <c r="Q475" s="451" t="s">
        <v>374</v>
      </c>
      <c r="R475" s="451" t="s">
        <v>263</v>
      </c>
      <c r="S475" s="452" t="s">
        <v>921</v>
      </c>
      <c r="T475" s="452">
        <v>45554</v>
      </c>
      <c r="U475" s="453"/>
      <c r="V475" s="454"/>
      <c r="W475" s="455" t="s">
        <v>406</v>
      </c>
      <c r="X475" s="455">
        <v>45567</v>
      </c>
      <c r="Y475" s="456" t="s">
        <v>377</v>
      </c>
      <c r="Z475" s="457"/>
      <c r="AA475" s="494"/>
    </row>
    <row r="476" spans="1:27" s="128" customFormat="1" ht="36" customHeight="1">
      <c r="A476" s="443">
        <v>48</v>
      </c>
      <c r="B476" s="444" t="s">
        <v>1133</v>
      </c>
      <c r="C476" s="445" t="s">
        <v>64</v>
      </c>
      <c r="D476" s="444" t="s">
        <v>1134</v>
      </c>
      <c r="E476" s="446">
        <v>3</v>
      </c>
      <c r="F476" s="447"/>
      <c r="G476" s="448">
        <f t="shared" si="17"/>
        <v>0</v>
      </c>
      <c r="H476" s="449"/>
      <c r="I476" s="444"/>
      <c r="J476" s="449"/>
      <c r="K476" s="444" t="s">
        <v>1237</v>
      </c>
      <c r="L476" s="450" t="s">
        <v>1003</v>
      </c>
      <c r="M476" s="444" t="s">
        <v>1238</v>
      </c>
      <c r="N476" s="450"/>
      <c r="O476" s="450"/>
      <c r="P476" s="450" t="s">
        <v>373</v>
      </c>
      <c r="Q476" s="451" t="s">
        <v>374</v>
      </c>
      <c r="R476" s="451" t="s">
        <v>263</v>
      </c>
      <c r="S476" s="452" t="s">
        <v>921</v>
      </c>
      <c r="T476" s="452"/>
      <c r="U476" s="453"/>
      <c r="V476" s="454"/>
      <c r="W476" s="455" t="s">
        <v>406</v>
      </c>
      <c r="X476" s="455">
        <v>45553</v>
      </c>
      <c r="Y476" s="456" t="s">
        <v>377</v>
      </c>
      <c r="Z476" s="457"/>
      <c r="AA476" s="494"/>
    </row>
    <row r="477" spans="1:27" s="128" customFormat="1" ht="36" customHeight="1">
      <c r="A477" s="443">
        <v>49</v>
      </c>
      <c r="B477" s="444" t="s">
        <v>1135</v>
      </c>
      <c r="C477" s="445" t="s">
        <v>64</v>
      </c>
      <c r="D477" s="444" t="s">
        <v>1136</v>
      </c>
      <c r="E477" s="446">
        <v>4</v>
      </c>
      <c r="F477" s="447"/>
      <c r="G477" s="448">
        <f t="shared" si="17"/>
        <v>0</v>
      </c>
      <c r="H477" s="449"/>
      <c r="I477" s="444"/>
      <c r="J477" s="449"/>
      <c r="K477" s="444" t="s">
        <v>1237</v>
      </c>
      <c r="L477" s="450" t="s">
        <v>1003</v>
      </c>
      <c r="M477" s="444" t="s">
        <v>1238</v>
      </c>
      <c r="N477" s="450"/>
      <c r="O477" s="450"/>
      <c r="P477" s="450" t="s">
        <v>373</v>
      </c>
      <c r="Q477" s="451" t="s">
        <v>374</v>
      </c>
      <c r="R477" s="451" t="s">
        <v>263</v>
      </c>
      <c r="S477" s="452" t="s">
        <v>921</v>
      </c>
      <c r="T477" s="452"/>
      <c r="U477" s="453"/>
      <c r="V477" s="454"/>
      <c r="W477" s="455" t="s">
        <v>406</v>
      </c>
      <c r="X477" s="455">
        <v>45553</v>
      </c>
      <c r="Y477" s="456" t="s">
        <v>377</v>
      </c>
      <c r="Z477" s="457"/>
      <c r="AA477" s="494"/>
    </row>
    <row r="478" spans="1:27" s="128" customFormat="1" ht="36" customHeight="1">
      <c r="A478" s="443">
        <v>50</v>
      </c>
      <c r="B478" s="444" t="s">
        <v>1290</v>
      </c>
      <c r="C478" s="445" t="s">
        <v>64</v>
      </c>
      <c r="D478" s="444" t="s">
        <v>1291</v>
      </c>
      <c r="E478" s="446">
        <v>2</v>
      </c>
      <c r="F478" s="447"/>
      <c r="G478" s="448">
        <f t="shared" si="17"/>
        <v>0</v>
      </c>
      <c r="H478" s="449"/>
      <c r="I478" s="444"/>
      <c r="J478" s="449"/>
      <c r="K478" s="444" t="s">
        <v>1237</v>
      </c>
      <c r="L478" s="450" t="s">
        <v>1003</v>
      </c>
      <c r="M478" s="444" t="s">
        <v>1238</v>
      </c>
      <c r="N478" s="450"/>
      <c r="O478" s="450"/>
      <c r="P478" s="450" t="s">
        <v>373</v>
      </c>
      <c r="Q478" s="451" t="s">
        <v>374</v>
      </c>
      <c r="R478" s="451" t="s">
        <v>263</v>
      </c>
      <c r="S478" s="452" t="s">
        <v>921</v>
      </c>
      <c r="T478" s="452"/>
      <c r="U478" s="453"/>
      <c r="V478" s="454"/>
      <c r="W478" s="455" t="s">
        <v>406</v>
      </c>
      <c r="X478" s="455">
        <v>45553</v>
      </c>
      <c r="Y478" s="456" t="s">
        <v>377</v>
      </c>
      <c r="Z478" s="457"/>
      <c r="AA478" s="494"/>
    </row>
    <row r="479" spans="1:27" s="128" customFormat="1" ht="36" customHeight="1">
      <c r="A479" s="443">
        <v>51</v>
      </c>
      <c r="B479" s="444" t="s">
        <v>1292</v>
      </c>
      <c r="C479" s="445" t="s">
        <v>64</v>
      </c>
      <c r="D479" s="444" t="s">
        <v>1293</v>
      </c>
      <c r="E479" s="446">
        <v>2</v>
      </c>
      <c r="F479" s="447"/>
      <c r="G479" s="448">
        <f t="shared" si="17"/>
        <v>0</v>
      </c>
      <c r="H479" s="449"/>
      <c r="I479" s="444"/>
      <c r="J479" s="449"/>
      <c r="K479" s="444" t="s">
        <v>1237</v>
      </c>
      <c r="L479" s="450" t="s">
        <v>1003</v>
      </c>
      <c r="M479" s="444" t="s">
        <v>1238</v>
      </c>
      <c r="N479" s="450"/>
      <c r="O479" s="450"/>
      <c r="P479" s="450" t="s">
        <v>373</v>
      </c>
      <c r="Q479" s="451" t="s">
        <v>374</v>
      </c>
      <c r="R479" s="451" t="s">
        <v>263</v>
      </c>
      <c r="S479" s="452" t="s">
        <v>921</v>
      </c>
      <c r="T479" s="452"/>
      <c r="U479" s="453"/>
      <c r="V479" s="454"/>
      <c r="W479" s="455" t="s">
        <v>406</v>
      </c>
      <c r="X479" s="455">
        <v>45553</v>
      </c>
      <c r="Y479" s="456" t="s">
        <v>377</v>
      </c>
      <c r="Z479" s="457"/>
      <c r="AA479" s="494"/>
    </row>
    <row r="480" spans="1:27" s="128" customFormat="1" ht="36" customHeight="1">
      <c r="A480" s="443">
        <v>52</v>
      </c>
      <c r="B480" s="444" t="s">
        <v>1294</v>
      </c>
      <c r="C480" s="445" t="s">
        <v>64</v>
      </c>
      <c r="D480" s="444" t="s">
        <v>1295</v>
      </c>
      <c r="E480" s="446">
        <v>1</v>
      </c>
      <c r="F480" s="447"/>
      <c r="G480" s="448">
        <f t="shared" si="17"/>
        <v>0</v>
      </c>
      <c r="H480" s="449"/>
      <c r="I480" s="444"/>
      <c r="J480" s="449"/>
      <c r="K480" s="444" t="s">
        <v>1237</v>
      </c>
      <c r="L480" s="450" t="s">
        <v>1003</v>
      </c>
      <c r="M480" s="444" t="s">
        <v>1238</v>
      </c>
      <c r="N480" s="450"/>
      <c r="O480" s="450"/>
      <c r="P480" s="450" t="s">
        <v>373</v>
      </c>
      <c r="Q480" s="451" t="s">
        <v>374</v>
      </c>
      <c r="R480" s="451" t="s">
        <v>263</v>
      </c>
      <c r="S480" s="452" t="s">
        <v>921</v>
      </c>
      <c r="T480" s="452"/>
      <c r="U480" s="453"/>
      <c r="V480" s="454"/>
      <c r="W480" s="455" t="s">
        <v>406</v>
      </c>
      <c r="X480" s="455">
        <v>45553</v>
      </c>
      <c r="Y480" s="456" t="s">
        <v>377</v>
      </c>
      <c r="Z480" s="457"/>
      <c r="AA480" s="494"/>
    </row>
    <row r="481" spans="1:27" s="128" customFormat="1" ht="36" customHeight="1">
      <c r="A481" s="443">
        <v>53</v>
      </c>
      <c r="B481" s="444" t="s">
        <v>1296</v>
      </c>
      <c r="C481" s="445" t="s">
        <v>64</v>
      </c>
      <c r="D481" s="444" t="s">
        <v>1297</v>
      </c>
      <c r="E481" s="446">
        <v>2</v>
      </c>
      <c r="F481" s="447"/>
      <c r="G481" s="448">
        <f t="shared" si="17"/>
        <v>0</v>
      </c>
      <c r="H481" s="449"/>
      <c r="I481" s="444"/>
      <c r="J481" s="449"/>
      <c r="K481" s="444" t="s">
        <v>1237</v>
      </c>
      <c r="L481" s="450" t="s">
        <v>1003</v>
      </c>
      <c r="M481" s="444" t="s">
        <v>1238</v>
      </c>
      <c r="N481" s="450"/>
      <c r="O481" s="450"/>
      <c r="P481" s="450" t="s">
        <v>373</v>
      </c>
      <c r="Q481" s="451" t="s">
        <v>374</v>
      </c>
      <c r="R481" s="451" t="s">
        <v>263</v>
      </c>
      <c r="S481" s="452" t="s">
        <v>921</v>
      </c>
      <c r="T481" s="452"/>
      <c r="U481" s="453"/>
      <c r="V481" s="454"/>
      <c r="W481" s="455" t="s">
        <v>406</v>
      </c>
      <c r="X481" s="455">
        <v>45553</v>
      </c>
      <c r="Y481" s="456" t="s">
        <v>377</v>
      </c>
      <c r="Z481" s="457"/>
      <c r="AA481" s="494"/>
    </row>
    <row r="482" spans="1:27" s="128" customFormat="1" ht="18" customHeight="1">
      <c r="A482" s="443">
        <v>54</v>
      </c>
      <c r="B482" s="444" t="s">
        <v>390</v>
      </c>
      <c r="C482" s="445" t="s">
        <v>64</v>
      </c>
      <c r="D482" s="444" t="s">
        <v>391</v>
      </c>
      <c r="E482" s="446">
        <v>1</v>
      </c>
      <c r="F482" s="447"/>
      <c r="G482" s="448">
        <f t="shared" si="17"/>
        <v>0</v>
      </c>
      <c r="H482" s="449"/>
      <c r="I482" s="444"/>
      <c r="J482" s="449"/>
      <c r="K482" s="444"/>
      <c r="L482" s="450"/>
      <c r="M482" s="444"/>
      <c r="N482" s="450"/>
      <c r="O482" s="450"/>
      <c r="P482" s="450"/>
      <c r="Q482" s="451" t="s">
        <v>374</v>
      </c>
      <c r="R482" s="451"/>
      <c r="S482" s="452"/>
      <c r="T482" s="452" t="s">
        <v>712</v>
      </c>
      <c r="U482" s="453"/>
      <c r="V482" s="454"/>
      <c r="W482" s="455" t="s">
        <v>406</v>
      </c>
      <c r="X482" s="455">
        <v>45611</v>
      </c>
      <c r="Y482" s="456" t="s">
        <v>377</v>
      </c>
      <c r="Z482" s="498"/>
      <c r="AA482" s="494"/>
    </row>
    <row r="483" spans="1:27" s="128" customFormat="1" ht="36" customHeight="1">
      <c r="A483" s="443">
        <v>55</v>
      </c>
      <c r="B483" s="444" t="s">
        <v>1298</v>
      </c>
      <c r="C483" s="445" t="s">
        <v>64</v>
      </c>
      <c r="D483" s="444" t="s">
        <v>1299</v>
      </c>
      <c r="E483" s="446">
        <v>1</v>
      </c>
      <c r="F483" s="447"/>
      <c r="G483" s="448">
        <f t="shared" si="17"/>
        <v>0</v>
      </c>
      <c r="H483" s="449"/>
      <c r="I483" s="444"/>
      <c r="J483" s="449"/>
      <c r="K483" s="444" t="s">
        <v>1237</v>
      </c>
      <c r="L483" s="450" t="s">
        <v>1003</v>
      </c>
      <c r="M483" s="444" t="s">
        <v>1238</v>
      </c>
      <c r="N483" s="450"/>
      <c r="O483" s="450"/>
      <c r="P483" s="450" t="s">
        <v>373</v>
      </c>
      <c r="Q483" s="451" t="s">
        <v>374</v>
      </c>
      <c r="R483" s="451" t="s">
        <v>263</v>
      </c>
      <c r="S483" s="452" t="s">
        <v>425</v>
      </c>
      <c r="T483" s="452"/>
      <c r="U483" s="453"/>
      <c r="V483" s="454"/>
      <c r="W483" s="455" t="s">
        <v>406</v>
      </c>
      <c r="X483" s="455">
        <v>45553</v>
      </c>
      <c r="Y483" s="456" t="s">
        <v>377</v>
      </c>
      <c r="Z483" s="457"/>
      <c r="AA483" s="494"/>
    </row>
    <row r="484" spans="1:27" s="128" customFormat="1" ht="36" customHeight="1">
      <c r="A484" s="443">
        <v>56</v>
      </c>
      <c r="B484" s="444" t="s">
        <v>1300</v>
      </c>
      <c r="C484" s="445" t="s">
        <v>64</v>
      </c>
      <c r="D484" s="444" t="s">
        <v>1301</v>
      </c>
      <c r="E484" s="446">
        <v>2</v>
      </c>
      <c r="F484" s="447"/>
      <c r="G484" s="448">
        <f t="shared" si="17"/>
        <v>0</v>
      </c>
      <c r="H484" s="449"/>
      <c r="I484" s="444"/>
      <c r="J484" s="449"/>
      <c r="K484" s="444" t="s">
        <v>1237</v>
      </c>
      <c r="L484" s="450" t="s">
        <v>1003</v>
      </c>
      <c r="M484" s="444" t="s">
        <v>1238</v>
      </c>
      <c r="N484" s="450"/>
      <c r="O484" s="450"/>
      <c r="P484" s="450" t="s">
        <v>373</v>
      </c>
      <c r="Q484" s="451" t="s">
        <v>374</v>
      </c>
      <c r="R484" s="451" t="s">
        <v>263</v>
      </c>
      <c r="S484" s="452" t="s">
        <v>921</v>
      </c>
      <c r="T484" s="452"/>
      <c r="U484" s="453"/>
      <c r="V484" s="454"/>
      <c r="W484" s="455" t="s">
        <v>406</v>
      </c>
      <c r="X484" s="455">
        <v>45553</v>
      </c>
      <c r="Y484" s="456" t="s">
        <v>377</v>
      </c>
      <c r="Z484" s="457"/>
      <c r="AA484" s="494"/>
    </row>
    <row r="485" spans="1:27" s="128" customFormat="1" ht="36" customHeight="1">
      <c r="A485" s="443">
        <v>57</v>
      </c>
      <c r="B485" s="444" t="s">
        <v>1302</v>
      </c>
      <c r="C485" s="445" t="s">
        <v>64</v>
      </c>
      <c r="D485" s="444" t="s">
        <v>1303</v>
      </c>
      <c r="E485" s="446">
        <v>1</v>
      </c>
      <c r="F485" s="447"/>
      <c r="G485" s="448">
        <f t="shared" si="17"/>
        <v>0</v>
      </c>
      <c r="H485" s="449"/>
      <c r="I485" s="444"/>
      <c r="J485" s="449"/>
      <c r="K485" s="444" t="s">
        <v>1237</v>
      </c>
      <c r="L485" s="450" t="s">
        <v>1003</v>
      </c>
      <c r="M485" s="444" t="s">
        <v>1238</v>
      </c>
      <c r="N485" s="450"/>
      <c r="O485" s="450"/>
      <c r="P485" s="450" t="s">
        <v>373</v>
      </c>
      <c r="Q485" s="451" t="s">
        <v>374</v>
      </c>
      <c r="R485" s="451" t="s">
        <v>263</v>
      </c>
      <c r="S485" s="452" t="s">
        <v>921</v>
      </c>
      <c r="T485" s="452"/>
      <c r="U485" s="453"/>
      <c r="V485" s="454"/>
      <c r="W485" s="455" t="s">
        <v>406</v>
      </c>
      <c r="X485" s="455">
        <v>45553</v>
      </c>
      <c r="Y485" s="456" t="s">
        <v>377</v>
      </c>
      <c r="Z485" s="457"/>
      <c r="AA485" s="494"/>
    </row>
    <row r="486" spans="1:27" s="128" customFormat="1" ht="36" customHeight="1">
      <c r="A486" s="443">
        <v>58</v>
      </c>
      <c r="B486" s="444" t="s">
        <v>1304</v>
      </c>
      <c r="C486" s="445" t="s">
        <v>64</v>
      </c>
      <c r="D486" s="444" t="s">
        <v>1305</v>
      </c>
      <c r="E486" s="446">
        <v>1</v>
      </c>
      <c r="F486" s="447"/>
      <c r="G486" s="448">
        <f t="shared" si="17"/>
        <v>0</v>
      </c>
      <c r="H486" s="449"/>
      <c r="I486" s="444"/>
      <c r="J486" s="449"/>
      <c r="K486" s="444" t="s">
        <v>1237</v>
      </c>
      <c r="L486" s="450" t="s">
        <v>1003</v>
      </c>
      <c r="M486" s="444" t="s">
        <v>1238</v>
      </c>
      <c r="N486" s="450"/>
      <c r="O486" s="450"/>
      <c r="P486" s="450" t="s">
        <v>373</v>
      </c>
      <c r="Q486" s="451" t="s">
        <v>374</v>
      </c>
      <c r="R486" s="451" t="s">
        <v>263</v>
      </c>
      <c r="S486" s="452" t="s">
        <v>921</v>
      </c>
      <c r="T486" s="452"/>
      <c r="U486" s="453"/>
      <c r="V486" s="454"/>
      <c r="W486" s="455" t="s">
        <v>406</v>
      </c>
      <c r="X486" s="455">
        <v>45553</v>
      </c>
      <c r="Y486" s="456" t="s">
        <v>377</v>
      </c>
      <c r="Z486" s="457"/>
      <c r="AA486" s="494"/>
    </row>
    <row r="487" spans="1:27" s="128" customFormat="1" ht="36" customHeight="1">
      <c r="A487" s="443">
        <v>59</v>
      </c>
      <c r="B487" s="444" t="s">
        <v>1306</v>
      </c>
      <c r="C487" s="445" t="s">
        <v>64</v>
      </c>
      <c r="D487" s="444" t="s">
        <v>1307</v>
      </c>
      <c r="E487" s="446">
        <v>2</v>
      </c>
      <c r="F487" s="447"/>
      <c r="G487" s="448">
        <f t="shared" si="17"/>
        <v>0</v>
      </c>
      <c r="H487" s="449"/>
      <c r="I487" s="444"/>
      <c r="J487" s="449"/>
      <c r="K487" s="444" t="s">
        <v>1237</v>
      </c>
      <c r="L487" s="450" t="s">
        <v>1003</v>
      </c>
      <c r="M487" s="444" t="s">
        <v>1238</v>
      </c>
      <c r="N487" s="450"/>
      <c r="O487" s="450"/>
      <c r="P487" s="450" t="s">
        <v>373</v>
      </c>
      <c r="Q487" s="451" t="s">
        <v>374</v>
      </c>
      <c r="R487" s="451" t="s">
        <v>263</v>
      </c>
      <c r="S487" s="452" t="s">
        <v>921</v>
      </c>
      <c r="T487" s="452"/>
      <c r="U487" s="453"/>
      <c r="V487" s="454"/>
      <c r="W487" s="455" t="s">
        <v>406</v>
      </c>
      <c r="X487" s="455">
        <v>45553</v>
      </c>
      <c r="Y487" s="456" t="s">
        <v>377</v>
      </c>
      <c r="Z487" s="457"/>
      <c r="AA487" s="494"/>
    </row>
    <row r="488" spans="1:27" s="128" customFormat="1" ht="36" customHeight="1">
      <c r="A488" s="443">
        <v>60</v>
      </c>
      <c r="B488" s="444" t="s">
        <v>1308</v>
      </c>
      <c r="C488" s="445" t="s">
        <v>64</v>
      </c>
      <c r="D488" s="444" t="s">
        <v>1309</v>
      </c>
      <c r="E488" s="446">
        <v>2</v>
      </c>
      <c r="F488" s="447"/>
      <c r="G488" s="448">
        <f t="shared" si="17"/>
        <v>0</v>
      </c>
      <c r="H488" s="449"/>
      <c r="I488" s="444"/>
      <c r="J488" s="449"/>
      <c r="K488" s="444" t="s">
        <v>1237</v>
      </c>
      <c r="L488" s="450" t="s">
        <v>1003</v>
      </c>
      <c r="M488" s="444" t="s">
        <v>1238</v>
      </c>
      <c r="N488" s="450"/>
      <c r="O488" s="450"/>
      <c r="P488" s="450" t="s">
        <v>373</v>
      </c>
      <c r="Q488" s="451" t="s">
        <v>374</v>
      </c>
      <c r="R488" s="451" t="s">
        <v>263</v>
      </c>
      <c r="S488" s="452" t="s">
        <v>921</v>
      </c>
      <c r="T488" s="452"/>
      <c r="U488" s="453"/>
      <c r="V488" s="454"/>
      <c r="W488" s="455" t="s">
        <v>406</v>
      </c>
      <c r="X488" s="455">
        <v>45576</v>
      </c>
      <c r="Y488" s="456" t="s">
        <v>377</v>
      </c>
      <c r="Z488" s="457"/>
      <c r="AA488" s="494"/>
    </row>
    <row r="489" spans="1:27" s="128" customFormat="1" ht="36" customHeight="1">
      <c r="A489" s="443">
        <v>61</v>
      </c>
      <c r="B489" s="444" t="s">
        <v>1310</v>
      </c>
      <c r="C489" s="445" t="s">
        <v>64</v>
      </c>
      <c r="D489" s="444" t="s">
        <v>1311</v>
      </c>
      <c r="E489" s="446">
        <v>1</v>
      </c>
      <c r="F489" s="447"/>
      <c r="G489" s="448">
        <f t="shared" si="17"/>
        <v>0</v>
      </c>
      <c r="H489" s="449"/>
      <c r="I489" s="444"/>
      <c r="J489" s="449"/>
      <c r="K489" s="444" t="s">
        <v>1237</v>
      </c>
      <c r="L489" s="450" t="s">
        <v>1003</v>
      </c>
      <c r="M489" s="444" t="s">
        <v>1238</v>
      </c>
      <c r="N489" s="450"/>
      <c r="O489" s="450"/>
      <c r="P489" s="450" t="s">
        <v>373</v>
      </c>
      <c r="Q489" s="451" t="s">
        <v>374</v>
      </c>
      <c r="R489" s="451" t="s">
        <v>263</v>
      </c>
      <c r="S489" s="452" t="s">
        <v>425</v>
      </c>
      <c r="T489" s="452">
        <v>45576</v>
      </c>
      <c r="U489" s="453"/>
      <c r="V489" s="454"/>
      <c r="W489" s="455" t="s">
        <v>406</v>
      </c>
      <c r="X489" s="455">
        <v>45561</v>
      </c>
      <c r="Y489" s="456" t="s">
        <v>377</v>
      </c>
      <c r="Z489" s="457"/>
      <c r="AA489" s="494"/>
    </row>
    <row r="490" spans="1:27" s="128" customFormat="1" ht="36" customHeight="1">
      <c r="A490" s="443">
        <v>62</v>
      </c>
      <c r="B490" s="444" t="s">
        <v>1137</v>
      </c>
      <c r="C490" s="445" t="s">
        <v>64</v>
      </c>
      <c r="D490" s="444" t="s">
        <v>1138</v>
      </c>
      <c r="E490" s="446">
        <v>2</v>
      </c>
      <c r="F490" s="447"/>
      <c r="G490" s="448">
        <f t="shared" si="17"/>
        <v>0</v>
      </c>
      <c r="H490" s="449"/>
      <c r="I490" s="444"/>
      <c r="J490" s="449"/>
      <c r="K490" s="444" t="s">
        <v>1237</v>
      </c>
      <c r="L490" s="450" t="s">
        <v>1003</v>
      </c>
      <c r="M490" s="444" t="s">
        <v>1238</v>
      </c>
      <c r="N490" s="450"/>
      <c r="O490" s="450"/>
      <c r="P490" s="450" t="s">
        <v>373</v>
      </c>
      <c r="Q490" s="451" t="s">
        <v>374</v>
      </c>
      <c r="R490" s="451" t="s">
        <v>263</v>
      </c>
      <c r="S490" s="452" t="s">
        <v>921</v>
      </c>
      <c r="T490" s="452"/>
      <c r="U490" s="453"/>
      <c r="V490" s="454"/>
      <c r="W490" s="455" t="s">
        <v>406</v>
      </c>
      <c r="X490" s="455">
        <v>45553</v>
      </c>
      <c r="Y490" s="456" t="s">
        <v>377</v>
      </c>
      <c r="Z490" s="457"/>
      <c r="AA490" s="494"/>
    </row>
    <row r="491" spans="1:27" s="128" customFormat="1" ht="36" customHeight="1">
      <c r="A491" s="443">
        <v>63</v>
      </c>
      <c r="B491" s="444" t="s">
        <v>1076</v>
      </c>
      <c r="C491" s="445" t="s">
        <v>64</v>
      </c>
      <c r="D491" s="444" t="s">
        <v>1077</v>
      </c>
      <c r="E491" s="446">
        <v>1</v>
      </c>
      <c r="F491" s="447"/>
      <c r="G491" s="448">
        <f t="shared" si="17"/>
        <v>0</v>
      </c>
      <c r="H491" s="449"/>
      <c r="I491" s="444"/>
      <c r="J491" s="449"/>
      <c r="K491" s="444" t="s">
        <v>1237</v>
      </c>
      <c r="L491" s="450" t="s">
        <v>1003</v>
      </c>
      <c r="M491" s="444" t="s">
        <v>1238</v>
      </c>
      <c r="N491" s="450"/>
      <c r="O491" s="450"/>
      <c r="P491" s="450" t="s">
        <v>373</v>
      </c>
      <c r="Q491" s="451" t="s">
        <v>374</v>
      </c>
      <c r="R491" s="451" t="s">
        <v>263</v>
      </c>
      <c r="S491" s="452" t="s">
        <v>921</v>
      </c>
      <c r="T491" s="452"/>
      <c r="U491" s="453"/>
      <c r="V491" s="454"/>
      <c r="W491" s="455" t="s">
        <v>406</v>
      </c>
      <c r="X491" s="455">
        <v>45553</v>
      </c>
      <c r="Y491" s="456" t="s">
        <v>377</v>
      </c>
      <c r="Z491" s="457"/>
      <c r="AA491" s="494"/>
    </row>
    <row r="492" spans="1:27" s="128" customFormat="1" ht="36" customHeight="1">
      <c r="A492" s="443">
        <v>64</v>
      </c>
      <c r="B492" s="444" t="s">
        <v>1312</v>
      </c>
      <c r="C492" s="445" t="s">
        <v>64</v>
      </c>
      <c r="D492" s="444" t="s">
        <v>1313</v>
      </c>
      <c r="E492" s="446">
        <v>1</v>
      </c>
      <c r="F492" s="447"/>
      <c r="G492" s="448">
        <f t="shared" si="17"/>
        <v>0</v>
      </c>
      <c r="H492" s="449"/>
      <c r="I492" s="444"/>
      <c r="J492" s="449"/>
      <c r="K492" s="444" t="s">
        <v>1237</v>
      </c>
      <c r="L492" s="450" t="s">
        <v>1003</v>
      </c>
      <c r="M492" s="444" t="s">
        <v>1238</v>
      </c>
      <c r="N492" s="450"/>
      <c r="O492" s="450"/>
      <c r="P492" s="450" t="s">
        <v>373</v>
      </c>
      <c r="Q492" s="451" t="s">
        <v>374</v>
      </c>
      <c r="R492" s="451" t="s">
        <v>263</v>
      </c>
      <c r="S492" s="452" t="s">
        <v>921</v>
      </c>
      <c r="T492" s="452">
        <v>45554</v>
      </c>
      <c r="U492" s="453"/>
      <c r="V492" s="454"/>
      <c r="W492" s="455" t="s">
        <v>406</v>
      </c>
      <c r="X492" s="455">
        <v>45567</v>
      </c>
      <c r="Y492" s="456" t="s">
        <v>377</v>
      </c>
      <c r="Z492" s="457"/>
      <c r="AA492" s="494"/>
    </row>
    <row r="493" spans="1:27" s="128" customFormat="1" ht="36" customHeight="1">
      <c r="A493" s="443">
        <v>65</v>
      </c>
      <c r="B493" s="444" t="s">
        <v>1314</v>
      </c>
      <c r="C493" s="445" t="s">
        <v>64</v>
      </c>
      <c r="D493" s="444" t="s">
        <v>1315</v>
      </c>
      <c r="E493" s="446">
        <v>1</v>
      </c>
      <c r="F493" s="447"/>
      <c r="G493" s="448">
        <f t="shared" ref="G493:G500" si="18">E493*F493</f>
        <v>0</v>
      </c>
      <c r="H493" s="449"/>
      <c r="I493" s="444"/>
      <c r="J493" s="449"/>
      <c r="K493" s="444" t="s">
        <v>1237</v>
      </c>
      <c r="L493" s="450" t="s">
        <v>1003</v>
      </c>
      <c r="M493" s="444" t="s">
        <v>1316</v>
      </c>
      <c r="N493" s="450"/>
      <c r="O493" s="450"/>
      <c r="P493" s="450" t="s">
        <v>373</v>
      </c>
      <c r="Q493" s="451" t="s">
        <v>374</v>
      </c>
      <c r="R493" s="451" t="s">
        <v>432</v>
      </c>
      <c r="S493" s="452" t="s">
        <v>1145</v>
      </c>
      <c r="T493" s="452"/>
      <c r="U493" s="453"/>
      <c r="V493" s="454"/>
      <c r="W493" s="455" t="s">
        <v>376</v>
      </c>
      <c r="X493" s="455">
        <v>45546</v>
      </c>
      <c r="Y493" s="456" t="s">
        <v>377</v>
      </c>
      <c r="Z493" s="457"/>
      <c r="AA493" s="494"/>
    </row>
    <row r="494" spans="1:27" s="128" customFormat="1" ht="36" customHeight="1">
      <c r="A494" s="443">
        <v>66</v>
      </c>
      <c r="B494" s="444" t="s">
        <v>1317</v>
      </c>
      <c r="C494" s="445" t="s">
        <v>64</v>
      </c>
      <c r="D494" s="444" t="s">
        <v>1318</v>
      </c>
      <c r="E494" s="446">
        <v>2</v>
      </c>
      <c r="F494" s="447"/>
      <c r="G494" s="448">
        <f t="shared" si="18"/>
        <v>0</v>
      </c>
      <c r="H494" s="449"/>
      <c r="I494" s="444"/>
      <c r="J494" s="449"/>
      <c r="K494" s="444" t="s">
        <v>1237</v>
      </c>
      <c r="L494" s="450" t="s">
        <v>1003</v>
      </c>
      <c r="M494" s="444" t="s">
        <v>1319</v>
      </c>
      <c r="N494" s="450"/>
      <c r="O494" s="450"/>
      <c r="P494" s="450" t="s">
        <v>373</v>
      </c>
      <c r="Q494" s="451" t="s">
        <v>374</v>
      </c>
      <c r="R494" s="451" t="s">
        <v>1320</v>
      </c>
      <c r="S494" s="452" t="s">
        <v>477</v>
      </c>
      <c r="T494" s="452"/>
      <c r="U494" s="453"/>
      <c r="V494" s="454"/>
      <c r="W494" s="455" t="s">
        <v>406</v>
      </c>
      <c r="X494" s="455">
        <v>45541</v>
      </c>
      <c r="Y494" s="456" t="s">
        <v>377</v>
      </c>
      <c r="Z494" s="457"/>
      <c r="AA494" s="494"/>
    </row>
    <row r="495" spans="1:27" s="128" customFormat="1" ht="36" customHeight="1">
      <c r="A495" s="443">
        <v>67</v>
      </c>
      <c r="B495" s="444" t="s">
        <v>1321</v>
      </c>
      <c r="C495" s="445" t="s">
        <v>64</v>
      </c>
      <c r="D495" s="444" t="s">
        <v>1322</v>
      </c>
      <c r="E495" s="446">
        <v>1</v>
      </c>
      <c r="F495" s="447"/>
      <c r="G495" s="448">
        <f t="shared" si="18"/>
        <v>0</v>
      </c>
      <c r="H495" s="449"/>
      <c r="I495" s="444"/>
      <c r="J495" s="449"/>
      <c r="K495" s="444" t="s">
        <v>1323</v>
      </c>
      <c r="L495" s="450" t="s">
        <v>1173</v>
      </c>
      <c r="M495" s="444" t="s">
        <v>444</v>
      </c>
      <c r="N495" s="450"/>
      <c r="O495" s="450"/>
      <c r="P495" s="450" t="s">
        <v>444</v>
      </c>
      <c r="Q495" s="451" t="s">
        <v>374</v>
      </c>
      <c r="R495" s="451" t="s">
        <v>444</v>
      </c>
      <c r="S495" s="452" t="s">
        <v>444</v>
      </c>
      <c r="T495" s="452"/>
      <c r="U495" s="453"/>
      <c r="V495" s="454"/>
      <c r="W495" s="455" t="s">
        <v>406</v>
      </c>
      <c r="X495" s="455">
        <v>45541</v>
      </c>
      <c r="Y495" s="456" t="s">
        <v>377</v>
      </c>
      <c r="Z495" s="457"/>
      <c r="AA495" s="494"/>
    </row>
    <row r="496" spans="1:27" s="128" customFormat="1" ht="36" customHeight="1">
      <c r="A496" s="443">
        <v>68</v>
      </c>
      <c r="B496" s="444" t="s">
        <v>1324</v>
      </c>
      <c r="C496" s="445" t="s">
        <v>64</v>
      </c>
      <c r="D496" s="444" t="s">
        <v>1325</v>
      </c>
      <c r="E496" s="446">
        <v>28</v>
      </c>
      <c r="F496" s="447"/>
      <c r="G496" s="448">
        <f t="shared" si="18"/>
        <v>0</v>
      </c>
      <c r="H496" s="449"/>
      <c r="I496" s="444"/>
      <c r="J496" s="449"/>
      <c r="K496" s="444" t="s">
        <v>1237</v>
      </c>
      <c r="L496" s="450" t="s">
        <v>1003</v>
      </c>
      <c r="M496" s="444" t="s">
        <v>1326</v>
      </c>
      <c r="N496" s="450"/>
      <c r="O496" s="450"/>
      <c r="P496" s="450" t="s">
        <v>373</v>
      </c>
      <c r="Q496" s="451" t="s">
        <v>374</v>
      </c>
      <c r="R496" s="451" t="s">
        <v>251</v>
      </c>
      <c r="S496" s="452" t="s">
        <v>1005</v>
      </c>
      <c r="T496" s="452"/>
      <c r="U496" s="453"/>
      <c r="V496" s="454"/>
      <c r="W496" s="455" t="s">
        <v>376</v>
      </c>
      <c r="X496" s="455">
        <v>45548</v>
      </c>
      <c r="Y496" s="456" t="s">
        <v>377</v>
      </c>
      <c r="Z496" s="457"/>
      <c r="AA496" s="494"/>
    </row>
    <row r="497" spans="1:27" s="128" customFormat="1" ht="36" customHeight="1">
      <c r="A497" s="443">
        <v>69</v>
      </c>
      <c r="B497" s="444" t="s">
        <v>1327</v>
      </c>
      <c r="C497" s="445" t="s">
        <v>64</v>
      </c>
      <c r="D497" s="444" t="s">
        <v>1328</v>
      </c>
      <c r="E497" s="446">
        <v>1</v>
      </c>
      <c r="F497" s="447"/>
      <c r="G497" s="448">
        <f t="shared" si="18"/>
        <v>0</v>
      </c>
      <c r="H497" s="449"/>
      <c r="I497" s="444"/>
      <c r="J497" s="449"/>
      <c r="K497" s="444" t="s">
        <v>1237</v>
      </c>
      <c r="L497" s="450" t="s">
        <v>1003</v>
      </c>
      <c r="M497" s="444" t="s">
        <v>1329</v>
      </c>
      <c r="N497" s="450"/>
      <c r="O497" s="450"/>
      <c r="P497" s="450" t="s">
        <v>547</v>
      </c>
      <c r="Q497" s="451" t="s">
        <v>374</v>
      </c>
      <c r="R497" s="451" t="s">
        <v>251</v>
      </c>
      <c r="S497" s="452" t="s">
        <v>375</v>
      </c>
      <c r="T497" s="452"/>
      <c r="U497" s="453"/>
      <c r="V497" s="454"/>
      <c r="W497" s="455" t="s">
        <v>376</v>
      </c>
      <c r="X497" s="455">
        <v>45548</v>
      </c>
      <c r="Y497" s="456" t="s">
        <v>377</v>
      </c>
      <c r="Z497" s="457"/>
      <c r="AA497" s="494"/>
    </row>
    <row r="498" spans="1:27" s="128" customFormat="1" ht="36" customHeight="1">
      <c r="A498" s="443">
        <v>70</v>
      </c>
      <c r="B498" s="444" t="s">
        <v>1330</v>
      </c>
      <c r="C498" s="445" t="s">
        <v>64</v>
      </c>
      <c r="D498" s="444" t="s">
        <v>1331</v>
      </c>
      <c r="E498" s="446">
        <v>14</v>
      </c>
      <c r="F498" s="447"/>
      <c r="G498" s="448">
        <f t="shared" si="18"/>
        <v>0</v>
      </c>
      <c r="H498" s="449"/>
      <c r="I498" s="444"/>
      <c r="J498" s="449"/>
      <c r="K498" s="444" t="s">
        <v>1237</v>
      </c>
      <c r="L498" s="450" t="s">
        <v>1003</v>
      </c>
      <c r="M498" s="444" t="s">
        <v>1329</v>
      </c>
      <c r="N498" s="450"/>
      <c r="O498" s="450"/>
      <c r="P498" s="450" t="s">
        <v>547</v>
      </c>
      <c r="Q498" s="451" t="s">
        <v>374</v>
      </c>
      <c r="R498" s="451" t="s">
        <v>251</v>
      </c>
      <c r="S498" s="452" t="s">
        <v>375</v>
      </c>
      <c r="T498" s="452"/>
      <c r="U498" s="453"/>
      <c r="V498" s="454"/>
      <c r="W498" s="455" t="s">
        <v>376</v>
      </c>
      <c r="X498" s="455">
        <v>45548</v>
      </c>
      <c r="Y498" s="456" t="s">
        <v>377</v>
      </c>
      <c r="Z498" s="457"/>
      <c r="AA498" s="494"/>
    </row>
    <row r="499" spans="1:27" s="128" customFormat="1" ht="36" customHeight="1">
      <c r="A499" s="443">
        <v>71</v>
      </c>
      <c r="B499" s="444" t="s">
        <v>1332</v>
      </c>
      <c r="C499" s="445" t="s">
        <v>64</v>
      </c>
      <c r="D499" s="444" t="s">
        <v>1333</v>
      </c>
      <c r="E499" s="446">
        <v>1</v>
      </c>
      <c r="F499" s="447"/>
      <c r="G499" s="448">
        <f t="shared" si="18"/>
        <v>0</v>
      </c>
      <c r="H499" s="449"/>
      <c r="I499" s="444"/>
      <c r="J499" s="449"/>
      <c r="K499" s="444" t="s">
        <v>1237</v>
      </c>
      <c r="L499" s="450" t="s">
        <v>1003</v>
      </c>
      <c r="M499" s="444" t="s">
        <v>1334</v>
      </c>
      <c r="N499" s="450"/>
      <c r="O499" s="450"/>
      <c r="P499" s="450" t="s">
        <v>373</v>
      </c>
      <c r="Q499" s="451" t="s">
        <v>374</v>
      </c>
      <c r="R499" s="451" t="s">
        <v>297</v>
      </c>
      <c r="S499" s="452" t="s">
        <v>425</v>
      </c>
      <c r="T499" s="452"/>
      <c r="U499" s="453"/>
      <c r="V499" s="454"/>
      <c r="W499" s="455" t="s">
        <v>406</v>
      </c>
      <c r="X499" s="455">
        <v>45576</v>
      </c>
      <c r="Y499" s="456" t="s">
        <v>377</v>
      </c>
      <c r="Z499" s="457"/>
      <c r="AA499" s="494"/>
    </row>
    <row r="500" spans="1:27" s="128" customFormat="1" ht="36" customHeight="1">
      <c r="A500" s="458">
        <v>72</v>
      </c>
      <c r="B500" s="459" t="s">
        <v>1335</v>
      </c>
      <c r="C500" s="460" t="s">
        <v>64</v>
      </c>
      <c r="D500" s="459" t="s">
        <v>1336</v>
      </c>
      <c r="E500" s="461">
        <v>1</v>
      </c>
      <c r="F500" s="462"/>
      <c r="G500" s="463">
        <f t="shared" si="18"/>
        <v>0</v>
      </c>
      <c r="H500" s="464"/>
      <c r="I500" s="459"/>
      <c r="J500" s="464"/>
      <c r="K500" s="459" t="s">
        <v>1237</v>
      </c>
      <c r="L500" s="465" t="s">
        <v>1003</v>
      </c>
      <c r="M500" s="459" t="s">
        <v>1334</v>
      </c>
      <c r="N500" s="465"/>
      <c r="O500" s="465"/>
      <c r="P500" s="465" t="s">
        <v>373</v>
      </c>
      <c r="Q500" s="466" t="s">
        <v>374</v>
      </c>
      <c r="R500" s="466" t="s">
        <v>297</v>
      </c>
      <c r="S500" s="467" t="s">
        <v>425</v>
      </c>
      <c r="T500" s="452"/>
      <c r="U500" s="468"/>
      <c r="V500" s="469"/>
      <c r="W500" s="470" t="s">
        <v>406</v>
      </c>
      <c r="X500" s="470">
        <v>45576</v>
      </c>
      <c r="Y500" s="471" t="s">
        <v>377</v>
      </c>
      <c r="Z500" s="457"/>
      <c r="AA500" s="494"/>
    </row>
    <row r="501" spans="1:27" s="128" customFormat="1" ht="36" customHeight="1">
      <c r="A501" s="443">
        <v>73</v>
      </c>
      <c r="B501" s="444" t="s">
        <v>394</v>
      </c>
      <c r="C501" s="445" t="s">
        <v>64</v>
      </c>
      <c r="D501" s="444" t="s">
        <v>395</v>
      </c>
      <c r="E501" s="446">
        <v>6</v>
      </c>
      <c r="F501" s="447"/>
      <c r="G501" s="448">
        <f t="shared" ref="G501:G628" si="19">E501*F501</f>
        <v>0</v>
      </c>
      <c r="H501" s="449"/>
      <c r="I501" s="444"/>
      <c r="J501" s="449"/>
      <c r="K501" s="444" t="s">
        <v>1253</v>
      </c>
      <c r="L501" s="450" t="s">
        <v>1003</v>
      </c>
      <c r="M501" s="444" t="s">
        <v>1273</v>
      </c>
      <c r="N501" s="450"/>
      <c r="O501" s="450"/>
      <c r="P501" s="450" t="s">
        <v>373</v>
      </c>
      <c r="Q501" s="451" t="s">
        <v>374</v>
      </c>
      <c r="R501" s="451" t="s">
        <v>263</v>
      </c>
      <c r="S501" s="452" t="s">
        <v>385</v>
      </c>
      <c r="T501" s="452"/>
      <c r="U501" s="453"/>
      <c r="V501" s="454"/>
      <c r="W501" s="455" t="s">
        <v>406</v>
      </c>
      <c r="X501" s="455">
        <v>45553</v>
      </c>
      <c r="Y501" s="456" t="s">
        <v>377</v>
      </c>
      <c r="Z501" s="457"/>
      <c r="AA501" s="494"/>
    </row>
    <row r="502" spans="1:27" s="441" customFormat="1" ht="36" customHeight="1">
      <c r="A502" s="427">
        <v>74</v>
      </c>
      <c r="B502" s="428" t="s">
        <v>955</v>
      </c>
      <c r="C502" s="429" t="s">
        <v>64</v>
      </c>
      <c r="D502" s="428" t="s">
        <v>956</v>
      </c>
      <c r="E502" s="430">
        <v>2</v>
      </c>
      <c r="F502" s="431"/>
      <c r="G502" s="432">
        <f t="shared" si="19"/>
        <v>0</v>
      </c>
      <c r="H502" s="442"/>
      <c r="I502" s="428"/>
      <c r="J502" s="442"/>
      <c r="K502" s="428" t="s">
        <v>1253</v>
      </c>
      <c r="L502" s="433" t="s">
        <v>1003</v>
      </c>
      <c r="M502" s="428" t="s">
        <v>444</v>
      </c>
      <c r="N502" s="433"/>
      <c r="O502" s="433"/>
      <c r="P502" s="433" t="s">
        <v>444</v>
      </c>
      <c r="Q502" s="434" t="s">
        <v>591</v>
      </c>
      <c r="R502" s="434"/>
      <c r="S502" s="435" t="s">
        <v>444</v>
      </c>
      <c r="T502" s="435"/>
      <c r="U502" s="436"/>
      <c r="V502" s="437"/>
      <c r="W502" s="438"/>
      <c r="X502" s="438"/>
      <c r="Y502" s="439" t="s">
        <v>592</v>
      </c>
      <c r="Z502" s="440"/>
      <c r="AA502" s="495"/>
    </row>
    <row r="503" spans="1:27" s="441" customFormat="1" ht="36" customHeight="1">
      <c r="A503" s="427">
        <v>75</v>
      </c>
      <c r="B503" s="428" t="s">
        <v>957</v>
      </c>
      <c r="C503" s="429" t="s">
        <v>64</v>
      </c>
      <c r="D503" s="428" t="s">
        <v>958</v>
      </c>
      <c r="E503" s="430">
        <v>2</v>
      </c>
      <c r="F503" s="431"/>
      <c r="G503" s="432">
        <f t="shared" si="19"/>
        <v>0</v>
      </c>
      <c r="H503" s="442"/>
      <c r="I503" s="428"/>
      <c r="J503" s="442"/>
      <c r="K503" s="428" t="s">
        <v>1253</v>
      </c>
      <c r="L503" s="433" t="s">
        <v>1003</v>
      </c>
      <c r="M503" s="428" t="s">
        <v>444</v>
      </c>
      <c r="N503" s="433"/>
      <c r="O503" s="433"/>
      <c r="P503" s="433" t="s">
        <v>444</v>
      </c>
      <c r="Q503" s="434" t="s">
        <v>591</v>
      </c>
      <c r="R503" s="434"/>
      <c r="S503" s="435" t="s">
        <v>444</v>
      </c>
      <c r="T503" s="435"/>
      <c r="U503" s="436"/>
      <c r="V503" s="437"/>
      <c r="W503" s="438"/>
      <c r="X503" s="438"/>
      <c r="Y503" s="439" t="s">
        <v>592</v>
      </c>
      <c r="Z503" s="440"/>
      <c r="AA503" s="495"/>
    </row>
    <row r="504" spans="1:27" s="441" customFormat="1" ht="36" customHeight="1">
      <c r="A504" s="427">
        <v>76</v>
      </c>
      <c r="B504" s="428" t="s">
        <v>1094</v>
      </c>
      <c r="C504" s="429" t="s">
        <v>64</v>
      </c>
      <c r="D504" s="428" t="s">
        <v>1337</v>
      </c>
      <c r="E504" s="430">
        <v>1</v>
      </c>
      <c r="F504" s="431"/>
      <c r="G504" s="432">
        <f t="shared" si="19"/>
        <v>0</v>
      </c>
      <c r="H504" s="442"/>
      <c r="I504" s="428"/>
      <c r="J504" s="442"/>
      <c r="K504" s="428" t="s">
        <v>1253</v>
      </c>
      <c r="L504" s="433" t="s">
        <v>1003</v>
      </c>
      <c r="M504" s="428" t="s">
        <v>444</v>
      </c>
      <c r="N504" s="433"/>
      <c r="O504" s="433"/>
      <c r="P504" s="433" t="s">
        <v>444</v>
      </c>
      <c r="Q504" s="434" t="s">
        <v>591</v>
      </c>
      <c r="R504" s="434"/>
      <c r="S504" s="435" t="s">
        <v>444</v>
      </c>
      <c r="T504" s="435"/>
      <c r="U504" s="436"/>
      <c r="V504" s="437"/>
      <c r="W504" s="438"/>
      <c r="X504" s="438"/>
      <c r="Y504" s="439" t="s">
        <v>592</v>
      </c>
      <c r="Z504" s="440"/>
      <c r="AA504" s="495"/>
    </row>
    <row r="505" spans="1:27" s="128" customFormat="1" ht="36" customHeight="1">
      <c r="A505" s="443">
        <v>77</v>
      </c>
      <c r="B505" s="444" t="s">
        <v>1338</v>
      </c>
      <c r="C505" s="445" t="s">
        <v>64</v>
      </c>
      <c r="D505" s="444" t="s">
        <v>1339</v>
      </c>
      <c r="E505" s="446">
        <v>1</v>
      </c>
      <c r="F505" s="447"/>
      <c r="G505" s="448">
        <f t="shared" si="19"/>
        <v>0</v>
      </c>
      <c r="H505" s="449"/>
      <c r="I505" s="444"/>
      <c r="J505" s="449"/>
      <c r="K505" s="444" t="s">
        <v>1253</v>
      </c>
      <c r="L505" s="450" t="s">
        <v>1003</v>
      </c>
      <c r="M505" s="444" t="s">
        <v>1340</v>
      </c>
      <c r="N505" s="450"/>
      <c r="O505" s="450"/>
      <c r="P505" s="450" t="s">
        <v>373</v>
      </c>
      <c r="Q505" s="451" t="s">
        <v>374</v>
      </c>
      <c r="R505" s="451" t="s">
        <v>297</v>
      </c>
      <c r="S505" s="452" t="s">
        <v>425</v>
      </c>
      <c r="T505" s="452"/>
      <c r="U505" s="453"/>
      <c r="V505" s="454"/>
      <c r="W505" s="455" t="s">
        <v>406</v>
      </c>
      <c r="X505" s="455">
        <v>45541</v>
      </c>
      <c r="Y505" s="456" t="s">
        <v>377</v>
      </c>
      <c r="Z505" s="457"/>
      <c r="AA505" s="494"/>
    </row>
    <row r="506" spans="1:27" s="128" customFormat="1" ht="36" customHeight="1">
      <c r="A506" s="443">
        <v>78</v>
      </c>
      <c r="B506" s="444" t="s">
        <v>1341</v>
      </c>
      <c r="C506" s="445" t="s">
        <v>64</v>
      </c>
      <c r="D506" s="444" t="s">
        <v>1170</v>
      </c>
      <c r="E506" s="446">
        <v>2</v>
      </c>
      <c r="F506" s="447"/>
      <c r="G506" s="448">
        <f>E506*F506</f>
        <v>0</v>
      </c>
      <c r="H506" s="449"/>
      <c r="I506" s="444"/>
      <c r="J506" s="449"/>
      <c r="K506" s="444" t="s">
        <v>1342</v>
      </c>
      <c r="L506" s="450" t="s">
        <v>624</v>
      </c>
      <c r="M506" s="444" t="s">
        <v>1343</v>
      </c>
      <c r="N506" s="450"/>
      <c r="O506" s="450"/>
      <c r="P506" s="450" t="s">
        <v>1091</v>
      </c>
      <c r="Q506" s="451" t="s">
        <v>611</v>
      </c>
      <c r="R506" s="451" t="s">
        <v>404</v>
      </c>
      <c r="S506" s="452" t="s">
        <v>405</v>
      </c>
      <c r="T506" s="452"/>
      <c r="U506" s="453"/>
      <c r="V506" s="454"/>
      <c r="W506" s="455" t="s">
        <v>406</v>
      </c>
      <c r="X506" s="455">
        <v>45607</v>
      </c>
      <c r="Y506" s="456" t="s">
        <v>377</v>
      </c>
      <c r="Z506" s="457"/>
      <c r="AA506" s="494">
        <v>1</v>
      </c>
    </row>
    <row r="507" spans="1:27" s="128" customFormat="1" ht="18" customHeight="1">
      <c r="A507" s="443">
        <v>79</v>
      </c>
      <c r="B507" s="444" t="s">
        <v>1344</v>
      </c>
      <c r="C507" s="445" t="s">
        <v>64</v>
      </c>
      <c r="D507" s="444" t="s">
        <v>1168</v>
      </c>
      <c r="E507" s="446">
        <v>2</v>
      </c>
      <c r="F507" s="447"/>
      <c r="G507" s="448">
        <f>E507*F507</f>
        <v>0</v>
      </c>
      <c r="H507" s="449"/>
      <c r="I507" s="444"/>
      <c r="J507" s="449"/>
      <c r="K507" s="444" t="s">
        <v>1342</v>
      </c>
      <c r="L507" s="450" t="s">
        <v>624</v>
      </c>
      <c r="M507" s="444" t="s">
        <v>1343</v>
      </c>
      <c r="N507" s="450"/>
      <c r="O507" s="450"/>
      <c r="P507" s="450" t="s">
        <v>1091</v>
      </c>
      <c r="Q507" s="451" t="s">
        <v>611</v>
      </c>
      <c r="R507" s="451" t="s">
        <v>404</v>
      </c>
      <c r="S507" s="452" t="s">
        <v>405</v>
      </c>
      <c r="T507" s="452"/>
      <c r="U507" s="453"/>
      <c r="V507" s="454"/>
      <c r="W507" s="455" t="s">
        <v>406</v>
      </c>
      <c r="X507" s="455">
        <v>45607</v>
      </c>
      <c r="Y507" s="456" t="s">
        <v>377</v>
      </c>
      <c r="Z507" s="457"/>
      <c r="AA507" s="494"/>
    </row>
    <row r="508" spans="1:27" s="128" customFormat="1" ht="36" customHeight="1">
      <c r="A508" s="443">
        <v>80</v>
      </c>
      <c r="B508" s="444" t="s">
        <v>1163</v>
      </c>
      <c r="C508" s="445" t="s">
        <v>64</v>
      </c>
      <c r="D508" s="444" t="s">
        <v>1164</v>
      </c>
      <c r="E508" s="446">
        <v>1</v>
      </c>
      <c r="F508" s="447"/>
      <c r="G508" s="448">
        <f>E508*F508</f>
        <v>0</v>
      </c>
      <c r="H508" s="449"/>
      <c r="I508" s="444"/>
      <c r="J508" s="449"/>
      <c r="K508" s="444" t="s">
        <v>1342</v>
      </c>
      <c r="L508" s="450" t="s">
        <v>624</v>
      </c>
      <c r="M508" s="444" t="s">
        <v>1343</v>
      </c>
      <c r="N508" s="450"/>
      <c r="O508" s="450"/>
      <c r="P508" s="450" t="s">
        <v>1091</v>
      </c>
      <c r="Q508" s="451" t="s">
        <v>374</v>
      </c>
      <c r="R508" s="451" t="s">
        <v>404</v>
      </c>
      <c r="S508" s="452" t="s">
        <v>405</v>
      </c>
      <c r="T508" s="452"/>
      <c r="U508" s="453"/>
      <c r="V508" s="454"/>
      <c r="W508" s="455" t="s">
        <v>406</v>
      </c>
      <c r="X508" s="455">
        <v>45607</v>
      </c>
      <c r="Y508" s="456" t="s">
        <v>377</v>
      </c>
      <c r="Z508" s="457"/>
      <c r="AA508" s="494">
        <v>1</v>
      </c>
    </row>
    <row r="509" spans="1:27" s="128" customFormat="1" ht="36" customHeight="1">
      <c r="A509" s="405">
        <v>81</v>
      </c>
      <c r="B509" s="407" t="s">
        <v>1341</v>
      </c>
      <c r="C509" s="406" t="s">
        <v>64</v>
      </c>
      <c r="D509" s="407" t="s">
        <v>1170</v>
      </c>
      <c r="E509" s="408">
        <v>1</v>
      </c>
      <c r="F509" s="409"/>
      <c r="G509" s="410">
        <f>E509*F509</f>
        <v>0</v>
      </c>
      <c r="H509" s="411"/>
      <c r="I509" s="407"/>
      <c r="J509" s="411"/>
      <c r="K509" s="407"/>
      <c r="L509" s="412"/>
      <c r="M509" s="407"/>
      <c r="N509" s="412"/>
      <c r="O509" s="412"/>
      <c r="P509" s="412"/>
      <c r="Q509" s="413"/>
      <c r="R509" s="413"/>
      <c r="S509" s="414"/>
      <c r="T509" s="414" t="s">
        <v>1345</v>
      </c>
      <c r="U509" s="415"/>
      <c r="V509" s="416"/>
      <c r="W509" s="417"/>
      <c r="X509" s="417"/>
      <c r="Y509" s="418" t="s">
        <v>377</v>
      </c>
      <c r="Z509" s="496"/>
      <c r="AA509" s="492">
        <v>1</v>
      </c>
    </row>
    <row r="510" spans="1:27" s="128" customFormat="1" ht="36" customHeight="1">
      <c r="A510" s="405">
        <v>82</v>
      </c>
      <c r="B510" s="407" t="s">
        <v>1344</v>
      </c>
      <c r="C510" s="406" t="s">
        <v>64</v>
      </c>
      <c r="D510" s="407" t="s">
        <v>1168</v>
      </c>
      <c r="E510" s="408">
        <v>1</v>
      </c>
      <c r="F510" s="409"/>
      <c r="G510" s="410">
        <f>E510*F510</f>
        <v>0</v>
      </c>
      <c r="H510" s="411"/>
      <c r="I510" s="407"/>
      <c r="J510" s="411"/>
      <c r="K510" s="407"/>
      <c r="L510" s="412"/>
      <c r="M510" s="407"/>
      <c r="N510" s="412"/>
      <c r="O510" s="412"/>
      <c r="P510" s="412"/>
      <c r="Q510" s="413"/>
      <c r="R510" s="413"/>
      <c r="S510" s="414"/>
      <c r="T510" s="414" t="s">
        <v>1345</v>
      </c>
      <c r="U510" s="415"/>
      <c r="V510" s="416"/>
      <c r="W510" s="417"/>
      <c r="X510" s="417"/>
      <c r="Y510" s="418" t="s">
        <v>377</v>
      </c>
      <c r="Z510" s="496"/>
      <c r="AA510" s="492"/>
    </row>
    <row r="511" spans="1:27" ht="18" customHeight="1">
      <c r="A511" s="389"/>
      <c r="B511" s="390" t="s">
        <v>1346</v>
      </c>
      <c r="C511" s="391"/>
      <c r="D511" s="392"/>
      <c r="E511" s="393"/>
      <c r="F511" s="394"/>
      <c r="G511" s="395">
        <f t="shared" si="19"/>
        <v>0</v>
      </c>
      <c r="H511" s="396"/>
      <c r="I511" s="392"/>
      <c r="J511" s="396"/>
      <c r="K511" s="392"/>
      <c r="L511" s="397"/>
      <c r="M511" s="392"/>
      <c r="N511" s="397"/>
      <c r="O511" s="397"/>
      <c r="P511" s="397"/>
      <c r="Q511" s="398"/>
      <c r="R511" s="398"/>
      <c r="S511" s="399"/>
      <c r="T511" s="399"/>
      <c r="U511" s="400"/>
      <c r="V511" s="401"/>
      <c r="W511" s="402"/>
      <c r="X511" s="402"/>
      <c r="Y511" s="403"/>
      <c r="Z511" s="404"/>
      <c r="AA511" s="492"/>
    </row>
    <row r="512" spans="1:27" s="128" customFormat="1" ht="18" customHeight="1">
      <c r="A512" s="443">
        <v>1</v>
      </c>
      <c r="B512" s="444" t="s">
        <v>976</v>
      </c>
      <c r="C512" s="445" t="s">
        <v>66</v>
      </c>
      <c r="D512" s="444" t="s">
        <v>977</v>
      </c>
      <c r="E512" s="446">
        <v>1</v>
      </c>
      <c r="F512" s="447"/>
      <c r="G512" s="448">
        <f t="shared" ref="G512:G543" si="20">E512*F512</f>
        <v>0</v>
      </c>
      <c r="H512" s="449"/>
      <c r="I512" s="444"/>
      <c r="J512" s="449"/>
      <c r="K512" s="444" t="s">
        <v>1347</v>
      </c>
      <c r="L512" s="450" t="s">
        <v>1348</v>
      </c>
      <c r="M512" s="444" t="s">
        <v>1349</v>
      </c>
      <c r="N512" s="450"/>
      <c r="O512" s="450"/>
      <c r="P512" s="450" t="s">
        <v>1350</v>
      </c>
      <c r="Q512" s="451" t="s">
        <v>726</v>
      </c>
      <c r="R512" s="451" t="s">
        <v>303</v>
      </c>
      <c r="S512" s="452" t="s">
        <v>797</v>
      </c>
      <c r="T512" s="452"/>
      <c r="U512" s="453"/>
      <c r="V512" s="454"/>
      <c r="W512" s="455" t="s">
        <v>406</v>
      </c>
      <c r="X512" s="455">
        <v>45611</v>
      </c>
      <c r="Y512" s="456" t="s">
        <v>377</v>
      </c>
      <c r="Z512" s="457"/>
      <c r="AA512" s="494"/>
    </row>
    <row r="513" spans="1:27" s="128" customFormat="1" ht="18" customHeight="1">
      <c r="A513" s="405">
        <v>2</v>
      </c>
      <c r="B513" s="407" t="s">
        <v>1070</v>
      </c>
      <c r="C513" s="406" t="s">
        <v>66</v>
      </c>
      <c r="D513" s="407" t="s">
        <v>919</v>
      </c>
      <c r="E513" s="408">
        <v>4</v>
      </c>
      <c r="F513" s="409"/>
      <c r="G513" s="410">
        <f t="shared" si="20"/>
        <v>0</v>
      </c>
      <c r="H513" s="411"/>
      <c r="I513" s="407"/>
      <c r="J513" s="411"/>
      <c r="K513" s="407" t="s">
        <v>1347</v>
      </c>
      <c r="L513" s="412" t="s">
        <v>1348</v>
      </c>
      <c r="M513" s="407" t="s">
        <v>1351</v>
      </c>
      <c r="N513" s="412"/>
      <c r="O513" s="412"/>
      <c r="P513" s="412" t="s">
        <v>1350</v>
      </c>
      <c r="Q513" s="413" t="s">
        <v>726</v>
      </c>
      <c r="R513" s="413" t="s">
        <v>263</v>
      </c>
      <c r="S513" s="414" t="s">
        <v>727</v>
      </c>
      <c r="T513" s="414"/>
      <c r="U513" s="415"/>
      <c r="V513" s="416"/>
      <c r="W513" s="417"/>
      <c r="X513" s="417"/>
      <c r="Y513" s="418" t="s">
        <v>377</v>
      </c>
      <c r="Z513" s="419"/>
      <c r="AA513" s="492"/>
    </row>
    <row r="514" spans="1:27" s="128" customFormat="1" ht="18" customHeight="1">
      <c r="A514" s="405">
        <v>3</v>
      </c>
      <c r="B514" s="407" t="s">
        <v>390</v>
      </c>
      <c r="C514" s="406" t="s">
        <v>66</v>
      </c>
      <c r="D514" s="407" t="s">
        <v>391</v>
      </c>
      <c r="E514" s="408">
        <v>4</v>
      </c>
      <c r="F514" s="409"/>
      <c r="G514" s="410">
        <f t="shared" si="20"/>
        <v>0</v>
      </c>
      <c r="H514" s="411"/>
      <c r="I514" s="407"/>
      <c r="J514" s="411"/>
      <c r="K514" s="407" t="s">
        <v>1347</v>
      </c>
      <c r="L514" s="412" t="s">
        <v>1348</v>
      </c>
      <c r="M514" s="407" t="s">
        <v>1351</v>
      </c>
      <c r="N514" s="412"/>
      <c r="O514" s="412"/>
      <c r="P514" s="412" t="s">
        <v>1350</v>
      </c>
      <c r="Q514" s="413" t="s">
        <v>726</v>
      </c>
      <c r="R514" s="413" t="s">
        <v>263</v>
      </c>
      <c r="S514" s="414" t="s">
        <v>906</v>
      </c>
      <c r="T514" s="414"/>
      <c r="U514" s="415"/>
      <c r="V514" s="416"/>
      <c r="W514" s="417"/>
      <c r="X514" s="417"/>
      <c r="Y514" s="418" t="s">
        <v>377</v>
      </c>
      <c r="Z514" s="419"/>
      <c r="AA514" s="492"/>
    </row>
    <row r="515" spans="1:27" s="128" customFormat="1" ht="18" customHeight="1">
      <c r="A515" s="405">
        <v>4</v>
      </c>
      <c r="B515" s="407" t="s">
        <v>1076</v>
      </c>
      <c r="C515" s="406" t="s">
        <v>66</v>
      </c>
      <c r="D515" s="407" t="s">
        <v>1077</v>
      </c>
      <c r="E515" s="408">
        <v>2</v>
      </c>
      <c r="F515" s="409"/>
      <c r="G515" s="410">
        <f t="shared" si="20"/>
        <v>0</v>
      </c>
      <c r="H515" s="411"/>
      <c r="I515" s="407"/>
      <c r="J515" s="411"/>
      <c r="K515" s="407" t="s">
        <v>1347</v>
      </c>
      <c r="L515" s="412" t="s">
        <v>1348</v>
      </c>
      <c r="M515" s="407" t="s">
        <v>1351</v>
      </c>
      <c r="N515" s="412"/>
      <c r="O515" s="412"/>
      <c r="P515" s="412" t="s">
        <v>1350</v>
      </c>
      <c r="Q515" s="413" t="s">
        <v>726</v>
      </c>
      <c r="R515" s="413" t="s">
        <v>263</v>
      </c>
      <c r="S515" s="414" t="s">
        <v>906</v>
      </c>
      <c r="T515" s="414"/>
      <c r="U515" s="415"/>
      <c r="V515" s="416"/>
      <c r="W515" s="417"/>
      <c r="X515" s="417"/>
      <c r="Y515" s="418" t="s">
        <v>377</v>
      </c>
      <c r="Z515" s="419"/>
      <c r="AA515" s="492"/>
    </row>
    <row r="516" spans="1:27" s="128" customFormat="1" ht="18" customHeight="1">
      <c r="A516" s="405">
        <v>5</v>
      </c>
      <c r="B516" s="407" t="s">
        <v>1352</v>
      </c>
      <c r="C516" s="406" t="s">
        <v>66</v>
      </c>
      <c r="D516" s="407" t="s">
        <v>1353</v>
      </c>
      <c r="E516" s="408">
        <v>1</v>
      </c>
      <c r="F516" s="409"/>
      <c r="G516" s="410">
        <f t="shared" si="20"/>
        <v>0</v>
      </c>
      <c r="H516" s="411"/>
      <c r="I516" s="407"/>
      <c r="J516" s="411"/>
      <c r="K516" s="407" t="s">
        <v>1347</v>
      </c>
      <c r="L516" s="412" t="s">
        <v>1348</v>
      </c>
      <c r="M516" s="407" t="s">
        <v>1351</v>
      </c>
      <c r="N516" s="412"/>
      <c r="O516" s="412"/>
      <c r="P516" s="412" t="s">
        <v>1350</v>
      </c>
      <c r="Q516" s="413" t="s">
        <v>726</v>
      </c>
      <c r="R516" s="413" t="s">
        <v>263</v>
      </c>
      <c r="S516" s="414" t="s">
        <v>906</v>
      </c>
      <c r="T516" s="414"/>
      <c r="U516" s="415"/>
      <c r="V516" s="416"/>
      <c r="W516" s="417"/>
      <c r="X516" s="417"/>
      <c r="Y516" s="418" t="s">
        <v>377</v>
      </c>
      <c r="Z516" s="419"/>
      <c r="AA516" s="492"/>
    </row>
    <row r="517" spans="1:27" s="128" customFormat="1" ht="18" customHeight="1">
      <c r="A517" s="405">
        <v>6</v>
      </c>
      <c r="B517" s="407" t="s">
        <v>1354</v>
      </c>
      <c r="C517" s="406" t="s">
        <v>66</v>
      </c>
      <c r="D517" s="407" t="s">
        <v>1355</v>
      </c>
      <c r="E517" s="408">
        <v>1</v>
      </c>
      <c r="F517" s="409"/>
      <c r="G517" s="410">
        <f t="shared" si="20"/>
        <v>0</v>
      </c>
      <c r="H517" s="411"/>
      <c r="I517" s="407"/>
      <c r="J517" s="411"/>
      <c r="K517" s="407" t="s">
        <v>1347</v>
      </c>
      <c r="L517" s="412" t="s">
        <v>1348</v>
      </c>
      <c r="M517" s="407" t="s">
        <v>1351</v>
      </c>
      <c r="N517" s="412"/>
      <c r="O517" s="412"/>
      <c r="P517" s="412" t="s">
        <v>1350</v>
      </c>
      <c r="Q517" s="413" t="s">
        <v>726</v>
      </c>
      <c r="R517" s="413" t="s">
        <v>263</v>
      </c>
      <c r="S517" s="414" t="s">
        <v>906</v>
      </c>
      <c r="T517" s="414"/>
      <c r="U517" s="415"/>
      <c r="V517" s="416"/>
      <c r="W517" s="417"/>
      <c r="X517" s="417"/>
      <c r="Y517" s="418" t="s">
        <v>377</v>
      </c>
      <c r="Z517" s="419"/>
      <c r="AA517" s="492"/>
    </row>
    <row r="518" spans="1:27" s="128" customFormat="1" ht="18" customHeight="1">
      <c r="A518" s="443">
        <v>7</v>
      </c>
      <c r="B518" s="444" t="s">
        <v>665</v>
      </c>
      <c r="C518" s="445" t="s">
        <v>66</v>
      </c>
      <c r="D518" s="444" t="s">
        <v>666</v>
      </c>
      <c r="E518" s="446">
        <v>12</v>
      </c>
      <c r="F518" s="447"/>
      <c r="G518" s="448">
        <f t="shared" si="20"/>
        <v>0</v>
      </c>
      <c r="H518" s="449"/>
      <c r="I518" s="444"/>
      <c r="J518" s="449"/>
      <c r="K518" s="444"/>
      <c r="L518" s="450"/>
      <c r="M518" s="444"/>
      <c r="N518" s="450"/>
      <c r="O518" s="450"/>
      <c r="P518" s="450"/>
      <c r="Q518" s="451" t="s">
        <v>374</v>
      </c>
      <c r="R518" s="451"/>
      <c r="S518" s="452"/>
      <c r="T518" s="452" t="s">
        <v>481</v>
      </c>
      <c r="U518" s="453"/>
      <c r="V518" s="454"/>
      <c r="W518" s="455" t="s">
        <v>406</v>
      </c>
      <c r="X518" s="455">
        <v>45601</v>
      </c>
      <c r="Y518" s="456" t="s">
        <v>377</v>
      </c>
      <c r="Z518" s="457"/>
      <c r="AA518" s="494"/>
    </row>
    <row r="519" spans="1:27" s="128" customFormat="1" ht="18" customHeight="1">
      <c r="A519" s="443">
        <v>8</v>
      </c>
      <c r="B519" s="444" t="s">
        <v>663</v>
      </c>
      <c r="C519" s="445" t="s">
        <v>66</v>
      </c>
      <c r="D519" s="444" t="s">
        <v>664</v>
      </c>
      <c r="E519" s="446">
        <v>12</v>
      </c>
      <c r="F519" s="447"/>
      <c r="G519" s="448">
        <f t="shared" si="20"/>
        <v>0</v>
      </c>
      <c r="H519" s="449"/>
      <c r="I519" s="444"/>
      <c r="J519" s="449"/>
      <c r="K519" s="444"/>
      <c r="L519" s="450"/>
      <c r="M519" s="444"/>
      <c r="N519" s="450"/>
      <c r="O519" s="450"/>
      <c r="P519" s="450"/>
      <c r="Q519" s="451" t="s">
        <v>374</v>
      </c>
      <c r="R519" s="451"/>
      <c r="S519" s="452"/>
      <c r="T519" s="452" t="s">
        <v>481</v>
      </c>
      <c r="U519" s="453"/>
      <c r="V519" s="454"/>
      <c r="W519" s="455" t="s">
        <v>406</v>
      </c>
      <c r="X519" s="455">
        <v>45601</v>
      </c>
      <c r="Y519" s="456" t="s">
        <v>377</v>
      </c>
      <c r="Z519" s="457"/>
      <c r="AA519" s="494"/>
    </row>
    <row r="520" spans="1:27" s="441" customFormat="1" ht="18" customHeight="1">
      <c r="A520" s="427">
        <v>9</v>
      </c>
      <c r="B520" s="428" t="s">
        <v>1356</v>
      </c>
      <c r="C520" s="429" t="s">
        <v>66</v>
      </c>
      <c r="D520" s="428" t="s">
        <v>1357</v>
      </c>
      <c r="E520" s="430">
        <v>2</v>
      </c>
      <c r="F520" s="431"/>
      <c r="G520" s="432">
        <f t="shared" si="20"/>
        <v>0</v>
      </c>
      <c r="H520" s="442"/>
      <c r="I520" s="428"/>
      <c r="J520" s="442"/>
      <c r="K520" s="428"/>
      <c r="L520" s="433"/>
      <c r="M520" s="428"/>
      <c r="N520" s="433"/>
      <c r="O520" s="433"/>
      <c r="P520" s="433"/>
      <c r="Q520" s="434"/>
      <c r="R520" s="434"/>
      <c r="S520" s="435"/>
      <c r="T520" s="435" t="s">
        <v>1358</v>
      </c>
      <c r="U520" s="436"/>
      <c r="V520" s="437"/>
      <c r="W520" s="438"/>
      <c r="X520" s="438"/>
      <c r="Y520" s="439" t="s">
        <v>592</v>
      </c>
      <c r="Z520" s="440"/>
      <c r="AA520" s="495"/>
    </row>
    <row r="521" spans="1:27" s="128" customFormat="1" ht="18" customHeight="1">
      <c r="A521" s="405">
        <v>10</v>
      </c>
      <c r="B521" s="407" t="s">
        <v>1218</v>
      </c>
      <c r="C521" s="406" t="s">
        <v>66</v>
      </c>
      <c r="D521" s="407" t="s">
        <v>1359</v>
      </c>
      <c r="E521" s="408">
        <v>2</v>
      </c>
      <c r="F521" s="409"/>
      <c r="G521" s="410">
        <f t="shared" si="20"/>
        <v>0</v>
      </c>
      <c r="H521" s="411"/>
      <c r="I521" s="407"/>
      <c r="J521" s="411"/>
      <c r="K521" s="407" t="s">
        <v>1347</v>
      </c>
      <c r="L521" s="412" t="s">
        <v>1348</v>
      </c>
      <c r="M521" s="407" t="s">
        <v>1360</v>
      </c>
      <c r="N521" s="412"/>
      <c r="O521" s="412"/>
      <c r="P521" s="412" t="s">
        <v>1350</v>
      </c>
      <c r="Q521" s="413" t="s">
        <v>726</v>
      </c>
      <c r="R521" s="413" t="s">
        <v>1144</v>
      </c>
      <c r="S521" s="414" t="s">
        <v>800</v>
      </c>
      <c r="T521" s="414"/>
      <c r="U521" s="415"/>
      <c r="V521" s="416"/>
      <c r="W521" s="417"/>
      <c r="X521" s="417"/>
      <c r="Y521" s="418" t="s">
        <v>377</v>
      </c>
      <c r="Z521" s="496"/>
      <c r="AA521" s="492"/>
    </row>
    <row r="522" spans="1:27" s="128" customFormat="1" ht="18" customHeight="1">
      <c r="A522" s="405">
        <v>11</v>
      </c>
      <c r="B522" s="407" t="s">
        <v>1141</v>
      </c>
      <c r="C522" s="406" t="s">
        <v>66</v>
      </c>
      <c r="D522" s="407" t="s">
        <v>1361</v>
      </c>
      <c r="E522" s="408">
        <v>15</v>
      </c>
      <c r="F522" s="409"/>
      <c r="G522" s="410">
        <f t="shared" si="20"/>
        <v>0</v>
      </c>
      <c r="H522" s="411"/>
      <c r="I522" s="407"/>
      <c r="J522" s="411"/>
      <c r="K522" s="407" t="s">
        <v>1347</v>
      </c>
      <c r="L522" s="412" t="s">
        <v>1348</v>
      </c>
      <c r="M522" s="407" t="s">
        <v>1360</v>
      </c>
      <c r="N522" s="412"/>
      <c r="O522" s="412"/>
      <c r="P522" s="412" t="s">
        <v>1350</v>
      </c>
      <c r="Q522" s="413" t="s">
        <v>726</v>
      </c>
      <c r="R522" s="413" t="s">
        <v>1144</v>
      </c>
      <c r="S522" s="414" t="s">
        <v>727</v>
      </c>
      <c r="T522" s="414"/>
      <c r="U522" s="415"/>
      <c r="V522" s="416"/>
      <c r="W522" s="417"/>
      <c r="X522" s="417"/>
      <c r="Y522" s="418" t="s">
        <v>377</v>
      </c>
      <c r="Z522" s="496"/>
      <c r="AA522" s="492"/>
    </row>
    <row r="523" spans="1:27" s="128" customFormat="1" ht="18" customHeight="1">
      <c r="A523" s="405">
        <v>12</v>
      </c>
      <c r="B523" s="407" t="s">
        <v>1216</v>
      </c>
      <c r="C523" s="406" t="s">
        <v>66</v>
      </c>
      <c r="D523" s="407" t="s">
        <v>1217</v>
      </c>
      <c r="E523" s="408">
        <v>23</v>
      </c>
      <c r="F523" s="409"/>
      <c r="G523" s="410">
        <f t="shared" si="20"/>
        <v>0</v>
      </c>
      <c r="H523" s="411"/>
      <c r="I523" s="407"/>
      <c r="J523" s="411"/>
      <c r="K523" s="407" t="s">
        <v>1347</v>
      </c>
      <c r="L523" s="412" t="s">
        <v>1348</v>
      </c>
      <c r="M523" s="407" t="s">
        <v>1360</v>
      </c>
      <c r="N523" s="412"/>
      <c r="O523" s="412"/>
      <c r="P523" s="412" t="s">
        <v>1350</v>
      </c>
      <c r="Q523" s="413" t="s">
        <v>726</v>
      </c>
      <c r="R523" s="413" t="s">
        <v>1144</v>
      </c>
      <c r="S523" s="414" t="s">
        <v>800</v>
      </c>
      <c r="T523" s="414"/>
      <c r="U523" s="415"/>
      <c r="V523" s="416"/>
      <c r="W523" s="417"/>
      <c r="X523" s="417"/>
      <c r="Y523" s="418" t="s">
        <v>377</v>
      </c>
      <c r="Z523" s="419"/>
      <c r="AA523" s="492"/>
    </row>
    <row r="524" spans="1:27" s="128" customFormat="1" ht="18" customHeight="1">
      <c r="A524" s="443">
        <v>13</v>
      </c>
      <c r="B524" s="444" t="s">
        <v>463</v>
      </c>
      <c r="C524" s="445" t="s">
        <v>66</v>
      </c>
      <c r="D524" s="444" t="s">
        <v>1207</v>
      </c>
      <c r="E524" s="446">
        <v>1</v>
      </c>
      <c r="F524" s="447"/>
      <c r="G524" s="448">
        <f t="shared" si="20"/>
        <v>0</v>
      </c>
      <c r="H524" s="449"/>
      <c r="I524" s="444"/>
      <c r="J524" s="449"/>
      <c r="K524" s="444" t="s">
        <v>1347</v>
      </c>
      <c r="L524" s="450" t="s">
        <v>1348</v>
      </c>
      <c r="M524" s="444" t="s">
        <v>1362</v>
      </c>
      <c r="N524" s="450"/>
      <c r="O524" s="450"/>
      <c r="P524" s="450" t="s">
        <v>1350</v>
      </c>
      <c r="Q524" s="451" t="s">
        <v>374</v>
      </c>
      <c r="R524" s="451" t="s">
        <v>237</v>
      </c>
      <c r="S524" s="452" t="s">
        <v>842</v>
      </c>
      <c r="T524" s="452"/>
      <c r="U524" s="453"/>
      <c r="V524" s="454"/>
      <c r="W524" s="455" t="s">
        <v>406</v>
      </c>
      <c r="X524" s="455">
        <v>45610</v>
      </c>
      <c r="Y524" s="456" t="s">
        <v>377</v>
      </c>
      <c r="Z524" s="457"/>
      <c r="AA524" s="494"/>
    </row>
    <row r="525" spans="1:27" s="128" customFormat="1" ht="18" customHeight="1">
      <c r="A525" s="443">
        <v>14</v>
      </c>
      <c r="B525" s="444" t="s">
        <v>1209</v>
      </c>
      <c r="C525" s="445" t="s">
        <v>66</v>
      </c>
      <c r="D525" s="444" t="s">
        <v>1210</v>
      </c>
      <c r="E525" s="446">
        <v>1</v>
      </c>
      <c r="F525" s="447"/>
      <c r="G525" s="448">
        <f t="shared" si="20"/>
        <v>0</v>
      </c>
      <c r="H525" s="449"/>
      <c r="I525" s="444"/>
      <c r="J525" s="449"/>
      <c r="K525" s="444" t="s">
        <v>1347</v>
      </c>
      <c r="L525" s="450" t="s">
        <v>1348</v>
      </c>
      <c r="M525" s="444" t="s">
        <v>1362</v>
      </c>
      <c r="N525" s="450"/>
      <c r="O525" s="450"/>
      <c r="P525" s="450" t="s">
        <v>1350</v>
      </c>
      <c r="Q525" s="451" t="s">
        <v>374</v>
      </c>
      <c r="R525" s="451" t="s">
        <v>237</v>
      </c>
      <c r="S525" s="452" t="s">
        <v>842</v>
      </c>
      <c r="T525" s="452"/>
      <c r="U525" s="453"/>
      <c r="V525" s="454"/>
      <c r="W525" s="455" t="s">
        <v>406</v>
      </c>
      <c r="X525" s="455">
        <v>45610</v>
      </c>
      <c r="Y525" s="456" t="s">
        <v>377</v>
      </c>
      <c r="Z525" s="457"/>
      <c r="AA525" s="494"/>
    </row>
    <row r="526" spans="1:27" s="128" customFormat="1" ht="18" customHeight="1">
      <c r="A526" s="405">
        <v>15</v>
      </c>
      <c r="B526" s="407" t="s">
        <v>1363</v>
      </c>
      <c r="C526" s="406" t="s">
        <v>66</v>
      </c>
      <c r="D526" s="407" t="s">
        <v>1364</v>
      </c>
      <c r="E526" s="408">
        <v>3</v>
      </c>
      <c r="F526" s="409"/>
      <c r="G526" s="410">
        <f t="shared" si="20"/>
        <v>0</v>
      </c>
      <c r="H526" s="411"/>
      <c r="I526" s="407"/>
      <c r="J526" s="411"/>
      <c r="K526" s="407" t="s">
        <v>1347</v>
      </c>
      <c r="L526" s="412" t="s">
        <v>1348</v>
      </c>
      <c r="M526" s="407" t="s">
        <v>1365</v>
      </c>
      <c r="N526" s="412"/>
      <c r="O526" s="412"/>
      <c r="P526" s="412" t="s">
        <v>1350</v>
      </c>
      <c r="Q526" s="413" t="s">
        <v>726</v>
      </c>
      <c r="R526" s="413" t="s">
        <v>432</v>
      </c>
      <c r="S526" s="414" t="s">
        <v>1366</v>
      </c>
      <c r="T526" s="414"/>
      <c r="U526" s="415"/>
      <c r="V526" s="416"/>
      <c r="W526" s="417"/>
      <c r="X526" s="417"/>
      <c r="Y526" s="418" t="s">
        <v>377</v>
      </c>
      <c r="Z526" s="419" t="s">
        <v>4772</v>
      </c>
      <c r="AA526" s="492"/>
    </row>
    <row r="527" spans="1:27" s="128" customFormat="1" ht="18" customHeight="1">
      <c r="A527" s="443">
        <v>16</v>
      </c>
      <c r="B527" s="444" t="s">
        <v>1367</v>
      </c>
      <c r="C527" s="445" t="s">
        <v>66</v>
      </c>
      <c r="D527" s="444" t="s">
        <v>1368</v>
      </c>
      <c r="E527" s="446">
        <v>3</v>
      </c>
      <c r="F527" s="447"/>
      <c r="G527" s="448">
        <f t="shared" si="20"/>
        <v>0</v>
      </c>
      <c r="H527" s="449"/>
      <c r="I527" s="444"/>
      <c r="J527" s="449"/>
      <c r="K527" s="444"/>
      <c r="L527" s="450"/>
      <c r="M527" s="444"/>
      <c r="N527" s="450"/>
      <c r="O527" s="450"/>
      <c r="P527" s="450"/>
      <c r="Q527" s="451" t="s">
        <v>374</v>
      </c>
      <c r="R527" s="451"/>
      <c r="S527" s="452"/>
      <c r="T527" s="452" t="s">
        <v>481</v>
      </c>
      <c r="U527" s="453"/>
      <c r="V527" s="454"/>
      <c r="W527" s="455" t="s">
        <v>406</v>
      </c>
      <c r="X527" s="455">
        <v>45601</v>
      </c>
      <c r="Y527" s="456" t="s">
        <v>377</v>
      </c>
      <c r="Z527" s="457"/>
      <c r="AA527" s="494"/>
    </row>
    <row r="528" spans="1:27" s="128" customFormat="1" ht="18" customHeight="1">
      <c r="A528" s="405">
        <v>17</v>
      </c>
      <c r="B528" s="407" t="s">
        <v>1369</v>
      </c>
      <c r="C528" s="406" t="s">
        <v>66</v>
      </c>
      <c r="D528" s="407" t="s">
        <v>1370</v>
      </c>
      <c r="E528" s="408">
        <v>2</v>
      </c>
      <c r="F528" s="409"/>
      <c r="G528" s="410">
        <f t="shared" si="20"/>
        <v>0</v>
      </c>
      <c r="H528" s="411"/>
      <c r="I528" s="407"/>
      <c r="J528" s="411"/>
      <c r="K528" s="407" t="s">
        <v>1347</v>
      </c>
      <c r="L528" s="412" t="s">
        <v>1348</v>
      </c>
      <c r="M528" s="407" t="s">
        <v>1371</v>
      </c>
      <c r="N528" s="412"/>
      <c r="O528" s="412"/>
      <c r="P528" s="412" t="s">
        <v>1350</v>
      </c>
      <c r="Q528" s="413" t="s">
        <v>726</v>
      </c>
      <c r="R528" s="413" t="s">
        <v>249</v>
      </c>
      <c r="S528" s="414" t="s">
        <v>727</v>
      </c>
      <c r="T528" s="414"/>
      <c r="U528" s="415"/>
      <c r="V528" s="416"/>
      <c r="W528" s="417"/>
      <c r="X528" s="417"/>
      <c r="Y528" s="418" t="s">
        <v>377</v>
      </c>
      <c r="Z528" s="419"/>
      <c r="AA528" s="492"/>
    </row>
    <row r="529" spans="1:27" s="128" customFormat="1" ht="18" customHeight="1">
      <c r="A529" s="405">
        <v>18</v>
      </c>
      <c r="B529" s="407" t="s">
        <v>1372</v>
      </c>
      <c r="C529" s="406" t="s">
        <v>66</v>
      </c>
      <c r="D529" s="407" t="s">
        <v>1373</v>
      </c>
      <c r="E529" s="408">
        <v>4</v>
      </c>
      <c r="F529" s="409"/>
      <c r="G529" s="410">
        <f t="shared" si="20"/>
        <v>0</v>
      </c>
      <c r="H529" s="411"/>
      <c r="I529" s="407"/>
      <c r="J529" s="411"/>
      <c r="K529" s="407" t="s">
        <v>1347</v>
      </c>
      <c r="L529" s="412" t="s">
        <v>1348</v>
      </c>
      <c r="M529" s="407" t="s">
        <v>1371</v>
      </c>
      <c r="N529" s="412"/>
      <c r="O529" s="412"/>
      <c r="P529" s="412" t="s">
        <v>1350</v>
      </c>
      <c r="Q529" s="413" t="s">
        <v>726</v>
      </c>
      <c r="R529" s="413" t="s">
        <v>249</v>
      </c>
      <c r="S529" s="414" t="s">
        <v>727</v>
      </c>
      <c r="T529" s="414"/>
      <c r="U529" s="415"/>
      <c r="V529" s="416"/>
      <c r="W529" s="417"/>
      <c r="X529" s="417"/>
      <c r="Y529" s="418" t="s">
        <v>377</v>
      </c>
      <c r="Z529" s="419"/>
      <c r="AA529" s="492"/>
    </row>
    <row r="530" spans="1:27" s="128" customFormat="1" ht="18" customHeight="1">
      <c r="A530" s="405">
        <v>19</v>
      </c>
      <c r="B530" s="407" t="s">
        <v>1374</v>
      </c>
      <c r="C530" s="406" t="s">
        <v>66</v>
      </c>
      <c r="D530" s="407" t="s">
        <v>1375</v>
      </c>
      <c r="E530" s="408">
        <v>1</v>
      </c>
      <c r="F530" s="409"/>
      <c r="G530" s="410">
        <f t="shared" si="20"/>
        <v>0</v>
      </c>
      <c r="H530" s="411"/>
      <c r="I530" s="407"/>
      <c r="J530" s="411"/>
      <c r="K530" s="407" t="s">
        <v>1347</v>
      </c>
      <c r="L530" s="412" t="s">
        <v>1348</v>
      </c>
      <c r="M530" s="407" t="s">
        <v>1371</v>
      </c>
      <c r="N530" s="412"/>
      <c r="O530" s="412"/>
      <c r="P530" s="412" t="s">
        <v>1350</v>
      </c>
      <c r="Q530" s="413" t="s">
        <v>726</v>
      </c>
      <c r="R530" s="413" t="s">
        <v>249</v>
      </c>
      <c r="S530" s="414" t="s">
        <v>727</v>
      </c>
      <c r="T530" s="414"/>
      <c r="U530" s="415"/>
      <c r="V530" s="416"/>
      <c r="W530" s="417"/>
      <c r="X530" s="417"/>
      <c r="Y530" s="418" t="s">
        <v>377</v>
      </c>
      <c r="Z530" s="419"/>
      <c r="AA530" s="492"/>
    </row>
    <row r="531" spans="1:27" s="128" customFormat="1" ht="18" customHeight="1">
      <c r="A531" s="405">
        <v>20</v>
      </c>
      <c r="B531" s="407" t="s">
        <v>1376</v>
      </c>
      <c r="C531" s="406" t="s">
        <v>66</v>
      </c>
      <c r="D531" s="407" t="s">
        <v>1377</v>
      </c>
      <c r="E531" s="408">
        <v>2</v>
      </c>
      <c r="F531" s="409"/>
      <c r="G531" s="410">
        <f t="shared" si="20"/>
        <v>0</v>
      </c>
      <c r="H531" s="411"/>
      <c r="I531" s="407"/>
      <c r="J531" s="411"/>
      <c r="K531" s="407" t="s">
        <v>1347</v>
      </c>
      <c r="L531" s="412" t="s">
        <v>1348</v>
      </c>
      <c r="M531" s="407" t="s">
        <v>1371</v>
      </c>
      <c r="N531" s="412"/>
      <c r="O531" s="412"/>
      <c r="P531" s="412" t="s">
        <v>1350</v>
      </c>
      <c r="Q531" s="413" t="s">
        <v>726</v>
      </c>
      <c r="R531" s="413" t="s">
        <v>249</v>
      </c>
      <c r="S531" s="414" t="s">
        <v>727</v>
      </c>
      <c r="T531" s="414"/>
      <c r="U531" s="415"/>
      <c r="V531" s="416"/>
      <c r="W531" s="417"/>
      <c r="X531" s="417"/>
      <c r="Y531" s="418" t="s">
        <v>377</v>
      </c>
      <c r="Z531" s="419"/>
      <c r="AA531" s="492"/>
    </row>
    <row r="532" spans="1:27" s="128" customFormat="1" ht="18" customHeight="1">
      <c r="A532" s="405">
        <v>21</v>
      </c>
      <c r="B532" s="407" t="s">
        <v>1378</v>
      </c>
      <c r="C532" s="406" t="s">
        <v>66</v>
      </c>
      <c r="D532" s="407" t="s">
        <v>1379</v>
      </c>
      <c r="E532" s="408">
        <v>1</v>
      </c>
      <c r="F532" s="409"/>
      <c r="G532" s="410">
        <f t="shared" si="20"/>
        <v>0</v>
      </c>
      <c r="H532" s="411"/>
      <c r="I532" s="407"/>
      <c r="J532" s="411"/>
      <c r="K532" s="407" t="s">
        <v>1347</v>
      </c>
      <c r="L532" s="412" t="s">
        <v>1348</v>
      </c>
      <c r="M532" s="407" t="s">
        <v>1371</v>
      </c>
      <c r="N532" s="412"/>
      <c r="O532" s="412"/>
      <c r="P532" s="412" t="s">
        <v>1350</v>
      </c>
      <c r="Q532" s="413" t="s">
        <v>726</v>
      </c>
      <c r="R532" s="413" t="s">
        <v>249</v>
      </c>
      <c r="S532" s="414" t="s">
        <v>727</v>
      </c>
      <c r="T532" s="414"/>
      <c r="U532" s="415"/>
      <c r="V532" s="416"/>
      <c r="W532" s="417"/>
      <c r="X532" s="417"/>
      <c r="Y532" s="418" t="s">
        <v>377</v>
      </c>
      <c r="Z532" s="419"/>
      <c r="AA532" s="492"/>
    </row>
    <row r="533" spans="1:27" s="128" customFormat="1" ht="18" customHeight="1">
      <c r="A533" s="405">
        <v>22</v>
      </c>
      <c r="B533" s="407" t="s">
        <v>1380</v>
      </c>
      <c r="C533" s="406" t="s">
        <v>66</v>
      </c>
      <c r="D533" s="407" t="s">
        <v>1381</v>
      </c>
      <c r="E533" s="408">
        <v>4</v>
      </c>
      <c r="F533" s="409"/>
      <c r="G533" s="410">
        <f t="shared" si="20"/>
        <v>0</v>
      </c>
      <c r="H533" s="411"/>
      <c r="I533" s="407"/>
      <c r="J533" s="411"/>
      <c r="K533" s="407" t="s">
        <v>1347</v>
      </c>
      <c r="L533" s="412" t="s">
        <v>1348</v>
      </c>
      <c r="M533" s="407" t="s">
        <v>1371</v>
      </c>
      <c r="N533" s="412"/>
      <c r="O533" s="412"/>
      <c r="P533" s="412" t="s">
        <v>1350</v>
      </c>
      <c r="Q533" s="413" t="s">
        <v>726</v>
      </c>
      <c r="R533" s="413" t="s">
        <v>249</v>
      </c>
      <c r="S533" s="414" t="s">
        <v>727</v>
      </c>
      <c r="T533" s="414"/>
      <c r="U533" s="415"/>
      <c r="V533" s="416"/>
      <c r="W533" s="417"/>
      <c r="X533" s="417"/>
      <c r="Y533" s="418" t="s">
        <v>377</v>
      </c>
      <c r="Z533" s="419"/>
      <c r="AA533" s="492"/>
    </row>
    <row r="534" spans="1:27" s="128" customFormat="1" ht="18" customHeight="1">
      <c r="A534" s="405">
        <v>23</v>
      </c>
      <c r="B534" s="407" t="s">
        <v>1382</v>
      </c>
      <c r="C534" s="406" t="s">
        <v>66</v>
      </c>
      <c r="D534" s="407" t="s">
        <v>1383</v>
      </c>
      <c r="E534" s="408">
        <v>3</v>
      </c>
      <c r="F534" s="409"/>
      <c r="G534" s="410">
        <f t="shared" si="20"/>
        <v>0</v>
      </c>
      <c r="H534" s="411"/>
      <c r="I534" s="407"/>
      <c r="J534" s="411"/>
      <c r="K534" s="407" t="s">
        <v>1347</v>
      </c>
      <c r="L534" s="412" t="s">
        <v>1348</v>
      </c>
      <c r="M534" s="407" t="s">
        <v>1371</v>
      </c>
      <c r="N534" s="412"/>
      <c r="O534" s="412"/>
      <c r="P534" s="412" t="s">
        <v>1350</v>
      </c>
      <c r="Q534" s="413" t="s">
        <v>726</v>
      </c>
      <c r="R534" s="413" t="s">
        <v>249</v>
      </c>
      <c r="S534" s="414" t="s">
        <v>727</v>
      </c>
      <c r="T534" s="414"/>
      <c r="U534" s="415"/>
      <c r="V534" s="416"/>
      <c r="W534" s="417"/>
      <c r="X534" s="417"/>
      <c r="Y534" s="418" t="s">
        <v>377</v>
      </c>
      <c r="Z534" s="419"/>
      <c r="AA534" s="492"/>
    </row>
    <row r="535" spans="1:27" s="128" customFormat="1" ht="18" customHeight="1">
      <c r="A535" s="405">
        <v>24</v>
      </c>
      <c r="B535" s="407" t="s">
        <v>1384</v>
      </c>
      <c r="C535" s="406" t="s">
        <v>66</v>
      </c>
      <c r="D535" s="407" t="s">
        <v>1385</v>
      </c>
      <c r="E535" s="408">
        <v>1</v>
      </c>
      <c r="F535" s="409"/>
      <c r="G535" s="410">
        <f t="shared" si="20"/>
        <v>0</v>
      </c>
      <c r="H535" s="411"/>
      <c r="I535" s="407"/>
      <c r="J535" s="411"/>
      <c r="K535" s="407" t="s">
        <v>1347</v>
      </c>
      <c r="L535" s="412" t="s">
        <v>1348</v>
      </c>
      <c r="M535" s="407" t="s">
        <v>1371</v>
      </c>
      <c r="N535" s="412"/>
      <c r="O535" s="412"/>
      <c r="P535" s="412" t="s">
        <v>1350</v>
      </c>
      <c r="Q535" s="413" t="s">
        <v>726</v>
      </c>
      <c r="R535" s="413" t="s">
        <v>249</v>
      </c>
      <c r="S535" s="414" t="s">
        <v>727</v>
      </c>
      <c r="T535" s="414"/>
      <c r="U535" s="415"/>
      <c r="V535" s="416"/>
      <c r="W535" s="417"/>
      <c r="X535" s="417"/>
      <c r="Y535" s="418" t="s">
        <v>377</v>
      </c>
      <c r="Z535" s="419"/>
      <c r="AA535" s="492"/>
    </row>
    <row r="536" spans="1:27" s="128" customFormat="1" ht="18" customHeight="1">
      <c r="A536" s="405">
        <v>25</v>
      </c>
      <c r="B536" s="407" t="s">
        <v>1386</v>
      </c>
      <c r="C536" s="406" t="s">
        <v>66</v>
      </c>
      <c r="D536" s="407" t="s">
        <v>1387</v>
      </c>
      <c r="E536" s="408">
        <v>1</v>
      </c>
      <c r="F536" s="409"/>
      <c r="G536" s="410">
        <f t="shared" si="20"/>
        <v>0</v>
      </c>
      <c r="H536" s="411"/>
      <c r="I536" s="407"/>
      <c r="J536" s="411"/>
      <c r="K536" s="407" t="s">
        <v>1347</v>
      </c>
      <c r="L536" s="412" t="s">
        <v>1348</v>
      </c>
      <c r="M536" s="407" t="s">
        <v>1371</v>
      </c>
      <c r="N536" s="412"/>
      <c r="O536" s="412"/>
      <c r="P536" s="412" t="s">
        <v>1350</v>
      </c>
      <c r="Q536" s="413" t="s">
        <v>726</v>
      </c>
      <c r="R536" s="413" t="s">
        <v>249</v>
      </c>
      <c r="S536" s="414" t="s">
        <v>727</v>
      </c>
      <c r="T536" s="414"/>
      <c r="U536" s="415"/>
      <c r="V536" s="416"/>
      <c r="W536" s="417"/>
      <c r="X536" s="417"/>
      <c r="Y536" s="418" t="s">
        <v>377</v>
      </c>
      <c r="Z536" s="419"/>
      <c r="AA536" s="492"/>
    </row>
    <row r="537" spans="1:27" s="128" customFormat="1" ht="18" customHeight="1">
      <c r="A537" s="405">
        <v>26</v>
      </c>
      <c r="B537" s="407" t="s">
        <v>1388</v>
      </c>
      <c r="C537" s="406" t="s">
        <v>66</v>
      </c>
      <c r="D537" s="407" t="s">
        <v>1389</v>
      </c>
      <c r="E537" s="408">
        <v>1</v>
      </c>
      <c r="F537" s="409"/>
      <c r="G537" s="410">
        <f t="shared" si="20"/>
        <v>0</v>
      </c>
      <c r="H537" s="411"/>
      <c r="I537" s="407"/>
      <c r="J537" s="411"/>
      <c r="K537" s="407" t="s">
        <v>1347</v>
      </c>
      <c r="L537" s="412" t="s">
        <v>1348</v>
      </c>
      <c r="M537" s="407" t="s">
        <v>1371</v>
      </c>
      <c r="N537" s="412"/>
      <c r="O537" s="412"/>
      <c r="P537" s="412" t="s">
        <v>1350</v>
      </c>
      <c r="Q537" s="413" t="s">
        <v>726</v>
      </c>
      <c r="R537" s="413" t="s">
        <v>249</v>
      </c>
      <c r="S537" s="414" t="s">
        <v>727</v>
      </c>
      <c r="T537" s="414"/>
      <c r="U537" s="415"/>
      <c r="V537" s="416"/>
      <c r="W537" s="417"/>
      <c r="X537" s="417"/>
      <c r="Y537" s="418" t="s">
        <v>377</v>
      </c>
      <c r="Z537" s="419"/>
      <c r="AA537" s="492"/>
    </row>
    <row r="538" spans="1:27" s="128" customFormat="1" ht="18" customHeight="1">
      <c r="A538" s="405">
        <v>27</v>
      </c>
      <c r="B538" s="407" t="s">
        <v>1390</v>
      </c>
      <c r="C538" s="406" t="s">
        <v>66</v>
      </c>
      <c r="D538" s="407" t="s">
        <v>1391</v>
      </c>
      <c r="E538" s="408">
        <v>4</v>
      </c>
      <c r="F538" s="409"/>
      <c r="G538" s="410">
        <f t="shared" si="20"/>
        <v>0</v>
      </c>
      <c r="H538" s="411"/>
      <c r="I538" s="407"/>
      <c r="J538" s="411"/>
      <c r="K538" s="407" t="s">
        <v>1347</v>
      </c>
      <c r="L538" s="412" t="s">
        <v>1348</v>
      </c>
      <c r="M538" s="407" t="s">
        <v>1371</v>
      </c>
      <c r="N538" s="412"/>
      <c r="O538" s="412"/>
      <c r="P538" s="412" t="s">
        <v>1350</v>
      </c>
      <c r="Q538" s="413" t="s">
        <v>726</v>
      </c>
      <c r="R538" s="413" t="s">
        <v>249</v>
      </c>
      <c r="S538" s="414" t="s">
        <v>727</v>
      </c>
      <c r="T538" s="414"/>
      <c r="U538" s="415"/>
      <c r="V538" s="416"/>
      <c r="W538" s="417"/>
      <c r="X538" s="417"/>
      <c r="Y538" s="418" t="s">
        <v>377</v>
      </c>
      <c r="Z538" s="419"/>
      <c r="AA538" s="492"/>
    </row>
    <row r="539" spans="1:27" s="128" customFormat="1" ht="18" customHeight="1">
      <c r="A539" s="405">
        <v>28</v>
      </c>
      <c r="B539" s="407" t="s">
        <v>1392</v>
      </c>
      <c r="C539" s="406" t="s">
        <v>66</v>
      </c>
      <c r="D539" s="407" t="s">
        <v>1393</v>
      </c>
      <c r="E539" s="408">
        <v>4</v>
      </c>
      <c r="F539" s="409"/>
      <c r="G539" s="410">
        <f t="shared" si="20"/>
        <v>0</v>
      </c>
      <c r="H539" s="411"/>
      <c r="I539" s="407"/>
      <c r="J539" s="411"/>
      <c r="K539" s="407" t="s">
        <v>1347</v>
      </c>
      <c r="L539" s="412" t="s">
        <v>1348</v>
      </c>
      <c r="M539" s="407" t="s">
        <v>1371</v>
      </c>
      <c r="N539" s="412"/>
      <c r="O539" s="412"/>
      <c r="P539" s="412" t="s">
        <v>1350</v>
      </c>
      <c r="Q539" s="413" t="s">
        <v>726</v>
      </c>
      <c r="R539" s="413" t="s">
        <v>249</v>
      </c>
      <c r="S539" s="414" t="s">
        <v>727</v>
      </c>
      <c r="T539" s="414"/>
      <c r="U539" s="415"/>
      <c r="V539" s="416"/>
      <c r="W539" s="417"/>
      <c r="X539" s="417"/>
      <c r="Y539" s="418" t="s">
        <v>377</v>
      </c>
      <c r="Z539" s="419"/>
      <c r="AA539" s="492"/>
    </row>
    <row r="540" spans="1:27" s="128" customFormat="1" ht="18" customHeight="1">
      <c r="A540" s="405">
        <v>29</v>
      </c>
      <c r="B540" s="407" t="s">
        <v>1394</v>
      </c>
      <c r="C540" s="406" t="s">
        <v>66</v>
      </c>
      <c r="D540" s="407" t="s">
        <v>1395</v>
      </c>
      <c r="E540" s="408">
        <v>1</v>
      </c>
      <c r="F540" s="409"/>
      <c r="G540" s="410">
        <f t="shared" si="20"/>
        <v>0</v>
      </c>
      <c r="H540" s="411"/>
      <c r="I540" s="407"/>
      <c r="J540" s="411"/>
      <c r="K540" s="407" t="s">
        <v>1347</v>
      </c>
      <c r="L540" s="412" t="s">
        <v>1348</v>
      </c>
      <c r="M540" s="407" t="s">
        <v>1371</v>
      </c>
      <c r="N540" s="412"/>
      <c r="O540" s="412"/>
      <c r="P540" s="412" t="s">
        <v>1350</v>
      </c>
      <c r="Q540" s="413" t="s">
        <v>726</v>
      </c>
      <c r="R540" s="413" t="s">
        <v>249</v>
      </c>
      <c r="S540" s="414" t="s">
        <v>727</v>
      </c>
      <c r="T540" s="414"/>
      <c r="U540" s="415"/>
      <c r="V540" s="416"/>
      <c r="W540" s="417"/>
      <c r="X540" s="417"/>
      <c r="Y540" s="418" t="s">
        <v>377</v>
      </c>
      <c r="Z540" s="419"/>
      <c r="AA540" s="492"/>
    </row>
    <row r="541" spans="1:27" s="128" customFormat="1" ht="18" customHeight="1">
      <c r="A541" s="405">
        <v>30</v>
      </c>
      <c r="B541" s="407" t="s">
        <v>1396</v>
      </c>
      <c r="C541" s="406" t="s">
        <v>66</v>
      </c>
      <c r="D541" s="407" t="s">
        <v>1397</v>
      </c>
      <c r="E541" s="408">
        <v>2</v>
      </c>
      <c r="F541" s="409"/>
      <c r="G541" s="410">
        <f t="shared" si="20"/>
        <v>0</v>
      </c>
      <c r="H541" s="411"/>
      <c r="I541" s="407"/>
      <c r="J541" s="411"/>
      <c r="K541" s="407" t="s">
        <v>1347</v>
      </c>
      <c r="L541" s="412" t="s">
        <v>1348</v>
      </c>
      <c r="M541" s="407" t="s">
        <v>1371</v>
      </c>
      <c r="N541" s="412"/>
      <c r="O541" s="412"/>
      <c r="P541" s="412" t="s">
        <v>1350</v>
      </c>
      <c r="Q541" s="413" t="s">
        <v>726</v>
      </c>
      <c r="R541" s="413" t="s">
        <v>249</v>
      </c>
      <c r="S541" s="414" t="s">
        <v>727</v>
      </c>
      <c r="T541" s="414"/>
      <c r="U541" s="415"/>
      <c r="V541" s="416"/>
      <c r="W541" s="417"/>
      <c r="X541" s="417"/>
      <c r="Y541" s="418" t="s">
        <v>377</v>
      </c>
      <c r="Z541" s="419"/>
      <c r="AA541" s="492"/>
    </row>
    <row r="542" spans="1:27" s="128" customFormat="1" ht="18" customHeight="1">
      <c r="A542" s="405">
        <v>31</v>
      </c>
      <c r="B542" s="407" t="s">
        <v>1398</v>
      </c>
      <c r="C542" s="406" t="s">
        <v>66</v>
      </c>
      <c r="D542" s="407" t="s">
        <v>1399</v>
      </c>
      <c r="E542" s="408">
        <v>1</v>
      </c>
      <c r="F542" s="409"/>
      <c r="G542" s="410">
        <f t="shared" si="20"/>
        <v>0</v>
      </c>
      <c r="H542" s="411"/>
      <c r="I542" s="407"/>
      <c r="J542" s="411"/>
      <c r="K542" s="407" t="s">
        <v>1347</v>
      </c>
      <c r="L542" s="412" t="s">
        <v>1348</v>
      </c>
      <c r="M542" s="407" t="s">
        <v>1371</v>
      </c>
      <c r="N542" s="412"/>
      <c r="O542" s="412"/>
      <c r="P542" s="412" t="s">
        <v>1350</v>
      </c>
      <c r="Q542" s="413" t="s">
        <v>726</v>
      </c>
      <c r="R542" s="413" t="s">
        <v>249</v>
      </c>
      <c r="S542" s="414" t="s">
        <v>727</v>
      </c>
      <c r="T542" s="414"/>
      <c r="U542" s="415"/>
      <c r="V542" s="416"/>
      <c r="W542" s="417"/>
      <c r="X542" s="417"/>
      <c r="Y542" s="418" t="s">
        <v>377</v>
      </c>
      <c r="Z542" s="419"/>
      <c r="AA542" s="492"/>
    </row>
    <row r="543" spans="1:27" s="128" customFormat="1" ht="18" customHeight="1">
      <c r="A543" s="405">
        <v>32</v>
      </c>
      <c r="B543" s="407" t="s">
        <v>1400</v>
      </c>
      <c r="C543" s="406" t="s">
        <v>66</v>
      </c>
      <c r="D543" s="407" t="s">
        <v>1401</v>
      </c>
      <c r="E543" s="408">
        <v>2</v>
      </c>
      <c r="F543" s="409"/>
      <c r="G543" s="410">
        <f t="shared" si="20"/>
        <v>0</v>
      </c>
      <c r="H543" s="411"/>
      <c r="I543" s="407"/>
      <c r="J543" s="411"/>
      <c r="K543" s="407" t="s">
        <v>1347</v>
      </c>
      <c r="L543" s="412" t="s">
        <v>1348</v>
      </c>
      <c r="M543" s="407" t="s">
        <v>1371</v>
      </c>
      <c r="N543" s="412"/>
      <c r="O543" s="412"/>
      <c r="P543" s="412" t="s">
        <v>1350</v>
      </c>
      <c r="Q543" s="413" t="s">
        <v>726</v>
      </c>
      <c r="R543" s="413" t="s">
        <v>249</v>
      </c>
      <c r="S543" s="414" t="s">
        <v>727</v>
      </c>
      <c r="T543" s="414"/>
      <c r="U543" s="415"/>
      <c r="V543" s="416"/>
      <c r="W543" s="417"/>
      <c r="X543" s="417"/>
      <c r="Y543" s="418" t="s">
        <v>377</v>
      </c>
      <c r="Z543" s="419"/>
      <c r="AA543" s="492"/>
    </row>
    <row r="544" spans="1:27" s="128" customFormat="1" ht="18" customHeight="1">
      <c r="A544" s="443">
        <v>33</v>
      </c>
      <c r="B544" s="444" t="s">
        <v>1402</v>
      </c>
      <c r="C544" s="445" t="s">
        <v>66</v>
      </c>
      <c r="D544" s="444" t="s">
        <v>1403</v>
      </c>
      <c r="E544" s="446">
        <v>4</v>
      </c>
      <c r="F544" s="447"/>
      <c r="G544" s="448">
        <f t="shared" ref="G544:G575" si="21">E544*F544</f>
        <v>0</v>
      </c>
      <c r="H544" s="449"/>
      <c r="I544" s="444"/>
      <c r="J544" s="449"/>
      <c r="K544" s="444"/>
      <c r="L544" s="450"/>
      <c r="M544" s="444"/>
      <c r="N544" s="450"/>
      <c r="O544" s="450"/>
      <c r="P544" s="450"/>
      <c r="Q544" s="451" t="s">
        <v>374</v>
      </c>
      <c r="R544" s="451"/>
      <c r="S544" s="452"/>
      <c r="T544" s="452" t="s">
        <v>481</v>
      </c>
      <c r="U544" s="453"/>
      <c r="V544" s="454"/>
      <c r="W544" s="455" t="s">
        <v>406</v>
      </c>
      <c r="X544" s="455">
        <v>45601</v>
      </c>
      <c r="Y544" s="456" t="s">
        <v>377</v>
      </c>
      <c r="Z544" s="457"/>
      <c r="AA544" s="494"/>
    </row>
    <row r="545" spans="1:27" s="128" customFormat="1" ht="18" customHeight="1">
      <c r="A545" s="405">
        <v>34</v>
      </c>
      <c r="B545" s="407" t="s">
        <v>1404</v>
      </c>
      <c r="C545" s="406" t="s">
        <v>66</v>
      </c>
      <c r="D545" s="407" t="s">
        <v>1405</v>
      </c>
      <c r="E545" s="408">
        <v>2</v>
      </c>
      <c r="F545" s="409"/>
      <c r="G545" s="410">
        <f t="shared" si="21"/>
        <v>0</v>
      </c>
      <c r="H545" s="411"/>
      <c r="I545" s="407"/>
      <c r="J545" s="411"/>
      <c r="K545" s="407" t="s">
        <v>1347</v>
      </c>
      <c r="L545" s="412" t="s">
        <v>1348</v>
      </c>
      <c r="M545" s="407" t="s">
        <v>1371</v>
      </c>
      <c r="N545" s="412"/>
      <c r="O545" s="412"/>
      <c r="P545" s="412" t="s">
        <v>1350</v>
      </c>
      <c r="Q545" s="413" t="s">
        <v>726</v>
      </c>
      <c r="R545" s="413" t="s">
        <v>249</v>
      </c>
      <c r="S545" s="414" t="s">
        <v>727</v>
      </c>
      <c r="T545" s="414"/>
      <c r="U545" s="415"/>
      <c r="V545" s="416"/>
      <c r="W545" s="417"/>
      <c r="X545" s="417"/>
      <c r="Y545" s="418" t="s">
        <v>377</v>
      </c>
      <c r="Z545" s="419"/>
      <c r="AA545" s="492"/>
    </row>
    <row r="546" spans="1:27" s="128" customFormat="1" ht="18" customHeight="1">
      <c r="A546" s="405">
        <v>35</v>
      </c>
      <c r="B546" s="407" t="s">
        <v>1406</v>
      </c>
      <c r="C546" s="406" t="s">
        <v>66</v>
      </c>
      <c r="D546" s="407" t="s">
        <v>1407</v>
      </c>
      <c r="E546" s="408">
        <v>3</v>
      </c>
      <c r="F546" s="409"/>
      <c r="G546" s="410">
        <f t="shared" si="21"/>
        <v>0</v>
      </c>
      <c r="H546" s="411"/>
      <c r="I546" s="407"/>
      <c r="J546" s="411"/>
      <c r="K546" s="407" t="s">
        <v>1347</v>
      </c>
      <c r="L546" s="412" t="s">
        <v>1348</v>
      </c>
      <c r="M546" s="407" t="s">
        <v>1371</v>
      </c>
      <c r="N546" s="412"/>
      <c r="O546" s="412"/>
      <c r="P546" s="412" t="s">
        <v>1350</v>
      </c>
      <c r="Q546" s="413" t="s">
        <v>726</v>
      </c>
      <c r="R546" s="413" t="s">
        <v>249</v>
      </c>
      <c r="S546" s="414" t="s">
        <v>727</v>
      </c>
      <c r="T546" s="414"/>
      <c r="U546" s="415"/>
      <c r="V546" s="416"/>
      <c r="W546" s="417"/>
      <c r="X546" s="417"/>
      <c r="Y546" s="418" t="s">
        <v>377</v>
      </c>
      <c r="Z546" s="419"/>
      <c r="AA546" s="492"/>
    </row>
    <row r="547" spans="1:27" s="128" customFormat="1" ht="18" customHeight="1">
      <c r="A547" s="405">
        <v>36</v>
      </c>
      <c r="B547" s="407" t="s">
        <v>1408</v>
      </c>
      <c r="C547" s="406" t="s">
        <v>66</v>
      </c>
      <c r="D547" s="407" t="s">
        <v>1409</v>
      </c>
      <c r="E547" s="408">
        <v>1</v>
      </c>
      <c r="F547" s="409"/>
      <c r="G547" s="410">
        <f t="shared" si="21"/>
        <v>0</v>
      </c>
      <c r="H547" s="411"/>
      <c r="I547" s="407"/>
      <c r="J547" s="411"/>
      <c r="K547" s="407" t="s">
        <v>1347</v>
      </c>
      <c r="L547" s="412" t="s">
        <v>1348</v>
      </c>
      <c r="M547" s="407" t="s">
        <v>1371</v>
      </c>
      <c r="N547" s="412"/>
      <c r="O547" s="412"/>
      <c r="P547" s="412" t="s">
        <v>1350</v>
      </c>
      <c r="Q547" s="413" t="s">
        <v>726</v>
      </c>
      <c r="R547" s="413" t="s">
        <v>249</v>
      </c>
      <c r="S547" s="414" t="s">
        <v>727</v>
      </c>
      <c r="T547" s="414"/>
      <c r="U547" s="415"/>
      <c r="V547" s="416"/>
      <c r="W547" s="417"/>
      <c r="X547" s="417"/>
      <c r="Y547" s="418" t="s">
        <v>377</v>
      </c>
      <c r="Z547" s="419"/>
      <c r="AA547" s="492"/>
    </row>
    <row r="548" spans="1:27" s="128" customFormat="1" ht="18" customHeight="1">
      <c r="A548" s="405">
        <v>37</v>
      </c>
      <c r="B548" s="407" t="s">
        <v>1410</v>
      </c>
      <c r="C548" s="406" t="s">
        <v>66</v>
      </c>
      <c r="D548" s="407" t="s">
        <v>1411</v>
      </c>
      <c r="E548" s="408">
        <v>1</v>
      </c>
      <c r="F548" s="409"/>
      <c r="G548" s="410">
        <f t="shared" si="21"/>
        <v>0</v>
      </c>
      <c r="H548" s="411"/>
      <c r="I548" s="407"/>
      <c r="J548" s="411"/>
      <c r="K548" s="407" t="s">
        <v>1347</v>
      </c>
      <c r="L548" s="412" t="s">
        <v>1348</v>
      </c>
      <c r="M548" s="407" t="s">
        <v>1371</v>
      </c>
      <c r="N548" s="412"/>
      <c r="O548" s="412"/>
      <c r="P548" s="412" t="s">
        <v>1350</v>
      </c>
      <c r="Q548" s="413" t="s">
        <v>726</v>
      </c>
      <c r="R548" s="413" t="s">
        <v>249</v>
      </c>
      <c r="S548" s="414" t="s">
        <v>727</v>
      </c>
      <c r="T548" s="414"/>
      <c r="U548" s="415"/>
      <c r="V548" s="416"/>
      <c r="W548" s="417"/>
      <c r="X548" s="417"/>
      <c r="Y548" s="418" t="s">
        <v>377</v>
      </c>
      <c r="Z548" s="419"/>
      <c r="AA548" s="492"/>
    </row>
    <row r="549" spans="1:27" s="128" customFormat="1" ht="18" customHeight="1">
      <c r="A549" s="405">
        <v>38</v>
      </c>
      <c r="B549" s="407" t="s">
        <v>1412</v>
      </c>
      <c r="C549" s="406" t="s">
        <v>66</v>
      </c>
      <c r="D549" s="407" t="s">
        <v>1413</v>
      </c>
      <c r="E549" s="408">
        <v>1</v>
      </c>
      <c r="F549" s="409"/>
      <c r="G549" s="410">
        <f t="shared" si="21"/>
        <v>0</v>
      </c>
      <c r="H549" s="411"/>
      <c r="I549" s="407"/>
      <c r="J549" s="411"/>
      <c r="K549" s="407" t="s">
        <v>1347</v>
      </c>
      <c r="L549" s="412" t="s">
        <v>1348</v>
      </c>
      <c r="M549" s="407" t="s">
        <v>1371</v>
      </c>
      <c r="N549" s="412"/>
      <c r="O549" s="412"/>
      <c r="P549" s="412" t="s">
        <v>1350</v>
      </c>
      <c r="Q549" s="413" t="s">
        <v>726</v>
      </c>
      <c r="R549" s="413" t="s">
        <v>249</v>
      </c>
      <c r="S549" s="414" t="s">
        <v>727</v>
      </c>
      <c r="T549" s="414"/>
      <c r="U549" s="415"/>
      <c r="V549" s="416"/>
      <c r="W549" s="417"/>
      <c r="X549" s="417"/>
      <c r="Y549" s="418" t="s">
        <v>377</v>
      </c>
      <c r="Z549" s="419"/>
      <c r="AA549" s="492"/>
    </row>
    <row r="550" spans="1:27" s="128" customFormat="1" ht="18" customHeight="1">
      <c r="A550" s="405">
        <v>39</v>
      </c>
      <c r="B550" s="407" t="s">
        <v>1414</v>
      </c>
      <c r="C550" s="406" t="s">
        <v>66</v>
      </c>
      <c r="D550" s="407" t="s">
        <v>1415</v>
      </c>
      <c r="E550" s="408">
        <v>1</v>
      </c>
      <c r="F550" s="409"/>
      <c r="G550" s="410">
        <f t="shared" si="21"/>
        <v>0</v>
      </c>
      <c r="H550" s="411"/>
      <c r="I550" s="407"/>
      <c r="J550" s="411"/>
      <c r="K550" s="407" t="s">
        <v>1347</v>
      </c>
      <c r="L550" s="412" t="s">
        <v>1348</v>
      </c>
      <c r="M550" s="407" t="s">
        <v>1371</v>
      </c>
      <c r="N550" s="412"/>
      <c r="O550" s="412"/>
      <c r="P550" s="412" t="s">
        <v>1350</v>
      </c>
      <c r="Q550" s="413" t="s">
        <v>726</v>
      </c>
      <c r="R550" s="413" t="s">
        <v>249</v>
      </c>
      <c r="S550" s="414" t="s">
        <v>727</v>
      </c>
      <c r="T550" s="414"/>
      <c r="U550" s="415"/>
      <c r="V550" s="416"/>
      <c r="W550" s="417"/>
      <c r="X550" s="417"/>
      <c r="Y550" s="418" t="s">
        <v>377</v>
      </c>
      <c r="Z550" s="419"/>
      <c r="AA550" s="492"/>
    </row>
    <row r="551" spans="1:27" s="128" customFormat="1" ht="18" customHeight="1">
      <c r="A551" s="405">
        <v>40</v>
      </c>
      <c r="B551" s="407" t="s">
        <v>1416</v>
      </c>
      <c r="C551" s="406" t="s">
        <v>66</v>
      </c>
      <c r="D551" s="407" t="s">
        <v>1417</v>
      </c>
      <c r="E551" s="408">
        <v>2</v>
      </c>
      <c r="F551" s="409"/>
      <c r="G551" s="410">
        <f t="shared" si="21"/>
        <v>0</v>
      </c>
      <c r="H551" s="411"/>
      <c r="I551" s="407"/>
      <c r="J551" s="411"/>
      <c r="K551" s="407" t="s">
        <v>1347</v>
      </c>
      <c r="L551" s="412" t="s">
        <v>1348</v>
      </c>
      <c r="M551" s="407" t="s">
        <v>1371</v>
      </c>
      <c r="N551" s="412"/>
      <c r="O551" s="412"/>
      <c r="P551" s="412" t="s">
        <v>1350</v>
      </c>
      <c r="Q551" s="413" t="s">
        <v>726</v>
      </c>
      <c r="R551" s="413" t="s">
        <v>249</v>
      </c>
      <c r="S551" s="414" t="s">
        <v>727</v>
      </c>
      <c r="T551" s="414"/>
      <c r="U551" s="415"/>
      <c r="V551" s="416"/>
      <c r="W551" s="417"/>
      <c r="X551" s="417"/>
      <c r="Y551" s="418" t="s">
        <v>377</v>
      </c>
      <c r="Z551" s="419"/>
      <c r="AA551" s="492"/>
    </row>
    <row r="552" spans="1:27" s="128" customFormat="1" ht="18" customHeight="1">
      <c r="A552" s="405">
        <v>41</v>
      </c>
      <c r="B552" s="407" t="s">
        <v>1418</v>
      </c>
      <c r="C552" s="406" t="s">
        <v>66</v>
      </c>
      <c r="D552" s="407" t="s">
        <v>1419</v>
      </c>
      <c r="E552" s="408">
        <v>2</v>
      </c>
      <c r="F552" s="409"/>
      <c r="G552" s="410">
        <f t="shared" si="21"/>
        <v>0</v>
      </c>
      <c r="H552" s="411"/>
      <c r="I552" s="407"/>
      <c r="J552" s="411"/>
      <c r="K552" s="407" t="s">
        <v>1347</v>
      </c>
      <c r="L552" s="412" t="s">
        <v>1348</v>
      </c>
      <c r="M552" s="407" t="s">
        <v>1371</v>
      </c>
      <c r="N552" s="412"/>
      <c r="O552" s="412"/>
      <c r="P552" s="412" t="s">
        <v>1350</v>
      </c>
      <c r="Q552" s="413" t="s">
        <v>726</v>
      </c>
      <c r="R552" s="413" t="s">
        <v>249</v>
      </c>
      <c r="S552" s="414" t="s">
        <v>727</v>
      </c>
      <c r="T552" s="414"/>
      <c r="U552" s="415"/>
      <c r="V552" s="416"/>
      <c r="W552" s="417"/>
      <c r="X552" s="417"/>
      <c r="Y552" s="418" t="s">
        <v>377</v>
      </c>
      <c r="Z552" s="419"/>
      <c r="AA552" s="492"/>
    </row>
    <row r="553" spans="1:27" s="128" customFormat="1" ht="18" customHeight="1">
      <c r="A553" s="405">
        <v>42</v>
      </c>
      <c r="B553" s="407" t="s">
        <v>1420</v>
      </c>
      <c r="C553" s="406" t="s">
        <v>66</v>
      </c>
      <c r="D553" s="407" t="s">
        <v>1421</v>
      </c>
      <c r="E553" s="408">
        <v>8</v>
      </c>
      <c r="F553" s="409"/>
      <c r="G553" s="410">
        <f t="shared" si="21"/>
        <v>0</v>
      </c>
      <c r="H553" s="411"/>
      <c r="I553" s="407"/>
      <c r="J553" s="411"/>
      <c r="K553" s="407" t="s">
        <v>1347</v>
      </c>
      <c r="L553" s="412" t="s">
        <v>1348</v>
      </c>
      <c r="M553" s="407" t="s">
        <v>1371</v>
      </c>
      <c r="N553" s="412"/>
      <c r="O553" s="412"/>
      <c r="P553" s="412" t="s">
        <v>1350</v>
      </c>
      <c r="Q553" s="413" t="s">
        <v>726</v>
      </c>
      <c r="R553" s="413" t="s">
        <v>249</v>
      </c>
      <c r="S553" s="414" t="s">
        <v>727</v>
      </c>
      <c r="T553" s="414"/>
      <c r="U553" s="415"/>
      <c r="V553" s="416"/>
      <c r="W553" s="417"/>
      <c r="X553" s="417"/>
      <c r="Y553" s="418" t="s">
        <v>377</v>
      </c>
      <c r="Z553" s="419"/>
      <c r="AA553" s="492"/>
    </row>
    <row r="554" spans="1:27" s="128" customFormat="1" ht="18" customHeight="1">
      <c r="A554" s="405">
        <v>43</v>
      </c>
      <c r="B554" s="407" t="s">
        <v>1422</v>
      </c>
      <c r="C554" s="406" t="s">
        <v>66</v>
      </c>
      <c r="D554" s="407" t="s">
        <v>1423</v>
      </c>
      <c r="E554" s="408">
        <v>4</v>
      </c>
      <c r="F554" s="409"/>
      <c r="G554" s="410">
        <f t="shared" si="21"/>
        <v>0</v>
      </c>
      <c r="H554" s="411"/>
      <c r="I554" s="407"/>
      <c r="J554" s="411"/>
      <c r="K554" s="407" t="s">
        <v>1347</v>
      </c>
      <c r="L554" s="412" t="s">
        <v>1348</v>
      </c>
      <c r="M554" s="407" t="s">
        <v>1371</v>
      </c>
      <c r="N554" s="412"/>
      <c r="O554" s="412"/>
      <c r="P554" s="412" t="s">
        <v>1350</v>
      </c>
      <c r="Q554" s="413" t="s">
        <v>726</v>
      </c>
      <c r="R554" s="413" t="s">
        <v>249</v>
      </c>
      <c r="S554" s="414" t="s">
        <v>727</v>
      </c>
      <c r="T554" s="414"/>
      <c r="U554" s="415"/>
      <c r="V554" s="416"/>
      <c r="W554" s="417"/>
      <c r="X554" s="417"/>
      <c r="Y554" s="418" t="s">
        <v>377</v>
      </c>
      <c r="Z554" s="419"/>
      <c r="AA554" s="492"/>
    </row>
    <row r="555" spans="1:27" s="128" customFormat="1" ht="18" customHeight="1">
      <c r="A555" s="405">
        <v>44</v>
      </c>
      <c r="B555" s="407" t="s">
        <v>1424</v>
      </c>
      <c r="C555" s="406" t="s">
        <v>66</v>
      </c>
      <c r="D555" s="407" t="s">
        <v>1425</v>
      </c>
      <c r="E555" s="408">
        <v>4</v>
      </c>
      <c r="F555" s="409"/>
      <c r="G555" s="410">
        <f t="shared" si="21"/>
        <v>0</v>
      </c>
      <c r="H555" s="411"/>
      <c r="I555" s="407"/>
      <c r="J555" s="411"/>
      <c r="K555" s="407" t="s">
        <v>1347</v>
      </c>
      <c r="L555" s="412" t="s">
        <v>1348</v>
      </c>
      <c r="M555" s="407" t="s">
        <v>1371</v>
      </c>
      <c r="N555" s="412"/>
      <c r="O555" s="412"/>
      <c r="P555" s="412" t="s">
        <v>1350</v>
      </c>
      <c r="Q555" s="413" t="s">
        <v>726</v>
      </c>
      <c r="R555" s="413" t="s">
        <v>249</v>
      </c>
      <c r="S555" s="414" t="s">
        <v>727</v>
      </c>
      <c r="T555" s="414"/>
      <c r="U555" s="415"/>
      <c r="V555" s="416"/>
      <c r="W555" s="417"/>
      <c r="X555" s="417"/>
      <c r="Y555" s="418" t="s">
        <v>377</v>
      </c>
      <c r="Z555" s="419"/>
      <c r="AA555" s="492"/>
    </row>
    <row r="556" spans="1:27" s="128" customFormat="1" ht="18" customHeight="1">
      <c r="A556" s="405">
        <v>45</v>
      </c>
      <c r="B556" s="407" t="s">
        <v>1426</v>
      </c>
      <c r="C556" s="406" t="s">
        <v>66</v>
      </c>
      <c r="D556" s="407" t="s">
        <v>1427</v>
      </c>
      <c r="E556" s="408">
        <v>4</v>
      </c>
      <c r="F556" s="409"/>
      <c r="G556" s="410">
        <f t="shared" si="21"/>
        <v>0</v>
      </c>
      <c r="H556" s="411"/>
      <c r="I556" s="407"/>
      <c r="J556" s="411"/>
      <c r="K556" s="407" t="s">
        <v>1347</v>
      </c>
      <c r="L556" s="412" t="s">
        <v>1348</v>
      </c>
      <c r="M556" s="407" t="s">
        <v>1371</v>
      </c>
      <c r="N556" s="412"/>
      <c r="O556" s="412"/>
      <c r="P556" s="412" t="s">
        <v>1350</v>
      </c>
      <c r="Q556" s="413" t="s">
        <v>726</v>
      </c>
      <c r="R556" s="413" t="s">
        <v>249</v>
      </c>
      <c r="S556" s="414" t="s">
        <v>727</v>
      </c>
      <c r="T556" s="414"/>
      <c r="U556" s="415"/>
      <c r="V556" s="416"/>
      <c r="W556" s="417"/>
      <c r="X556" s="417"/>
      <c r="Y556" s="418" t="s">
        <v>377</v>
      </c>
      <c r="Z556" s="419"/>
      <c r="AA556" s="492"/>
    </row>
    <row r="557" spans="1:27" s="128" customFormat="1" ht="18" customHeight="1">
      <c r="A557" s="405">
        <v>46</v>
      </c>
      <c r="B557" s="407" t="s">
        <v>1428</v>
      </c>
      <c r="C557" s="406" t="s">
        <v>66</v>
      </c>
      <c r="D557" s="407" t="s">
        <v>1429</v>
      </c>
      <c r="E557" s="408">
        <v>7</v>
      </c>
      <c r="F557" s="409"/>
      <c r="G557" s="410">
        <f t="shared" si="21"/>
        <v>0</v>
      </c>
      <c r="H557" s="411"/>
      <c r="I557" s="407"/>
      <c r="J557" s="411"/>
      <c r="K557" s="407" t="s">
        <v>1347</v>
      </c>
      <c r="L557" s="412" t="s">
        <v>1348</v>
      </c>
      <c r="M557" s="407" t="s">
        <v>1371</v>
      </c>
      <c r="N557" s="412"/>
      <c r="O557" s="412"/>
      <c r="P557" s="412" t="s">
        <v>1350</v>
      </c>
      <c r="Q557" s="413" t="s">
        <v>726</v>
      </c>
      <c r="R557" s="413" t="s">
        <v>249</v>
      </c>
      <c r="S557" s="414" t="s">
        <v>727</v>
      </c>
      <c r="T557" s="414"/>
      <c r="U557" s="415"/>
      <c r="V557" s="416"/>
      <c r="W557" s="417"/>
      <c r="X557" s="417"/>
      <c r="Y557" s="418" t="s">
        <v>377</v>
      </c>
      <c r="Z557" s="419"/>
      <c r="AA557" s="492"/>
    </row>
    <row r="558" spans="1:27" s="128" customFormat="1" ht="18" customHeight="1">
      <c r="A558" s="405">
        <v>47</v>
      </c>
      <c r="B558" s="407" t="s">
        <v>1430</v>
      </c>
      <c r="C558" s="406" t="s">
        <v>66</v>
      </c>
      <c r="D558" s="407" t="s">
        <v>1431</v>
      </c>
      <c r="E558" s="408">
        <v>4</v>
      </c>
      <c r="F558" s="409"/>
      <c r="G558" s="410">
        <f t="shared" si="21"/>
        <v>0</v>
      </c>
      <c r="H558" s="411"/>
      <c r="I558" s="407"/>
      <c r="J558" s="411"/>
      <c r="K558" s="407" t="s">
        <v>1347</v>
      </c>
      <c r="L558" s="412" t="s">
        <v>1348</v>
      </c>
      <c r="M558" s="407" t="s">
        <v>1371</v>
      </c>
      <c r="N558" s="412"/>
      <c r="O558" s="412"/>
      <c r="P558" s="412" t="s">
        <v>1350</v>
      </c>
      <c r="Q558" s="413" t="s">
        <v>726</v>
      </c>
      <c r="R558" s="413" t="s">
        <v>249</v>
      </c>
      <c r="S558" s="414" t="s">
        <v>727</v>
      </c>
      <c r="T558" s="414"/>
      <c r="U558" s="415"/>
      <c r="V558" s="416"/>
      <c r="W558" s="417"/>
      <c r="X558" s="417"/>
      <c r="Y558" s="418" t="s">
        <v>377</v>
      </c>
      <c r="Z558" s="419"/>
      <c r="AA558" s="492"/>
    </row>
    <row r="559" spans="1:27" s="128" customFormat="1" ht="18" customHeight="1">
      <c r="A559" s="405">
        <v>48</v>
      </c>
      <c r="B559" s="407" t="s">
        <v>1432</v>
      </c>
      <c r="C559" s="406" t="s">
        <v>66</v>
      </c>
      <c r="D559" s="407" t="s">
        <v>1433</v>
      </c>
      <c r="E559" s="408">
        <v>4</v>
      </c>
      <c r="F559" s="409"/>
      <c r="G559" s="410">
        <f t="shared" si="21"/>
        <v>0</v>
      </c>
      <c r="H559" s="411"/>
      <c r="I559" s="407"/>
      <c r="J559" s="411"/>
      <c r="K559" s="407" t="s">
        <v>1347</v>
      </c>
      <c r="L559" s="412" t="s">
        <v>1348</v>
      </c>
      <c r="M559" s="407" t="s">
        <v>1371</v>
      </c>
      <c r="N559" s="412"/>
      <c r="O559" s="412"/>
      <c r="P559" s="412" t="s">
        <v>1350</v>
      </c>
      <c r="Q559" s="413" t="s">
        <v>726</v>
      </c>
      <c r="R559" s="413" t="s">
        <v>249</v>
      </c>
      <c r="S559" s="414" t="s">
        <v>727</v>
      </c>
      <c r="T559" s="414"/>
      <c r="U559" s="415"/>
      <c r="V559" s="416"/>
      <c r="W559" s="417"/>
      <c r="X559" s="417"/>
      <c r="Y559" s="418" t="s">
        <v>377</v>
      </c>
      <c r="Z559" s="419"/>
      <c r="AA559" s="492"/>
    </row>
    <row r="560" spans="1:27" s="128" customFormat="1" ht="18" customHeight="1">
      <c r="A560" s="405">
        <v>49</v>
      </c>
      <c r="B560" s="407" t="s">
        <v>1434</v>
      </c>
      <c r="C560" s="406" t="s">
        <v>66</v>
      </c>
      <c r="D560" s="407" t="s">
        <v>1435</v>
      </c>
      <c r="E560" s="408">
        <v>2</v>
      </c>
      <c r="F560" s="409"/>
      <c r="G560" s="410">
        <f t="shared" si="21"/>
        <v>0</v>
      </c>
      <c r="H560" s="411"/>
      <c r="I560" s="407"/>
      <c r="J560" s="411"/>
      <c r="K560" s="407" t="s">
        <v>1347</v>
      </c>
      <c r="L560" s="412" t="s">
        <v>1348</v>
      </c>
      <c r="M560" s="407" t="s">
        <v>1371</v>
      </c>
      <c r="N560" s="412"/>
      <c r="O560" s="412"/>
      <c r="P560" s="412" t="s">
        <v>1350</v>
      </c>
      <c r="Q560" s="413" t="s">
        <v>726</v>
      </c>
      <c r="R560" s="413" t="s">
        <v>249</v>
      </c>
      <c r="S560" s="414" t="s">
        <v>727</v>
      </c>
      <c r="T560" s="414"/>
      <c r="U560" s="415"/>
      <c r="V560" s="416"/>
      <c r="W560" s="417"/>
      <c r="X560" s="417"/>
      <c r="Y560" s="418" t="s">
        <v>377</v>
      </c>
      <c r="Z560" s="419"/>
      <c r="AA560" s="492"/>
    </row>
    <row r="561" spans="1:27" s="128" customFormat="1" ht="18" customHeight="1">
      <c r="A561" s="405">
        <v>50</v>
      </c>
      <c r="B561" s="407" t="s">
        <v>853</v>
      </c>
      <c r="C561" s="406" t="s">
        <v>66</v>
      </c>
      <c r="D561" s="407" t="s">
        <v>854</v>
      </c>
      <c r="E561" s="408">
        <v>4</v>
      </c>
      <c r="F561" s="409"/>
      <c r="G561" s="410">
        <f t="shared" si="21"/>
        <v>0</v>
      </c>
      <c r="H561" s="411"/>
      <c r="I561" s="407"/>
      <c r="J561" s="411"/>
      <c r="K561" s="407" t="s">
        <v>1347</v>
      </c>
      <c r="L561" s="412" t="s">
        <v>1348</v>
      </c>
      <c r="M561" s="407" t="s">
        <v>1371</v>
      </c>
      <c r="N561" s="412"/>
      <c r="O561" s="412"/>
      <c r="P561" s="412" t="s">
        <v>1350</v>
      </c>
      <c r="Q561" s="413" t="s">
        <v>726</v>
      </c>
      <c r="R561" s="413" t="s">
        <v>249</v>
      </c>
      <c r="S561" s="414" t="s">
        <v>727</v>
      </c>
      <c r="T561" s="414"/>
      <c r="U561" s="415"/>
      <c r="V561" s="416"/>
      <c r="W561" s="417"/>
      <c r="X561" s="417"/>
      <c r="Y561" s="418" t="s">
        <v>377</v>
      </c>
      <c r="Z561" s="419"/>
      <c r="AA561" s="492"/>
    </row>
    <row r="562" spans="1:27" s="128" customFormat="1" ht="18" customHeight="1">
      <c r="A562" s="405">
        <v>51</v>
      </c>
      <c r="B562" s="407" t="s">
        <v>1436</v>
      </c>
      <c r="C562" s="406" t="s">
        <v>66</v>
      </c>
      <c r="D562" s="407" t="s">
        <v>1437</v>
      </c>
      <c r="E562" s="408">
        <v>8</v>
      </c>
      <c r="F562" s="409"/>
      <c r="G562" s="410">
        <f t="shared" si="21"/>
        <v>0</v>
      </c>
      <c r="H562" s="411"/>
      <c r="I562" s="407"/>
      <c r="J562" s="411"/>
      <c r="K562" s="407" t="s">
        <v>1347</v>
      </c>
      <c r="L562" s="412" t="s">
        <v>1348</v>
      </c>
      <c r="M562" s="407" t="s">
        <v>1371</v>
      </c>
      <c r="N562" s="412"/>
      <c r="O562" s="412"/>
      <c r="P562" s="412" t="s">
        <v>1350</v>
      </c>
      <c r="Q562" s="413" t="s">
        <v>726</v>
      </c>
      <c r="R562" s="413" t="s">
        <v>249</v>
      </c>
      <c r="S562" s="414" t="s">
        <v>727</v>
      </c>
      <c r="T562" s="414"/>
      <c r="U562" s="415"/>
      <c r="V562" s="416"/>
      <c r="W562" s="417"/>
      <c r="X562" s="417"/>
      <c r="Y562" s="418" t="s">
        <v>377</v>
      </c>
      <c r="Z562" s="419"/>
      <c r="AA562" s="492"/>
    </row>
    <row r="563" spans="1:27" s="128" customFormat="1" ht="18" customHeight="1">
      <c r="A563" s="443">
        <v>52</v>
      </c>
      <c r="B563" s="444" t="s">
        <v>1438</v>
      </c>
      <c r="C563" s="445" t="s">
        <v>66</v>
      </c>
      <c r="D563" s="444" t="s">
        <v>1439</v>
      </c>
      <c r="E563" s="446">
        <v>1</v>
      </c>
      <c r="F563" s="447"/>
      <c r="G563" s="448">
        <f t="shared" si="21"/>
        <v>0</v>
      </c>
      <c r="H563" s="449"/>
      <c r="I563" s="444"/>
      <c r="J563" s="449"/>
      <c r="K563" s="444" t="s">
        <v>1347</v>
      </c>
      <c r="L563" s="450" t="s">
        <v>1348</v>
      </c>
      <c r="M563" s="444" t="s">
        <v>1440</v>
      </c>
      <c r="N563" s="450"/>
      <c r="O563" s="450"/>
      <c r="P563" s="450" t="s">
        <v>1350</v>
      </c>
      <c r="Q563" s="451" t="s">
        <v>374</v>
      </c>
      <c r="R563" s="451" t="s">
        <v>269</v>
      </c>
      <c r="S563" s="452" t="s">
        <v>800</v>
      </c>
      <c r="T563" s="452"/>
      <c r="U563" s="453"/>
      <c r="V563" s="454"/>
      <c r="W563" s="455" t="s">
        <v>406</v>
      </c>
      <c r="X563" s="455">
        <v>45609</v>
      </c>
      <c r="Y563" s="456" t="s">
        <v>377</v>
      </c>
      <c r="Z563" s="457"/>
      <c r="AA563" s="494"/>
    </row>
    <row r="564" spans="1:27" s="128" customFormat="1" ht="18" customHeight="1">
      <c r="A564" s="443">
        <v>53</v>
      </c>
      <c r="B564" s="444" t="s">
        <v>1441</v>
      </c>
      <c r="C564" s="445" t="s">
        <v>66</v>
      </c>
      <c r="D564" s="444" t="s">
        <v>1442</v>
      </c>
      <c r="E564" s="446">
        <v>1</v>
      </c>
      <c r="F564" s="447"/>
      <c r="G564" s="448">
        <f t="shared" si="21"/>
        <v>0</v>
      </c>
      <c r="H564" s="449"/>
      <c r="I564" s="444"/>
      <c r="J564" s="449"/>
      <c r="K564" s="444" t="s">
        <v>1347</v>
      </c>
      <c r="L564" s="450" t="s">
        <v>1348</v>
      </c>
      <c r="M564" s="444" t="s">
        <v>1440</v>
      </c>
      <c r="N564" s="450"/>
      <c r="O564" s="450"/>
      <c r="P564" s="450" t="s">
        <v>1350</v>
      </c>
      <c r="Q564" s="451" t="s">
        <v>374</v>
      </c>
      <c r="R564" s="451" t="s">
        <v>269</v>
      </c>
      <c r="S564" s="452" t="s">
        <v>800</v>
      </c>
      <c r="T564" s="452"/>
      <c r="U564" s="453"/>
      <c r="V564" s="454"/>
      <c r="W564" s="455" t="s">
        <v>406</v>
      </c>
      <c r="X564" s="455">
        <v>45609</v>
      </c>
      <c r="Y564" s="456" t="s">
        <v>377</v>
      </c>
      <c r="Z564" s="457"/>
      <c r="AA564" s="494"/>
    </row>
    <row r="565" spans="1:27" s="128" customFormat="1" ht="18" customHeight="1">
      <c r="A565" s="443">
        <v>54</v>
      </c>
      <c r="B565" s="444" t="s">
        <v>1443</v>
      </c>
      <c r="C565" s="445" t="s">
        <v>66</v>
      </c>
      <c r="D565" s="444" t="s">
        <v>1444</v>
      </c>
      <c r="E565" s="446">
        <v>1</v>
      </c>
      <c r="F565" s="447"/>
      <c r="G565" s="448">
        <f t="shared" si="21"/>
        <v>0</v>
      </c>
      <c r="H565" s="449"/>
      <c r="I565" s="444"/>
      <c r="J565" s="449"/>
      <c r="K565" s="444" t="s">
        <v>1347</v>
      </c>
      <c r="L565" s="450" t="s">
        <v>1348</v>
      </c>
      <c r="M565" s="444" t="s">
        <v>1440</v>
      </c>
      <c r="N565" s="450"/>
      <c r="O565" s="450"/>
      <c r="P565" s="450" t="s">
        <v>1350</v>
      </c>
      <c r="Q565" s="451" t="s">
        <v>374</v>
      </c>
      <c r="R565" s="451" t="s">
        <v>269</v>
      </c>
      <c r="S565" s="452" t="s">
        <v>800</v>
      </c>
      <c r="T565" s="452"/>
      <c r="U565" s="453"/>
      <c r="V565" s="454"/>
      <c r="W565" s="455" t="s">
        <v>406</v>
      </c>
      <c r="X565" s="455">
        <v>45609</v>
      </c>
      <c r="Y565" s="456" t="s">
        <v>377</v>
      </c>
      <c r="Z565" s="457"/>
      <c r="AA565" s="494"/>
    </row>
    <row r="566" spans="1:27" s="128" customFormat="1" ht="18" customHeight="1">
      <c r="A566" s="405">
        <v>55</v>
      </c>
      <c r="B566" s="407" t="s">
        <v>948</v>
      </c>
      <c r="C566" s="406" t="s">
        <v>66</v>
      </c>
      <c r="D566" s="407" t="s">
        <v>949</v>
      </c>
      <c r="E566" s="408">
        <v>2</v>
      </c>
      <c r="F566" s="409"/>
      <c r="G566" s="410">
        <f t="shared" si="21"/>
        <v>0</v>
      </c>
      <c r="H566" s="411"/>
      <c r="I566" s="407"/>
      <c r="J566" s="411"/>
      <c r="K566" s="407" t="s">
        <v>1347</v>
      </c>
      <c r="L566" s="412" t="s">
        <v>1348</v>
      </c>
      <c r="M566" s="407" t="s">
        <v>1445</v>
      </c>
      <c r="N566" s="412"/>
      <c r="O566" s="412"/>
      <c r="P566" s="412" t="s">
        <v>1350</v>
      </c>
      <c r="Q566" s="413" t="s">
        <v>726</v>
      </c>
      <c r="R566" s="413" t="s">
        <v>404</v>
      </c>
      <c r="S566" s="414" t="s">
        <v>1446</v>
      </c>
      <c r="T566" s="414">
        <v>45622</v>
      </c>
      <c r="U566" s="415"/>
      <c r="V566" s="416"/>
      <c r="W566" s="417"/>
      <c r="X566" s="417"/>
      <c r="Y566" s="418" t="s">
        <v>377</v>
      </c>
      <c r="Z566" s="419"/>
      <c r="AA566" s="492">
        <v>1</v>
      </c>
    </row>
    <row r="567" spans="1:27" s="128" customFormat="1" ht="18" customHeight="1">
      <c r="A567" s="443">
        <v>56</v>
      </c>
      <c r="B567" s="444" t="s">
        <v>1092</v>
      </c>
      <c r="C567" s="445" t="s">
        <v>66</v>
      </c>
      <c r="D567" s="444" t="s">
        <v>1093</v>
      </c>
      <c r="E567" s="446">
        <v>1</v>
      </c>
      <c r="F567" s="447"/>
      <c r="G567" s="448">
        <f t="shared" si="21"/>
        <v>0</v>
      </c>
      <c r="H567" s="449"/>
      <c r="I567" s="444"/>
      <c r="J567" s="449"/>
      <c r="K567" s="444"/>
      <c r="L567" s="450"/>
      <c r="M567" s="444"/>
      <c r="N567" s="450"/>
      <c r="O567" s="450"/>
      <c r="P567" s="450"/>
      <c r="Q567" s="451" t="s">
        <v>374</v>
      </c>
      <c r="R567" s="451"/>
      <c r="S567" s="452"/>
      <c r="T567" s="452" t="s">
        <v>1358</v>
      </c>
      <c r="U567" s="453"/>
      <c r="V567" s="454"/>
      <c r="W567" s="455" t="s">
        <v>406</v>
      </c>
      <c r="X567" s="455">
        <v>45600</v>
      </c>
      <c r="Y567" s="456" t="s">
        <v>377</v>
      </c>
      <c r="Z567" s="457"/>
      <c r="AA567" s="494">
        <v>1</v>
      </c>
    </row>
    <row r="568" spans="1:27" s="128" customFormat="1" ht="18" customHeight="1">
      <c r="A568" s="405">
        <v>57</v>
      </c>
      <c r="B568" s="407" t="s">
        <v>479</v>
      </c>
      <c r="C568" s="406" t="s">
        <v>66</v>
      </c>
      <c r="D568" s="407" t="s">
        <v>480</v>
      </c>
      <c r="E568" s="408">
        <v>1</v>
      </c>
      <c r="F568" s="409"/>
      <c r="G568" s="410">
        <f t="shared" si="21"/>
        <v>0</v>
      </c>
      <c r="H568" s="411"/>
      <c r="I568" s="407"/>
      <c r="J568" s="411"/>
      <c r="K568" s="407" t="s">
        <v>1347</v>
      </c>
      <c r="L568" s="412" t="s">
        <v>1348</v>
      </c>
      <c r="M568" s="407" t="s">
        <v>1445</v>
      </c>
      <c r="N568" s="412"/>
      <c r="O568" s="412"/>
      <c r="P568" s="412" t="s">
        <v>1350</v>
      </c>
      <c r="Q568" s="413" t="s">
        <v>726</v>
      </c>
      <c r="R568" s="413" t="s">
        <v>404</v>
      </c>
      <c r="S568" s="414" t="s">
        <v>1446</v>
      </c>
      <c r="T568" s="414">
        <v>45622</v>
      </c>
      <c r="U568" s="415"/>
      <c r="V568" s="416"/>
      <c r="W568" s="417"/>
      <c r="X568" s="417"/>
      <c r="Y568" s="418" t="s">
        <v>377</v>
      </c>
      <c r="Z568" s="419"/>
      <c r="AA568" s="492">
        <v>1</v>
      </c>
    </row>
    <row r="569" spans="1:27" s="128" customFormat="1" ht="18" customHeight="1">
      <c r="A569" s="405">
        <v>58</v>
      </c>
      <c r="B569" s="407" t="s">
        <v>965</v>
      </c>
      <c r="C569" s="406" t="s">
        <v>66</v>
      </c>
      <c r="D569" s="407" t="s">
        <v>966</v>
      </c>
      <c r="E569" s="408">
        <v>2</v>
      </c>
      <c r="F569" s="409"/>
      <c r="G569" s="410">
        <f t="shared" si="21"/>
        <v>0</v>
      </c>
      <c r="H569" s="411"/>
      <c r="I569" s="407"/>
      <c r="J569" s="411"/>
      <c r="K569" s="407" t="s">
        <v>1347</v>
      </c>
      <c r="L569" s="412" t="s">
        <v>1348</v>
      </c>
      <c r="M569" s="407" t="s">
        <v>1445</v>
      </c>
      <c r="N569" s="412"/>
      <c r="O569" s="412"/>
      <c r="P569" s="412" t="s">
        <v>1350</v>
      </c>
      <c r="Q569" s="413" t="s">
        <v>726</v>
      </c>
      <c r="R569" s="413" t="s">
        <v>404</v>
      </c>
      <c r="S569" s="414" t="s">
        <v>1446</v>
      </c>
      <c r="T569" s="414">
        <v>45622</v>
      </c>
      <c r="U569" s="415"/>
      <c r="V569" s="416"/>
      <c r="W569" s="417"/>
      <c r="X569" s="417"/>
      <c r="Y569" s="418" t="s">
        <v>377</v>
      </c>
      <c r="Z569" s="419"/>
      <c r="AA569" s="492">
        <v>1</v>
      </c>
    </row>
    <row r="570" spans="1:27" s="128" customFormat="1" ht="18" customHeight="1">
      <c r="A570" s="443">
        <v>59</v>
      </c>
      <c r="B570" s="444" t="s">
        <v>482</v>
      </c>
      <c r="C570" s="445" t="s">
        <v>66</v>
      </c>
      <c r="D570" s="444" t="s">
        <v>483</v>
      </c>
      <c r="E570" s="446">
        <v>4</v>
      </c>
      <c r="F570" s="447"/>
      <c r="G570" s="448">
        <f t="shared" si="21"/>
        <v>0</v>
      </c>
      <c r="H570" s="449"/>
      <c r="I570" s="444"/>
      <c r="J570" s="449"/>
      <c r="K570" s="444" t="s">
        <v>1347</v>
      </c>
      <c r="L570" s="450" t="s">
        <v>1348</v>
      </c>
      <c r="M570" s="444" t="s">
        <v>1445</v>
      </c>
      <c r="N570" s="450"/>
      <c r="O570" s="450"/>
      <c r="P570" s="450" t="s">
        <v>1350</v>
      </c>
      <c r="Q570" s="451" t="s">
        <v>374</v>
      </c>
      <c r="R570" s="451" t="s">
        <v>404</v>
      </c>
      <c r="S570" s="452" t="s">
        <v>1446</v>
      </c>
      <c r="T570" s="452" t="s">
        <v>1358</v>
      </c>
      <c r="U570" s="453"/>
      <c r="V570" s="454"/>
      <c r="W570" s="455" t="s">
        <v>406</v>
      </c>
      <c r="X570" s="455">
        <v>45600</v>
      </c>
      <c r="Y570" s="456" t="s">
        <v>377</v>
      </c>
      <c r="Z570" s="457"/>
      <c r="AA570" s="494">
        <v>1</v>
      </c>
    </row>
    <row r="571" spans="1:27" s="441" customFormat="1" ht="18" customHeight="1">
      <c r="A571" s="427">
        <v>60</v>
      </c>
      <c r="B571" s="428" t="s">
        <v>1447</v>
      </c>
      <c r="C571" s="429" t="s">
        <v>66</v>
      </c>
      <c r="D571" s="428" t="s">
        <v>1448</v>
      </c>
      <c r="E571" s="430">
        <v>1</v>
      </c>
      <c r="F571" s="431"/>
      <c r="G571" s="432">
        <f t="shared" si="21"/>
        <v>0</v>
      </c>
      <c r="H571" s="442"/>
      <c r="I571" s="428"/>
      <c r="J571" s="442"/>
      <c r="K571" s="428"/>
      <c r="L571" s="433"/>
      <c r="M571" s="428"/>
      <c r="N571" s="433"/>
      <c r="O571" s="433"/>
      <c r="P571" s="433"/>
      <c r="Q571" s="434"/>
      <c r="R571" s="434"/>
      <c r="S571" s="435"/>
      <c r="T571" s="435" t="s">
        <v>1358</v>
      </c>
      <c r="U571" s="436"/>
      <c r="V571" s="437"/>
      <c r="W571" s="438"/>
      <c r="X571" s="438"/>
      <c r="Y571" s="439" t="s">
        <v>592</v>
      </c>
      <c r="Z571" s="440"/>
      <c r="AA571" s="495">
        <v>1</v>
      </c>
    </row>
    <row r="572" spans="1:27" s="128" customFormat="1" ht="18" customHeight="1">
      <c r="A572" s="443">
        <v>61</v>
      </c>
      <c r="B572" s="444" t="s">
        <v>599</v>
      </c>
      <c r="C572" s="445" t="s">
        <v>66</v>
      </c>
      <c r="D572" s="444" t="s">
        <v>1449</v>
      </c>
      <c r="E572" s="446">
        <v>1</v>
      </c>
      <c r="F572" s="447"/>
      <c r="G572" s="448">
        <f t="shared" si="21"/>
        <v>0</v>
      </c>
      <c r="H572" s="449"/>
      <c r="I572" s="444"/>
      <c r="J572" s="449"/>
      <c r="K572" s="444" t="s">
        <v>1347</v>
      </c>
      <c r="L572" s="450" t="s">
        <v>1348</v>
      </c>
      <c r="M572" s="444" t="s">
        <v>1445</v>
      </c>
      <c r="N572" s="450"/>
      <c r="O572" s="450"/>
      <c r="P572" s="450" t="s">
        <v>1350</v>
      </c>
      <c r="Q572" s="451" t="s">
        <v>374</v>
      </c>
      <c r="R572" s="451" t="s">
        <v>404</v>
      </c>
      <c r="S572" s="452" t="s">
        <v>1446</v>
      </c>
      <c r="T572" s="452" t="s">
        <v>1358</v>
      </c>
      <c r="U572" s="453"/>
      <c r="V572" s="454"/>
      <c r="W572" s="455" t="s">
        <v>406</v>
      </c>
      <c r="X572" s="455">
        <v>45600</v>
      </c>
      <c r="Y572" s="456" t="s">
        <v>377</v>
      </c>
      <c r="Z572" s="457"/>
      <c r="AA572" s="494">
        <v>1</v>
      </c>
    </row>
    <row r="573" spans="1:27" s="128" customFormat="1" ht="18" customHeight="1">
      <c r="A573" s="443">
        <v>62</v>
      </c>
      <c r="B573" s="444" t="s">
        <v>1450</v>
      </c>
      <c r="C573" s="445" t="s">
        <v>66</v>
      </c>
      <c r="D573" s="444" t="s">
        <v>1451</v>
      </c>
      <c r="E573" s="446">
        <v>2</v>
      </c>
      <c r="F573" s="447"/>
      <c r="G573" s="448">
        <f t="shared" si="21"/>
        <v>0</v>
      </c>
      <c r="H573" s="449"/>
      <c r="I573" s="444"/>
      <c r="J573" s="449"/>
      <c r="K573" s="444"/>
      <c r="L573" s="450"/>
      <c r="M573" s="444"/>
      <c r="N573" s="450"/>
      <c r="O573" s="450"/>
      <c r="P573" s="450"/>
      <c r="Q573" s="451" t="s">
        <v>374</v>
      </c>
      <c r="R573" s="451"/>
      <c r="S573" s="452"/>
      <c r="T573" s="452" t="s">
        <v>481</v>
      </c>
      <c r="U573" s="453"/>
      <c r="V573" s="454"/>
      <c r="W573" s="455" t="s">
        <v>406</v>
      </c>
      <c r="X573" s="455">
        <v>45601</v>
      </c>
      <c r="Y573" s="456" t="s">
        <v>377</v>
      </c>
      <c r="Z573" s="457"/>
      <c r="AA573" s="494"/>
    </row>
    <row r="574" spans="1:27" s="128" customFormat="1" ht="18" customHeight="1">
      <c r="A574" s="405">
        <v>63</v>
      </c>
      <c r="B574" s="407" t="s">
        <v>1452</v>
      </c>
      <c r="C574" s="406" t="s">
        <v>66</v>
      </c>
      <c r="D574" s="407" t="s">
        <v>1453</v>
      </c>
      <c r="E574" s="408">
        <v>1</v>
      </c>
      <c r="F574" s="409"/>
      <c r="G574" s="410">
        <f t="shared" si="21"/>
        <v>0</v>
      </c>
      <c r="H574" s="411"/>
      <c r="I574" s="407"/>
      <c r="J574" s="411"/>
      <c r="K574" s="407" t="s">
        <v>1347</v>
      </c>
      <c r="L574" s="412" t="s">
        <v>1348</v>
      </c>
      <c r="M574" s="407" t="s">
        <v>1454</v>
      </c>
      <c r="N574" s="412"/>
      <c r="O574" s="412"/>
      <c r="P574" s="412" t="s">
        <v>1350</v>
      </c>
      <c r="Q574" s="413" t="s">
        <v>726</v>
      </c>
      <c r="R574" s="413" t="s">
        <v>470</v>
      </c>
      <c r="S574" s="414" t="s">
        <v>1455</v>
      </c>
      <c r="T574" s="414"/>
      <c r="U574" s="415"/>
      <c r="V574" s="416"/>
      <c r="W574" s="417"/>
      <c r="X574" s="417"/>
      <c r="Y574" s="418" t="s">
        <v>377</v>
      </c>
      <c r="Z574" s="419"/>
      <c r="AA574" s="492"/>
    </row>
    <row r="575" spans="1:27" s="128" customFormat="1" ht="18" customHeight="1">
      <c r="A575" s="405">
        <v>64</v>
      </c>
      <c r="B575" s="407" t="s">
        <v>1456</v>
      </c>
      <c r="C575" s="406" t="s">
        <v>66</v>
      </c>
      <c r="D575" s="407" t="s">
        <v>1457</v>
      </c>
      <c r="E575" s="408">
        <v>1</v>
      </c>
      <c r="F575" s="409"/>
      <c r="G575" s="410">
        <f t="shared" si="21"/>
        <v>0</v>
      </c>
      <c r="H575" s="411"/>
      <c r="I575" s="407"/>
      <c r="J575" s="411"/>
      <c r="K575" s="407" t="s">
        <v>1347</v>
      </c>
      <c r="L575" s="412" t="s">
        <v>1348</v>
      </c>
      <c r="M575" s="407" t="s">
        <v>1458</v>
      </c>
      <c r="N575" s="412"/>
      <c r="O575" s="412"/>
      <c r="P575" s="412" t="s">
        <v>1350</v>
      </c>
      <c r="Q575" s="413" t="s">
        <v>726</v>
      </c>
      <c r="R575" s="413" t="s">
        <v>293</v>
      </c>
      <c r="S575" s="414" t="s">
        <v>727</v>
      </c>
      <c r="T575" s="414"/>
      <c r="U575" s="415"/>
      <c r="V575" s="416"/>
      <c r="W575" s="417"/>
      <c r="X575" s="417"/>
      <c r="Y575" s="418" t="s">
        <v>377</v>
      </c>
      <c r="Z575" s="419"/>
      <c r="AA575" s="492">
        <v>1</v>
      </c>
    </row>
    <row r="576" spans="1:27" s="128" customFormat="1" ht="18" customHeight="1">
      <c r="A576" s="443">
        <v>65</v>
      </c>
      <c r="B576" s="444" t="s">
        <v>980</v>
      </c>
      <c r="C576" s="445" t="s">
        <v>66</v>
      </c>
      <c r="D576" s="444" t="s">
        <v>981</v>
      </c>
      <c r="E576" s="446">
        <v>1</v>
      </c>
      <c r="F576" s="447"/>
      <c r="G576" s="448">
        <f t="shared" ref="G576:G607" si="22">E576*F576</f>
        <v>0</v>
      </c>
      <c r="H576" s="449"/>
      <c r="I576" s="444"/>
      <c r="J576" s="449"/>
      <c r="K576" s="444" t="s">
        <v>1347</v>
      </c>
      <c r="L576" s="450" t="s">
        <v>1348</v>
      </c>
      <c r="M576" s="444" t="s">
        <v>1349</v>
      </c>
      <c r="N576" s="450"/>
      <c r="O576" s="450"/>
      <c r="P576" s="450" t="s">
        <v>1350</v>
      </c>
      <c r="Q576" s="451" t="s">
        <v>726</v>
      </c>
      <c r="R576" s="451" t="s">
        <v>303</v>
      </c>
      <c r="S576" s="452" t="s">
        <v>797</v>
      </c>
      <c r="T576" s="452"/>
      <c r="U576" s="453"/>
      <c r="V576" s="454"/>
      <c r="W576" s="455" t="s">
        <v>406</v>
      </c>
      <c r="X576" s="455">
        <v>45611</v>
      </c>
      <c r="Y576" s="456" t="s">
        <v>377</v>
      </c>
      <c r="Z576" s="457"/>
      <c r="AA576" s="494"/>
    </row>
    <row r="577" spans="1:27" s="128" customFormat="1" ht="18" customHeight="1">
      <c r="A577" s="405">
        <v>66</v>
      </c>
      <c r="B577" s="407" t="s">
        <v>392</v>
      </c>
      <c r="C577" s="406" t="s">
        <v>66</v>
      </c>
      <c r="D577" s="407" t="s">
        <v>393</v>
      </c>
      <c r="E577" s="408">
        <v>2</v>
      </c>
      <c r="F577" s="409"/>
      <c r="G577" s="410">
        <f t="shared" si="22"/>
        <v>0</v>
      </c>
      <c r="H577" s="411"/>
      <c r="I577" s="407"/>
      <c r="J577" s="411"/>
      <c r="K577" s="407" t="s">
        <v>1347</v>
      </c>
      <c r="L577" s="412" t="s">
        <v>1348</v>
      </c>
      <c r="M577" s="407" t="s">
        <v>1351</v>
      </c>
      <c r="N577" s="412"/>
      <c r="O577" s="412"/>
      <c r="P577" s="412" t="s">
        <v>1350</v>
      </c>
      <c r="Q577" s="413" t="s">
        <v>726</v>
      </c>
      <c r="R577" s="413" t="s">
        <v>263</v>
      </c>
      <c r="S577" s="414" t="s">
        <v>906</v>
      </c>
      <c r="T577" s="414"/>
      <c r="U577" s="415"/>
      <c r="V577" s="416"/>
      <c r="W577" s="417"/>
      <c r="X577" s="417"/>
      <c r="Y577" s="418" t="s">
        <v>377</v>
      </c>
      <c r="Z577" s="419"/>
      <c r="AA577" s="492"/>
    </row>
    <row r="578" spans="1:27" s="128" customFormat="1" ht="18" customHeight="1">
      <c r="A578" s="405">
        <v>67</v>
      </c>
      <c r="B578" s="407" t="s">
        <v>886</v>
      </c>
      <c r="C578" s="406" t="s">
        <v>66</v>
      </c>
      <c r="D578" s="407" t="s">
        <v>887</v>
      </c>
      <c r="E578" s="408">
        <v>1</v>
      </c>
      <c r="F578" s="409"/>
      <c r="G578" s="410">
        <f t="shared" si="22"/>
        <v>0</v>
      </c>
      <c r="H578" s="411"/>
      <c r="I578" s="407"/>
      <c r="J578" s="411"/>
      <c r="K578" s="407" t="s">
        <v>1347</v>
      </c>
      <c r="L578" s="412" t="s">
        <v>1348</v>
      </c>
      <c r="M578" s="407" t="s">
        <v>1351</v>
      </c>
      <c r="N578" s="412"/>
      <c r="O578" s="412"/>
      <c r="P578" s="412" t="s">
        <v>1350</v>
      </c>
      <c r="Q578" s="413" t="s">
        <v>726</v>
      </c>
      <c r="R578" s="413" t="s">
        <v>263</v>
      </c>
      <c r="S578" s="414" t="s">
        <v>906</v>
      </c>
      <c r="T578" s="414"/>
      <c r="U578" s="415"/>
      <c r="V578" s="416"/>
      <c r="W578" s="417"/>
      <c r="X578" s="417"/>
      <c r="Y578" s="418" t="s">
        <v>377</v>
      </c>
      <c r="Z578" s="419"/>
      <c r="AA578" s="492"/>
    </row>
    <row r="579" spans="1:27" s="128" customFormat="1" ht="18" customHeight="1">
      <c r="A579" s="405">
        <v>68</v>
      </c>
      <c r="B579" s="407" t="s">
        <v>1308</v>
      </c>
      <c r="C579" s="406" t="s">
        <v>66</v>
      </c>
      <c r="D579" s="407" t="s">
        <v>1126</v>
      </c>
      <c r="E579" s="408">
        <v>4</v>
      </c>
      <c r="F579" s="409"/>
      <c r="G579" s="410">
        <f t="shared" si="22"/>
        <v>0</v>
      </c>
      <c r="H579" s="411"/>
      <c r="I579" s="407"/>
      <c r="J579" s="411"/>
      <c r="K579" s="407" t="s">
        <v>1347</v>
      </c>
      <c r="L579" s="412" t="s">
        <v>1348</v>
      </c>
      <c r="M579" s="407" t="s">
        <v>1351</v>
      </c>
      <c r="N579" s="412"/>
      <c r="O579" s="412"/>
      <c r="P579" s="412" t="s">
        <v>1350</v>
      </c>
      <c r="Q579" s="413" t="s">
        <v>726</v>
      </c>
      <c r="R579" s="413" t="s">
        <v>263</v>
      </c>
      <c r="S579" s="414" t="s">
        <v>906</v>
      </c>
      <c r="T579" s="414">
        <v>45621</v>
      </c>
      <c r="U579" s="415"/>
      <c r="V579" s="416"/>
      <c r="W579" s="417"/>
      <c r="X579" s="417"/>
      <c r="Y579" s="418" t="s">
        <v>377</v>
      </c>
      <c r="Z579" s="496" t="s">
        <v>1351</v>
      </c>
      <c r="AA579" s="492"/>
    </row>
    <row r="580" spans="1:27" s="128" customFormat="1" ht="18" customHeight="1">
      <c r="A580" s="405">
        <v>69</v>
      </c>
      <c r="B580" s="407" t="s">
        <v>1459</v>
      </c>
      <c r="C580" s="406" t="s">
        <v>66</v>
      </c>
      <c r="D580" s="407" t="s">
        <v>1460</v>
      </c>
      <c r="E580" s="408">
        <v>2</v>
      </c>
      <c r="F580" s="409"/>
      <c r="G580" s="410">
        <f t="shared" si="22"/>
        <v>0</v>
      </c>
      <c r="H580" s="411"/>
      <c r="I580" s="407"/>
      <c r="J580" s="411"/>
      <c r="K580" s="407" t="s">
        <v>1347</v>
      </c>
      <c r="L580" s="412" t="s">
        <v>1348</v>
      </c>
      <c r="M580" s="407" t="s">
        <v>1351</v>
      </c>
      <c r="N580" s="412"/>
      <c r="O580" s="412"/>
      <c r="P580" s="412" t="s">
        <v>1350</v>
      </c>
      <c r="Q580" s="413" t="s">
        <v>726</v>
      </c>
      <c r="R580" s="413" t="s">
        <v>263</v>
      </c>
      <c r="S580" s="414" t="s">
        <v>906</v>
      </c>
      <c r="T580" s="414"/>
      <c r="U580" s="415"/>
      <c r="V580" s="416"/>
      <c r="W580" s="417"/>
      <c r="X580" s="417"/>
      <c r="Y580" s="418" t="s">
        <v>377</v>
      </c>
      <c r="Z580" s="419"/>
      <c r="AA580" s="492"/>
    </row>
    <row r="581" spans="1:27" s="128" customFormat="1" ht="18" customHeight="1">
      <c r="A581" s="405">
        <v>70</v>
      </c>
      <c r="B581" s="407" t="s">
        <v>1461</v>
      </c>
      <c r="C581" s="406" t="s">
        <v>66</v>
      </c>
      <c r="D581" s="407" t="s">
        <v>1462</v>
      </c>
      <c r="E581" s="408">
        <v>2</v>
      </c>
      <c r="F581" s="409"/>
      <c r="G581" s="410">
        <f t="shared" si="22"/>
        <v>0</v>
      </c>
      <c r="H581" s="411"/>
      <c r="I581" s="407"/>
      <c r="J581" s="411"/>
      <c r="K581" s="407" t="s">
        <v>1347</v>
      </c>
      <c r="L581" s="412" t="s">
        <v>1348</v>
      </c>
      <c r="M581" s="407" t="s">
        <v>1351</v>
      </c>
      <c r="N581" s="412"/>
      <c r="O581" s="412"/>
      <c r="P581" s="412" t="s">
        <v>1350</v>
      </c>
      <c r="Q581" s="413" t="s">
        <v>726</v>
      </c>
      <c r="R581" s="413" t="s">
        <v>263</v>
      </c>
      <c r="S581" s="414" t="s">
        <v>1463</v>
      </c>
      <c r="T581" s="414"/>
      <c r="U581" s="415"/>
      <c r="V581" s="416"/>
      <c r="W581" s="417"/>
      <c r="X581" s="417"/>
      <c r="Y581" s="418" t="s">
        <v>377</v>
      </c>
      <c r="Z581" s="419"/>
      <c r="AA581" s="492"/>
    </row>
    <row r="582" spans="1:27" s="128" customFormat="1" ht="18" customHeight="1">
      <c r="A582" s="405">
        <v>71</v>
      </c>
      <c r="B582" s="407" t="s">
        <v>1464</v>
      </c>
      <c r="C582" s="406" t="s">
        <v>66</v>
      </c>
      <c r="D582" s="407" t="s">
        <v>1465</v>
      </c>
      <c r="E582" s="408">
        <v>1</v>
      </c>
      <c r="F582" s="409"/>
      <c r="G582" s="410">
        <f t="shared" si="22"/>
        <v>0</v>
      </c>
      <c r="H582" s="411"/>
      <c r="I582" s="407"/>
      <c r="J582" s="411"/>
      <c r="K582" s="407" t="s">
        <v>1347</v>
      </c>
      <c r="L582" s="412" t="s">
        <v>1348</v>
      </c>
      <c r="M582" s="407" t="s">
        <v>1351</v>
      </c>
      <c r="N582" s="412"/>
      <c r="O582" s="412"/>
      <c r="P582" s="412" t="s">
        <v>1350</v>
      </c>
      <c r="Q582" s="413" t="s">
        <v>726</v>
      </c>
      <c r="R582" s="413" t="s">
        <v>263</v>
      </c>
      <c r="S582" s="414" t="s">
        <v>1463</v>
      </c>
      <c r="T582" s="414"/>
      <c r="U582" s="415"/>
      <c r="V582" s="416"/>
      <c r="W582" s="417"/>
      <c r="X582" s="417"/>
      <c r="Y582" s="418" t="s">
        <v>377</v>
      </c>
      <c r="Z582" s="419"/>
      <c r="AA582" s="492"/>
    </row>
    <row r="583" spans="1:27" s="128" customFormat="1" ht="18" customHeight="1">
      <c r="A583" s="405">
        <v>72</v>
      </c>
      <c r="B583" s="407" t="s">
        <v>1466</v>
      </c>
      <c r="C583" s="406" t="s">
        <v>66</v>
      </c>
      <c r="D583" s="407" t="s">
        <v>1467</v>
      </c>
      <c r="E583" s="408">
        <v>1</v>
      </c>
      <c r="F583" s="409"/>
      <c r="G583" s="410">
        <f t="shared" si="22"/>
        <v>0</v>
      </c>
      <c r="H583" s="411"/>
      <c r="I583" s="407"/>
      <c r="J583" s="411"/>
      <c r="K583" s="407" t="s">
        <v>1347</v>
      </c>
      <c r="L583" s="412" t="s">
        <v>1348</v>
      </c>
      <c r="M583" s="407" t="s">
        <v>1351</v>
      </c>
      <c r="N583" s="412"/>
      <c r="O583" s="412"/>
      <c r="P583" s="412" t="s">
        <v>1350</v>
      </c>
      <c r="Q583" s="413" t="s">
        <v>726</v>
      </c>
      <c r="R583" s="413" t="s">
        <v>263</v>
      </c>
      <c r="S583" s="414" t="s">
        <v>906</v>
      </c>
      <c r="T583" s="414"/>
      <c r="U583" s="415"/>
      <c r="V583" s="416"/>
      <c r="W583" s="417"/>
      <c r="X583" s="417"/>
      <c r="Y583" s="418" t="s">
        <v>377</v>
      </c>
      <c r="Z583" s="419"/>
      <c r="AA583" s="492"/>
    </row>
    <row r="584" spans="1:27" s="128" customFormat="1" ht="18" customHeight="1">
      <c r="A584" s="405">
        <v>73</v>
      </c>
      <c r="B584" s="407" t="s">
        <v>884</v>
      </c>
      <c r="C584" s="406" t="s">
        <v>66</v>
      </c>
      <c r="D584" s="407" t="s">
        <v>885</v>
      </c>
      <c r="E584" s="408">
        <v>1</v>
      </c>
      <c r="F584" s="409"/>
      <c r="G584" s="410">
        <f t="shared" si="22"/>
        <v>0</v>
      </c>
      <c r="H584" s="411"/>
      <c r="I584" s="407"/>
      <c r="J584" s="411"/>
      <c r="K584" s="407" t="s">
        <v>1347</v>
      </c>
      <c r="L584" s="412" t="s">
        <v>1348</v>
      </c>
      <c r="M584" s="407" t="s">
        <v>1351</v>
      </c>
      <c r="N584" s="412"/>
      <c r="O584" s="412"/>
      <c r="P584" s="412" t="s">
        <v>1350</v>
      </c>
      <c r="Q584" s="413" t="s">
        <v>726</v>
      </c>
      <c r="R584" s="413" t="s">
        <v>263</v>
      </c>
      <c r="S584" s="414" t="s">
        <v>906</v>
      </c>
      <c r="T584" s="414"/>
      <c r="U584" s="415"/>
      <c r="V584" s="416"/>
      <c r="W584" s="417"/>
      <c r="X584" s="417"/>
      <c r="Y584" s="418" t="s">
        <v>377</v>
      </c>
      <c r="Z584" s="419"/>
      <c r="AA584" s="492"/>
    </row>
    <row r="585" spans="1:27" s="128" customFormat="1" ht="18" customHeight="1">
      <c r="A585" s="405">
        <v>74</v>
      </c>
      <c r="B585" s="407" t="s">
        <v>1468</v>
      </c>
      <c r="C585" s="406" t="s">
        <v>66</v>
      </c>
      <c r="D585" s="407" t="s">
        <v>1469</v>
      </c>
      <c r="E585" s="408">
        <v>2</v>
      </c>
      <c r="F585" s="409"/>
      <c r="G585" s="410">
        <f t="shared" si="22"/>
        <v>0</v>
      </c>
      <c r="H585" s="411"/>
      <c r="I585" s="407"/>
      <c r="J585" s="411"/>
      <c r="K585" s="407" t="s">
        <v>1347</v>
      </c>
      <c r="L585" s="412" t="s">
        <v>1348</v>
      </c>
      <c r="M585" s="407" t="s">
        <v>1351</v>
      </c>
      <c r="N585" s="412"/>
      <c r="O585" s="412"/>
      <c r="P585" s="412" t="s">
        <v>1350</v>
      </c>
      <c r="Q585" s="413" t="s">
        <v>726</v>
      </c>
      <c r="R585" s="413" t="s">
        <v>263</v>
      </c>
      <c r="S585" s="414" t="s">
        <v>1463</v>
      </c>
      <c r="T585" s="414"/>
      <c r="U585" s="415"/>
      <c r="V585" s="416"/>
      <c r="W585" s="417"/>
      <c r="X585" s="417"/>
      <c r="Y585" s="418" t="s">
        <v>377</v>
      </c>
      <c r="Z585" s="419"/>
      <c r="AA585" s="492"/>
    </row>
    <row r="586" spans="1:27" s="128" customFormat="1" ht="18" customHeight="1">
      <c r="A586" s="405">
        <v>75</v>
      </c>
      <c r="B586" s="407" t="s">
        <v>1470</v>
      </c>
      <c r="C586" s="406" t="s">
        <v>66</v>
      </c>
      <c r="D586" s="407" t="s">
        <v>1471</v>
      </c>
      <c r="E586" s="408">
        <v>2</v>
      </c>
      <c r="F586" s="409"/>
      <c r="G586" s="410">
        <f t="shared" si="22"/>
        <v>0</v>
      </c>
      <c r="H586" s="411"/>
      <c r="I586" s="407"/>
      <c r="J586" s="411"/>
      <c r="K586" s="407" t="s">
        <v>1347</v>
      </c>
      <c r="L586" s="412" t="s">
        <v>1348</v>
      </c>
      <c r="M586" s="407" t="s">
        <v>1351</v>
      </c>
      <c r="N586" s="412"/>
      <c r="O586" s="412"/>
      <c r="P586" s="412" t="s">
        <v>1350</v>
      </c>
      <c r="Q586" s="413" t="s">
        <v>726</v>
      </c>
      <c r="R586" s="413" t="s">
        <v>263</v>
      </c>
      <c r="S586" s="414" t="s">
        <v>1463</v>
      </c>
      <c r="T586" s="414"/>
      <c r="U586" s="415"/>
      <c r="V586" s="416"/>
      <c r="W586" s="417"/>
      <c r="X586" s="417"/>
      <c r="Y586" s="418" t="s">
        <v>377</v>
      </c>
      <c r="Z586" s="419"/>
      <c r="AA586" s="492"/>
    </row>
    <row r="587" spans="1:27" s="128" customFormat="1" ht="18" customHeight="1">
      <c r="A587" s="405">
        <v>76</v>
      </c>
      <c r="B587" s="407" t="s">
        <v>1472</v>
      </c>
      <c r="C587" s="406" t="s">
        <v>66</v>
      </c>
      <c r="D587" s="407" t="s">
        <v>1473</v>
      </c>
      <c r="E587" s="408">
        <v>4</v>
      </c>
      <c r="F587" s="409"/>
      <c r="G587" s="410">
        <f t="shared" si="22"/>
        <v>0</v>
      </c>
      <c r="H587" s="411"/>
      <c r="I587" s="407"/>
      <c r="J587" s="411"/>
      <c r="K587" s="407" t="s">
        <v>1347</v>
      </c>
      <c r="L587" s="412" t="s">
        <v>1348</v>
      </c>
      <c r="M587" s="407" t="s">
        <v>1351</v>
      </c>
      <c r="N587" s="412"/>
      <c r="O587" s="412"/>
      <c r="P587" s="412" t="s">
        <v>1350</v>
      </c>
      <c r="Q587" s="413" t="s">
        <v>726</v>
      </c>
      <c r="R587" s="413" t="s">
        <v>263</v>
      </c>
      <c r="S587" s="414" t="s">
        <v>1463</v>
      </c>
      <c r="T587" s="414"/>
      <c r="U587" s="415"/>
      <c r="V587" s="416"/>
      <c r="W587" s="417"/>
      <c r="X587" s="417"/>
      <c r="Y587" s="418" t="s">
        <v>377</v>
      </c>
      <c r="Z587" s="419"/>
      <c r="AA587" s="492"/>
    </row>
    <row r="588" spans="1:27" s="128" customFormat="1" ht="18" customHeight="1">
      <c r="A588" s="405">
        <v>77</v>
      </c>
      <c r="B588" s="407" t="s">
        <v>1474</v>
      </c>
      <c r="C588" s="406" t="s">
        <v>66</v>
      </c>
      <c r="D588" s="407" t="s">
        <v>1475</v>
      </c>
      <c r="E588" s="408">
        <v>2</v>
      </c>
      <c r="F588" s="409"/>
      <c r="G588" s="410">
        <f t="shared" si="22"/>
        <v>0</v>
      </c>
      <c r="H588" s="411"/>
      <c r="I588" s="407"/>
      <c r="J588" s="411"/>
      <c r="K588" s="407" t="s">
        <v>1347</v>
      </c>
      <c r="L588" s="412" t="s">
        <v>1348</v>
      </c>
      <c r="M588" s="407" t="s">
        <v>1351</v>
      </c>
      <c r="N588" s="412"/>
      <c r="O588" s="412"/>
      <c r="P588" s="412" t="s">
        <v>1350</v>
      </c>
      <c r="Q588" s="413" t="s">
        <v>726</v>
      </c>
      <c r="R588" s="413" t="s">
        <v>263</v>
      </c>
      <c r="S588" s="414" t="s">
        <v>906</v>
      </c>
      <c r="T588" s="414"/>
      <c r="U588" s="415"/>
      <c r="V588" s="416"/>
      <c r="W588" s="417"/>
      <c r="X588" s="417"/>
      <c r="Y588" s="418" t="s">
        <v>377</v>
      </c>
      <c r="Z588" s="419"/>
      <c r="AA588" s="492"/>
    </row>
    <row r="589" spans="1:27" s="128" customFormat="1" ht="18" customHeight="1">
      <c r="A589" s="405">
        <v>78</v>
      </c>
      <c r="B589" s="407" t="s">
        <v>1476</v>
      </c>
      <c r="C589" s="406" t="s">
        <v>66</v>
      </c>
      <c r="D589" s="407" t="s">
        <v>1477</v>
      </c>
      <c r="E589" s="408">
        <v>2</v>
      </c>
      <c r="F589" s="409"/>
      <c r="G589" s="410">
        <f t="shared" si="22"/>
        <v>0</v>
      </c>
      <c r="H589" s="411"/>
      <c r="I589" s="407"/>
      <c r="J589" s="411"/>
      <c r="K589" s="407" t="s">
        <v>1347</v>
      </c>
      <c r="L589" s="412" t="s">
        <v>1348</v>
      </c>
      <c r="M589" s="407" t="s">
        <v>1351</v>
      </c>
      <c r="N589" s="412"/>
      <c r="O589" s="412"/>
      <c r="P589" s="412" t="s">
        <v>1350</v>
      </c>
      <c r="Q589" s="413" t="s">
        <v>726</v>
      </c>
      <c r="R589" s="413" t="s">
        <v>263</v>
      </c>
      <c r="S589" s="414" t="s">
        <v>1463</v>
      </c>
      <c r="T589" s="414"/>
      <c r="U589" s="415"/>
      <c r="V589" s="416"/>
      <c r="W589" s="417"/>
      <c r="X589" s="417"/>
      <c r="Y589" s="418" t="s">
        <v>377</v>
      </c>
      <c r="Z589" s="419"/>
      <c r="AA589" s="492"/>
    </row>
    <row r="590" spans="1:27" s="128" customFormat="1" ht="18" customHeight="1">
      <c r="A590" s="405">
        <v>79</v>
      </c>
      <c r="B590" s="407" t="s">
        <v>1478</v>
      </c>
      <c r="C590" s="406" t="s">
        <v>66</v>
      </c>
      <c r="D590" s="407" t="s">
        <v>1479</v>
      </c>
      <c r="E590" s="408">
        <v>2</v>
      </c>
      <c r="F590" s="409"/>
      <c r="G590" s="410">
        <f t="shared" si="22"/>
        <v>0</v>
      </c>
      <c r="H590" s="411"/>
      <c r="I590" s="407"/>
      <c r="J590" s="411"/>
      <c r="K590" s="407" t="s">
        <v>1347</v>
      </c>
      <c r="L590" s="412" t="s">
        <v>1348</v>
      </c>
      <c r="M590" s="407" t="s">
        <v>1351</v>
      </c>
      <c r="N590" s="412"/>
      <c r="O590" s="412"/>
      <c r="P590" s="412" t="s">
        <v>1350</v>
      </c>
      <c r="Q590" s="413" t="s">
        <v>726</v>
      </c>
      <c r="R590" s="413" t="s">
        <v>263</v>
      </c>
      <c r="S590" s="414" t="s">
        <v>1463</v>
      </c>
      <c r="T590" s="414"/>
      <c r="U590" s="415"/>
      <c r="V590" s="416"/>
      <c r="W590" s="417"/>
      <c r="X590" s="417"/>
      <c r="Y590" s="418" t="s">
        <v>377</v>
      </c>
      <c r="Z590" s="419"/>
      <c r="AA590" s="492"/>
    </row>
    <row r="591" spans="1:27" s="128" customFormat="1" ht="18" customHeight="1">
      <c r="A591" s="405">
        <v>80</v>
      </c>
      <c r="B591" s="407" t="s">
        <v>1480</v>
      </c>
      <c r="C591" s="406" t="s">
        <v>66</v>
      </c>
      <c r="D591" s="407" t="s">
        <v>1481</v>
      </c>
      <c r="E591" s="408">
        <v>1</v>
      </c>
      <c r="F591" s="409"/>
      <c r="G591" s="410">
        <f t="shared" si="22"/>
        <v>0</v>
      </c>
      <c r="H591" s="411"/>
      <c r="I591" s="407"/>
      <c r="J591" s="411"/>
      <c r="K591" s="407" t="s">
        <v>1347</v>
      </c>
      <c r="L591" s="412" t="s">
        <v>1348</v>
      </c>
      <c r="M591" s="407" t="s">
        <v>1351</v>
      </c>
      <c r="N591" s="412"/>
      <c r="O591" s="412"/>
      <c r="P591" s="412" t="s">
        <v>1350</v>
      </c>
      <c r="Q591" s="413" t="s">
        <v>726</v>
      </c>
      <c r="R591" s="413" t="s">
        <v>263</v>
      </c>
      <c r="S591" s="414" t="s">
        <v>906</v>
      </c>
      <c r="T591" s="414"/>
      <c r="U591" s="415"/>
      <c r="V591" s="416"/>
      <c r="W591" s="417"/>
      <c r="X591" s="417"/>
      <c r="Y591" s="418" t="s">
        <v>377</v>
      </c>
      <c r="Z591" s="419"/>
      <c r="AA591" s="492"/>
    </row>
    <row r="592" spans="1:27" s="128" customFormat="1" ht="18" customHeight="1">
      <c r="A592" s="405">
        <v>81</v>
      </c>
      <c r="B592" s="407" t="s">
        <v>1482</v>
      </c>
      <c r="C592" s="406" t="s">
        <v>66</v>
      </c>
      <c r="D592" s="407" t="s">
        <v>1483</v>
      </c>
      <c r="E592" s="408">
        <v>4</v>
      </c>
      <c r="F592" s="409"/>
      <c r="G592" s="410">
        <f t="shared" si="22"/>
        <v>0</v>
      </c>
      <c r="H592" s="411"/>
      <c r="I592" s="407"/>
      <c r="J592" s="411"/>
      <c r="K592" s="407" t="s">
        <v>1347</v>
      </c>
      <c r="L592" s="412" t="s">
        <v>1348</v>
      </c>
      <c r="M592" s="407" t="s">
        <v>1351</v>
      </c>
      <c r="N592" s="412"/>
      <c r="O592" s="412"/>
      <c r="P592" s="412" t="s">
        <v>1350</v>
      </c>
      <c r="Q592" s="413" t="s">
        <v>726</v>
      </c>
      <c r="R592" s="413" t="s">
        <v>263</v>
      </c>
      <c r="S592" s="414" t="s">
        <v>906</v>
      </c>
      <c r="T592" s="414"/>
      <c r="U592" s="415"/>
      <c r="V592" s="416"/>
      <c r="W592" s="417"/>
      <c r="X592" s="417"/>
      <c r="Y592" s="418" t="s">
        <v>377</v>
      </c>
      <c r="Z592" s="419"/>
      <c r="AA592" s="492"/>
    </row>
    <row r="593" spans="1:27" s="128" customFormat="1" ht="18" customHeight="1">
      <c r="A593" s="405">
        <v>82</v>
      </c>
      <c r="B593" s="407" t="s">
        <v>1292</v>
      </c>
      <c r="C593" s="406" t="s">
        <v>66</v>
      </c>
      <c r="D593" s="407" t="s">
        <v>1293</v>
      </c>
      <c r="E593" s="408">
        <v>1</v>
      </c>
      <c r="F593" s="409"/>
      <c r="G593" s="410">
        <f t="shared" si="22"/>
        <v>0</v>
      </c>
      <c r="H593" s="411"/>
      <c r="I593" s="407"/>
      <c r="J593" s="411"/>
      <c r="K593" s="407" t="s">
        <v>1347</v>
      </c>
      <c r="L593" s="412" t="s">
        <v>1348</v>
      </c>
      <c r="M593" s="407" t="s">
        <v>1351</v>
      </c>
      <c r="N593" s="412"/>
      <c r="O593" s="412"/>
      <c r="P593" s="412" t="s">
        <v>1350</v>
      </c>
      <c r="Q593" s="413" t="s">
        <v>726</v>
      </c>
      <c r="R593" s="413" t="s">
        <v>263</v>
      </c>
      <c r="S593" s="414" t="s">
        <v>906</v>
      </c>
      <c r="T593" s="414"/>
      <c r="U593" s="415"/>
      <c r="V593" s="416"/>
      <c r="W593" s="417"/>
      <c r="X593" s="417"/>
      <c r="Y593" s="418" t="s">
        <v>377</v>
      </c>
      <c r="Z593" s="419"/>
      <c r="AA593" s="492"/>
    </row>
    <row r="594" spans="1:27" s="128" customFormat="1" ht="18" customHeight="1">
      <c r="A594" s="405">
        <v>83</v>
      </c>
      <c r="B594" s="407" t="s">
        <v>1484</v>
      </c>
      <c r="C594" s="406" t="s">
        <v>66</v>
      </c>
      <c r="D594" s="407" t="s">
        <v>1485</v>
      </c>
      <c r="E594" s="408">
        <v>2</v>
      </c>
      <c r="F594" s="409"/>
      <c r="G594" s="410">
        <f t="shared" si="22"/>
        <v>0</v>
      </c>
      <c r="H594" s="411"/>
      <c r="I594" s="407"/>
      <c r="J594" s="411"/>
      <c r="K594" s="407" t="s">
        <v>1347</v>
      </c>
      <c r="L594" s="412" t="s">
        <v>1348</v>
      </c>
      <c r="M594" s="407" t="s">
        <v>1351</v>
      </c>
      <c r="N594" s="412"/>
      <c r="O594" s="412"/>
      <c r="P594" s="412" t="s">
        <v>1350</v>
      </c>
      <c r="Q594" s="413" t="s">
        <v>726</v>
      </c>
      <c r="R594" s="413" t="s">
        <v>263</v>
      </c>
      <c r="S594" s="414" t="s">
        <v>906</v>
      </c>
      <c r="T594" s="414"/>
      <c r="U594" s="415"/>
      <c r="V594" s="416"/>
      <c r="W594" s="417"/>
      <c r="X594" s="417"/>
      <c r="Y594" s="418" t="s">
        <v>377</v>
      </c>
      <c r="Z594" s="419"/>
      <c r="AA594" s="492"/>
    </row>
    <row r="595" spans="1:27" s="128" customFormat="1" ht="18" customHeight="1">
      <c r="A595" s="405">
        <v>84</v>
      </c>
      <c r="B595" s="407" t="s">
        <v>1486</v>
      </c>
      <c r="C595" s="406" t="s">
        <v>66</v>
      </c>
      <c r="D595" s="407" t="s">
        <v>1487</v>
      </c>
      <c r="E595" s="408">
        <v>5</v>
      </c>
      <c r="F595" s="409"/>
      <c r="G595" s="410">
        <f t="shared" si="22"/>
        <v>0</v>
      </c>
      <c r="H595" s="411"/>
      <c r="I595" s="407"/>
      <c r="J595" s="411"/>
      <c r="K595" s="407" t="s">
        <v>1347</v>
      </c>
      <c r="L595" s="412" t="s">
        <v>1348</v>
      </c>
      <c r="M595" s="407" t="s">
        <v>1351</v>
      </c>
      <c r="N595" s="412"/>
      <c r="O595" s="412"/>
      <c r="P595" s="412" t="s">
        <v>1350</v>
      </c>
      <c r="Q595" s="413" t="s">
        <v>726</v>
      </c>
      <c r="R595" s="413" t="s">
        <v>263</v>
      </c>
      <c r="S595" s="414" t="s">
        <v>906</v>
      </c>
      <c r="T595" s="414"/>
      <c r="U595" s="415"/>
      <c r="V595" s="416"/>
      <c r="W595" s="417"/>
      <c r="X595" s="417"/>
      <c r="Y595" s="418" t="s">
        <v>377</v>
      </c>
      <c r="Z595" s="419"/>
      <c r="AA595" s="492"/>
    </row>
    <row r="596" spans="1:27" s="128" customFormat="1" ht="18" customHeight="1">
      <c r="A596" s="443">
        <v>85</v>
      </c>
      <c r="B596" s="444" t="s">
        <v>1488</v>
      </c>
      <c r="C596" s="445" t="s">
        <v>66</v>
      </c>
      <c r="D596" s="444" t="s">
        <v>1489</v>
      </c>
      <c r="E596" s="446">
        <v>2</v>
      </c>
      <c r="F596" s="447"/>
      <c r="G596" s="448">
        <f t="shared" si="22"/>
        <v>0</v>
      </c>
      <c r="H596" s="449"/>
      <c r="I596" s="444"/>
      <c r="J596" s="449"/>
      <c r="K596" s="444"/>
      <c r="L596" s="450"/>
      <c r="M596" s="444"/>
      <c r="N596" s="450"/>
      <c r="O596" s="450"/>
      <c r="P596" s="450"/>
      <c r="Q596" s="451" t="s">
        <v>374</v>
      </c>
      <c r="R596" s="451"/>
      <c r="S596" s="452"/>
      <c r="T596" s="452" t="s">
        <v>481</v>
      </c>
      <c r="U596" s="453"/>
      <c r="V596" s="454"/>
      <c r="W596" s="455" t="s">
        <v>406</v>
      </c>
      <c r="X596" s="455">
        <v>45601</v>
      </c>
      <c r="Y596" s="456" t="s">
        <v>377</v>
      </c>
      <c r="Z596" s="457"/>
      <c r="AA596" s="494"/>
    </row>
    <row r="597" spans="1:27" s="128" customFormat="1" ht="18" customHeight="1">
      <c r="A597" s="443">
        <v>86</v>
      </c>
      <c r="B597" s="444" t="s">
        <v>1490</v>
      </c>
      <c r="C597" s="445" t="s">
        <v>66</v>
      </c>
      <c r="D597" s="444" t="s">
        <v>1491</v>
      </c>
      <c r="E597" s="446">
        <v>1</v>
      </c>
      <c r="F597" s="447"/>
      <c r="G597" s="448">
        <f t="shared" si="22"/>
        <v>0</v>
      </c>
      <c r="H597" s="449"/>
      <c r="I597" s="444"/>
      <c r="J597" s="449"/>
      <c r="K597" s="444"/>
      <c r="L597" s="450"/>
      <c r="M597" s="444"/>
      <c r="N597" s="450"/>
      <c r="O597" s="450"/>
      <c r="P597" s="450"/>
      <c r="Q597" s="451" t="s">
        <v>374</v>
      </c>
      <c r="R597" s="451"/>
      <c r="S597" s="452"/>
      <c r="T597" s="452" t="s">
        <v>481</v>
      </c>
      <c r="U597" s="453"/>
      <c r="V597" s="454"/>
      <c r="W597" s="455" t="s">
        <v>406</v>
      </c>
      <c r="X597" s="455">
        <v>45601</v>
      </c>
      <c r="Y597" s="456" t="s">
        <v>377</v>
      </c>
      <c r="Z597" s="457"/>
      <c r="AA597" s="494"/>
    </row>
    <row r="598" spans="1:27" s="128" customFormat="1" ht="18" customHeight="1">
      <c r="A598" s="405">
        <v>87</v>
      </c>
      <c r="B598" s="407" t="s">
        <v>1492</v>
      </c>
      <c r="C598" s="406" t="s">
        <v>66</v>
      </c>
      <c r="D598" s="407" t="s">
        <v>1493</v>
      </c>
      <c r="E598" s="408">
        <v>1</v>
      </c>
      <c r="F598" s="409"/>
      <c r="G598" s="410">
        <f t="shared" si="22"/>
        <v>0</v>
      </c>
      <c r="H598" s="411"/>
      <c r="I598" s="407"/>
      <c r="J598" s="411"/>
      <c r="K598" s="407" t="s">
        <v>1347</v>
      </c>
      <c r="L598" s="412" t="s">
        <v>1348</v>
      </c>
      <c r="M598" s="407" t="s">
        <v>1351</v>
      </c>
      <c r="N598" s="412"/>
      <c r="O598" s="412"/>
      <c r="P598" s="412" t="s">
        <v>1350</v>
      </c>
      <c r="Q598" s="413" t="s">
        <v>726</v>
      </c>
      <c r="R598" s="413" t="s">
        <v>263</v>
      </c>
      <c r="S598" s="414" t="s">
        <v>906</v>
      </c>
      <c r="T598" s="414"/>
      <c r="U598" s="415"/>
      <c r="V598" s="416"/>
      <c r="W598" s="417"/>
      <c r="X598" s="417"/>
      <c r="Y598" s="418" t="s">
        <v>377</v>
      </c>
      <c r="Z598" s="419"/>
      <c r="AA598" s="492"/>
    </row>
    <row r="599" spans="1:27" s="128" customFormat="1" ht="18" customHeight="1">
      <c r="A599" s="443">
        <v>88</v>
      </c>
      <c r="B599" s="444" t="s">
        <v>838</v>
      </c>
      <c r="C599" s="445" t="s">
        <v>66</v>
      </c>
      <c r="D599" s="444" t="s">
        <v>839</v>
      </c>
      <c r="E599" s="446">
        <v>2</v>
      </c>
      <c r="F599" s="447"/>
      <c r="G599" s="448">
        <f t="shared" si="22"/>
        <v>0</v>
      </c>
      <c r="H599" s="449"/>
      <c r="I599" s="444"/>
      <c r="J599" s="449"/>
      <c r="K599" s="444"/>
      <c r="L599" s="450"/>
      <c r="M599" s="444"/>
      <c r="N599" s="450"/>
      <c r="O599" s="450"/>
      <c r="P599" s="450"/>
      <c r="Q599" s="451" t="s">
        <v>374</v>
      </c>
      <c r="R599" s="451"/>
      <c r="S599" s="452"/>
      <c r="T599" s="452" t="s">
        <v>481</v>
      </c>
      <c r="U599" s="453"/>
      <c r="V599" s="454"/>
      <c r="W599" s="455" t="s">
        <v>406</v>
      </c>
      <c r="X599" s="455">
        <v>45601</v>
      </c>
      <c r="Y599" s="456" t="s">
        <v>377</v>
      </c>
      <c r="Z599" s="457"/>
      <c r="AA599" s="494"/>
    </row>
    <row r="600" spans="1:27" s="128" customFormat="1" ht="18" customHeight="1">
      <c r="A600" s="405">
        <v>89</v>
      </c>
      <c r="B600" s="407" t="s">
        <v>1494</v>
      </c>
      <c r="C600" s="406" t="s">
        <v>66</v>
      </c>
      <c r="D600" s="407" t="s">
        <v>1495</v>
      </c>
      <c r="E600" s="408">
        <v>2</v>
      </c>
      <c r="F600" s="409"/>
      <c r="G600" s="410">
        <f t="shared" si="22"/>
        <v>0</v>
      </c>
      <c r="H600" s="411"/>
      <c r="I600" s="407"/>
      <c r="J600" s="411"/>
      <c r="K600" s="407" t="s">
        <v>1347</v>
      </c>
      <c r="L600" s="412" t="s">
        <v>1348</v>
      </c>
      <c r="M600" s="407" t="s">
        <v>1351</v>
      </c>
      <c r="N600" s="412"/>
      <c r="O600" s="412"/>
      <c r="P600" s="412" t="s">
        <v>1350</v>
      </c>
      <c r="Q600" s="413" t="s">
        <v>726</v>
      </c>
      <c r="R600" s="413" t="s">
        <v>263</v>
      </c>
      <c r="S600" s="414" t="s">
        <v>906</v>
      </c>
      <c r="T600" s="414"/>
      <c r="U600" s="415"/>
      <c r="V600" s="416"/>
      <c r="W600" s="417"/>
      <c r="X600" s="417"/>
      <c r="Y600" s="418" t="s">
        <v>377</v>
      </c>
      <c r="Z600" s="419"/>
      <c r="AA600" s="492"/>
    </row>
    <row r="601" spans="1:27" s="128" customFormat="1" ht="18" customHeight="1">
      <c r="A601" s="405">
        <v>90</v>
      </c>
      <c r="B601" s="407" t="s">
        <v>1496</v>
      </c>
      <c r="C601" s="406" t="s">
        <v>66</v>
      </c>
      <c r="D601" s="407" t="s">
        <v>1497</v>
      </c>
      <c r="E601" s="408">
        <v>1</v>
      </c>
      <c r="F601" s="409"/>
      <c r="G601" s="410">
        <f t="shared" si="22"/>
        <v>0</v>
      </c>
      <c r="H601" s="411"/>
      <c r="I601" s="407"/>
      <c r="J601" s="411"/>
      <c r="K601" s="407" t="s">
        <v>1347</v>
      </c>
      <c r="L601" s="412" t="s">
        <v>1348</v>
      </c>
      <c r="M601" s="407" t="s">
        <v>1351</v>
      </c>
      <c r="N601" s="412"/>
      <c r="O601" s="412"/>
      <c r="P601" s="412" t="s">
        <v>1350</v>
      </c>
      <c r="Q601" s="413" t="s">
        <v>726</v>
      </c>
      <c r="R601" s="413" t="s">
        <v>263</v>
      </c>
      <c r="S601" s="414" t="s">
        <v>906</v>
      </c>
      <c r="T601" s="414"/>
      <c r="U601" s="415"/>
      <c r="V601" s="416"/>
      <c r="W601" s="417"/>
      <c r="X601" s="417"/>
      <c r="Y601" s="418" t="s">
        <v>377</v>
      </c>
      <c r="Z601" s="419"/>
      <c r="AA601" s="492"/>
    </row>
    <row r="602" spans="1:27" s="128" customFormat="1" ht="18" customHeight="1">
      <c r="A602" s="405">
        <v>91</v>
      </c>
      <c r="B602" s="407" t="s">
        <v>697</v>
      </c>
      <c r="C602" s="406" t="s">
        <v>66</v>
      </c>
      <c r="D602" s="407" t="s">
        <v>698</v>
      </c>
      <c r="E602" s="408">
        <v>2</v>
      </c>
      <c r="F602" s="409"/>
      <c r="G602" s="410">
        <f t="shared" si="22"/>
        <v>0</v>
      </c>
      <c r="H602" s="411"/>
      <c r="I602" s="407"/>
      <c r="J602" s="411"/>
      <c r="K602" s="407" t="s">
        <v>1347</v>
      </c>
      <c r="L602" s="412" t="s">
        <v>1348</v>
      </c>
      <c r="M602" s="407" t="s">
        <v>1351</v>
      </c>
      <c r="N602" s="412"/>
      <c r="O602" s="412"/>
      <c r="P602" s="412" t="s">
        <v>1350</v>
      </c>
      <c r="Q602" s="413" t="s">
        <v>726</v>
      </c>
      <c r="R602" s="413" t="s">
        <v>263</v>
      </c>
      <c r="S602" s="414" t="s">
        <v>906</v>
      </c>
      <c r="T602" s="414"/>
      <c r="U602" s="415"/>
      <c r="V602" s="416"/>
      <c r="W602" s="417"/>
      <c r="X602" s="417"/>
      <c r="Y602" s="418" t="s">
        <v>377</v>
      </c>
      <c r="Z602" s="419"/>
      <c r="AA602" s="492"/>
    </row>
    <row r="603" spans="1:27" s="128" customFormat="1" ht="18" customHeight="1">
      <c r="A603" s="405">
        <v>92</v>
      </c>
      <c r="B603" s="407" t="s">
        <v>832</v>
      </c>
      <c r="C603" s="406" t="s">
        <v>66</v>
      </c>
      <c r="D603" s="407" t="s">
        <v>833</v>
      </c>
      <c r="E603" s="408">
        <v>2</v>
      </c>
      <c r="F603" s="409"/>
      <c r="G603" s="410">
        <f t="shared" si="22"/>
        <v>0</v>
      </c>
      <c r="H603" s="411"/>
      <c r="I603" s="407"/>
      <c r="J603" s="411"/>
      <c r="K603" s="407" t="s">
        <v>1347</v>
      </c>
      <c r="L603" s="412" t="s">
        <v>1348</v>
      </c>
      <c r="M603" s="407" t="s">
        <v>1351</v>
      </c>
      <c r="N603" s="412"/>
      <c r="O603" s="412"/>
      <c r="P603" s="412" t="s">
        <v>1350</v>
      </c>
      <c r="Q603" s="413" t="s">
        <v>726</v>
      </c>
      <c r="R603" s="413" t="s">
        <v>263</v>
      </c>
      <c r="S603" s="414" t="s">
        <v>906</v>
      </c>
      <c r="T603" s="414"/>
      <c r="U603" s="415"/>
      <c r="V603" s="416"/>
      <c r="W603" s="417"/>
      <c r="X603" s="417"/>
      <c r="Y603" s="418" t="s">
        <v>377</v>
      </c>
      <c r="Z603" s="419"/>
      <c r="AA603" s="492"/>
    </row>
    <row r="604" spans="1:27" s="128" customFormat="1" ht="18" customHeight="1">
      <c r="A604" s="405">
        <v>93</v>
      </c>
      <c r="B604" s="407" t="s">
        <v>1121</v>
      </c>
      <c r="C604" s="406" t="s">
        <v>66</v>
      </c>
      <c r="D604" s="407" t="s">
        <v>1122</v>
      </c>
      <c r="E604" s="408">
        <v>4</v>
      </c>
      <c r="F604" s="409"/>
      <c r="G604" s="410">
        <f t="shared" si="22"/>
        <v>0</v>
      </c>
      <c r="H604" s="411"/>
      <c r="I604" s="407"/>
      <c r="J604" s="411"/>
      <c r="K604" s="407" t="s">
        <v>1347</v>
      </c>
      <c r="L604" s="412" t="s">
        <v>1348</v>
      </c>
      <c r="M604" s="407" t="s">
        <v>1351</v>
      </c>
      <c r="N604" s="412"/>
      <c r="O604" s="412"/>
      <c r="P604" s="412" t="s">
        <v>1350</v>
      </c>
      <c r="Q604" s="413" t="s">
        <v>726</v>
      </c>
      <c r="R604" s="413" t="s">
        <v>263</v>
      </c>
      <c r="S604" s="414" t="s">
        <v>906</v>
      </c>
      <c r="T604" s="414"/>
      <c r="U604" s="415"/>
      <c r="V604" s="416"/>
      <c r="W604" s="417"/>
      <c r="X604" s="417"/>
      <c r="Y604" s="418" t="s">
        <v>377</v>
      </c>
      <c r="Z604" s="419"/>
      <c r="AA604" s="492"/>
    </row>
    <row r="605" spans="1:27" s="128" customFormat="1" ht="18" customHeight="1">
      <c r="A605" s="405">
        <v>94</v>
      </c>
      <c r="B605" s="407" t="s">
        <v>1498</v>
      </c>
      <c r="C605" s="406" t="s">
        <v>66</v>
      </c>
      <c r="D605" s="407" t="s">
        <v>1499</v>
      </c>
      <c r="E605" s="408">
        <v>2</v>
      </c>
      <c r="F605" s="409"/>
      <c r="G605" s="410">
        <f t="shared" si="22"/>
        <v>0</v>
      </c>
      <c r="H605" s="411"/>
      <c r="I605" s="407"/>
      <c r="J605" s="411"/>
      <c r="K605" s="407" t="s">
        <v>1347</v>
      </c>
      <c r="L605" s="412" t="s">
        <v>1348</v>
      </c>
      <c r="M605" s="407" t="s">
        <v>1351</v>
      </c>
      <c r="N605" s="412"/>
      <c r="O605" s="412"/>
      <c r="P605" s="412" t="s">
        <v>1350</v>
      </c>
      <c r="Q605" s="413" t="s">
        <v>726</v>
      </c>
      <c r="R605" s="413" t="s">
        <v>263</v>
      </c>
      <c r="S605" s="414" t="s">
        <v>906</v>
      </c>
      <c r="T605" s="414"/>
      <c r="U605" s="415"/>
      <c r="V605" s="416"/>
      <c r="W605" s="417"/>
      <c r="X605" s="417"/>
      <c r="Y605" s="418" t="s">
        <v>377</v>
      </c>
      <c r="Z605" s="419"/>
      <c r="AA605" s="492"/>
    </row>
    <row r="606" spans="1:27" s="128" customFormat="1" ht="18" customHeight="1">
      <c r="A606" s="405">
        <v>95</v>
      </c>
      <c r="B606" s="407" t="s">
        <v>1500</v>
      </c>
      <c r="C606" s="406" t="s">
        <v>66</v>
      </c>
      <c r="D606" s="407" t="s">
        <v>1501</v>
      </c>
      <c r="E606" s="408">
        <v>2</v>
      </c>
      <c r="F606" s="409"/>
      <c r="G606" s="410">
        <f t="shared" si="22"/>
        <v>0</v>
      </c>
      <c r="H606" s="411"/>
      <c r="I606" s="407"/>
      <c r="J606" s="411"/>
      <c r="K606" s="407" t="s">
        <v>1347</v>
      </c>
      <c r="L606" s="412" t="s">
        <v>1348</v>
      </c>
      <c r="M606" s="407" t="s">
        <v>1351</v>
      </c>
      <c r="N606" s="412"/>
      <c r="O606" s="412"/>
      <c r="P606" s="412" t="s">
        <v>1350</v>
      </c>
      <c r="Q606" s="413" t="s">
        <v>726</v>
      </c>
      <c r="R606" s="413" t="s">
        <v>263</v>
      </c>
      <c r="S606" s="414" t="s">
        <v>906</v>
      </c>
      <c r="T606" s="414"/>
      <c r="U606" s="415"/>
      <c r="V606" s="416"/>
      <c r="W606" s="417"/>
      <c r="X606" s="417"/>
      <c r="Y606" s="418" t="s">
        <v>377</v>
      </c>
      <c r="Z606" s="419"/>
      <c r="AA606" s="492"/>
    </row>
    <row r="607" spans="1:27" s="128" customFormat="1" ht="18" customHeight="1">
      <c r="A607" s="405">
        <v>96</v>
      </c>
      <c r="B607" s="407" t="s">
        <v>1502</v>
      </c>
      <c r="C607" s="406" t="s">
        <v>66</v>
      </c>
      <c r="D607" s="407" t="s">
        <v>1503</v>
      </c>
      <c r="E607" s="408">
        <v>4</v>
      </c>
      <c r="F607" s="409"/>
      <c r="G607" s="410">
        <f t="shared" si="22"/>
        <v>0</v>
      </c>
      <c r="H607" s="411"/>
      <c r="I607" s="407"/>
      <c r="J607" s="411"/>
      <c r="K607" s="407" t="s">
        <v>1347</v>
      </c>
      <c r="L607" s="412" t="s">
        <v>1348</v>
      </c>
      <c r="M607" s="407" t="s">
        <v>1351</v>
      </c>
      <c r="N607" s="412"/>
      <c r="O607" s="412"/>
      <c r="P607" s="412" t="s">
        <v>1350</v>
      </c>
      <c r="Q607" s="413" t="s">
        <v>726</v>
      </c>
      <c r="R607" s="413" t="s">
        <v>263</v>
      </c>
      <c r="S607" s="414" t="s">
        <v>906</v>
      </c>
      <c r="T607" s="414"/>
      <c r="U607" s="415"/>
      <c r="V607" s="416"/>
      <c r="W607" s="417"/>
      <c r="X607" s="417"/>
      <c r="Y607" s="418" t="s">
        <v>377</v>
      </c>
      <c r="Z607" s="419"/>
      <c r="AA607" s="492"/>
    </row>
    <row r="608" spans="1:27" s="128" customFormat="1" ht="18" customHeight="1">
      <c r="A608" s="405">
        <v>97</v>
      </c>
      <c r="B608" s="407" t="s">
        <v>1304</v>
      </c>
      <c r="C608" s="406" t="s">
        <v>66</v>
      </c>
      <c r="D608" s="407" t="s">
        <v>1305</v>
      </c>
      <c r="E608" s="408">
        <v>1</v>
      </c>
      <c r="F608" s="409"/>
      <c r="G608" s="410">
        <f t="shared" ref="G608:G616" si="23">E608*F608</f>
        <v>0</v>
      </c>
      <c r="H608" s="411"/>
      <c r="I608" s="407"/>
      <c r="J608" s="411"/>
      <c r="K608" s="407" t="s">
        <v>1347</v>
      </c>
      <c r="L608" s="412" t="s">
        <v>1348</v>
      </c>
      <c r="M608" s="407" t="s">
        <v>1351</v>
      </c>
      <c r="N608" s="412"/>
      <c r="O608" s="412"/>
      <c r="P608" s="412" t="s">
        <v>1350</v>
      </c>
      <c r="Q608" s="413" t="s">
        <v>726</v>
      </c>
      <c r="R608" s="413" t="s">
        <v>263</v>
      </c>
      <c r="S608" s="414" t="s">
        <v>906</v>
      </c>
      <c r="T608" s="414"/>
      <c r="U608" s="415"/>
      <c r="V608" s="416"/>
      <c r="W608" s="417"/>
      <c r="X608" s="417"/>
      <c r="Y608" s="418" t="s">
        <v>377</v>
      </c>
      <c r="Z608" s="419"/>
      <c r="AA608" s="492"/>
    </row>
    <row r="609" spans="1:27" s="128" customFormat="1" ht="18" customHeight="1">
      <c r="A609" s="443">
        <v>98</v>
      </c>
      <c r="B609" s="444" t="s">
        <v>982</v>
      </c>
      <c r="C609" s="445" t="s">
        <v>66</v>
      </c>
      <c r="D609" s="444" t="s">
        <v>983</v>
      </c>
      <c r="E609" s="446">
        <v>1</v>
      </c>
      <c r="F609" s="447"/>
      <c r="G609" s="448">
        <f t="shared" si="23"/>
        <v>0</v>
      </c>
      <c r="H609" s="449"/>
      <c r="I609" s="444"/>
      <c r="J609" s="449"/>
      <c r="K609" s="444" t="s">
        <v>1347</v>
      </c>
      <c r="L609" s="450" t="s">
        <v>1348</v>
      </c>
      <c r="M609" s="444" t="s">
        <v>1349</v>
      </c>
      <c r="N609" s="450"/>
      <c r="O609" s="450"/>
      <c r="P609" s="450" t="s">
        <v>1350</v>
      </c>
      <c r="Q609" s="451" t="s">
        <v>726</v>
      </c>
      <c r="R609" s="451" t="s">
        <v>303</v>
      </c>
      <c r="S609" s="452" t="s">
        <v>797</v>
      </c>
      <c r="T609" s="452"/>
      <c r="U609" s="453"/>
      <c r="V609" s="454"/>
      <c r="W609" s="455" t="s">
        <v>406</v>
      </c>
      <c r="X609" s="455">
        <v>45611</v>
      </c>
      <c r="Y609" s="456" t="s">
        <v>377</v>
      </c>
      <c r="Z609" s="457"/>
      <c r="AA609" s="494"/>
    </row>
    <row r="610" spans="1:27" s="128" customFormat="1" ht="18" customHeight="1">
      <c r="A610" s="443">
        <v>99</v>
      </c>
      <c r="B610" s="444" t="s">
        <v>951</v>
      </c>
      <c r="C610" s="445" t="s">
        <v>66</v>
      </c>
      <c r="D610" s="444" t="s">
        <v>952</v>
      </c>
      <c r="E610" s="446">
        <v>3</v>
      </c>
      <c r="F610" s="447"/>
      <c r="G610" s="448">
        <f t="shared" si="23"/>
        <v>0</v>
      </c>
      <c r="H610" s="449"/>
      <c r="I610" s="444"/>
      <c r="J610" s="449"/>
      <c r="K610" s="444" t="s">
        <v>1347</v>
      </c>
      <c r="L610" s="450" t="s">
        <v>1348</v>
      </c>
      <c r="M610" s="444" t="s">
        <v>1445</v>
      </c>
      <c r="N610" s="450"/>
      <c r="O610" s="450"/>
      <c r="P610" s="450" t="s">
        <v>1350</v>
      </c>
      <c r="Q610" s="451" t="s">
        <v>374</v>
      </c>
      <c r="R610" s="451" t="s">
        <v>404</v>
      </c>
      <c r="S610" s="452" t="s">
        <v>1446</v>
      </c>
      <c r="T610" s="452" t="s">
        <v>481</v>
      </c>
      <c r="U610" s="453"/>
      <c r="V610" s="454"/>
      <c r="W610" s="455" t="s">
        <v>406</v>
      </c>
      <c r="X610" s="455">
        <v>45610</v>
      </c>
      <c r="Y610" s="456" t="s">
        <v>377</v>
      </c>
      <c r="Z610" s="457"/>
      <c r="AA610" s="494">
        <v>1</v>
      </c>
    </row>
    <row r="611" spans="1:27" s="128" customFormat="1" ht="18" customHeight="1">
      <c r="A611" s="443">
        <v>100</v>
      </c>
      <c r="B611" s="444" t="s">
        <v>1089</v>
      </c>
      <c r="C611" s="445" t="s">
        <v>66</v>
      </c>
      <c r="D611" s="444" t="s">
        <v>960</v>
      </c>
      <c r="E611" s="446">
        <v>3</v>
      </c>
      <c r="F611" s="447"/>
      <c r="G611" s="448">
        <f t="shared" si="23"/>
        <v>0</v>
      </c>
      <c r="H611" s="449"/>
      <c r="I611" s="444"/>
      <c r="J611" s="449"/>
      <c r="K611" s="444" t="s">
        <v>1347</v>
      </c>
      <c r="L611" s="450" t="s">
        <v>1348</v>
      </c>
      <c r="M611" s="444" t="s">
        <v>1445</v>
      </c>
      <c r="N611" s="450"/>
      <c r="O611" s="450"/>
      <c r="P611" s="450" t="s">
        <v>1350</v>
      </c>
      <c r="Q611" s="451" t="s">
        <v>374</v>
      </c>
      <c r="R611" s="451" t="s">
        <v>404</v>
      </c>
      <c r="S611" s="452" t="s">
        <v>1446</v>
      </c>
      <c r="T611" s="452" t="s">
        <v>481</v>
      </c>
      <c r="U611" s="453"/>
      <c r="V611" s="454"/>
      <c r="W611" s="455" t="s">
        <v>406</v>
      </c>
      <c r="X611" s="455">
        <v>45610</v>
      </c>
      <c r="Y611" s="456" t="s">
        <v>377</v>
      </c>
      <c r="Z611" s="457"/>
      <c r="AA611" s="494">
        <v>1</v>
      </c>
    </row>
    <row r="612" spans="1:27" s="128" customFormat="1" ht="18" customHeight="1">
      <c r="A612" s="405">
        <v>101</v>
      </c>
      <c r="B612" s="407" t="s">
        <v>1504</v>
      </c>
      <c r="C612" s="406" t="s">
        <v>66</v>
      </c>
      <c r="D612" s="407" t="s">
        <v>1505</v>
      </c>
      <c r="E612" s="408">
        <v>1</v>
      </c>
      <c r="F612" s="409"/>
      <c r="G612" s="410">
        <f t="shared" si="23"/>
        <v>0</v>
      </c>
      <c r="H612" s="411"/>
      <c r="I612" s="407"/>
      <c r="J612" s="411"/>
      <c r="K612" s="407" t="s">
        <v>1347</v>
      </c>
      <c r="L612" s="412" t="s">
        <v>1348</v>
      </c>
      <c r="M612" s="407" t="s">
        <v>1445</v>
      </c>
      <c r="N612" s="412"/>
      <c r="O612" s="412"/>
      <c r="P612" s="412" t="s">
        <v>1350</v>
      </c>
      <c r="Q612" s="413" t="s">
        <v>726</v>
      </c>
      <c r="R612" s="413" t="s">
        <v>404</v>
      </c>
      <c r="S612" s="414" t="s">
        <v>1446</v>
      </c>
      <c r="T612" s="414">
        <v>45622</v>
      </c>
      <c r="U612" s="415"/>
      <c r="V612" s="416"/>
      <c r="W612" s="417"/>
      <c r="X612" s="417"/>
      <c r="Y612" s="418" t="s">
        <v>377</v>
      </c>
      <c r="Z612" s="419"/>
      <c r="AA612" s="492">
        <v>1</v>
      </c>
    </row>
    <row r="613" spans="1:27" s="128" customFormat="1" ht="18" customHeight="1">
      <c r="A613" s="405">
        <v>102</v>
      </c>
      <c r="B613" s="407" t="s">
        <v>1506</v>
      </c>
      <c r="C613" s="406" t="s">
        <v>66</v>
      </c>
      <c r="D613" s="407" t="s">
        <v>1507</v>
      </c>
      <c r="E613" s="408">
        <v>2</v>
      </c>
      <c r="F613" s="409"/>
      <c r="G613" s="410">
        <f t="shared" si="23"/>
        <v>0</v>
      </c>
      <c r="H613" s="411"/>
      <c r="I613" s="407"/>
      <c r="J613" s="411"/>
      <c r="K613" s="407" t="s">
        <v>1347</v>
      </c>
      <c r="L613" s="412" t="s">
        <v>1348</v>
      </c>
      <c r="M613" s="407" t="s">
        <v>1445</v>
      </c>
      <c r="N613" s="412"/>
      <c r="O613" s="412"/>
      <c r="P613" s="412" t="s">
        <v>1350</v>
      </c>
      <c r="Q613" s="413" t="s">
        <v>726</v>
      </c>
      <c r="R613" s="413" t="s">
        <v>404</v>
      </c>
      <c r="S613" s="414" t="s">
        <v>1446</v>
      </c>
      <c r="T613" s="414">
        <v>45622</v>
      </c>
      <c r="U613" s="415"/>
      <c r="V613" s="416"/>
      <c r="W613" s="417"/>
      <c r="X613" s="417"/>
      <c r="Y613" s="418" t="s">
        <v>377</v>
      </c>
      <c r="Z613" s="419"/>
      <c r="AA613" s="492">
        <v>1</v>
      </c>
    </row>
    <row r="614" spans="1:27" s="128" customFormat="1" ht="18" customHeight="1">
      <c r="A614" s="405">
        <v>103</v>
      </c>
      <c r="B614" s="407" t="s">
        <v>1232</v>
      </c>
      <c r="C614" s="406" t="s">
        <v>66</v>
      </c>
      <c r="D614" s="407" t="s">
        <v>1233</v>
      </c>
      <c r="E614" s="408">
        <v>1</v>
      </c>
      <c r="F614" s="409"/>
      <c r="G614" s="410">
        <f t="shared" si="23"/>
        <v>0</v>
      </c>
      <c r="H614" s="411"/>
      <c r="I614" s="407"/>
      <c r="J614" s="411"/>
      <c r="K614" s="407" t="s">
        <v>1347</v>
      </c>
      <c r="L614" s="412" t="s">
        <v>1348</v>
      </c>
      <c r="M614" s="407" t="s">
        <v>1445</v>
      </c>
      <c r="N614" s="412"/>
      <c r="O614" s="412"/>
      <c r="P614" s="412" t="s">
        <v>1350</v>
      </c>
      <c r="Q614" s="413" t="s">
        <v>726</v>
      </c>
      <c r="R614" s="413" t="s">
        <v>404</v>
      </c>
      <c r="S614" s="414" t="s">
        <v>1446</v>
      </c>
      <c r="T614" s="414">
        <v>45622</v>
      </c>
      <c r="U614" s="415"/>
      <c r="V614" s="416"/>
      <c r="W614" s="417"/>
      <c r="X614" s="417"/>
      <c r="Y614" s="418" t="s">
        <v>377</v>
      </c>
      <c r="Z614" s="419"/>
      <c r="AA614" s="492">
        <v>1</v>
      </c>
    </row>
    <row r="615" spans="1:27" s="128" customFormat="1" ht="18" customHeight="1">
      <c r="A615" s="405">
        <v>104</v>
      </c>
      <c r="B615" s="407" t="s">
        <v>1508</v>
      </c>
      <c r="C615" s="406" t="s">
        <v>66</v>
      </c>
      <c r="D615" s="407" t="s">
        <v>1509</v>
      </c>
      <c r="E615" s="408">
        <v>2</v>
      </c>
      <c r="F615" s="409"/>
      <c r="G615" s="410">
        <f t="shared" si="23"/>
        <v>0</v>
      </c>
      <c r="H615" s="411"/>
      <c r="I615" s="407"/>
      <c r="J615" s="411"/>
      <c r="K615" s="407" t="s">
        <v>1347</v>
      </c>
      <c r="L615" s="412" t="s">
        <v>1348</v>
      </c>
      <c r="M615" s="407" t="s">
        <v>1445</v>
      </c>
      <c r="N615" s="412"/>
      <c r="O615" s="412"/>
      <c r="P615" s="412" t="s">
        <v>1350</v>
      </c>
      <c r="Q615" s="413" t="s">
        <v>726</v>
      </c>
      <c r="R615" s="413" t="s">
        <v>404</v>
      </c>
      <c r="S615" s="414" t="s">
        <v>1446</v>
      </c>
      <c r="T615" s="414">
        <v>45622</v>
      </c>
      <c r="U615" s="415"/>
      <c r="V615" s="416"/>
      <c r="W615" s="417"/>
      <c r="X615" s="417"/>
      <c r="Y615" s="418" t="s">
        <v>377</v>
      </c>
      <c r="Z615" s="419"/>
      <c r="AA615" s="492">
        <v>1</v>
      </c>
    </row>
    <row r="616" spans="1:27" s="128" customFormat="1" ht="18" customHeight="1">
      <c r="A616" s="405">
        <v>105</v>
      </c>
      <c r="B616" s="407" t="s">
        <v>1510</v>
      </c>
      <c r="C616" s="406" t="s">
        <v>66</v>
      </c>
      <c r="D616" s="407" t="s">
        <v>1231</v>
      </c>
      <c r="E616" s="408">
        <v>1</v>
      </c>
      <c r="F616" s="409"/>
      <c r="G616" s="410">
        <f t="shared" si="23"/>
        <v>0</v>
      </c>
      <c r="H616" s="411"/>
      <c r="I616" s="407"/>
      <c r="J616" s="411"/>
      <c r="K616" s="407" t="s">
        <v>1347</v>
      </c>
      <c r="L616" s="412" t="s">
        <v>1348</v>
      </c>
      <c r="M616" s="407" t="s">
        <v>1445</v>
      </c>
      <c r="N616" s="412"/>
      <c r="O616" s="412"/>
      <c r="P616" s="412" t="s">
        <v>1350</v>
      </c>
      <c r="Q616" s="413" t="s">
        <v>726</v>
      </c>
      <c r="R616" s="413" t="s">
        <v>404</v>
      </c>
      <c r="S616" s="414" t="s">
        <v>1446</v>
      </c>
      <c r="T616" s="414">
        <v>45622</v>
      </c>
      <c r="U616" s="415"/>
      <c r="V616" s="416"/>
      <c r="W616" s="417"/>
      <c r="X616" s="417"/>
      <c r="Y616" s="418" t="s">
        <v>377</v>
      </c>
      <c r="Z616" s="419"/>
      <c r="AA616" s="492">
        <v>1</v>
      </c>
    </row>
    <row r="617" spans="1:27" s="128" customFormat="1" ht="18" customHeight="1">
      <c r="A617" s="443">
        <v>106</v>
      </c>
      <c r="B617" s="444" t="s">
        <v>601</v>
      </c>
      <c r="C617" s="445" t="s">
        <v>66</v>
      </c>
      <c r="D617" s="444" t="s">
        <v>602</v>
      </c>
      <c r="E617" s="446">
        <v>1</v>
      </c>
      <c r="F617" s="447"/>
      <c r="G617" s="448">
        <f t="shared" ref="G617:G624" si="24">E617*F617</f>
        <v>0</v>
      </c>
      <c r="H617" s="449"/>
      <c r="I617" s="444"/>
      <c r="J617" s="449"/>
      <c r="K617" s="444" t="s">
        <v>1347</v>
      </c>
      <c r="L617" s="450" t="s">
        <v>1348</v>
      </c>
      <c r="M617" s="444" t="s">
        <v>1445</v>
      </c>
      <c r="N617" s="450"/>
      <c r="O617" s="450"/>
      <c r="P617" s="450" t="s">
        <v>1350</v>
      </c>
      <c r="Q617" s="451" t="s">
        <v>374</v>
      </c>
      <c r="R617" s="451" t="s">
        <v>404</v>
      </c>
      <c r="S617" s="452" t="s">
        <v>1446</v>
      </c>
      <c r="T617" s="452" t="s">
        <v>481</v>
      </c>
      <c r="U617" s="453"/>
      <c r="V617" s="454"/>
      <c r="W617" s="455" t="s">
        <v>406</v>
      </c>
      <c r="X617" s="455">
        <v>45610</v>
      </c>
      <c r="Y617" s="456" t="s">
        <v>377</v>
      </c>
      <c r="Z617" s="498"/>
      <c r="AA617" s="494"/>
    </row>
    <row r="618" spans="1:27" s="128" customFormat="1" ht="18" customHeight="1">
      <c r="A618" s="443">
        <v>107</v>
      </c>
      <c r="B618" s="444" t="s">
        <v>597</v>
      </c>
      <c r="C618" s="445" t="s">
        <v>66</v>
      </c>
      <c r="D618" s="444" t="s">
        <v>598</v>
      </c>
      <c r="E618" s="446">
        <v>1</v>
      </c>
      <c r="F618" s="447"/>
      <c r="G618" s="448">
        <f t="shared" si="24"/>
        <v>0</v>
      </c>
      <c r="H618" s="449"/>
      <c r="I618" s="444"/>
      <c r="J618" s="449"/>
      <c r="K618" s="444" t="s">
        <v>1347</v>
      </c>
      <c r="L618" s="450" t="s">
        <v>1348</v>
      </c>
      <c r="M618" s="444" t="s">
        <v>1445</v>
      </c>
      <c r="N618" s="450"/>
      <c r="O618" s="450"/>
      <c r="P618" s="450" t="s">
        <v>1350</v>
      </c>
      <c r="Q618" s="451" t="s">
        <v>726</v>
      </c>
      <c r="R618" s="451" t="s">
        <v>404</v>
      </c>
      <c r="S618" s="452" t="s">
        <v>1446</v>
      </c>
      <c r="T618" s="452" t="s">
        <v>1358</v>
      </c>
      <c r="U618" s="453"/>
      <c r="V618" s="454"/>
      <c r="W618" s="455" t="s">
        <v>406</v>
      </c>
      <c r="X618" s="455">
        <v>45600</v>
      </c>
      <c r="Y618" s="456" t="s">
        <v>377</v>
      </c>
      <c r="Z618" s="498"/>
      <c r="AA618" s="494"/>
    </row>
    <row r="619" spans="1:27" s="128" customFormat="1" ht="18" customHeight="1">
      <c r="A619" s="405">
        <v>108</v>
      </c>
      <c r="B619" s="407" t="s">
        <v>1511</v>
      </c>
      <c r="C619" s="406" t="s">
        <v>66</v>
      </c>
      <c r="D619" s="407" t="s">
        <v>1512</v>
      </c>
      <c r="E619" s="408">
        <v>1</v>
      </c>
      <c r="F619" s="409"/>
      <c r="G619" s="410">
        <f t="shared" si="24"/>
        <v>0</v>
      </c>
      <c r="H619" s="411"/>
      <c r="I619" s="407"/>
      <c r="J619" s="411"/>
      <c r="K619" s="407" t="s">
        <v>1513</v>
      </c>
      <c r="L619" s="412" t="s">
        <v>444</v>
      </c>
      <c r="M619" s="407" t="s">
        <v>444</v>
      </c>
      <c r="N619" s="412"/>
      <c r="O619" s="412"/>
      <c r="P619" s="412" t="s">
        <v>444</v>
      </c>
      <c r="Q619" s="413" t="s">
        <v>1514</v>
      </c>
      <c r="R619" s="413" t="s">
        <v>444</v>
      </c>
      <c r="S619" s="414" t="s">
        <v>444</v>
      </c>
      <c r="T619" s="414"/>
      <c r="U619" s="415"/>
      <c r="V619" s="416"/>
      <c r="W619" s="417"/>
      <c r="X619" s="417"/>
      <c r="Y619" s="418" t="s">
        <v>377</v>
      </c>
      <c r="Z619" s="496"/>
      <c r="AA619" s="492"/>
    </row>
    <row r="620" spans="1:27" s="128" customFormat="1" ht="18" customHeight="1">
      <c r="A620" s="405">
        <v>109</v>
      </c>
      <c r="B620" s="407" t="s">
        <v>1209</v>
      </c>
      <c r="C620" s="406" t="s">
        <v>66</v>
      </c>
      <c r="D620" s="407" t="s">
        <v>1210</v>
      </c>
      <c r="E620" s="408">
        <v>1</v>
      </c>
      <c r="F620" s="409"/>
      <c r="G620" s="410">
        <f t="shared" si="24"/>
        <v>0</v>
      </c>
      <c r="H620" s="411"/>
      <c r="I620" s="407"/>
      <c r="J620" s="411"/>
      <c r="K620" s="407" t="s">
        <v>1347</v>
      </c>
      <c r="L620" s="412" t="s">
        <v>1348</v>
      </c>
      <c r="M620" s="407" t="s">
        <v>1362</v>
      </c>
      <c r="N620" s="412"/>
      <c r="O620" s="412"/>
      <c r="P620" s="412" t="s">
        <v>1350</v>
      </c>
      <c r="Q620" s="413" t="s">
        <v>374</v>
      </c>
      <c r="R620" s="413" t="s">
        <v>237</v>
      </c>
      <c r="S620" s="414" t="s">
        <v>842</v>
      </c>
      <c r="T620" s="414"/>
      <c r="U620" s="415"/>
      <c r="V620" s="416"/>
      <c r="W620" s="417"/>
      <c r="X620" s="417"/>
      <c r="Y620" s="418" t="s">
        <v>377</v>
      </c>
      <c r="Z620" s="496"/>
      <c r="AA620" s="492"/>
    </row>
    <row r="621" spans="1:27" s="128" customFormat="1" ht="18" customHeight="1">
      <c r="A621" s="405">
        <v>110</v>
      </c>
      <c r="B621" s="407" t="s">
        <v>463</v>
      </c>
      <c r="C621" s="406" t="s">
        <v>66</v>
      </c>
      <c r="D621" s="407" t="s">
        <v>1207</v>
      </c>
      <c r="E621" s="408">
        <v>1</v>
      </c>
      <c r="F621" s="409"/>
      <c r="G621" s="410">
        <f t="shared" si="24"/>
        <v>0</v>
      </c>
      <c r="H621" s="411"/>
      <c r="I621" s="407"/>
      <c r="J621" s="411"/>
      <c r="K621" s="407" t="s">
        <v>1347</v>
      </c>
      <c r="L621" s="412" t="s">
        <v>1348</v>
      </c>
      <c r="M621" s="407" t="s">
        <v>1362</v>
      </c>
      <c r="N621" s="412"/>
      <c r="O621" s="412"/>
      <c r="P621" s="412" t="s">
        <v>1350</v>
      </c>
      <c r="Q621" s="413" t="s">
        <v>374</v>
      </c>
      <c r="R621" s="413" t="s">
        <v>237</v>
      </c>
      <c r="S621" s="414" t="s">
        <v>842</v>
      </c>
      <c r="T621" s="414"/>
      <c r="U621" s="415"/>
      <c r="V621" s="416"/>
      <c r="W621" s="417"/>
      <c r="X621" s="417"/>
      <c r="Y621" s="418" t="s">
        <v>377</v>
      </c>
      <c r="Z621" s="496"/>
      <c r="AA621" s="492"/>
    </row>
    <row r="622" spans="1:27" s="128" customFormat="1" ht="18" customHeight="1">
      <c r="A622" s="443">
        <v>111</v>
      </c>
      <c r="B622" s="444" t="s">
        <v>1515</v>
      </c>
      <c r="C622" s="445" t="s">
        <v>66</v>
      </c>
      <c r="D622" s="444" t="s">
        <v>1516</v>
      </c>
      <c r="E622" s="446">
        <v>1</v>
      </c>
      <c r="F622" s="447"/>
      <c r="G622" s="448">
        <f t="shared" si="24"/>
        <v>0</v>
      </c>
      <c r="H622" s="449"/>
      <c r="I622" s="444"/>
      <c r="J622" s="449"/>
      <c r="K622" s="444"/>
      <c r="L622" s="450"/>
      <c r="M622" s="444"/>
      <c r="N622" s="450"/>
      <c r="O622" s="450"/>
      <c r="P622" s="450"/>
      <c r="Q622" s="451" t="s">
        <v>374</v>
      </c>
      <c r="R622" s="451"/>
      <c r="S622" s="452"/>
      <c r="T622" s="452" t="s">
        <v>712</v>
      </c>
      <c r="U622" s="453"/>
      <c r="V622" s="454"/>
      <c r="W622" s="455" t="s">
        <v>406</v>
      </c>
      <c r="X622" s="455">
        <v>45610</v>
      </c>
      <c r="Y622" s="456" t="s">
        <v>377</v>
      </c>
      <c r="Z622" s="498"/>
      <c r="AA622" s="494"/>
    </row>
    <row r="623" spans="1:27" s="128" customFormat="1" ht="18" customHeight="1">
      <c r="A623" s="443">
        <v>112</v>
      </c>
      <c r="B623" s="444" t="s">
        <v>1517</v>
      </c>
      <c r="C623" s="445" t="s">
        <v>66</v>
      </c>
      <c r="D623" s="444" t="s">
        <v>1518</v>
      </c>
      <c r="E623" s="446">
        <v>2</v>
      </c>
      <c r="F623" s="447"/>
      <c r="G623" s="448">
        <f t="shared" si="24"/>
        <v>0</v>
      </c>
      <c r="H623" s="449"/>
      <c r="I623" s="444"/>
      <c r="J623" s="449"/>
      <c r="K623" s="444"/>
      <c r="L623" s="450"/>
      <c r="M623" s="444"/>
      <c r="N623" s="450"/>
      <c r="O623" s="450"/>
      <c r="P623" s="450"/>
      <c r="Q623" s="451" t="s">
        <v>374</v>
      </c>
      <c r="R623" s="451"/>
      <c r="S623" s="452"/>
      <c r="T623" s="452" t="s">
        <v>712</v>
      </c>
      <c r="U623" s="453"/>
      <c r="V623" s="454"/>
      <c r="W623" s="455" t="s">
        <v>406</v>
      </c>
      <c r="X623" s="455">
        <v>45610</v>
      </c>
      <c r="Y623" s="456" t="s">
        <v>377</v>
      </c>
      <c r="Z623" s="498"/>
      <c r="AA623" s="494"/>
    </row>
    <row r="624" spans="1:27" s="128" customFormat="1" ht="18" customHeight="1">
      <c r="A624" s="443">
        <v>113</v>
      </c>
      <c r="B624" s="444" t="s">
        <v>1519</v>
      </c>
      <c r="C624" s="445" t="s">
        <v>66</v>
      </c>
      <c r="D624" s="444" t="s">
        <v>1520</v>
      </c>
      <c r="E624" s="446">
        <v>4</v>
      </c>
      <c r="F624" s="447"/>
      <c r="G624" s="448">
        <f t="shared" si="24"/>
        <v>0</v>
      </c>
      <c r="H624" s="449"/>
      <c r="I624" s="444"/>
      <c r="J624" s="449"/>
      <c r="K624" s="444"/>
      <c r="L624" s="450"/>
      <c r="M624" s="444"/>
      <c r="N624" s="450"/>
      <c r="O624" s="450"/>
      <c r="P624" s="450"/>
      <c r="Q624" s="451" t="s">
        <v>374</v>
      </c>
      <c r="R624" s="451"/>
      <c r="S624" s="452"/>
      <c r="T624" s="452" t="s">
        <v>712</v>
      </c>
      <c r="U624" s="453"/>
      <c r="V624" s="454"/>
      <c r="W624" s="455" t="s">
        <v>406</v>
      </c>
      <c r="X624" s="455">
        <v>45610</v>
      </c>
      <c r="Y624" s="456" t="s">
        <v>377</v>
      </c>
      <c r="Z624" s="498"/>
      <c r="AA624" s="494"/>
    </row>
    <row r="625" spans="1:27" s="128" customFormat="1" ht="18" customHeight="1">
      <c r="A625" s="443">
        <v>114</v>
      </c>
      <c r="B625" s="444" t="s">
        <v>1521</v>
      </c>
      <c r="C625" s="445" t="s">
        <v>66</v>
      </c>
      <c r="D625" s="444" t="s">
        <v>1522</v>
      </c>
      <c r="E625" s="446">
        <v>1</v>
      </c>
      <c r="F625" s="447"/>
      <c r="G625" s="448">
        <f>E625*F625</f>
        <v>0</v>
      </c>
      <c r="H625" s="449"/>
      <c r="I625" s="444"/>
      <c r="J625" s="449"/>
      <c r="K625" s="444"/>
      <c r="L625" s="450"/>
      <c r="M625" s="444"/>
      <c r="N625" s="450"/>
      <c r="O625" s="450"/>
      <c r="P625" s="450"/>
      <c r="Q625" s="451" t="s">
        <v>374</v>
      </c>
      <c r="R625" s="451"/>
      <c r="S625" s="452"/>
      <c r="T625" s="452" t="s">
        <v>712</v>
      </c>
      <c r="U625" s="453"/>
      <c r="V625" s="454"/>
      <c r="W625" s="455" t="s">
        <v>406</v>
      </c>
      <c r="X625" s="455">
        <v>45610</v>
      </c>
      <c r="Y625" s="456" t="s">
        <v>377</v>
      </c>
      <c r="Z625" s="498"/>
      <c r="AA625" s="494"/>
    </row>
    <row r="626" spans="1:27" s="128" customFormat="1" ht="18" customHeight="1">
      <c r="A626" s="405">
        <v>115</v>
      </c>
      <c r="B626" s="407" t="s">
        <v>1523</v>
      </c>
      <c r="C626" s="406" t="s">
        <v>66</v>
      </c>
      <c r="D626" s="407" t="s">
        <v>1524</v>
      </c>
      <c r="E626" s="408">
        <v>1</v>
      </c>
      <c r="F626" s="409"/>
      <c r="G626" s="410">
        <f>E626*F626</f>
        <v>0</v>
      </c>
      <c r="H626" s="411"/>
      <c r="I626" s="407"/>
      <c r="J626" s="411"/>
      <c r="K626" s="407" t="s">
        <v>1513</v>
      </c>
      <c r="L626" s="412" t="s">
        <v>444</v>
      </c>
      <c r="M626" s="407" t="s">
        <v>444</v>
      </c>
      <c r="N626" s="412"/>
      <c r="O626" s="412"/>
      <c r="P626" s="412" t="s">
        <v>444</v>
      </c>
      <c r="Q626" s="413" t="s">
        <v>1514</v>
      </c>
      <c r="R626" s="413" t="s">
        <v>444</v>
      </c>
      <c r="S626" s="414" t="s">
        <v>444</v>
      </c>
      <c r="T626" s="414"/>
      <c r="U626" s="415"/>
      <c r="V626" s="416"/>
      <c r="W626" s="417"/>
      <c r="X626" s="417"/>
      <c r="Y626" s="418" t="s">
        <v>377</v>
      </c>
      <c r="Z626" s="496"/>
      <c r="AA626" s="492"/>
    </row>
    <row r="627" spans="1:27" ht="18" customHeight="1">
      <c r="A627" s="389"/>
      <c r="B627" s="390" t="s">
        <v>1525</v>
      </c>
      <c r="C627" s="391"/>
      <c r="D627" s="392"/>
      <c r="E627" s="393"/>
      <c r="F627" s="394"/>
      <c r="G627" s="395">
        <f t="shared" si="19"/>
        <v>0</v>
      </c>
      <c r="H627" s="396"/>
      <c r="I627" s="392"/>
      <c r="J627" s="396"/>
      <c r="K627" s="392"/>
      <c r="L627" s="397"/>
      <c r="M627" s="392"/>
      <c r="N627" s="397"/>
      <c r="O627" s="397"/>
      <c r="P627" s="397"/>
      <c r="Q627" s="398"/>
      <c r="R627" s="398"/>
      <c r="S627" s="399"/>
      <c r="T627" s="399"/>
      <c r="U627" s="400"/>
      <c r="V627" s="401"/>
      <c r="W627" s="402"/>
      <c r="X627" s="402"/>
      <c r="Y627" s="403"/>
      <c r="Z627" s="404"/>
      <c r="AA627" s="492"/>
    </row>
    <row r="628" spans="1:27" ht="18" customHeight="1">
      <c r="A628" s="389"/>
      <c r="B628" s="390" t="s">
        <v>1526</v>
      </c>
      <c r="C628" s="391"/>
      <c r="D628" s="392"/>
      <c r="E628" s="393"/>
      <c r="F628" s="394"/>
      <c r="G628" s="395">
        <f t="shared" si="19"/>
        <v>0</v>
      </c>
      <c r="H628" s="396"/>
      <c r="I628" s="392"/>
      <c r="J628" s="396"/>
      <c r="K628" s="392"/>
      <c r="L628" s="397"/>
      <c r="M628" s="392"/>
      <c r="N628" s="397"/>
      <c r="O628" s="397"/>
      <c r="P628" s="397"/>
      <c r="Q628" s="398"/>
      <c r="R628" s="398"/>
      <c r="S628" s="399"/>
      <c r="T628" s="399"/>
      <c r="U628" s="400"/>
      <c r="V628" s="401"/>
      <c r="W628" s="402"/>
      <c r="X628" s="402"/>
      <c r="Y628" s="403"/>
      <c r="Z628" s="404"/>
      <c r="AA628" s="492"/>
    </row>
    <row r="629" spans="1:27" s="128" customFormat="1" ht="18" customHeight="1">
      <c r="A629" s="443">
        <v>1</v>
      </c>
      <c r="B629" s="444" t="s">
        <v>1211</v>
      </c>
      <c r="C629" s="445" t="s">
        <v>70</v>
      </c>
      <c r="D629" s="444" t="s">
        <v>1212</v>
      </c>
      <c r="E629" s="446">
        <v>1</v>
      </c>
      <c r="F629" s="447"/>
      <c r="G629" s="448">
        <f t="shared" ref="G629:G644" si="25">E629*F629</f>
        <v>0</v>
      </c>
      <c r="H629" s="449"/>
      <c r="I629" s="444"/>
      <c r="J629" s="449"/>
      <c r="K629" s="444"/>
      <c r="L629" s="450"/>
      <c r="M629" s="444"/>
      <c r="N629" s="450"/>
      <c r="O629" s="450"/>
      <c r="P629" s="450"/>
      <c r="Q629" s="451" t="s">
        <v>374</v>
      </c>
      <c r="R629" s="451"/>
      <c r="S629" s="452"/>
      <c r="T629" s="452"/>
      <c r="U629" s="453"/>
      <c r="V629" s="454"/>
      <c r="W629" s="455" t="s">
        <v>406</v>
      </c>
      <c r="X629" s="455">
        <v>45518</v>
      </c>
      <c r="Y629" s="456" t="s">
        <v>377</v>
      </c>
      <c r="Z629" s="457"/>
      <c r="AA629" s="494"/>
    </row>
    <row r="630" spans="1:27" s="128" customFormat="1" ht="36" customHeight="1">
      <c r="A630" s="443">
        <v>2</v>
      </c>
      <c r="B630" s="444" t="s">
        <v>537</v>
      </c>
      <c r="C630" s="445" t="s">
        <v>70</v>
      </c>
      <c r="D630" s="444" t="s">
        <v>538</v>
      </c>
      <c r="E630" s="446">
        <v>2</v>
      </c>
      <c r="F630" s="447"/>
      <c r="G630" s="448">
        <f t="shared" si="25"/>
        <v>0</v>
      </c>
      <c r="H630" s="449"/>
      <c r="I630" s="444"/>
      <c r="J630" s="449"/>
      <c r="K630" s="444" t="s">
        <v>1527</v>
      </c>
      <c r="L630" s="450" t="s">
        <v>1242</v>
      </c>
      <c r="M630" s="444" t="s">
        <v>1528</v>
      </c>
      <c r="N630" s="450"/>
      <c r="O630" s="450"/>
      <c r="P630" s="450" t="s">
        <v>1529</v>
      </c>
      <c r="Q630" s="451" t="s">
        <v>374</v>
      </c>
      <c r="R630" s="451" t="s">
        <v>263</v>
      </c>
      <c r="S630" s="452" t="s">
        <v>1530</v>
      </c>
      <c r="T630" s="452">
        <v>45596</v>
      </c>
      <c r="U630" s="453"/>
      <c r="V630" s="454"/>
      <c r="W630" s="455" t="s">
        <v>406</v>
      </c>
      <c r="X630" s="455">
        <v>45561</v>
      </c>
      <c r="Y630" s="456" t="s">
        <v>377</v>
      </c>
      <c r="Z630" s="457"/>
      <c r="AA630" s="494"/>
    </row>
    <row r="631" spans="1:27" s="128" customFormat="1" ht="36" customHeight="1">
      <c r="A631" s="443">
        <v>3</v>
      </c>
      <c r="B631" s="444" t="s">
        <v>1531</v>
      </c>
      <c r="C631" s="445" t="s">
        <v>70</v>
      </c>
      <c r="D631" s="444" t="s">
        <v>1532</v>
      </c>
      <c r="E631" s="446">
        <v>1</v>
      </c>
      <c r="F631" s="447"/>
      <c r="G631" s="448">
        <f t="shared" si="25"/>
        <v>0</v>
      </c>
      <c r="H631" s="449"/>
      <c r="I631" s="444"/>
      <c r="J631" s="449"/>
      <c r="K631" s="444" t="s">
        <v>1527</v>
      </c>
      <c r="L631" s="450" t="s">
        <v>1242</v>
      </c>
      <c r="M631" s="444" t="s">
        <v>1528</v>
      </c>
      <c r="N631" s="450"/>
      <c r="O631" s="450"/>
      <c r="P631" s="450" t="s">
        <v>1529</v>
      </c>
      <c r="Q631" s="451" t="s">
        <v>374</v>
      </c>
      <c r="R631" s="451" t="s">
        <v>263</v>
      </c>
      <c r="S631" s="452" t="s">
        <v>1530</v>
      </c>
      <c r="T631" s="452"/>
      <c r="U631" s="453"/>
      <c r="V631" s="454"/>
      <c r="W631" s="455" t="s">
        <v>406</v>
      </c>
      <c r="X631" s="455">
        <v>45576</v>
      </c>
      <c r="Y631" s="456" t="s">
        <v>377</v>
      </c>
      <c r="Z631" s="457"/>
      <c r="AA631" s="494"/>
    </row>
    <row r="632" spans="1:27" s="128" customFormat="1" ht="36" customHeight="1">
      <c r="A632" s="443">
        <v>4</v>
      </c>
      <c r="B632" s="444" t="s">
        <v>1097</v>
      </c>
      <c r="C632" s="445" t="s">
        <v>70</v>
      </c>
      <c r="D632" s="444" t="s">
        <v>1098</v>
      </c>
      <c r="E632" s="446">
        <v>2</v>
      </c>
      <c r="F632" s="447"/>
      <c r="G632" s="448">
        <f t="shared" si="25"/>
        <v>0</v>
      </c>
      <c r="H632" s="449"/>
      <c r="I632" s="444"/>
      <c r="J632" s="449"/>
      <c r="K632" s="444" t="s">
        <v>1527</v>
      </c>
      <c r="L632" s="450" t="s">
        <v>1242</v>
      </c>
      <c r="M632" s="444" t="s">
        <v>1533</v>
      </c>
      <c r="N632" s="450"/>
      <c r="O632" s="450"/>
      <c r="P632" s="450" t="s">
        <v>1091</v>
      </c>
      <c r="Q632" s="451" t="s">
        <v>374</v>
      </c>
      <c r="R632" s="451" t="s">
        <v>404</v>
      </c>
      <c r="S632" s="452" t="s">
        <v>405</v>
      </c>
      <c r="T632" s="452"/>
      <c r="U632" s="453"/>
      <c r="V632" s="454"/>
      <c r="W632" s="455" t="s">
        <v>406</v>
      </c>
      <c r="X632" s="455">
        <v>45574</v>
      </c>
      <c r="Y632" s="456" t="s">
        <v>377</v>
      </c>
      <c r="Z632" s="457"/>
      <c r="AA632" s="494"/>
    </row>
    <row r="633" spans="1:27" s="128" customFormat="1" ht="36" customHeight="1">
      <c r="A633" s="443">
        <v>5</v>
      </c>
      <c r="B633" s="444" t="s">
        <v>1534</v>
      </c>
      <c r="C633" s="445" t="s">
        <v>70</v>
      </c>
      <c r="D633" s="444" t="s">
        <v>1535</v>
      </c>
      <c r="E633" s="446">
        <v>12</v>
      </c>
      <c r="F633" s="447"/>
      <c r="G633" s="448">
        <f t="shared" si="25"/>
        <v>0</v>
      </c>
      <c r="H633" s="449"/>
      <c r="I633" s="444"/>
      <c r="J633" s="449"/>
      <c r="K633" s="444" t="s">
        <v>1527</v>
      </c>
      <c r="L633" s="450" t="s">
        <v>1242</v>
      </c>
      <c r="M633" s="444" t="s">
        <v>1536</v>
      </c>
      <c r="N633" s="450"/>
      <c r="O633" s="450"/>
      <c r="P633" s="450" t="s">
        <v>1529</v>
      </c>
      <c r="Q633" s="451" t="s">
        <v>374</v>
      </c>
      <c r="R633" s="451" t="s">
        <v>249</v>
      </c>
      <c r="S633" s="452" t="s">
        <v>1145</v>
      </c>
      <c r="T633" s="452">
        <v>45559</v>
      </c>
      <c r="U633" s="453"/>
      <c r="V633" s="454"/>
      <c r="W633" s="455" t="s">
        <v>406</v>
      </c>
      <c r="X633" s="455">
        <v>45562</v>
      </c>
      <c r="Y633" s="456" t="s">
        <v>377</v>
      </c>
      <c r="Z633" s="457"/>
      <c r="AA633" s="494"/>
    </row>
    <row r="634" spans="1:27" s="128" customFormat="1" ht="36" customHeight="1">
      <c r="A634" s="443">
        <v>6</v>
      </c>
      <c r="B634" s="444" t="s">
        <v>1537</v>
      </c>
      <c r="C634" s="445" t="s">
        <v>70</v>
      </c>
      <c r="D634" s="444" t="s">
        <v>1538</v>
      </c>
      <c r="E634" s="446">
        <v>2</v>
      </c>
      <c r="F634" s="447"/>
      <c r="G634" s="448">
        <f t="shared" si="25"/>
        <v>0</v>
      </c>
      <c r="H634" s="449"/>
      <c r="I634" s="444"/>
      <c r="J634" s="449"/>
      <c r="K634" s="444" t="s">
        <v>1527</v>
      </c>
      <c r="L634" s="450" t="s">
        <v>1242</v>
      </c>
      <c r="M634" s="444" t="s">
        <v>1536</v>
      </c>
      <c r="N634" s="450"/>
      <c r="O634" s="450"/>
      <c r="P634" s="450" t="s">
        <v>1529</v>
      </c>
      <c r="Q634" s="451" t="s">
        <v>374</v>
      </c>
      <c r="R634" s="451" t="s">
        <v>249</v>
      </c>
      <c r="S634" s="452" t="s">
        <v>1145</v>
      </c>
      <c r="T634" s="452">
        <v>45559</v>
      </c>
      <c r="U634" s="453"/>
      <c r="V634" s="454"/>
      <c r="W634" s="455" t="s">
        <v>406</v>
      </c>
      <c r="X634" s="455">
        <v>45562</v>
      </c>
      <c r="Y634" s="456" t="s">
        <v>377</v>
      </c>
      <c r="Z634" s="457"/>
      <c r="AA634" s="494"/>
    </row>
    <row r="635" spans="1:27" s="128" customFormat="1" ht="36" customHeight="1">
      <c r="A635" s="443">
        <v>7</v>
      </c>
      <c r="B635" s="444" t="s">
        <v>1539</v>
      </c>
      <c r="C635" s="445" t="s">
        <v>70</v>
      </c>
      <c r="D635" s="444" t="s">
        <v>1540</v>
      </c>
      <c r="E635" s="446">
        <v>2</v>
      </c>
      <c r="F635" s="447"/>
      <c r="G635" s="448">
        <f t="shared" si="25"/>
        <v>0</v>
      </c>
      <c r="H635" s="449"/>
      <c r="I635" s="444"/>
      <c r="J635" s="449"/>
      <c r="K635" s="444" t="s">
        <v>1527</v>
      </c>
      <c r="L635" s="450" t="s">
        <v>1242</v>
      </c>
      <c r="M635" s="444" t="s">
        <v>1536</v>
      </c>
      <c r="N635" s="450"/>
      <c r="O635" s="450"/>
      <c r="P635" s="450" t="s">
        <v>1529</v>
      </c>
      <c r="Q635" s="451" t="s">
        <v>374</v>
      </c>
      <c r="R635" s="451" t="s">
        <v>249</v>
      </c>
      <c r="S635" s="452" t="s">
        <v>1145</v>
      </c>
      <c r="T635" s="452">
        <v>45559</v>
      </c>
      <c r="U635" s="453"/>
      <c r="V635" s="454"/>
      <c r="W635" s="455" t="s">
        <v>406</v>
      </c>
      <c r="X635" s="455">
        <v>45562</v>
      </c>
      <c r="Y635" s="456" t="s">
        <v>377</v>
      </c>
      <c r="Z635" s="457"/>
      <c r="AA635" s="494"/>
    </row>
    <row r="636" spans="1:27" s="128" customFormat="1" ht="36" customHeight="1">
      <c r="A636" s="443">
        <v>8</v>
      </c>
      <c r="B636" s="444" t="s">
        <v>1541</v>
      </c>
      <c r="C636" s="445" t="s">
        <v>70</v>
      </c>
      <c r="D636" s="444" t="s">
        <v>1542</v>
      </c>
      <c r="E636" s="446">
        <v>36</v>
      </c>
      <c r="F636" s="447"/>
      <c r="G636" s="448">
        <f t="shared" si="25"/>
        <v>0</v>
      </c>
      <c r="H636" s="449"/>
      <c r="I636" s="444"/>
      <c r="J636" s="449"/>
      <c r="K636" s="444" t="s">
        <v>1527</v>
      </c>
      <c r="L636" s="450" t="s">
        <v>1242</v>
      </c>
      <c r="M636" s="444" t="s">
        <v>1536</v>
      </c>
      <c r="N636" s="450"/>
      <c r="O636" s="450"/>
      <c r="P636" s="450" t="s">
        <v>1529</v>
      </c>
      <c r="Q636" s="451" t="s">
        <v>374</v>
      </c>
      <c r="R636" s="451" t="s">
        <v>249</v>
      </c>
      <c r="S636" s="452" t="s">
        <v>1145</v>
      </c>
      <c r="T636" s="452">
        <v>45559</v>
      </c>
      <c r="U636" s="453"/>
      <c r="V636" s="454"/>
      <c r="W636" s="455" t="s">
        <v>406</v>
      </c>
      <c r="X636" s="455">
        <v>45562</v>
      </c>
      <c r="Y636" s="456" t="s">
        <v>377</v>
      </c>
      <c r="Z636" s="457"/>
      <c r="AA636" s="494"/>
    </row>
    <row r="637" spans="1:27" s="128" customFormat="1" ht="36" customHeight="1">
      <c r="A637" s="443">
        <v>9</v>
      </c>
      <c r="B637" s="444" t="s">
        <v>1543</v>
      </c>
      <c r="C637" s="445" t="s">
        <v>70</v>
      </c>
      <c r="D637" s="444" t="s">
        <v>1544</v>
      </c>
      <c r="E637" s="446">
        <v>2</v>
      </c>
      <c r="F637" s="447"/>
      <c r="G637" s="448">
        <f t="shared" si="25"/>
        <v>0</v>
      </c>
      <c r="H637" s="449"/>
      <c r="I637" s="444"/>
      <c r="J637" s="449"/>
      <c r="K637" s="444" t="s">
        <v>1527</v>
      </c>
      <c r="L637" s="450" t="s">
        <v>1242</v>
      </c>
      <c r="M637" s="444" t="s">
        <v>1545</v>
      </c>
      <c r="N637" s="450"/>
      <c r="O637" s="450"/>
      <c r="P637" s="450" t="s">
        <v>1529</v>
      </c>
      <c r="Q637" s="451" t="s">
        <v>374</v>
      </c>
      <c r="R637" s="451" t="s">
        <v>269</v>
      </c>
      <c r="S637" s="452" t="s">
        <v>425</v>
      </c>
      <c r="T637" s="452"/>
      <c r="U637" s="453"/>
      <c r="V637" s="454"/>
      <c r="W637" s="455" t="s">
        <v>376</v>
      </c>
      <c r="X637" s="455">
        <v>45559</v>
      </c>
      <c r="Y637" s="456" t="s">
        <v>377</v>
      </c>
      <c r="Z637" s="457"/>
      <c r="AA637" s="494"/>
    </row>
    <row r="638" spans="1:27" s="128" customFormat="1" ht="36" customHeight="1">
      <c r="A638" s="443">
        <v>10</v>
      </c>
      <c r="B638" s="444" t="s">
        <v>1546</v>
      </c>
      <c r="C638" s="445" t="s">
        <v>70</v>
      </c>
      <c r="D638" s="444" t="s">
        <v>1547</v>
      </c>
      <c r="E638" s="446">
        <v>2</v>
      </c>
      <c r="F638" s="447"/>
      <c r="G638" s="448">
        <f t="shared" si="25"/>
        <v>0</v>
      </c>
      <c r="H638" s="449"/>
      <c r="I638" s="444"/>
      <c r="J638" s="449"/>
      <c r="K638" s="444" t="s">
        <v>1527</v>
      </c>
      <c r="L638" s="450" t="s">
        <v>1242</v>
      </c>
      <c r="M638" s="444" t="s">
        <v>1545</v>
      </c>
      <c r="N638" s="450"/>
      <c r="O638" s="450"/>
      <c r="P638" s="450" t="s">
        <v>1529</v>
      </c>
      <c r="Q638" s="451" t="s">
        <v>374</v>
      </c>
      <c r="R638" s="451" t="s">
        <v>269</v>
      </c>
      <c r="S638" s="452" t="s">
        <v>425</v>
      </c>
      <c r="T638" s="452"/>
      <c r="U638" s="453"/>
      <c r="V638" s="454"/>
      <c r="W638" s="455" t="s">
        <v>376</v>
      </c>
      <c r="X638" s="455">
        <v>45559</v>
      </c>
      <c r="Y638" s="456" t="s">
        <v>377</v>
      </c>
      <c r="Z638" s="457"/>
      <c r="AA638" s="494"/>
    </row>
    <row r="639" spans="1:27" s="128" customFormat="1" ht="36" customHeight="1">
      <c r="A639" s="443">
        <v>11</v>
      </c>
      <c r="B639" s="444" t="s">
        <v>529</v>
      </c>
      <c r="C639" s="445" t="s">
        <v>70</v>
      </c>
      <c r="D639" s="444" t="s">
        <v>530</v>
      </c>
      <c r="E639" s="446">
        <v>3</v>
      </c>
      <c r="F639" s="447"/>
      <c r="G639" s="448">
        <f t="shared" si="25"/>
        <v>0</v>
      </c>
      <c r="H639" s="449"/>
      <c r="I639" s="444"/>
      <c r="J639" s="449"/>
      <c r="K639" s="444" t="s">
        <v>1527</v>
      </c>
      <c r="L639" s="450" t="s">
        <v>1242</v>
      </c>
      <c r="M639" s="444" t="s">
        <v>1536</v>
      </c>
      <c r="N639" s="450"/>
      <c r="O639" s="450"/>
      <c r="P639" s="450" t="s">
        <v>1529</v>
      </c>
      <c r="Q639" s="451" t="s">
        <v>374</v>
      </c>
      <c r="R639" s="451" t="s">
        <v>249</v>
      </c>
      <c r="S639" s="452" t="s">
        <v>1145</v>
      </c>
      <c r="T639" s="452">
        <v>45559</v>
      </c>
      <c r="U639" s="453"/>
      <c r="V639" s="454"/>
      <c r="W639" s="455" t="s">
        <v>406</v>
      </c>
      <c r="X639" s="455">
        <v>45562</v>
      </c>
      <c r="Y639" s="456" t="s">
        <v>377</v>
      </c>
      <c r="Z639" s="457"/>
      <c r="AA639" s="494"/>
    </row>
    <row r="640" spans="1:27" s="128" customFormat="1" ht="36" customHeight="1">
      <c r="A640" s="443">
        <v>12</v>
      </c>
      <c r="B640" s="444" t="s">
        <v>1548</v>
      </c>
      <c r="C640" s="445" t="s">
        <v>70</v>
      </c>
      <c r="D640" s="444" t="s">
        <v>1549</v>
      </c>
      <c r="E640" s="446">
        <v>4</v>
      </c>
      <c r="F640" s="447"/>
      <c r="G640" s="448">
        <f t="shared" si="25"/>
        <v>0</v>
      </c>
      <c r="H640" s="449"/>
      <c r="I640" s="444"/>
      <c r="J640" s="449"/>
      <c r="K640" s="444" t="s">
        <v>1527</v>
      </c>
      <c r="L640" s="450" t="s">
        <v>1242</v>
      </c>
      <c r="M640" s="444" t="s">
        <v>1528</v>
      </c>
      <c r="N640" s="450"/>
      <c r="O640" s="450"/>
      <c r="P640" s="450" t="s">
        <v>1529</v>
      </c>
      <c r="Q640" s="451" t="s">
        <v>374</v>
      </c>
      <c r="R640" s="451" t="s">
        <v>263</v>
      </c>
      <c r="S640" s="452" t="s">
        <v>1530</v>
      </c>
      <c r="T640" s="452">
        <v>45596</v>
      </c>
      <c r="U640" s="453"/>
      <c r="V640" s="454"/>
      <c r="W640" s="455" t="s">
        <v>406</v>
      </c>
      <c r="X640" s="455">
        <v>45561</v>
      </c>
      <c r="Y640" s="456" t="s">
        <v>377</v>
      </c>
      <c r="Z640" s="457"/>
      <c r="AA640" s="494"/>
    </row>
    <row r="641" spans="1:27" s="128" customFormat="1" ht="36" customHeight="1">
      <c r="A641" s="443">
        <v>13</v>
      </c>
      <c r="B641" s="444" t="s">
        <v>1550</v>
      </c>
      <c r="C641" s="445" t="s">
        <v>70</v>
      </c>
      <c r="D641" s="444" t="s">
        <v>1551</v>
      </c>
      <c r="E641" s="446">
        <v>4</v>
      </c>
      <c r="F641" s="447"/>
      <c r="G641" s="448">
        <f t="shared" si="25"/>
        <v>0</v>
      </c>
      <c r="H641" s="449"/>
      <c r="I641" s="444"/>
      <c r="J641" s="449"/>
      <c r="K641" s="444" t="s">
        <v>1527</v>
      </c>
      <c r="L641" s="450" t="s">
        <v>1242</v>
      </c>
      <c r="M641" s="444" t="s">
        <v>1528</v>
      </c>
      <c r="N641" s="450"/>
      <c r="O641" s="450"/>
      <c r="P641" s="450" t="s">
        <v>1529</v>
      </c>
      <c r="Q641" s="451" t="s">
        <v>374</v>
      </c>
      <c r="R641" s="451" t="s">
        <v>263</v>
      </c>
      <c r="S641" s="452" t="s">
        <v>1530</v>
      </c>
      <c r="T641" s="452"/>
      <c r="U641" s="453"/>
      <c r="V641" s="454"/>
      <c r="W641" s="455" t="s">
        <v>406</v>
      </c>
      <c r="X641" s="455">
        <v>45576</v>
      </c>
      <c r="Y641" s="456" t="s">
        <v>377</v>
      </c>
      <c r="Z641" s="457"/>
      <c r="AA641" s="494"/>
    </row>
    <row r="642" spans="1:27" s="128" customFormat="1" ht="36" customHeight="1">
      <c r="A642" s="443">
        <v>14</v>
      </c>
      <c r="B642" s="444" t="s">
        <v>1552</v>
      </c>
      <c r="C642" s="445" t="s">
        <v>70</v>
      </c>
      <c r="D642" s="444" t="s">
        <v>1553</v>
      </c>
      <c r="E642" s="446">
        <v>8</v>
      </c>
      <c r="F642" s="447"/>
      <c r="G642" s="448">
        <f t="shared" si="25"/>
        <v>0</v>
      </c>
      <c r="H642" s="449"/>
      <c r="I642" s="444"/>
      <c r="J642" s="449"/>
      <c r="K642" s="444" t="s">
        <v>1527</v>
      </c>
      <c r="L642" s="450" t="s">
        <v>1242</v>
      </c>
      <c r="M642" s="444" t="s">
        <v>1528</v>
      </c>
      <c r="N642" s="450"/>
      <c r="O642" s="450"/>
      <c r="P642" s="450" t="s">
        <v>1529</v>
      </c>
      <c r="Q642" s="451" t="s">
        <v>374</v>
      </c>
      <c r="R642" s="451" t="s">
        <v>263</v>
      </c>
      <c r="S642" s="452" t="s">
        <v>1530</v>
      </c>
      <c r="T642" s="452">
        <v>45596</v>
      </c>
      <c r="U642" s="453"/>
      <c r="V642" s="454"/>
      <c r="W642" s="455" t="s">
        <v>406</v>
      </c>
      <c r="X642" s="455">
        <v>45561</v>
      </c>
      <c r="Y642" s="456" t="s">
        <v>377</v>
      </c>
      <c r="Z642" s="457"/>
      <c r="AA642" s="494"/>
    </row>
    <row r="643" spans="1:27" s="128" customFormat="1" ht="36" customHeight="1">
      <c r="A643" s="443">
        <v>15</v>
      </c>
      <c r="B643" s="444" t="s">
        <v>1470</v>
      </c>
      <c r="C643" s="445" t="s">
        <v>70</v>
      </c>
      <c r="D643" s="444" t="s">
        <v>1471</v>
      </c>
      <c r="E643" s="446">
        <v>4</v>
      </c>
      <c r="F643" s="447"/>
      <c r="G643" s="448">
        <f t="shared" si="25"/>
        <v>0</v>
      </c>
      <c r="H643" s="449"/>
      <c r="I643" s="444"/>
      <c r="J643" s="449"/>
      <c r="K643" s="444" t="s">
        <v>1527</v>
      </c>
      <c r="L643" s="450" t="s">
        <v>1242</v>
      </c>
      <c r="M643" s="444" t="s">
        <v>1528</v>
      </c>
      <c r="N643" s="450"/>
      <c r="O643" s="450"/>
      <c r="P643" s="450" t="s">
        <v>1529</v>
      </c>
      <c r="Q643" s="451" t="s">
        <v>374</v>
      </c>
      <c r="R643" s="451" t="s">
        <v>263</v>
      </c>
      <c r="S643" s="452" t="s">
        <v>1530</v>
      </c>
      <c r="T643" s="452"/>
      <c r="U643" s="453"/>
      <c r="V643" s="454"/>
      <c r="W643" s="455" t="s">
        <v>406</v>
      </c>
      <c r="X643" s="455">
        <v>45576</v>
      </c>
      <c r="Y643" s="456" t="s">
        <v>377</v>
      </c>
      <c r="Z643" s="457"/>
      <c r="AA643" s="494"/>
    </row>
    <row r="644" spans="1:27" s="128" customFormat="1" ht="36" customHeight="1">
      <c r="A644" s="458">
        <v>16</v>
      </c>
      <c r="B644" s="459" t="s">
        <v>1554</v>
      </c>
      <c r="C644" s="460" t="s">
        <v>70</v>
      </c>
      <c r="D644" s="459" t="s">
        <v>1555</v>
      </c>
      <c r="E644" s="461">
        <v>2</v>
      </c>
      <c r="F644" s="462"/>
      <c r="G644" s="463">
        <f t="shared" si="25"/>
        <v>0</v>
      </c>
      <c r="H644" s="464"/>
      <c r="I644" s="459"/>
      <c r="J644" s="464"/>
      <c r="K644" s="459" t="s">
        <v>1556</v>
      </c>
      <c r="L644" s="465" t="s">
        <v>548</v>
      </c>
      <c r="M644" s="459" t="s">
        <v>444</v>
      </c>
      <c r="N644" s="465"/>
      <c r="O644" s="465"/>
      <c r="P644" s="465" t="s">
        <v>444</v>
      </c>
      <c r="Q644" s="466" t="s">
        <v>591</v>
      </c>
      <c r="R644" s="466" t="s">
        <v>444</v>
      </c>
      <c r="S644" s="467" t="s">
        <v>444</v>
      </c>
      <c r="T644" s="452"/>
      <c r="U644" s="468"/>
      <c r="V644" s="469"/>
      <c r="W644" s="470" t="s">
        <v>406</v>
      </c>
      <c r="X644" s="470">
        <v>45560</v>
      </c>
      <c r="Y644" s="471" t="s">
        <v>377</v>
      </c>
      <c r="Z644" s="472"/>
      <c r="AA644" s="494"/>
    </row>
    <row r="645" spans="1:27" ht="18" customHeight="1">
      <c r="A645" s="389"/>
      <c r="B645" s="390" t="s">
        <v>1557</v>
      </c>
      <c r="C645" s="391"/>
      <c r="D645" s="392"/>
      <c r="E645" s="393"/>
      <c r="F645" s="394"/>
      <c r="G645" s="395">
        <f>E645*F645</f>
        <v>0</v>
      </c>
      <c r="H645" s="396"/>
      <c r="I645" s="392"/>
      <c r="J645" s="396"/>
      <c r="K645" s="392"/>
      <c r="L645" s="397"/>
      <c r="M645" s="392"/>
      <c r="N645" s="397"/>
      <c r="O645" s="397"/>
      <c r="P645" s="397"/>
      <c r="Q645" s="398"/>
      <c r="R645" s="398"/>
      <c r="S645" s="399"/>
      <c r="T645" s="399"/>
      <c r="U645" s="400"/>
      <c r="V645" s="401"/>
      <c r="W645" s="402"/>
      <c r="X645" s="402"/>
      <c r="Y645" s="403"/>
      <c r="Z645" s="404"/>
      <c r="AA645" s="492"/>
    </row>
    <row r="646" spans="1:27" s="128" customFormat="1" ht="36" customHeight="1">
      <c r="A646" s="443">
        <v>1</v>
      </c>
      <c r="B646" s="444" t="s">
        <v>1558</v>
      </c>
      <c r="C646" s="445" t="s">
        <v>72</v>
      </c>
      <c r="D646" s="444" t="s">
        <v>1559</v>
      </c>
      <c r="E646" s="446">
        <v>1</v>
      </c>
      <c r="F646" s="447"/>
      <c r="G646" s="448">
        <f t="shared" ref="G646:G693" si="26">E646*F646</f>
        <v>0</v>
      </c>
      <c r="H646" s="449"/>
      <c r="I646" s="444"/>
      <c r="J646" s="449"/>
      <c r="K646" s="444"/>
      <c r="L646" s="450"/>
      <c r="M646" s="444"/>
      <c r="N646" s="450"/>
      <c r="O646" s="450"/>
      <c r="P646" s="450"/>
      <c r="Q646" s="451" t="s">
        <v>374</v>
      </c>
      <c r="R646" s="451"/>
      <c r="S646" s="452"/>
      <c r="T646" s="452"/>
      <c r="U646" s="453"/>
      <c r="V646" s="454"/>
      <c r="W646" s="455" t="s">
        <v>406</v>
      </c>
      <c r="X646" s="455">
        <v>45518</v>
      </c>
      <c r="Y646" s="456" t="s">
        <v>377</v>
      </c>
      <c r="Z646" s="457"/>
      <c r="AA646" s="494"/>
    </row>
    <row r="647" spans="1:27" s="128" customFormat="1" ht="36" customHeight="1">
      <c r="A647" s="443">
        <v>2</v>
      </c>
      <c r="B647" s="444" t="s">
        <v>1560</v>
      </c>
      <c r="C647" s="445" t="s">
        <v>72</v>
      </c>
      <c r="D647" s="444" t="s">
        <v>1561</v>
      </c>
      <c r="E647" s="446">
        <v>1</v>
      </c>
      <c r="F647" s="447"/>
      <c r="G647" s="448">
        <f t="shared" si="26"/>
        <v>0</v>
      </c>
      <c r="H647" s="449"/>
      <c r="I647" s="444"/>
      <c r="J647" s="449"/>
      <c r="K647" s="444" t="s">
        <v>1562</v>
      </c>
      <c r="L647" s="450" t="s">
        <v>1175</v>
      </c>
      <c r="M647" s="444" t="s">
        <v>1563</v>
      </c>
      <c r="N647" s="450"/>
      <c r="O647" s="450"/>
      <c r="P647" s="450" t="s">
        <v>1091</v>
      </c>
      <c r="Q647" s="451" t="s">
        <v>611</v>
      </c>
      <c r="R647" s="451" t="s">
        <v>470</v>
      </c>
      <c r="S647" s="452" t="s">
        <v>1564</v>
      </c>
      <c r="T647" s="452" t="s">
        <v>1565</v>
      </c>
      <c r="U647" s="453"/>
      <c r="V647" s="454"/>
      <c r="W647" s="455" t="s">
        <v>406</v>
      </c>
      <c r="X647" s="455">
        <v>45608</v>
      </c>
      <c r="Y647" s="456" t="s">
        <v>377</v>
      </c>
      <c r="Z647" s="457"/>
      <c r="AA647" s="494"/>
    </row>
    <row r="648" spans="1:27" s="128" customFormat="1" ht="36" customHeight="1">
      <c r="A648" s="443">
        <v>3</v>
      </c>
      <c r="B648" s="444" t="s">
        <v>1566</v>
      </c>
      <c r="C648" s="445" t="s">
        <v>72</v>
      </c>
      <c r="D648" s="444" t="s">
        <v>1567</v>
      </c>
      <c r="E648" s="446">
        <v>1</v>
      </c>
      <c r="F648" s="447"/>
      <c r="G648" s="448">
        <f t="shared" si="26"/>
        <v>0</v>
      </c>
      <c r="H648" s="449"/>
      <c r="I648" s="444"/>
      <c r="J648" s="449"/>
      <c r="K648" s="444" t="s">
        <v>1562</v>
      </c>
      <c r="L648" s="450" t="s">
        <v>1175</v>
      </c>
      <c r="M648" s="444" t="s">
        <v>1568</v>
      </c>
      <c r="N648" s="450"/>
      <c r="O648" s="450"/>
      <c r="P648" s="450" t="s">
        <v>1569</v>
      </c>
      <c r="Q648" s="451" t="s">
        <v>374</v>
      </c>
      <c r="R648" s="451" t="s">
        <v>939</v>
      </c>
      <c r="S648" s="452" t="s">
        <v>1570</v>
      </c>
      <c r="T648" s="452"/>
      <c r="U648" s="453"/>
      <c r="V648" s="454"/>
      <c r="W648" s="455" t="s">
        <v>406</v>
      </c>
      <c r="X648" s="455">
        <v>45583</v>
      </c>
      <c r="Y648" s="456" t="s">
        <v>377</v>
      </c>
      <c r="Z648" s="457"/>
      <c r="AA648" s="494"/>
    </row>
    <row r="649" spans="1:27" s="128" customFormat="1" ht="36" customHeight="1">
      <c r="A649" s="443">
        <v>4</v>
      </c>
      <c r="B649" s="444" t="s">
        <v>1363</v>
      </c>
      <c r="C649" s="445" t="s">
        <v>72</v>
      </c>
      <c r="D649" s="444" t="s">
        <v>1364</v>
      </c>
      <c r="E649" s="446">
        <v>1</v>
      </c>
      <c r="F649" s="447"/>
      <c r="G649" s="448">
        <f t="shared" si="26"/>
        <v>0</v>
      </c>
      <c r="H649" s="449"/>
      <c r="I649" s="444"/>
      <c r="J649" s="449"/>
      <c r="K649" s="444" t="s">
        <v>1562</v>
      </c>
      <c r="L649" s="450" t="s">
        <v>1175</v>
      </c>
      <c r="M649" s="444" t="s">
        <v>1571</v>
      </c>
      <c r="N649" s="450"/>
      <c r="O649" s="450"/>
      <c r="P649" s="450" t="s">
        <v>1569</v>
      </c>
      <c r="Q649" s="451" t="s">
        <v>374</v>
      </c>
      <c r="R649" s="451" t="s">
        <v>432</v>
      </c>
      <c r="S649" s="452" t="s">
        <v>694</v>
      </c>
      <c r="T649" s="452"/>
      <c r="U649" s="453"/>
      <c r="V649" s="454"/>
      <c r="W649" s="455" t="s">
        <v>406</v>
      </c>
      <c r="X649" s="455">
        <v>45576</v>
      </c>
      <c r="Y649" s="456" t="s">
        <v>377</v>
      </c>
      <c r="Z649" s="457"/>
      <c r="AA649" s="494"/>
    </row>
    <row r="650" spans="1:27" s="128" customFormat="1" ht="36" customHeight="1">
      <c r="A650" s="443">
        <v>5</v>
      </c>
      <c r="B650" s="444" t="s">
        <v>1572</v>
      </c>
      <c r="C650" s="445" t="s">
        <v>72</v>
      </c>
      <c r="D650" s="444" t="s">
        <v>1573</v>
      </c>
      <c r="E650" s="446">
        <v>1</v>
      </c>
      <c r="F650" s="447"/>
      <c r="G650" s="448">
        <f t="shared" si="26"/>
        <v>0</v>
      </c>
      <c r="H650" s="449"/>
      <c r="I650" s="444"/>
      <c r="J650" s="449"/>
      <c r="K650" s="444" t="s">
        <v>1562</v>
      </c>
      <c r="L650" s="450" t="s">
        <v>1175</v>
      </c>
      <c r="M650" s="444" t="s">
        <v>1574</v>
      </c>
      <c r="N650" s="450"/>
      <c r="O650" s="450"/>
      <c r="P650" s="450" t="s">
        <v>1575</v>
      </c>
      <c r="Q650" s="451" t="s">
        <v>374</v>
      </c>
      <c r="R650" s="451" t="s">
        <v>263</v>
      </c>
      <c r="S650" s="452" t="s">
        <v>1576</v>
      </c>
      <c r="T650" s="452"/>
      <c r="U650" s="453"/>
      <c r="V650" s="454"/>
      <c r="W650" s="455" t="s">
        <v>406</v>
      </c>
      <c r="X650" s="455">
        <v>45569</v>
      </c>
      <c r="Y650" s="456" t="s">
        <v>377</v>
      </c>
      <c r="Z650" s="457"/>
      <c r="AA650" s="494"/>
    </row>
    <row r="651" spans="1:27" s="128" customFormat="1" ht="36" customHeight="1">
      <c r="A651" s="443">
        <v>6</v>
      </c>
      <c r="B651" s="444" t="s">
        <v>1552</v>
      </c>
      <c r="C651" s="445" t="s">
        <v>72</v>
      </c>
      <c r="D651" s="444" t="s">
        <v>1553</v>
      </c>
      <c r="E651" s="446">
        <v>1</v>
      </c>
      <c r="F651" s="447"/>
      <c r="G651" s="448">
        <f t="shared" si="26"/>
        <v>0</v>
      </c>
      <c r="H651" s="449"/>
      <c r="I651" s="444"/>
      <c r="J651" s="449"/>
      <c r="K651" s="444" t="s">
        <v>1562</v>
      </c>
      <c r="L651" s="450" t="s">
        <v>1175</v>
      </c>
      <c r="M651" s="444" t="s">
        <v>1574</v>
      </c>
      <c r="N651" s="450"/>
      <c r="O651" s="450"/>
      <c r="P651" s="450" t="s">
        <v>1575</v>
      </c>
      <c r="Q651" s="451" t="s">
        <v>374</v>
      </c>
      <c r="R651" s="451" t="s">
        <v>263</v>
      </c>
      <c r="S651" s="452" t="s">
        <v>1577</v>
      </c>
      <c r="T651" s="452"/>
      <c r="U651" s="453"/>
      <c r="V651" s="454"/>
      <c r="W651" s="455" t="s">
        <v>406</v>
      </c>
      <c r="X651" s="455">
        <v>45569</v>
      </c>
      <c r="Y651" s="456" t="s">
        <v>377</v>
      </c>
      <c r="Z651" s="457"/>
      <c r="AA651" s="494"/>
    </row>
    <row r="652" spans="1:27" s="128" customFormat="1" ht="36" customHeight="1">
      <c r="A652" s="443">
        <v>7</v>
      </c>
      <c r="B652" s="444" t="s">
        <v>1578</v>
      </c>
      <c r="C652" s="445" t="s">
        <v>72</v>
      </c>
      <c r="D652" s="444" t="s">
        <v>1579</v>
      </c>
      <c r="E652" s="446">
        <v>1</v>
      </c>
      <c r="F652" s="447"/>
      <c r="G652" s="448">
        <f t="shared" si="26"/>
        <v>0</v>
      </c>
      <c r="H652" s="449"/>
      <c r="I652" s="444"/>
      <c r="J652" s="449"/>
      <c r="K652" s="444" t="s">
        <v>1562</v>
      </c>
      <c r="L652" s="450" t="s">
        <v>1175</v>
      </c>
      <c r="M652" s="444" t="s">
        <v>1580</v>
      </c>
      <c r="N652" s="450"/>
      <c r="O652" s="450"/>
      <c r="P652" s="450" t="s">
        <v>1569</v>
      </c>
      <c r="Q652" s="451" t="s">
        <v>374</v>
      </c>
      <c r="R652" s="451" t="s">
        <v>249</v>
      </c>
      <c r="S652" s="452" t="s">
        <v>895</v>
      </c>
      <c r="T652" s="452"/>
      <c r="U652" s="453"/>
      <c r="V652" s="454"/>
      <c r="W652" s="455" t="s">
        <v>406</v>
      </c>
      <c r="X652" s="455">
        <v>45582</v>
      </c>
      <c r="Y652" s="456" t="s">
        <v>377</v>
      </c>
      <c r="Z652" s="457"/>
      <c r="AA652" s="494"/>
    </row>
    <row r="653" spans="1:27" s="128" customFormat="1" ht="36" customHeight="1">
      <c r="A653" s="443">
        <v>8</v>
      </c>
      <c r="B653" s="444" t="s">
        <v>1581</v>
      </c>
      <c r="C653" s="445" t="s">
        <v>72</v>
      </c>
      <c r="D653" s="444" t="s">
        <v>1582</v>
      </c>
      <c r="E653" s="446">
        <v>1</v>
      </c>
      <c r="F653" s="447"/>
      <c r="G653" s="448">
        <f t="shared" si="26"/>
        <v>0</v>
      </c>
      <c r="H653" s="449"/>
      <c r="I653" s="444"/>
      <c r="J653" s="449"/>
      <c r="K653" s="444" t="s">
        <v>1562</v>
      </c>
      <c r="L653" s="450" t="s">
        <v>1175</v>
      </c>
      <c r="M653" s="444" t="s">
        <v>1580</v>
      </c>
      <c r="N653" s="450"/>
      <c r="O653" s="450"/>
      <c r="P653" s="450" t="s">
        <v>1569</v>
      </c>
      <c r="Q653" s="451" t="s">
        <v>374</v>
      </c>
      <c r="R653" s="451" t="s">
        <v>249</v>
      </c>
      <c r="S653" s="452" t="s">
        <v>895</v>
      </c>
      <c r="T653" s="452"/>
      <c r="U653" s="453"/>
      <c r="V653" s="454"/>
      <c r="W653" s="455" t="s">
        <v>406</v>
      </c>
      <c r="X653" s="455">
        <v>45582</v>
      </c>
      <c r="Y653" s="456" t="s">
        <v>377</v>
      </c>
      <c r="Z653" s="457"/>
      <c r="AA653" s="494"/>
    </row>
    <row r="654" spans="1:27" s="128" customFormat="1" ht="36" customHeight="1">
      <c r="A654" s="443">
        <v>9</v>
      </c>
      <c r="B654" s="444" t="s">
        <v>1583</v>
      </c>
      <c r="C654" s="445" t="s">
        <v>72</v>
      </c>
      <c r="D654" s="444" t="s">
        <v>1584</v>
      </c>
      <c r="E654" s="446">
        <v>3</v>
      </c>
      <c r="F654" s="447"/>
      <c r="G654" s="448">
        <f t="shared" si="26"/>
        <v>0</v>
      </c>
      <c r="H654" s="449"/>
      <c r="I654" s="444"/>
      <c r="J654" s="449"/>
      <c r="K654" s="444" t="s">
        <v>1562</v>
      </c>
      <c r="L654" s="450" t="s">
        <v>1175</v>
      </c>
      <c r="M654" s="444" t="s">
        <v>1580</v>
      </c>
      <c r="N654" s="450"/>
      <c r="O654" s="450"/>
      <c r="P654" s="450" t="s">
        <v>1569</v>
      </c>
      <c r="Q654" s="451" t="s">
        <v>374</v>
      </c>
      <c r="R654" s="451" t="s">
        <v>249</v>
      </c>
      <c r="S654" s="452" t="s">
        <v>895</v>
      </c>
      <c r="T654" s="452"/>
      <c r="U654" s="453"/>
      <c r="V654" s="454"/>
      <c r="W654" s="455" t="s">
        <v>406</v>
      </c>
      <c r="X654" s="455">
        <v>45582</v>
      </c>
      <c r="Y654" s="456" t="s">
        <v>377</v>
      </c>
      <c r="Z654" s="457"/>
      <c r="AA654" s="494"/>
    </row>
    <row r="655" spans="1:27" s="441" customFormat="1" ht="36" customHeight="1">
      <c r="A655" s="427">
        <v>10</v>
      </c>
      <c r="B655" s="428" t="s">
        <v>1585</v>
      </c>
      <c r="C655" s="429" t="s">
        <v>72</v>
      </c>
      <c r="D655" s="428" t="s">
        <v>1586</v>
      </c>
      <c r="E655" s="430">
        <v>3</v>
      </c>
      <c r="F655" s="431"/>
      <c r="G655" s="432">
        <f t="shared" si="26"/>
        <v>0</v>
      </c>
      <c r="H655" s="442"/>
      <c r="I655" s="428"/>
      <c r="J655" s="442"/>
      <c r="K655" s="428" t="s">
        <v>1562</v>
      </c>
      <c r="L655" s="433" t="s">
        <v>1175</v>
      </c>
      <c r="M655" s="428" t="s">
        <v>1580</v>
      </c>
      <c r="N655" s="433"/>
      <c r="O655" s="433"/>
      <c r="P655" s="433" t="s">
        <v>1569</v>
      </c>
      <c r="Q655" s="434" t="s">
        <v>726</v>
      </c>
      <c r="R655" s="434" t="s">
        <v>249</v>
      </c>
      <c r="S655" s="435" t="s">
        <v>964</v>
      </c>
      <c r="T655" s="435">
        <v>45582</v>
      </c>
      <c r="U655" s="436"/>
      <c r="V655" s="437"/>
      <c r="W655" s="438"/>
      <c r="X655" s="438"/>
      <c r="Y655" s="439" t="s">
        <v>592</v>
      </c>
      <c r="Z655" s="440"/>
      <c r="AA655" s="495"/>
    </row>
    <row r="656" spans="1:27" s="128" customFormat="1" ht="36" customHeight="1">
      <c r="A656" s="443">
        <v>11</v>
      </c>
      <c r="B656" s="444" t="s">
        <v>1587</v>
      </c>
      <c r="C656" s="445" t="s">
        <v>72</v>
      </c>
      <c r="D656" s="444" t="s">
        <v>1588</v>
      </c>
      <c r="E656" s="446">
        <v>3</v>
      </c>
      <c r="F656" s="447"/>
      <c r="G656" s="448">
        <f t="shared" si="26"/>
        <v>0</v>
      </c>
      <c r="H656" s="449"/>
      <c r="I656" s="444"/>
      <c r="J656" s="449"/>
      <c r="K656" s="444" t="s">
        <v>1562</v>
      </c>
      <c r="L656" s="450" t="s">
        <v>1175</v>
      </c>
      <c r="M656" s="444" t="s">
        <v>1580</v>
      </c>
      <c r="N656" s="450"/>
      <c r="O656" s="450"/>
      <c r="P656" s="450" t="s">
        <v>1569</v>
      </c>
      <c r="Q656" s="451" t="s">
        <v>374</v>
      </c>
      <c r="R656" s="451" t="s">
        <v>249</v>
      </c>
      <c r="S656" s="452" t="s">
        <v>895</v>
      </c>
      <c r="T656" s="452"/>
      <c r="U656" s="453"/>
      <c r="V656" s="454"/>
      <c r="W656" s="455" t="s">
        <v>406</v>
      </c>
      <c r="X656" s="455">
        <v>45582</v>
      </c>
      <c r="Y656" s="456" t="s">
        <v>377</v>
      </c>
      <c r="Z656" s="457"/>
      <c r="AA656" s="494"/>
    </row>
    <row r="657" spans="1:27" s="128" customFormat="1" ht="36" customHeight="1">
      <c r="A657" s="443">
        <v>12</v>
      </c>
      <c r="B657" s="444" t="s">
        <v>1589</v>
      </c>
      <c r="C657" s="445" t="s">
        <v>72</v>
      </c>
      <c r="D657" s="444" t="s">
        <v>1590</v>
      </c>
      <c r="E657" s="446">
        <v>3</v>
      </c>
      <c r="F657" s="447"/>
      <c r="G657" s="448">
        <f t="shared" si="26"/>
        <v>0</v>
      </c>
      <c r="H657" s="449"/>
      <c r="I657" s="444"/>
      <c r="J657" s="449"/>
      <c r="K657" s="444" t="s">
        <v>1562</v>
      </c>
      <c r="L657" s="450" t="s">
        <v>1175</v>
      </c>
      <c r="M657" s="444" t="s">
        <v>1580</v>
      </c>
      <c r="N657" s="450"/>
      <c r="O657" s="450"/>
      <c r="P657" s="450" t="s">
        <v>1569</v>
      </c>
      <c r="Q657" s="451" t="s">
        <v>374</v>
      </c>
      <c r="R657" s="451" t="s">
        <v>249</v>
      </c>
      <c r="S657" s="452" t="s">
        <v>895</v>
      </c>
      <c r="T657" s="452"/>
      <c r="U657" s="453"/>
      <c r="V657" s="454"/>
      <c r="W657" s="455" t="s">
        <v>406</v>
      </c>
      <c r="X657" s="455">
        <v>45582</v>
      </c>
      <c r="Y657" s="456" t="s">
        <v>377</v>
      </c>
      <c r="Z657" s="457"/>
      <c r="AA657" s="494"/>
    </row>
    <row r="658" spans="1:27" s="128" customFormat="1" ht="36" customHeight="1">
      <c r="A658" s="443">
        <v>13</v>
      </c>
      <c r="B658" s="444" t="s">
        <v>1591</v>
      </c>
      <c r="C658" s="445" t="s">
        <v>72</v>
      </c>
      <c r="D658" s="444" t="s">
        <v>1592</v>
      </c>
      <c r="E658" s="446">
        <v>6</v>
      </c>
      <c r="F658" s="447"/>
      <c r="G658" s="448">
        <f t="shared" si="26"/>
        <v>0</v>
      </c>
      <c r="H658" s="449"/>
      <c r="I658" s="444"/>
      <c r="J658" s="449"/>
      <c r="K658" s="444" t="s">
        <v>1562</v>
      </c>
      <c r="L658" s="450" t="s">
        <v>1175</v>
      </c>
      <c r="M658" s="444" t="s">
        <v>1580</v>
      </c>
      <c r="N658" s="450"/>
      <c r="O658" s="450"/>
      <c r="P658" s="450" t="s">
        <v>1569</v>
      </c>
      <c r="Q658" s="451" t="s">
        <v>374</v>
      </c>
      <c r="R658" s="451" t="s">
        <v>249</v>
      </c>
      <c r="S658" s="452" t="s">
        <v>895</v>
      </c>
      <c r="T658" s="452"/>
      <c r="U658" s="453"/>
      <c r="V658" s="454"/>
      <c r="W658" s="455" t="s">
        <v>406</v>
      </c>
      <c r="X658" s="455">
        <v>45582</v>
      </c>
      <c r="Y658" s="456" t="s">
        <v>377</v>
      </c>
      <c r="Z658" s="457"/>
      <c r="AA658" s="494"/>
    </row>
    <row r="659" spans="1:27" s="128" customFormat="1" ht="36" customHeight="1">
      <c r="A659" s="443">
        <v>14</v>
      </c>
      <c r="B659" s="444" t="s">
        <v>1593</v>
      </c>
      <c r="C659" s="445" t="s">
        <v>72</v>
      </c>
      <c r="D659" s="444" t="s">
        <v>1594</v>
      </c>
      <c r="E659" s="446">
        <v>3</v>
      </c>
      <c r="F659" s="447"/>
      <c r="G659" s="448">
        <f t="shared" si="26"/>
        <v>0</v>
      </c>
      <c r="H659" s="449"/>
      <c r="I659" s="444"/>
      <c r="J659" s="449"/>
      <c r="K659" s="444" t="s">
        <v>1562</v>
      </c>
      <c r="L659" s="450" t="s">
        <v>1175</v>
      </c>
      <c r="M659" s="444" t="s">
        <v>1580</v>
      </c>
      <c r="N659" s="450"/>
      <c r="O659" s="450"/>
      <c r="P659" s="450" t="s">
        <v>1569</v>
      </c>
      <c r="Q659" s="451" t="s">
        <v>374</v>
      </c>
      <c r="R659" s="451" t="s">
        <v>249</v>
      </c>
      <c r="S659" s="452" t="s">
        <v>895</v>
      </c>
      <c r="T659" s="452"/>
      <c r="U659" s="453"/>
      <c r="V659" s="454"/>
      <c r="W659" s="455" t="s">
        <v>406</v>
      </c>
      <c r="X659" s="455">
        <v>45582</v>
      </c>
      <c r="Y659" s="456" t="s">
        <v>377</v>
      </c>
      <c r="Z659" s="457"/>
      <c r="AA659" s="494"/>
    </row>
    <row r="660" spans="1:27" s="128" customFormat="1" ht="36" customHeight="1">
      <c r="A660" s="443">
        <v>15</v>
      </c>
      <c r="B660" s="444" t="s">
        <v>1595</v>
      </c>
      <c r="C660" s="445" t="s">
        <v>72</v>
      </c>
      <c r="D660" s="444" t="s">
        <v>1596</v>
      </c>
      <c r="E660" s="446">
        <v>1</v>
      </c>
      <c r="F660" s="447"/>
      <c r="G660" s="448">
        <f t="shared" si="26"/>
        <v>0</v>
      </c>
      <c r="H660" s="449"/>
      <c r="I660" s="444"/>
      <c r="J660" s="449"/>
      <c r="K660" s="444" t="s">
        <v>1562</v>
      </c>
      <c r="L660" s="450" t="s">
        <v>1175</v>
      </c>
      <c r="M660" s="444" t="s">
        <v>1580</v>
      </c>
      <c r="N660" s="450"/>
      <c r="O660" s="450"/>
      <c r="P660" s="450" t="s">
        <v>1569</v>
      </c>
      <c r="Q660" s="451" t="s">
        <v>374</v>
      </c>
      <c r="R660" s="451" t="s">
        <v>249</v>
      </c>
      <c r="S660" s="452" t="s">
        <v>895</v>
      </c>
      <c r="T660" s="452"/>
      <c r="U660" s="453"/>
      <c r="V660" s="454"/>
      <c r="W660" s="455" t="s">
        <v>406</v>
      </c>
      <c r="X660" s="455">
        <v>45582</v>
      </c>
      <c r="Y660" s="456" t="s">
        <v>377</v>
      </c>
      <c r="Z660" s="457"/>
      <c r="AA660" s="494"/>
    </row>
    <row r="661" spans="1:27" s="128" customFormat="1" ht="36" customHeight="1">
      <c r="A661" s="443">
        <v>16</v>
      </c>
      <c r="B661" s="444" t="s">
        <v>1597</v>
      </c>
      <c r="C661" s="445" t="s">
        <v>72</v>
      </c>
      <c r="D661" s="444" t="s">
        <v>1598</v>
      </c>
      <c r="E661" s="446">
        <v>2</v>
      </c>
      <c r="F661" s="447"/>
      <c r="G661" s="448">
        <f t="shared" si="26"/>
        <v>0</v>
      </c>
      <c r="H661" s="449"/>
      <c r="I661" s="444"/>
      <c r="J661" s="449"/>
      <c r="K661" s="444" t="s">
        <v>1562</v>
      </c>
      <c r="L661" s="450" t="s">
        <v>1175</v>
      </c>
      <c r="M661" s="444" t="s">
        <v>1580</v>
      </c>
      <c r="N661" s="450"/>
      <c r="O661" s="450"/>
      <c r="P661" s="450" t="s">
        <v>1569</v>
      </c>
      <c r="Q661" s="451" t="s">
        <v>374</v>
      </c>
      <c r="R661" s="451" t="s">
        <v>249</v>
      </c>
      <c r="S661" s="452" t="s">
        <v>895</v>
      </c>
      <c r="T661" s="452"/>
      <c r="U661" s="453"/>
      <c r="V661" s="454"/>
      <c r="W661" s="455" t="s">
        <v>406</v>
      </c>
      <c r="X661" s="455">
        <v>45582</v>
      </c>
      <c r="Y661" s="456" t="s">
        <v>377</v>
      </c>
      <c r="Z661" s="457"/>
      <c r="AA661" s="494"/>
    </row>
    <row r="662" spans="1:27" s="128" customFormat="1" ht="36" customHeight="1">
      <c r="A662" s="443">
        <v>17</v>
      </c>
      <c r="B662" s="444" t="s">
        <v>1599</v>
      </c>
      <c r="C662" s="445" t="s">
        <v>72</v>
      </c>
      <c r="D662" s="444" t="s">
        <v>1600</v>
      </c>
      <c r="E662" s="446">
        <v>1</v>
      </c>
      <c r="F662" s="447"/>
      <c r="G662" s="448">
        <f t="shared" si="26"/>
        <v>0</v>
      </c>
      <c r="H662" s="449"/>
      <c r="I662" s="444"/>
      <c r="J662" s="449"/>
      <c r="K662" s="444" t="s">
        <v>1562</v>
      </c>
      <c r="L662" s="450" t="s">
        <v>1175</v>
      </c>
      <c r="M662" s="444" t="s">
        <v>1580</v>
      </c>
      <c r="N662" s="450"/>
      <c r="O662" s="450"/>
      <c r="P662" s="450" t="s">
        <v>1569</v>
      </c>
      <c r="Q662" s="451" t="s">
        <v>374</v>
      </c>
      <c r="R662" s="451" t="s">
        <v>249</v>
      </c>
      <c r="S662" s="452" t="s">
        <v>895</v>
      </c>
      <c r="T662" s="452"/>
      <c r="U662" s="453"/>
      <c r="V662" s="454"/>
      <c r="W662" s="455" t="s">
        <v>406</v>
      </c>
      <c r="X662" s="455">
        <v>45582</v>
      </c>
      <c r="Y662" s="456" t="s">
        <v>377</v>
      </c>
      <c r="Z662" s="457"/>
      <c r="AA662" s="494"/>
    </row>
    <row r="663" spans="1:27" s="128" customFormat="1" ht="36" customHeight="1">
      <c r="A663" s="443">
        <v>18</v>
      </c>
      <c r="B663" s="444" t="s">
        <v>1601</v>
      </c>
      <c r="C663" s="445" t="s">
        <v>72</v>
      </c>
      <c r="D663" s="444" t="s">
        <v>1602</v>
      </c>
      <c r="E663" s="446">
        <v>3</v>
      </c>
      <c r="F663" s="447"/>
      <c r="G663" s="448">
        <f t="shared" si="26"/>
        <v>0</v>
      </c>
      <c r="H663" s="449"/>
      <c r="I663" s="444"/>
      <c r="J663" s="449"/>
      <c r="K663" s="444" t="s">
        <v>1562</v>
      </c>
      <c r="L663" s="450" t="s">
        <v>1175</v>
      </c>
      <c r="M663" s="444" t="s">
        <v>1580</v>
      </c>
      <c r="N663" s="450"/>
      <c r="O663" s="450"/>
      <c r="P663" s="450" t="s">
        <v>1569</v>
      </c>
      <c r="Q663" s="451" t="s">
        <v>374</v>
      </c>
      <c r="R663" s="451" t="s">
        <v>249</v>
      </c>
      <c r="S663" s="452" t="s">
        <v>895</v>
      </c>
      <c r="T663" s="452"/>
      <c r="U663" s="453"/>
      <c r="V663" s="454"/>
      <c r="W663" s="455" t="s">
        <v>406</v>
      </c>
      <c r="X663" s="455">
        <v>45582</v>
      </c>
      <c r="Y663" s="456" t="s">
        <v>377</v>
      </c>
      <c r="Z663" s="457"/>
      <c r="AA663" s="494"/>
    </row>
    <row r="664" spans="1:27" s="128" customFormat="1" ht="36" customHeight="1">
      <c r="A664" s="443">
        <v>19</v>
      </c>
      <c r="B664" s="444" t="s">
        <v>1603</v>
      </c>
      <c r="C664" s="445" t="s">
        <v>72</v>
      </c>
      <c r="D664" s="444" t="s">
        <v>1604</v>
      </c>
      <c r="E664" s="446">
        <v>3</v>
      </c>
      <c r="F664" s="447"/>
      <c r="G664" s="448">
        <f t="shared" si="26"/>
        <v>0</v>
      </c>
      <c r="H664" s="449"/>
      <c r="I664" s="444"/>
      <c r="J664" s="449"/>
      <c r="K664" s="444" t="s">
        <v>1562</v>
      </c>
      <c r="L664" s="450" t="s">
        <v>1175</v>
      </c>
      <c r="M664" s="444" t="s">
        <v>1580</v>
      </c>
      <c r="N664" s="450"/>
      <c r="O664" s="450"/>
      <c r="P664" s="450" t="s">
        <v>1569</v>
      </c>
      <c r="Q664" s="451" t="s">
        <v>374</v>
      </c>
      <c r="R664" s="451" t="s">
        <v>249</v>
      </c>
      <c r="S664" s="452" t="s">
        <v>895</v>
      </c>
      <c r="T664" s="452"/>
      <c r="U664" s="453"/>
      <c r="V664" s="454"/>
      <c r="W664" s="455" t="s">
        <v>406</v>
      </c>
      <c r="X664" s="455">
        <v>45582</v>
      </c>
      <c r="Y664" s="456" t="s">
        <v>377</v>
      </c>
      <c r="Z664" s="457"/>
      <c r="AA664" s="494"/>
    </row>
    <row r="665" spans="1:27" s="128" customFormat="1" ht="36" customHeight="1">
      <c r="A665" s="443">
        <v>20</v>
      </c>
      <c r="B665" s="444" t="s">
        <v>1605</v>
      </c>
      <c r="C665" s="445" t="s">
        <v>72</v>
      </c>
      <c r="D665" s="444" t="s">
        <v>1606</v>
      </c>
      <c r="E665" s="446">
        <v>3</v>
      </c>
      <c r="F665" s="447"/>
      <c r="G665" s="448">
        <f t="shared" si="26"/>
        <v>0</v>
      </c>
      <c r="H665" s="449"/>
      <c r="I665" s="444"/>
      <c r="J665" s="449"/>
      <c r="K665" s="444" t="s">
        <v>1562</v>
      </c>
      <c r="L665" s="450" t="s">
        <v>1175</v>
      </c>
      <c r="M665" s="444" t="s">
        <v>1580</v>
      </c>
      <c r="N665" s="450"/>
      <c r="O665" s="450"/>
      <c r="P665" s="450" t="s">
        <v>1569</v>
      </c>
      <c r="Q665" s="451" t="s">
        <v>374</v>
      </c>
      <c r="R665" s="451" t="s">
        <v>249</v>
      </c>
      <c r="S665" s="452" t="s">
        <v>895</v>
      </c>
      <c r="T665" s="452"/>
      <c r="U665" s="453"/>
      <c r="V665" s="454"/>
      <c r="W665" s="455" t="s">
        <v>406</v>
      </c>
      <c r="X665" s="455">
        <v>45582</v>
      </c>
      <c r="Y665" s="456" t="s">
        <v>377</v>
      </c>
      <c r="Z665" s="457"/>
      <c r="AA665" s="494"/>
    </row>
    <row r="666" spans="1:27" s="128" customFormat="1" ht="36" customHeight="1">
      <c r="A666" s="443">
        <v>21</v>
      </c>
      <c r="B666" s="444" t="s">
        <v>1607</v>
      </c>
      <c r="C666" s="445" t="s">
        <v>72</v>
      </c>
      <c r="D666" s="444" t="s">
        <v>1608</v>
      </c>
      <c r="E666" s="446">
        <v>3</v>
      </c>
      <c r="F666" s="447"/>
      <c r="G666" s="448">
        <f t="shared" si="26"/>
        <v>0</v>
      </c>
      <c r="H666" s="449"/>
      <c r="I666" s="444"/>
      <c r="J666" s="449"/>
      <c r="K666" s="444" t="s">
        <v>1562</v>
      </c>
      <c r="L666" s="450" t="s">
        <v>1175</v>
      </c>
      <c r="M666" s="444" t="s">
        <v>1580</v>
      </c>
      <c r="N666" s="450"/>
      <c r="O666" s="450"/>
      <c r="P666" s="450" t="s">
        <v>1569</v>
      </c>
      <c r="Q666" s="451" t="s">
        <v>374</v>
      </c>
      <c r="R666" s="451" t="s">
        <v>249</v>
      </c>
      <c r="S666" s="452" t="s">
        <v>895</v>
      </c>
      <c r="T666" s="452"/>
      <c r="U666" s="453"/>
      <c r="V666" s="454"/>
      <c r="W666" s="455" t="s">
        <v>406</v>
      </c>
      <c r="X666" s="455">
        <v>45582</v>
      </c>
      <c r="Y666" s="456" t="s">
        <v>377</v>
      </c>
      <c r="Z666" s="457"/>
      <c r="AA666" s="494"/>
    </row>
    <row r="667" spans="1:27" s="128" customFormat="1" ht="36" customHeight="1">
      <c r="A667" s="443">
        <v>22</v>
      </c>
      <c r="B667" s="444" t="s">
        <v>1609</v>
      </c>
      <c r="C667" s="445" t="s">
        <v>72</v>
      </c>
      <c r="D667" s="444" t="s">
        <v>1610</v>
      </c>
      <c r="E667" s="446">
        <v>4</v>
      </c>
      <c r="F667" s="447"/>
      <c r="G667" s="448">
        <f t="shared" si="26"/>
        <v>0</v>
      </c>
      <c r="H667" s="449"/>
      <c r="I667" s="444"/>
      <c r="J667" s="449"/>
      <c r="K667" s="444" t="s">
        <v>1562</v>
      </c>
      <c r="L667" s="450" t="s">
        <v>1175</v>
      </c>
      <c r="M667" s="444" t="s">
        <v>1580</v>
      </c>
      <c r="N667" s="450"/>
      <c r="O667" s="450"/>
      <c r="P667" s="450" t="s">
        <v>1569</v>
      </c>
      <c r="Q667" s="451" t="s">
        <v>374</v>
      </c>
      <c r="R667" s="451" t="s">
        <v>249</v>
      </c>
      <c r="S667" s="452" t="s">
        <v>895</v>
      </c>
      <c r="T667" s="452"/>
      <c r="U667" s="453"/>
      <c r="V667" s="454"/>
      <c r="W667" s="455" t="s">
        <v>406</v>
      </c>
      <c r="X667" s="455">
        <v>45582</v>
      </c>
      <c r="Y667" s="456" t="s">
        <v>377</v>
      </c>
      <c r="Z667" s="457"/>
      <c r="AA667" s="494"/>
    </row>
    <row r="668" spans="1:27" s="441" customFormat="1" ht="36" customHeight="1">
      <c r="A668" s="427">
        <v>23</v>
      </c>
      <c r="B668" s="428" t="s">
        <v>1611</v>
      </c>
      <c r="C668" s="429" t="s">
        <v>72</v>
      </c>
      <c r="D668" s="428" t="s">
        <v>1612</v>
      </c>
      <c r="E668" s="430">
        <v>4</v>
      </c>
      <c r="F668" s="431"/>
      <c r="G668" s="432">
        <f t="shared" si="26"/>
        <v>0</v>
      </c>
      <c r="H668" s="442"/>
      <c r="I668" s="428"/>
      <c r="J668" s="442"/>
      <c r="K668" s="428" t="s">
        <v>1562</v>
      </c>
      <c r="L668" s="433" t="s">
        <v>1175</v>
      </c>
      <c r="M668" s="428" t="s">
        <v>1580</v>
      </c>
      <c r="N668" s="433"/>
      <c r="O668" s="433"/>
      <c r="P668" s="433" t="s">
        <v>1569</v>
      </c>
      <c r="Q668" s="434" t="s">
        <v>726</v>
      </c>
      <c r="R668" s="434" t="s">
        <v>249</v>
      </c>
      <c r="S668" s="435" t="s">
        <v>986</v>
      </c>
      <c r="T668" s="435">
        <v>45575</v>
      </c>
      <c r="U668" s="436"/>
      <c r="V668" s="437"/>
      <c r="W668" s="438"/>
      <c r="X668" s="438"/>
      <c r="Y668" s="439" t="s">
        <v>592</v>
      </c>
      <c r="Z668" s="440"/>
      <c r="AA668" s="495"/>
    </row>
    <row r="669" spans="1:27" s="128" customFormat="1" ht="36" customHeight="1">
      <c r="A669" s="443">
        <v>24</v>
      </c>
      <c r="B669" s="444" t="s">
        <v>1613</v>
      </c>
      <c r="C669" s="445" t="s">
        <v>72</v>
      </c>
      <c r="D669" s="444" t="s">
        <v>1614</v>
      </c>
      <c r="E669" s="446">
        <v>1</v>
      </c>
      <c r="F669" s="447"/>
      <c r="G669" s="448">
        <f t="shared" si="26"/>
        <v>0</v>
      </c>
      <c r="H669" s="449"/>
      <c r="I669" s="444"/>
      <c r="J669" s="449"/>
      <c r="K669" s="444" t="s">
        <v>1562</v>
      </c>
      <c r="L669" s="450" t="s">
        <v>1175</v>
      </c>
      <c r="M669" s="444" t="s">
        <v>1580</v>
      </c>
      <c r="N669" s="450"/>
      <c r="O669" s="450"/>
      <c r="P669" s="450" t="s">
        <v>1569</v>
      </c>
      <c r="Q669" s="451" t="s">
        <v>374</v>
      </c>
      <c r="R669" s="451" t="s">
        <v>249</v>
      </c>
      <c r="S669" s="452" t="s">
        <v>895</v>
      </c>
      <c r="T669" s="452"/>
      <c r="U669" s="453"/>
      <c r="V669" s="454"/>
      <c r="W669" s="455" t="s">
        <v>406</v>
      </c>
      <c r="X669" s="455">
        <v>45582</v>
      </c>
      <c r="Y669" s="456" t="s">
        <v>377</v>
      </c>
      <c r="Z669" s="457"/>
      <c r="AA669" s="494"/>
    </row>
    <row r="670" spans="1:27" s="128" customFormat="1" ht="36" customHeight="1">
      <c r="A670" s="443">
        <v>25</v>
      </c>
      <c r="B670" s="444" t="s">
        <v>1615</v>
      </c>
      <c r="C670" s="445" t="s">
        <v>72</v>
      </c>
      <c r="D670" s="444" t="s">
        <v>1616</v>
      </c>
      <c r="E670" s="446">
        <v>1</v>
      </c>
      <c r="F670" s="447"/>
      <c r="G670" s="448">
        <f t="shared" si="26"/>
        <v>0</v>
      </c>
      <c r="H670" s="449"/>
      <c r="I670" s="444"/>
      <c r="J670" s="449"/>
      <c r="K670" s="444" t="s">
        <v>1562</v>
      </c>
      <c r="L670" s="450" t="s">
        <v>1175</v>
      </c>
      <c r="M670" s="444" t="s">
        <v>1580</v>
      </c>
      <c r="N670" s="450"/>
      <c r="O670" s="450"/>
      <c r="P670" s="450" t="s">
        <v>1569</v>
      </c>
      <c r="Q670" s="451" t="s">
        <v>374</v>
      </c>
      <c r="R670" s="451" t="s">
        <v>249</v>
      </c>
      <c r="S670" s="452" t="s">
        <v>895</v>
      </c>
      <c r="T670" s="452"/>
      <c r="U670" s="453"/>
      <c r="V670" s="454"/>
      <c r="W670" s="455" t="s">
        <v>406</v>
      </c>
      <c r="X670" s="455">
        <v>45582</v>
      </c>
      <c r="Y670" s="456" t="s">
        <v>377</v>
      </c>
      <c r="Z670" s="457"/>
      <c r="AA670" s="494"/>
    </row>
    <row r="671" spans="1:27" s="128" customFormat="1" ht="36" customHeight="1">
      <c r="A671" s="443">
        <v>26</v>
      </c>
      <c r="B671" s="444" t="s">
        <v>1617</v>
      </c>
      <c r="C671" s="445" t="s">
        <v>72</v>
      </c>
      <c r="D671" s="444" t="s">
        <v>1618</v>
      </c>
      <c r="E671" s="446">
        <v>1</v>
      </c>
      <c r="F671" s="447"/>
      <c r="G671" s="448">
        <f t="shared" si="26"/>
        <v>0</v>
      </c>
      <c r="H671" s="449"/>
      <c r="I671" s="444"/>
      <c r="J671" s="449"/>
      <c r="K671" s="444" t="s">
        <v>1562</v>
      </c>
      <c r="L671" s="450" t="s">
        <v>1175</v>
      </c>
      <c r="M671" s="444" t="s">
        <v>1580</v>
      </c>
      <c r="N671" s="450"/>
      <c r="O671" s="450"/>
      <c r="P671" s="450" t="s">
        <v>1569</v>
      </c>
      <c r="Q671" s="451" t="s">
        <v>374</v>
      </c>
      <c r="R671" s="451" t="s">
        <v>249</v>
      </c>
      <c r="S671" s="452" t="s">
        <v>895</v>
      </c>
      <c r="T671" s="452"/>
      <c r="U671" s="453"/>
      <c r="V671" s="454"/>
      <c r="W671" s="455" t="s">
        <v>406</v>
      </c>
      <c r="X671" s="455">
        <v>45582</v>
      </c>
      <c r="Y671" s="456" t="s">
        <v>377</v>
      </c>
      <c r="Z671" s="457"/>
      <c r="AA671" s="494"/>
    </row>
    <row r="672" spans="1:27" s="128" customFormat="1" ht="36" customHeight="1">
      <c r="A672" s="443">
        <v>27</v>
      </c>
      <c r="B672" s="444" t="s">
        <v>1619</v>
      </c>
      <c r="C672" s="445" t="s">
        <v>72</v>
      </c>
      <c r="D672" s="444" t="s">
        <v>1620</v>
      </c>
      <c r="E672" s="446">
        <v>1</v>
      </c>
      <c r="F672" s="447"/>
      <c r="G672" s="448">
        <f t="shared" si="26"/>
        <v>0</v>
      </c>
      <c r="H672" s="449"/>
      <c r="I672" s="444"/>
      <c r="J672" s="449"/>
      <c r="K672" s="444" t="s">
        <v>1562</v>
      </c>
      <c r="L672" s="450" t="s">
        <v>1175</v>
      </c>
      <c r="M672" s="444" t="s">
        <v>1621</v>
      </c>
      <c r="N672" s="450"/>
      <c r="O672" s="450"/>
      <c r="P672" s="450" t="s">
        <v>1569</v>
      </c>
      <c r="Q672" s="451" t="s">
        <v>374</v>
      </c>
      <c r="R672" s="451" t="s">
        <v>237</v>
      </c>
      <c r="S672" s="452" t="s">
        <v>964</v>
      </c>
      <c r="T672" s="452"/>
      <c r="U672" s="453"/>
      <c r="V672" s="454"/>
      <c r="W672" s="455" t="s">
        <v>406</v>
      </c>
      <c r="X672" s="455">
        <v>45565</v>
      </c>
      <c r="Y672" s="456" t="s">
        <v>377</v>
      </c>
      <c r="Z672" s="457"/>
      <c r="AA672" s="494"/>
    </row>
    <row r="673" spans="1:27" s="128" customFormat="1" ht="36" customHeight="1">
      <c r="A673" s="443">
        <v>28</v>
      </c>
      <c r="B673" s="444" t="s">
        <v>463</v>
      </c>
      <c r="C673" s="445" t="s">
        <v>72</v>
      </c>
      <c r="D673" s="444" t="s">
        <v>1207</v>
      </c>
      <c r="E673" s="446">
        <v>1</v>
      </c>
      <c r="F673" s="447"/>
      <c r="G673" s="448">
        <f t="shared" si="26"/>
        <v>0</v>
      </c>
      <c r="H673" s="449"/>
      <c r="I673" s="444"/>
      <c r="J673" s="449"/>
      <c r="K673" s="444" t="s">
        <v>1562</v>
      </c>
      <c r="L673" s="450" t="s">
        <v>1175</v>
      </c>
      <c r="M673" s="444" t="s">
        <v>1621</v>
      </c>
      <c r="N673" s="450"/>
      <c r="O673" s="450"/>
      <c r="P673" s="450" t="s">
        <v>1569</v>
      </c>
      <c r="Q673" s="451" t="s">
        <v>374</v>
      </c>
      <c r="R673" s="451" t="s">
        <v>237</v>
      </c>
      <c r="S673" s="452" t="s">
        <v>964</v>
      </c>
      <c r="T673" s="452"/>
      <c r="U673" s="453"/>
      <c r="V673" s="454"/>
      <c r="W673" s="455" t="s">
        <v>406</v>
      </c>
      <c r="X673" s="455">
        <v>45565</v>
      </c>
      <c r="Y673" s="456" t="s">
        <v>377</v>
      </c>
      <c r="Z673" s="457"/>
      <c r="AA673" s="494"/>
    </row>
    <row r="674" spans="1:27" s="128" customFormat="1" ht="36" customHeight="1">
      <c r="A674" s="443">
        <v>29</v>
      </c>
      <c r="B674" s="444" t="s">
        <v>1622</v>
      </c>
      <c r="C674" s="445" t="s">
        <v>72</v>
      </c>
      <c r="D674" s="444" t="s">
        <v>1623</v>
      </c>
      <c r="E674" s="446">
        <v>1</v>
      </c>
      <c r="F674" s="447"/>
      <c r="G674" s="448">
        <f t="shared" si="26"/>
        <v>0</v>
      </c>
      <c r="H674" s="449"/>
      <c r="I674" s="444"/>
      <c r="J674" s="449"/>
      <c r="K674" s="444" t="s">
        <v>1562</v>
      </c>
      <c r="L674" s="450" t="s">
        <v>1175</v>
      </c>
      <c r="M674" s="444" t="s">
        <v>1624</v>
      </c>
      <c r="N674" s="450"/>
      <c r="O674" s="450"/>
      <c r="P674" s="450" t="s">
        <v>1091</v>
      </c>
      <c r="Q674" s="451" t="s">
        <v>374</v>
      </c>
      <c r="R674" s="451" t="s">
        <v>404</v>
      </c>
      <c r="S674" s="452" t="s">
        <v>405</v>
      </c>
      <c r="T674" s="452"/>
      <c r="U674" s="453"/>
      <c r="V674" s="454"/>
      <c r="W674" s="455" t="s">
        <v>406</v>
      </c>
      <c r="X674" s="455">
        <v>45607</v>
      </c>
      <c r="Y674" s="456" t="s">
        <v>377</v>
      </c>
      <c r="Z674" s="457"/>
      <c r="AA674" s="494">
        <v>1</v>
      </c>
    </row>
    <row r="675" spans="1:27" s="128" customFormat="1" ht="36" customHeight="1">
      <c r="A675" s="443">
        <v>30</v>
      </c>
      <c r="B675" s="444" t="s">
        <v>1097</v>
      </c>
      <c r="C675" s="445" t="s">
        <v>72</v>
      </c>
      <c r="D675" s="444" t="s">
        <v>1098</v>
      </c>
      <c r="E675" s="446">
        <v>3</v>
      </c>
      <c r="F675" s="447"/>
      <c r="G675" s="448">
        <f t="shared" si="26"/>
        <v>0</v>
      </c>
      <c r="H675" s="449"/>
      <c r="I675" s="444"/>
      <c r="J675" s="449"/>
      <c r="K675" s="444" t="s">
        <v>1562</v>
      </c>
      <c r="L675" s="450" t="s">
        <v>1175</v>
      </c>
      <c r="M675" s="444" t="s">
        <v>1624</v>
      </c>
      <c r="N675" s="450"/>
      <c r="O675" s="450"/>
      <c r="P675" s="450" t="s">
        <v>1091</v>
      </c>
      <c r="Q675" s="451" t="s">
        <v>374</v>
      </c>
      <c r="R675" s="451" t="s">
        <v>404</v>
      </c>
      <c r="S675" s="452" t="s">
        <v>405</v>
      </c>
      <c r="T675" s="452">
        <v>45579</v>
      </c>
      <c r="U675" s="453"/>
      <c r="V675" s="454"/>
      <c r="W675" s="455" t="s">
        <v>406</v>
      </c>
      <c r="X675" s="455">
        <v>45576</v>
      </c>
      <c r="Y675" s="456" t="s">
        <v>377</v>
      </c>
      <c r="Z675" s="457"/>
      <c r="AA675" s="494"/>
    </row>
    <row r="676" spans="1:27" s="128" customFormat="1" ht="36" customHeight="1">
      <c r="A676" s="443">
        <v>31</v>
      </c>
      <c r="B676" s="444" t="s">
        <v>1092</v>
      </c>
      <c r="C676" s="445" t="s">
        <v>72</v>
      </c>
      <c r="D676" s="444" t="s">
        <v>1093</v>
      </c>
      <c r="E676" s="446">
        <v>1</v>
      </c>
      <c r="F676" s="447"/>
      <c r="G676" s="448">
        <f t="shared" si="26"/>
        <v>0</v>
      </c>
      <c r="H676" s="449"/>
      <c r="I676" s="444"/>
      <c r="J676" s="449"/>
      <c r="K676" s="444"/>
      <c r="L676" s="450"/>
      <c r="M676" s="444"/>
      <c r="N676" s="450"/>
      <c r="O676" s="450"/>
      <c r="P676" s="450"/>
      <c r="Q676" s="451" t="s">
        <v>374</v>
      </c>
      <c r="R676" s="451"/>
      <c r="S676" s="452"/>
      <c r="T676" s="452" t="s">
        <v>481</v>
      </c>
      <c r="U676" s="453"/>
      <c r="V676" s="454"/>
      <c r="W676" s="455" t="s">
        <v>406</v>
      </c>
      <c r="X676" s="455">
        <v>45610</v>
      </c>
      <c r="Y676" s="456" t="s">
        <v>377</v>
      </c>
      <c r="Z676" s="498"/>
      <c r="AA676" s="494">
        <v>1</v>
      </c>
    </row>
    <row r="677" spans="1:27" s="128" customFormat="1" ht="36" customHeight="1">
      <c r="A677" s="443">
        <v>32</v>
      </c>
      <c r="B677" s="444" t="s">
        <v>951</v>
      </c>
      <c r="C677" s="445" t="s">
        <v>72</v>
      </c>
      <c r="D677" s="444" t="s">
        <v>952</v>
      </c>
      <c r="E677" s="446">
        <v>1</v>
      </c>
      <c r="F677" s="447"/>
      <c r="G677" s="448">
        <f t="shared" si="26"/>
        <v>0</v>
      </c>
      <c r="H677" s="449"/>
      <c r="I677" s="444"/>
      <c r="J677" s="449"/>
      <c r="K677" s="444"/>
      <c r="L677" s="450"/>
      <c r="M677" s="444"/>
      <c r="N677" s="450"/>
      <c r="O677" s="450"/>
      <c r="P677" s="450"/>
      <c r="Q677" s="451" t="s">
        <v>374</v>
      </c>
      <c r="R677" s="451"/>
      <c r="S677" s="452"/>
      <c r="T677" s="452">
        <v>45594</v>
      </c>
      <c r="U677" s="453"/>
      <c r="V677" s="454"/>
      <c r="W677" s="455" t="s">
        <v>406</v>
      </c>
      <c r="X677" s="455">
        <v>45610</v>
      </c>
      <c r="Y677" s="456" t="s">
        <v>377</v>
      </c>
      <c r="Z677" s="498"/>
      <c r="AA677" s="494">
        <v>1</v>
      </c>
    </row>
    <row r="678" spans="1:27" s="441" customFormat="1" ht="36" customHeight="1">
      <c r="A678" s="427">
        <v>33</v>
      </c>
      <c r="B678" s="428" t="s">
        <v>1205</v>
      </c>
      <c r="C678" s="429" t="s">
        <v>72</v>
      </c>
      <c r="D678" s="428" t="s">
        <v>1206</v>
      </c>
      <c r="E678" s="430">
        <v>1</v>
      </c>
      <c r="F678" s="431"/>
      <c r="G678" s="432">
        <f t="shared" si="26"/>
        <v>0</v>
      </c>
      <c r="H678" s="442"/>
      <c r="I678" s="428"/>
      <c r="J678" s="442"/>
      <c r="K678" s="428" t="s">
        <v>1562</v>
      </c>
      <c r="L678" s="433" t="s">
        <v>1175</v>
      </c>
      <c r="M678" s="428" t="s">
        <v>444</v>
      </c>
      <c r="N678" s="433"/>
      <c r="O678" s="433"/>
      <c r="P678" s="433" t="s">
        <v>444</v>
      </c>
      <c r="Q678" s="434" t="s">
        <v>591</v>
      </c>
      <c r="R678" s="434"/>
      <c r="S678" s="435" t="s">
        <v>444</v>
      </c>
      <c r="T678" s="435"/>
      <c r="U678" s="436"/>
      <c r="V678" s="437"/>
      <c r="W678" s="438"/>
      <c r="X678" s="438"/>
      <c r="Y678" s="439" t="s">
        <v>592</v>
      </c>
      <c r="Z678" s="440"/>
      <c r="AA678" s="495"/>
    </row>
    <row r="679" spans="1:27" s="441" customFormat="1" ht="36" customHeight="1">
      <c r="A679" s="427">
        <v>34</v>
      </c>
      <c r="B679" s="428" t="s">
        <v>1625</v>
      </c>
      <c r="C679" s="429" t="s">
        <v>72</v>
      </c>
      <c r="D679" s="428" t="s">
        <v>1626</v>
      </c>
      <c r="E679" s="430">
        <v>1</v>
      </c>
      <c r="F679" s="431"/>
      <c r="G679" s="432">
        <f t="shared" si="26"/>
        <v>0</v>
      </c>
      <c r="H679" s="442"/>
      <c r="I679" s="428"/>
      <c r="J679" s="442"/>
      <c r="K679" s="428" t="s">
        <v>1562</v>
      </c>
      <c r="L679" s="433" t="s">
        <v>1175</v>
      </c>
      <c r="M679" s="428" t="s">
        <v>444</v>
      </c>
      <c r="N679" s="433"/>
      <c r="O679" s="433"/>
      <c r="P679" s="433" t="s">
        <v>444</v>
      </c>
      <c r="Q679" s="434" t="s">
        <v>591</v>
      </c>
      <c r="R679" s="434"/>
      <c r="S679" s="435" t="s">
        <v>444</v>
      </c>
      <c r="T679" s="435"/>
      <c r="U679" s="436"/>
      <c r="V679" s="437"/>
      <c r="W679" s="438"/>
      <c r="X679" s="438"/>
      <c r="Y679" s="439" t="s">
        <v>592</v>
      </c>
      <c r="Z679" s="440"/>
      <c r="AA679" s="495"/>
    </row>
    <row r="680" spans="1:27" s="441" customFormat="1" ht="36" customHeight="1">
      <c r="A680" s="427">
        <v>35</v>
      </c>
      <c r="B680" s="428" t="s">
        <v>1203</v>
      </c>
      <c r="C680" s="429" t="s">
        <v>72</v>
      </c>
      <c r="D680" s="428" t="s">
        <v>1204</v>
      </c>
      <c r="E680" s="430">
        <v>1</v>
      </c>
      <c r="F680" s="431"/>
      <c r="G680" s="432">
        <f t="shared" si="26"/>
        <v>0</v>
      </c>
      <c r="H680" s="442"/>
      <c r="I680" s="428"/>
      <c r="J680" s="442"/>
      <c r="K680" s="428" t="s">
        <v>1562</v>
      </c>
      <c r="L680" s="433" t="s">
        <v>1175</v>
      </c>
      <c r="M680" s="428" t="s">
        <v>444</v>
      </c>
      <c r="N680" s="433"/>
      <c r="O680" s="433"/>
      <c r="P680" s="433" t="s">
        <v>444</v>
      </c>
      <c r="Q680" s="434" t="s">
        <v>591</v>
      </c>
      <c r="R680" s="434"/>
      <c r="S680" s="435" t="s">
        <v>444</v>
      </c>
      <c r="T680" s="435"/>
      <c r="U680" s="436"/>
      <c r="V680" s="437"/>
      <c r="W680" s="438"/>
      <c r="X680" s="438"/>
      <c r="Y680" s="439" t="s">
        <v>592</v>
      </c>
      <c r="Z680" s="440"/>
      <c r="AA680" s="495"/>
    </row>
    <row r="681" spans="1:27" s="128" customFormat="1" ht="36" customHeight="1">
      <c r="A681" s="405">
        <v>36</v>
      </c>
      <c r="B681" s="407" t="s">
        <v>1089</v>
      </c>
      <c r="C681" s="406" t="s">
        <v>72</v>
      </c>
      <c r="D681" s="407" t="s">
        <v>960</v>
      </c>
      <c r="E681" s="408">
        <v>1</v>
      </c>
      <c r="F681" s="409"/>
      <c r="G681" s="410">
        <f t="shared" si="26"/>
        <v>0</v>
      </c>
      <c r="H681" s="411"/>
      <c r="I681" s="407"/>
      <c r="J681" s="411"/>
      <c r="K681" s="407" t="s">
        <v>1627</v>
      </c>
      <c r="L681" s="412" t="s">
        <v>1628</v>
      </c>
      <c r="M681" s="407" t="s">
        <v>1629</v>
      </c>
      <c r="N681" s="412"/>
      <c r="O681" s="412"/>
      <c r="P681" s="412" t="s">
        <v>1630</v>
      </c>
      <c r="Q681" s="413" t="s">
        <v>726</v>
      </c>
      <c r="R681" s="413" t="s">
        <v>404</v>
      </c>
      <c r="S681" s="414" t="s">
        <v>1446</v>
      </c>
      <c r="T681" s="414">
        <v>45622</v>
      </c>
      <c r="U681" s="415"/>
      <c r="V681" s="416"/>
      <c r="W681" s="417"/>
      <c r="X681" s="417"/>
      <c r="Y681" s="418" t="s">
        <v>377</v>
      </c>
      <c r="Z681" s="419"/>
      <c r="AA681" s="492">
        <v>1</v>
      </c>
    </row>
    <row r="682" spans="1:27" s="128" customFormat="1" ht="36" customHeight="1">
      <c r="A682" s="443">
        <v>37</v>
      </c>
      <c r="B682" s="444" t="s">
        <v>1631</v>
      </c>
      <c r="C682" s="445" t="s">
        <v>72</v>
      </c>
      <c r="D682" s="444" t="s">
        <v>1632</v>
      </c>
      <c r="E682" s="446">
        <v>1</v>
      </c>
      <c r="F682" s="447"/>
      <c r="G682" s="448">
        <f t="shared" si="26"/>
        <v>0</v>
      </c>
      <c r="H682" s="449"/>
      <c r="I682" s="444"/>
      <c r="J682" s="449"/>
      <c r="K682" s="444" t="s">
        <v>1633</v>
      </c>
      <c r="L682" s="450" t="s">
        <v>756</v>
      </c>
      <c r="M682" s="444" t="s">
        <v>444</v>
      </c>
      <c r="N682" s="450"/>
      <c r="O682" s="450"/>
      <c r="P682" s="450" t="s">
        <v>444</v>
      </c>
      <c r="Q682" s="451" t="s">
        <v>591</v>
      </c>
      <c r="R682" s="451" t="s">
        <v>444</v>
      </c>
      <c r="S682" s="452" t="s">
        <v>444</v>
      </c>
      <c r="T682" s="452"/>
      <c r="U682" s="453"/>
      <c r="V682" s="454"/>
      <c r="W682" s="455" t="s">
        <v>406</v>
      </c>
      <c r="X682" s="455">
        <v>45560</v>
      </c>
      <c r="Y682" s="456" t="s">
        <v>377</v>
      </c>
      <c r="Z682" s="457"/>
      <c r="AA682" s="494"/>
    </row>
    <row r="683" spans="1:27" s="128" customFormat="1" ht="36" customHeight="1">
      <c r="A683" s="443">
        <v>38</v>
      </c>
      <c r="B683" s="444" t="s">
        <v>1634</v>
      </c>
      <c r="C683" s="445" t="s">
        <v>72</v>
      </c>
      <c r="D683" s="444" t="s">
        <v>1635</v>
      </c>
      <c r="E683" s="446">
        <v>1</v>
      </c>
      <c r="F683" s="447"/>
      <c r="G683" s="448">
        <f t="shared" si="26"/>
        <v>0</v>
      </c>
      <c r="H683" s="449"/>
      <c r="I683" s="444"/>
      <c r="J683" s="449"/>
      <c r="K683" s="444" t="s">
        <v>1562</v>
      </c>
      <c r="L683" s="450" t="s">
        <v>1175</v>
      </c>
      <c r="M683" s="444" t="s">
        <v>1563</v>
      </c>
      <c r="N683" s="450"/>
      <c r="O683" s="450"/>
      <c r="P683" s="450" t="s">
        <v>1091</v>
      </c>
      <c r="Q683" s="451" t="s">
        <v>374</v>
      </c>
      <c r="R683" s="451" t="s">
        <v>470</v>
      </c>
      <c r="S683" s="452" t="s">
        <v>1564</v>
      </c>
      <c r="T683" s="452"/>
      <c r="U683" s="453"/>
      <c r="V683" s="454"/>
      <c r="W683" s="455" t="s">
        <v>406</v>
      </c>
      <c r="X683" s="455">
        <v>45582</v>
      </c>
      <c r="Y683" s="456" t="s">
        <v>377</v>
      </c>
      <c r="Z683" s="457"/>
      <c r="AA683" s="494"/>
    </row>
    <row r="684" spans="1:27" s="128" customFormat="1" ht="36" customHeight="1">
      <c r="A684" s="443">
        <v>39</v>
      </c>
      <c r="B684" s="444" t="s">
        <v>1636</v>
      </c>
      <c r="C684" s="445" t="s">
        <v>72</v>
      </c>
      <c r="D684" s="444" t="s">
        <v>1637</v>
      </c>
      <c r="E684" s="446">
        <v>36</v>
      </c>
      <c r="F684" s="447"/>
      <c r="G684" s="448">
        <f t="shared" si="26"/>
        <v>0</v>
      </c>
      <c r="H684" s="449"/>
      <c r="I684" s="444"/>
      <c r="J684" s="449"/>
      <c r="K684" s="444" t="s">
        <v>1562</v>
      </c>
      <c r="L684" s="450" t="s">
        <v>1175</v>
      </c>
      <c r="M684" s="444" t="s">
        <v>1638</v>
      </c>
      <c r="N684" s="450"/>
      <c r="O684" s="450"/>
      <c r="P684" s="450" t="s">
        <v>1569</v>
      </c>
      <c r="Q684" s="451" t="s">
        <v>374</v>
      </c>
      <c r="R684" s="451" t="s">
        <v>251</v>
      </c>
      <c r="S684" s="452" t="s">
        <v>964</v>
      </c>
      <c r="T684" s="452"/>
      <c r="U684" s="453"/>
      <c r="V684" s="454"/>
      <c r="W684" s="455" t="s">
        <v>406</v>
      </c>
      <c r="X684" s="455">
        <v>45567</v>
      </c>
      <c r="Y684" s="456" t="s">
        <v>377</v>
      </c>
      <c r="Z684" s="457"/>
      <c r="AA684" s="494"/>
    </row>
    <row r="685" spans="1:27" s="128" customFormat="1" ht="36" customHeight="1">
      <c r="A685" s="443">
        <v>40</v>
      </c>
      <c r="B685" s="444" t="s">
        <v>1639</v>
      </c>
      <c r="C685" s="445" t="s">
        <v>72</v>
      </c>
      <c r="D685" s="444" t="s">
        <v>1640</v>
      </c>
      <c r="E685" s="446">
        <v>1</v>
      </c>
      <c r="F685" s="447"/>
      <c r="G685" s="448">
        <f t="shared" si="26"/>
        <v>0</v>
      </c>
      <c r="H685" s="449"/>
      <c r="I685" s="444"/>
      <c r="J685" s="449"/>
      <c r="K685" s="444" t="s">
        <v>1562</v>
      </c>
      <c r="L685" s="450" t="s">
        <v>1175</v>
      </c>
      <c r="M685" s="444" t="s">
        <v>1638</v>
      </c>
      <c r="N685" s="450"/>
      <c r="O685" s="450"/>
      <c r="P685" s="450" t="s">
        <v>1569</v>
      </c>
      <c r="Q685" s="451" t="s">
        <v>374</v>
      </c>
      <c r="R685" s="451" t="s">
        <v>251</v>
      </c>
      <c r="S685" s="452" t="s">
        <v>964</v>
      </c>
      <c r="T685" s="452"/>
      <c r="U685" s="453"/>
      <c r="V685" s="454"/>
      <c r="W685" s="455" t="s">
        <v>406</v>
      </c>
      <c r="X685" s="455">
        <v>45567</v>
      </c>
      <c r="Y685" s="456" t="s">
        <v>377</v>
      </c>
      <c r="Z685" s="457"/>
      <c r="AA685" s="494"/>
    </row>
    <row r="686" spans="1:27" s="128" customFormat="1" ht="36" customHeight="1">
      <c r="A686" s="443">
        <v>41</v>
      </c>
      <c r="B686" s="444" t="s">
        <v>1070</v>
      </c>
      <c r="C686" s="445" t="s">
        <v>72</v>
      </c>
      <c r="D686" s="444" t="s">
        <v>919</v>
      </c>
      <c r="E686" s="446">
        <v>1</v>
      </c>
      <c r="F686" s="447"/>
      <c r="G686" s="448">
        <f t="shared" si="26"/>
        <v>0</v>
      </c>
      <c r="H686" s="449"/>
      <c r="I686" s="444"/>
      <c r="J686" s="449"/>
      <c r="K686" s="444"/>
      <c r="L686" s="450"/>
      <c r="M686" s="444"/>
      <c r="N686" s="450"/>
      <c r="O686" s="450"/>
      <c r="P686" s="450"/>
      <c r="Q686" s="451" t="s">
        <v>374</v>
      </c>
      <c r="R686" s="451"/>
      <c r="S686" s="452"/>
      <c r="T686" s="452"/>
      <c r="U686" s="453"/>
      <c r="V686" s="454"/>
      <c r="W686" s="455" t="s">
        <v>406</v>
      </c>
      <c r="X686" s="455">
        <v>45567</v>
      </c>
      <c r="Y686" s="456" t="s">
        <v>377</v>
      </c>
      <c r="Z686" s="457"/>
      <c r="AA686" s="494"/>
    </row>
    <row r="687" spans="1:27" s="441" customFormat="1" ht="18" customHeight="1">
      <c r="A687" s="427">
        <v>42</v>
      </c>
      <c r="B687" s="428" t="s">
        <v>1105</v>
      </c>
      <c r="C687" s="429" t="s">
        <v>72</v>
      </c>
      <c r="D687" s="428" t="s">
        <v>1106</v>
      </c>
      <c r="E687" s="430">
        <v>2</v>
      </c>
      <c r="F687" s="431"/>
      <c r="G687" s="432">
        <f t="shared" si="26"/>
        <v>0</v>
      </c>
      <c r="H687" s="442"/>
      <c r="I687" s="428"/>
      <c r="J687" s="442"/>
      <c r="K687" s="428"/>
      <c r="L687" s="433"/>
      <c r="M687" s="428"/>
      <c r="N687" s="433"/>
      <c r="O687" s="433"/>
      <c r="P687" s="433"/>
      <c r="Q687" s="434"/>
      <c r="R687" s="434"/>
      <c r="S687" s="435"/>
      <c r="T687" s="435"/>
      <c r="U687" s="436"/>
      <c r="V687" s="437"/>
      <c r="W687" s="438"/>
      <c r="X687" s="438"/>
      <c r="Y687" s="439" t="s">
        <v>592</v>
      </c>
      <c r="Z687" s="440"/>
      <c r="AA687" s="495"/>
    </row>
    <row r="688" spans="1:27" s="128" customFormat="1" ht="36" customHeight="1">
      <c r="A688" s="443">
        <v>43</v>
      </c>
      <c r="B688" s="444" t="s">
        <v>1641</v>
      </c>
      <c r="C688" s="445" t="s">
        <v>72</v>
      </c>
      <c r="D688" s="444" t="s">
        <v>1642</v>
      </c>
      <c r="E688" s="446">
        <v>2</v>
      </c>
      <c r="F688" s="447"/>
      <c r="G688" s="448">
        <f t="shared" si="26"/>
        <v>0</v>
      </c>
      <c r="H688" s="449"/>
      <c r="I688" s="444"/>
      <c r="J688" s="449"/>
      <c r="K688" s="444" t="s">
        <v>1562</v>
      </c>
      <c r="L688" s="450" t="s">
        <v>1175</v>
      </c>
      <c r="M688" s="444" t="s">
        <v>1574</v>
      </c>
      <c r="N688" s="450"/>
      <c r="O688" s="450"/>
      <c r="P688" s="450" t="s">
        <v>1575</v>
      </c>
      <c r="Q688" s="451" t="s">
        <v>374</v>
      </c>
      <c r="R688" s="451" t="s">
        <v>263</v>
      </c>
      <c r="S688" s="452" t="s">
        <v>1577</v>
      </c>
      <c r="T688" s="452"/>
      <c r="U688" s="453"/>
      <c r="V688" s="454"/>
      <c r="W688" s="455" t="s">
        <v>406</v>
      </c>
      <c r="X688" s="455">
        <v>45569</v>
      </c>
      <c r="Y688" s="456" t="s">
        <v>377</v>
      </c>
      <c r="Z688" s="457"/>
      <c r="AA688" s="494"/>
    </row>
    <row r="689" spans="1:27" s="128" customFormat="1" ht="36" customHeight="1">
      <c r="A689" s="443">
        <v>44</v>
      </c>
      <c r="B689" s="444" t="s">
        <v>479</v>
      </c>
      <c r="C689" s="445" t="s">
        <v>72</v>
      </c>
      <c r="D689" s="444" t="s">
        <v>480</v>
      </c>
      <c r="E689" s="446">
        <v>3</v>
      </c>
      <c r="F689" s="447"/>
      <c r="G689" s="448">
        <f t="shared" si="26"/>
        <v>0</v>
      </c>
      <c r="H689" s="449"/>
      <c r="I689" s="444"/>
      <c r="J689" s="449"/>
      <c r="K689" s="444"/>
      <c r="L689" s="450"/>
      <c r="M689" s="444"/>
      <c r="N689" s="450"/>
      <c r="O689" s="450"/>
      <c r="P689" s="450"/>
      <c r="Q689" s="451" t="s">
        <v>374</v>
      </c>
      <c r="R689" s="451"/>
      <c r="S689" s="452"/>
      <c r="T689" s="452" t="s">
        <v>945</v>
      </c>
      <c r="U689" s="453"/>
      <c r="V689" s="454"/>
      <c r="W689" s="455" t="s">
        <v>406</v>
      </c>
      <c r="X689" s="455">
        <v>45565</v>
      </c>
      <c r="Y689" s="456" t="s">
        <v>377</v>
      </c>
      <c r="Z689" s="457"/>
      <c r="AA689" s="494"/>
    </row>
    <row r="690" spans="1:27" s="128" customFormat="1" ht="36" customHeight="1">
      <c r="A690" s="443">
        <v>45</v>
      </c>
      <c r="B690" s="444" t="s">
        <v>1643</v>
      </c>
      <c r="C690" s="445" t="s">
        <v>72</v>
      </c>
      <c r="D690" s="444" t="s">
        <v>1644</v>
      </c>
      <c r="E690" s="446">
        <v>2</v>
      </c>
      <c r="F690" s="447"/>
      <c r="G690" s="448">
        <f t="shared" si="26"/>
        <v>0</v>
      </c>
      <c r="H690" s="449"/>
      <c r="I690" s="444"/>
      <c r="J690" s="449"/>
      <c r="K690" s="444" t="s">
        <v>1562</v>
      </c>
      <c r="L690" s="450" t="s">
        <v>1175</v>
      </c>
      <c r="M690" s="444" t="s">
        <v>1580</v>
      </c>
      <c r="N690" s="450"/>
      <c r="O690" s="450"/>
      <c r="P690" s="450" t="s">
        <v>1569</v>
      </c>
      <c r="Q690" s="451" t="s">
        <v>374</v>
      </c>
      <c r="R690" s="451" t="s">
        <v>249</v>
      </c>
      <c r="S690" s="452" t="s">
        <v>895</v>
      </c>
      <c r="T690" s="452"/>
      <c r="U690" s="453"/>
      <c r="V690" s="454"/>
      <c r="W690" s="455" t="s">
        <v>406</v>
      </c>
      <c r="X690" s="455">
        <v>45582</v>
      </c>
      <c r="Y690" s="456" t="s">
        <v>377</v>
      </c>
      <c r="Z690" s="457"/>
      <c r="AA690" s="494"/>
    </row>
    <row r="691" spans="1:27" s="128" customFormat="1" ht="36" customHeight="1">
      <c r="A691" s="443">
        <v>46</v>
      </c>
      <c r="B691" s="444" t="s">
        <v>1645</v>
      </c>
      <c r="C691" s="445" t="s">
        <v>72</v>
      </c>
      <c r="D691" s="444" t="s">
        <v>1646</v>
      </c>
      <c r="E691" s="446">
        <v>1</v>
      </c>
      <c r="F691" s="447"/>
      <c r="G691" s="448">
        <f t="shared" si="26"/>
        <v>0</v>
      </c>
      <c r="H691" s="449"/>
      <c r="I691" s="444"/>
      <c r="J691" s="449"/>
      <c r="K691" s="444" t="s">
        <v>1562</v>
      </c>
      <c r="L691" s="450" t="s">
        <v>1175</v>
      </c>
      <c r="M691" s="444" t="s">
        <v>1580</v>
      </c>
      <c r="N691" s="450"/>
      <c r="O691" s="450"/>
      <c r="P691" s="450" t="s">
        <v>1569</v>
      </c>
      <c r="Q691" s="451" t="s">
        <v>374</v>
      </c>
      <c r="R691" s="451" t="s">
        <v>249</v>
      </c>
      <c r="S691" s="452" t="s">
        <v>895</v>
      </c>
      <c r="T691" s="452"/>
      <c r="U691" s="453"/>
      <c r="V691" s="454"/>
      <c r="W691" s="455" t="s">
        <v>406</v>
      </c>
      <c r="X691" s="455">
        <v>45582</v>
      </c>
      <c r="Y691" s="456" t="s">
        <v>377</v>
      </c>
      <c r="Z691" s="457"/>
      <c r="AA691" s="494"/>
    </row>
    <row r="692" spans="1:27" s="128" customFormat="1" ht="36" customHeight="1">
      <c r="A692" s="443">
        <v>47</v>
      </c>
      <c r="B692" s="444" t="s">
        <v>992</v>
      </c>
      <c r="C692" s="445" t="s">
        <v>72</v>
      </c>
      <c r="D692" s="444" t="s">
        <v>993</v>
      </c>
      <c r="E692" s="446">
        <v>1</v>
      </c>
      <c r="F692" s="447"/>
      <c r="G692" s="448">
        <f t="shared" si="26"/>
        <v>0</v>
      </c>
      <c r="H692" s="449"/>
      <c r="I692" s="444"/>
      <c r="J692" s="449"/>
      <c r="K692" s="444"/>
      <c r="L692" s="450"/>
      <c r="M692" s="444"/>
      <c r="N692" s="450"/>
      <c r="O692" s="450"/>
      <c r="P692" s="450"/>
      <c r="Q692" s="451" t="s">
        <v>374</v>
      </c>
      <c r="R692" s="451"/>
      <c r="S692" s="452"/>
      <c r="T692" s="452"/>
      <c r="U692" s="453"/>
      <c r="V692" s="454"/>
      <c r="W692" s="455" t="s">
        <v>406</v>
      </c>
      <c r="X692" s="455">
        <v>45565</v>
      </c>
      <c r="Y692" s="456" t="s">
        <v>377</v>
      </c>
      <c r="Z692" s="457"/>
      <c r="AA692" s="494"/>
    </row>
    <row r="693" spans="1:27" s="128" customFormat="1" ht="18" customHeight="1">
      <c r="A693" s="458">
        <v>48</v>
      </c>
      <c r="B693" s="459" t="s">
        <v>392</v>
      </c>
      <c r="C693" s="460" t="s">
        <v>72</v>
      </c>
      <c r="D693" s="459" t="s">
        <v>393</v>
      </c>
      <c r="E693" s="461">
        <v>1</v>
      </c>
      <c r="F693" s="462"/>
      <c r="G693" s="463">
        <f t="shared" si="26"/>
        <v>0</v>
      </c>
      <c r="H693" s="464"/>
      <c r="I693" s="459"/>
      <c r="J693" s="464"/>
      <c r="K693" s="459"/>
      <c r="L693" s="465"/>
      <c r="M693" s="459"/>
      <c r="N693" s="465"/>
      <c r="O693" s="465"/>
      <c r="P693" s="465"/>
      <c r="Q693" s="466" t="s">
        <v>374</v>
      </c>
      <c r="R693" s="466"/>
      <c r="S693" s="467"/>
      <c r="T693" s="452"/>
      <c r="U693" s="468"/>
      <c r="V693" s="469"/>
      <c r="W693" s="470" t="s">
        <v>406</v>
      </c>
      <c r="X693" s="470">
        <v>45567</v>
      </c>
      <c r="Y693" s="471" t="s">
        <v>377</v>
      </c>
      <c r="Z693" s="472"/>
      <c r="AA693" s="494"/>
    </row>
    <row r="694" spans="1:27" s="128" customFormat="1" ht="18" customHeight="1">
      <c r="A694" s="443">
        <v>49</v>
      </c>
      <c r="B694" s="444" t="s">
        <v>394</v>
      </c>
      <c r="C694" s="445" t="s">
        <v>72</v>
      </c>
      <c r="D694" s="444" t="s">
        <v>395</v>
      </c>
      <c r="E694" s="446">
        <v>2</v>
      </c>
      <c r="F694" s="447"/>
      <c r="G694" s="448">
        <f t="shared" ref="G694:G699" si="27">E694*F694</f>
        <v>0</v>
      </c>
      <c r="H694" s="449"/>
      <c r="I694" s="444"/>
      <c r="J694" s="449"/>
      <c r="K694" s="444"/>
      <c r="L694" s="450"/>
      <c r="M694" s="444"/>
      <c r="N694" s="450"/>
      <c r="O694" s="450"/>
      <c r="P694" s="450"/>
      <c r="Q694" s="451" t="s">
        <v>374</v>
      </c>
      <c r="R694" s="451"/>
      <c r="S694" s="452"/>
      <c r="T694" s="452"/>
      <c r="U694" s="453"/>
      <c r="V694" s="454"/>
      <c r="W694" s="455" t="s">
        <v>406</v>
      </c>
      <c r="X694" s="455">
        <v>45568</v>
      </c>
      <c r="Y694" s="456" t="s">
        <v>377</v>
      </c>
      <c r="Z694" s="457"/>
      <c r="AA694" s="494"/>
    </row>
    <row r="695" spans="1:27" s="128" customFormat="1" ht="36" customHeight="1">
      <c r="A695" s="443">
        <v>50</v>
      </c>
      <c r="B695" s="444" t="s">
        <v>1232</v>
      </c>
      <c r="C695" s="445" t="s">
        <v>72</v>
      </c>
      <c r="D695" s="444" t="s">
        <v>1233</v>
      </c>
      <c r="E695" s="446">
        <v>1</v>
      </c>
      <c r="F695" s="447"/>
      <c r="G695" s="448">
        <f t="shared" si="27"/>
        <v>0</v>
      </c>
      <c r="H695" s="449"/>
      <c r="I695" s="444"/>
      <c r="J695" s="449"/>
      <c r="K695" s="444" t="s">
        <v>1647</v>
      </c>
      <c r="L695" s="450" t="s">
        <v>624</v>
      </c>
      <c r="M695" s="444" t="s">
        <v>1648</v>
      </c>
      <c r="N695" s="450"/>
      <c r="O695" s="450"/>
      <c r="P695" s="450" t="s">
        <v>403</v>
      </c>
      <c r="Q695" s="451" t="s">
        <v>374</v>
      </c>
      <c r="R695" s="451" t="s">
        <v>404</v>
      </c>
      <c r="S695" s="452" t="s">
        <v>405</v>
      </c>
      <c r="T695" s="452"/>
      <c r="U695" s="453"/>
      <c r="V695" s="454"/>
      <c r="W695" s="455" t="s">
        <v>406</v>
      </c>
      <c r="X695" s="455">
        <v>45607</v>
      </c>
      <c r="Y695" s="456" t="s">
        <v>377</v>
      </c>
      <c r="Z695" s="457"/>
      <c r="AA695" s="494">
        <v>1</v>
      </c>
    </row>
    <row r="696" spans="1:27" s="128" customFormat="1" ht="18" customHeight="1">
      <c r="A696" s="443">
        <v>51</v>
      </c>
      <c r="B696" s="444" t="s">
        <v>1649</v>
      </c>
      <c r="C696" s="445" t="s">
        <v>72</v>
      </c>
      <c r="D696" s="444" t="s">
        <v>1650</v>
      </c>
      <c r="E696" s="446">
        <v>1</v>
      </c>
      <c r="F696" s="447"/>
      <c r="G696" s="448">
        <f t="shared" si="27"/>
        <v>0</v>
      </c>
      <c r="H696" s="449"/>
      <c r="I696" s="444"/>
      <c r="J696" s="449"/>
      <c r="K696" s="444" t="s">
        <v>1647</v>
      </c>
      <c r="L696" s="450" t="s">
        <v>624</v>
      </c>
      <c r="M696" s="444" t="s">
        <v>1648</v>
      </c>
      <c r="N696" s="450"/>
      <c r="O696" s="450"/>
      <c r="P696" s="450" t="s">
        <v>403</v>
      </c>
      <c r="Q696" s="451" t="s">
        <v>374</v>
      </c>
      <c r="R696" s="451" t="s">
        <v>404</v>
      </c>
      <c r="S696" s="452" t="s">
        <v>405</v>
      </c>
      <c r="T696" s="452"/>
      <c r="U696" s="453"/>
      <c r="V696" s="454"/>
      <c r="W696" s="455" t="s">
        <v>406</v>
      </c>
      <c r="X696" s="455">
        <v>45607</v>
      </c>
      <c r="Y696" s="456" t="s">
        <v>377</v>
      </c>
      <c r="Z696" s="457"/>
      <c r="AA696" s="494"/>
    </row>
    <row r="697" spans="1:27" s="128" customFormat="1" ht="18" customHeight="1">
      <c r="A697" s="443">
        <v>52</v>
      </c>
      <c r="B697" s="444" t="s">
        <v>1510</v>
      </c>
      <c r="C697" s="445" t="s">
        <v>72</v>
      </c>
      <c r="D697" s="444" t="s">
        <v>1231</v>
      </c>
      <c r="E697" s="446">
        <v>1</v>
      </c>
      <c r="F697" s="447"/>
      <c r="G697" s="448">
        <f t="shared" si="27"/>
        <v>0</v>
      </c>
      <c r="H697" s="449"/>
      <c r="I697" s="444"/>
      <c r="J697" s="449"/>
      <c r="K697" s="444" t="s">
        <v>1647</v>
      </c>
      <c r="L697" s="450" t="s">
        <v>624</v>
      </c>
      <c r="M697" s="444" t="s">
        <v>1648</v>
      </c>
      <c r="N697" s="450"/>
      <c r="O697" s="450"/>
      <c r="P697" s="450" t="s">
        <v>403</v>
      </c>
      <c r="Q697" s="451" t="s">
        <v>374</v>
      </c>
      <c r="R697" s="451" t="s">
        <v>404</v>
      </c>
      <c r="S697" s="452" t="s">
        <v>405</v>
      </c>
      <c r="T697" s="452"/>
      <c r="U697" s="453"/>
      <c r="V697" s="454"/>
      <c r="W697" s="455" t="s">
        <v>406</v>
      </c>
      <c r="X697" s="455">
        <v>45607</v>
      </c>
      <c r="Y697" s="456" t="s">
        <v>377</v>
      </c>
      <c r="Z697" s="457"/>
      <c r="AA697" s="494"/>
    </row>
    <row r="698" spans="1:27" s="128" customFormat="1" ht="18" customHeight="1">
      <c r="A698" s="443">
        <v>53</v>
      </c>
      <c r="B698" s="444" t="s">
        <v>1651</v>
      </c>
      <c r="C698" s="445" t="s">
        <v>72</v>
      </c>
      <c r="D698" s="444" t="s">
        <v>1652</v>
      </c>
      <c r="E698" s="446">
        <v>4</v>
      </c>
      <c r="F698" s="447"/>
      <c r="G698" s="448">
        <f t="shared" si="27"/>
        <v>0</v>
      </c>
      <c r="H698" s="449"/>
      <c r="I698" s="444"/>
      <c r="J698" s="449"/>
      <c r="K698" s="444" t="s">
        <v>1633</v>
      </c>
      <c r="L698" s="450" t="s">
        <v>756</v>
      </c>
      <c r="M698" s="444" t="s">
        <v>1653</v>
      </c>
      <c r="N698" s="450"/>
      <c r="O698" s="450"/>
      <c r="P698" s="450" t="s">
        <v>1654</v>
      </c>
      <c r="Q698" s="451" t="s">
        <v>374</v>
      </c>
      <c r="R698" s="451" t="s">
        <v>249</v>
      </c>
      <c r="S698" s="452" t="s">
        <v>405</v>
      </c>
      <c r="T698" s="452"/>
      <c r="U698" s="453"/>
      <c r="V698" s="454"/>
      <c r="W698" s="455" t="s">
        <v>406</v>
      </c>
      <c r="X698" s="455">
        <v>45588</v>
      </c>
      <c r="Y698" s="456" t="s">
        <v>377</v>
      </c>
      <c r="Z698" s="457"/>
      <c r="AA698" s="494"/>
    </row>
    <row r="699" spans="1:27" s="128" customFormat="1" ht="18" customHeight="1">
      <c r="A699" s="443">
        <v>54</v>
      </c>
      <c r="B699" s="444" t="s">
        <v>1655</v>
      </c>
      <c r="C699" s="445" t="s">
        <v>72</v>
      </c>
      <c r="D699" s="444" t="s">
        <v>1656</v>
      </c>
      <c r="E699" s="446">
        <v>3</v>
      </c>
      <c r="F699" s="447"/>
      <c r="G699" s="448">
        <f t="shared" si="27"/>
        <v>0</v>
      </c>
      <c r="H699" s="449"/>
      <c r="I699" s="444"/>
      <c r="J699" s="449"/>
      <c r="K699" s="444" t="s">
        <v>1633</v>
      </c>
      <c r="L699" s="450" t="s">
        <v>756</v>
      </c>
      <c r="M699" s="444" t="s">
        <v>1653</v>
      </c>
      <c r="N699" s="450"/>
      <c r="O699" s="450"/>
      <c r="P699" s="450" t="s">
        <v>1654</v>
      </c>
      <c r="Q699" s="451" t="s">
        <v>374</v>
      </c>
      <c r="R699" s="451" t="s">
        <v>249</v>
      </c>
      <c r="S699" s="452" t="s">
        <v>405</v>
      </c>
      <c r="T699" s="452"/>
      <c r="U699" s="453"/>
      <c r="V699" s="454"/>
      <c r="W699" s="455" t="s">
        <v>406</v>
      </c>
      <c r="X699" s="455">
        <v>45588</v>
      </c>
      <c r="Y699" s="456" t="s">
        <v>377</v>
      </c>
      <c r="Z699" s="457"/>
      <c r="AA699" s="494"/>
    </row>
    <row r="700" spans="1:27" ht="18" customHeight="1">
      <c r="A700" s="389"/>
      <c r="B700" s="390" t="s">
        <v>1657</v>
      </c>
      <c r="C700" s="391"/>
      <c r="D700" s="392"/>
      <c r="E700" s="393"/>
      <c r="F700" s="394"/>
      <c r="G700" s="395">
        <f t="shared" ref="G700:G1174" si="28">E700*F700</f>
        <v>0</v>
      </c>
      <c r="H700" s="396"/>
      <c r="I700" s="392"/>
      <c r="J700" s="396"/>
      <c r="K700" s="392"/>
      <c r="L700" s="397"/>
      <c r="M700" s="392"/>
      <c r="N700" s="397"/>
      <c r="O700" s="397"/>
      <c r="P700" s="397"/>
      <c r="Q700" s="398"/>
      <c r="R700" s="398"/>
      <c r="S700" s="399"/>
      <c r="T700" s="399"/>
      <c r="U700" s="400"/>
      <c r="V700" s="401"/>
      <c r="W700" s="402"/>
      <c r="X700" s="402"/>
      <c r="Y700" s="403"/>
      <c r="Z700" s="404"/>
      <c r="AA700" s="492"/>
    </row>
    <row r="701" spans="1:27" s="128" customFormat="1" ht="36" customHeight="1">
      <c r="A701" s="443">
        <v>1</v>
      </c>
      <c r="B701" s="444" t="s">
        <v>1658</v>
      </c>
      <c r="C701" s="445" t="s">
        <v>74</v>
      </c>
      <c r="D701" s="444" t="s">
        <v>1659</v>
      </c>
      <c r="E701" s="446">
        <v>4</v>
      </c>
      <c r="F701" s="447"/>
      <c r="G701" s="448">
        <f t="shared" ref="G701:G747" si="29">E701*F701</f>
        <v>0</v>
      </c>
      <c r="H701" s="449"/>
      <c r="I701" s="444"/>
      <c r="J701" s="449"/>
      <c r="K701" s="444" t="s">
        <v>1660</v>
      </c>
      <c r="L701" s="450" t="s">
        <v>681</v>
      </c>
      <c r="M701" s="444" t="s">
        <v>1661</v>
      </c>
      <c r="N701" s="450"/>
      <c r="O701" s="450"/>
      <c r="P701" s="450" t="s">
        <v>1662</v>
      </c>
      <c r="Q701" s="451" t="s">
        <v>374</v>
      </c>
      <c r="R701" s="451" t="s">
        <v>311</v>
      </c>
      <c r="S701" s="452" t="s">
        <v>548</v>
      </c>
      <c r="T701" s="452">
        <v>45561</v>
      </c>
      <c r="U701" s="453"/>
      <c r="V701" s="454"/>
      <c r="W701" s="455" t="s">
        <v>406</v>
      </c>
      <c r="X701" s="455">
        <v>45560</v>
      </c>
      <c r="Y701" s="456" t="s">
        <v>377</v>
      </c>
      <c r="Z701" s="457"/>
      <c r="AA701" s="494"/>
    </row>
    <row r="702" spans="1:27" s="128" customFormat="1" ht="36" customHeight="1">
      <c r="A702" s="443">
        <v>2</v>
      </c>
      <c r="B702" s="444" t="s">
        <v>1663</v>
      </c>
      <c r="C702" s="445" t="s">
        <v>74</v>
      </c>
      <c r="D702" s="444" t="s">
        <v>1664</v>
      </c>
      <c r="E702" s="446">
        <v>2</v>
      </c>
      <c r="F702" s="447"/>
      <c r="G702" s="448">
        <f t="shared" si="29"/>
        <v>0</v>
      </c>
      <c r="H702" s="449"/>
      <c r="I702" s="444"/>
      <c r="J702" s="449"/>
      <c r="K702" s="444" t="s">
        <v>1660</v>
      </c>
      <c r="L702" s="450" t="s">
        <v>681</v>
      </c>
      <c r="M702" s="444" t="s">
        <v>1661</v>
      </c>
      <c r="N702" s="450"/>
      <c r="O702" s="450"/>
      <c r="P702" s="450" t="s">
        <v>1662</v>
      </c>
      <c r="Q702" s="451" t="s">
        <v>374</v>
      </c>
      <c r="R702" s="451" t="s">
        <v>311</v>
      </c>
      <c r="S702" s="452" t="s">
        <v>806</v>
      </c>
      <c r="T702" s="452">
        <v>45568</v>
      </c>
      <c r="U702" s="453"/>
      <c r="V702" s="454"/>
      <c r="W702" s="455" t="s">
        <v>406</v>
      </c>
      <c r="X702" s="455">
        <v>45560</v>
      </c>
      <c r="Y702" s="456" t="s">
        <v>377</v>
      </c>
      <c r="Z702" s="457"/>
      <c r="AA702" s="494"/>
    </row>
    <row r="703" spans="1:27" s="128" customFormat="1" ht="18" customHeight="1">
      <c r="A703" s="443">
        <v>3</v>
      </c>
      <c r="B703" s="444" t="s">
        <v>1665</v>
      </c>
      <c r="C703" s="445" t="s">
        <v>74</v>
      </c>
      <c r="D703" s="444" t="s">
        <v>1666</v>
      </c>
      <c r="E703" s="446">
        <v>4</v>
      </c>
      <c r="F703" s="447"/>
      <c r="G703" s="448">
        <f t="shared" si="29"/>
        <v>0</v>
      </c>
      <c r="H703" s="449"/>
      <c r="I703" s="444"/>
      <c r="J703" s="449"/>
      <c r="K703" s="444"/>
      <c r="L703" s="450"/>
      <c r="M703" s="444"/>
      <c r="N703" s="450"/>
      <c r="O703" s="450"/>
      <c r="P703" s="450"/>
      <c r="Q703" s="451" t="s">
        <v>374</v>
      </c>
      <c r="R703" s="451"/>
      <c r="S703" s="452"/>
      <c r="T703" s="452"/>
      <c r="U703" s="453"/>
      <c r="V703" s="454"/>
      <c r="W703" s="455" t="s">
        <v>406</v>
      </c>
      <c r="X703" s="455">
        <v>45519</v>
      </c>
      <c r="Y703" s="456" t="s">
        <v>377</v>
      </c>
      <c r="Z703" s="457"/>
      <c r="AA703" s="494"/>
    </row>
    <row r="704" spans="1:27" s="128" customFormat="1" ht="36" customHeight="1">
      <c r="A704" s="443">
        <v>4</v>
      </c>
      <c r="B704" s="444" t="s">
        <v>1667</v>
      </c>
      <c r="C704" s="445" t="s">
        <v>74</v>
      </c>
      <c r="D704" s="444" t="s">
        <v>1668</v>
      </c>
      <c r="E704" s="446">
        <v>2</v>
      </c>
      <c r="F704" s="447"/>
      <c r="G704" s="448">
        <f t="shared" si="29"/>
        <v>0</v>
      </c>
      <c r="H704" s="449"/>
      <c r="I704" s="444"/>
      <c r="J704" s="449"/>
      <c r="K704" s="444" t="s">
        <v>1660</v>
      </c>
      <c r="L704" s="450" t="s">
        <v>681</v>
      </c>
      <c r="M704" s="444" t="s">
        <v>1669</v>
      </c>
      <c r="N704" s="450"/>
      <c r="O704" s="450"/>
      <c r="P704" s="450" t="s">
        <v>1662</v>
      </c>
      <c r="Q704" s="451" t="s">
        <v>374</v>
      </c>
      <c r="R704" s="451" t="s">
        <v>263</v>
      </c>
      <c r="S704" s="452" t="s">
        <v>895</v>
      </c>
      <c r="T704" s="452">
        <v>45568</v>
      </c>
      <c r="U704" s="453"/>
      <c r="V704" s="454"/>
      <c r="W704" s="455" t="s">
        <v>406</v>
      </c>
      <c r="X704" s="455">
        <v>45561</v>
      </c>
      <c r="Y704" s="456" t="s">
        <v>377</v>
      </c>
      <c r="Z704" s="457"/>
      <c r="AA704" s="494"/>
    </row>
    <row r="705" spans="1:27" s="128" customFormat="1" ht="36" customHeight="1">
      <c r="A705" s="443">
        <v>5</v>
      </c>
      <c r="B705" s="444" t="s">
        <v>1670</v>
      </c>
      <c r="C705" s="445" t="s">
        <v>74</v>
      </c>
      <c r="D705" s="444" t="s">
        <v>1671</v>
      </c>
      <c r="E705" s="446">
        <v>3</v>
      </c>
      <c r="F705" s="447"/>
      <c r="G705" s="448">
        <f t="shared" si="29"/>
        <v>0</v>
      </c>
      <c r="H705" s="449"/>
      <c r="I705" s="444"/>
      <c r="J705" s="449"/>
      <c r="K705" s="444" t="s">
        <v>1660</v>
      </c>
      <c r="L705" s="450" t="s">
        <v>681</v>
      </c>
      <c r="M705" s="444" t="s">
        <v>1669</v>
      </c>
      <c r="N705" s="450"/>
      <c r="O705" s="450"/>
      <c r="P705" s="450" t="s">
        <v>1662</v>
      </c>
      <c r="Q705" s="451" t="s">
        <v>374</v>
      </c>
      <c r="R705" s="451" t="s">
        <v>263</v>
      </c>
      <c r="S705" s="452" t="s">
        <v>895</v>
      </c>
      <c r="T705" s="452">
        <v>45568</v>
      </c>
      <c r="U705" s="453"/>
      <c r="V705" s="454"/>
      <c r="W705" s="455" t="s">
        <v>406</v>
      </c>
      <c r="X705" s="455">
        <v>45561</v>
      </c>
      <c r="Y705" s="456" t="s">
        <v>377</v>
      </c>
      <c r="Z705" s="457"/>
      <c r="AA705" s="494"/>
    </row>
    <row r="706" spans="1:27" s="128" customFormat="1" ht="36" customHeight="1">
      <c r="A706" s="443">
        <v>6</v>
      </c>
      <c r="B706" s="444" t="s">
        <v>1672</v>
      </c>
      <c r="C706" s="445" t="s">
        <v>74</v>
      </c>
      <c r="D706" s="444" t="s">
        <v>1673</v>
      </c>
      <c r="E706" s="446">
        <v>3</v>
      </c>
      <c r="F706" s="447"/>
      <c r="G706" s="448">
        <f t="shared" si="29"/>
        <v>0</v>
      </c>
      <c r="H706" s="449"/>
      <c r="I706" s="444"/>
      <c r="J706" s="449"/>
      <c r="K706" s="444" t="s">
        <v>1660</v>
      </c>
      <c r="L706" s="450" t="s">
        <v>681</v>
      </c>
      <c r="M706" s="444" t="s">
        <v>1669</v>
      </c>
      <c r="N706" s="450"/>
      <c r="O706" s="450"/>
      <c r="P706" s="450" t="s">
        <v>1662</v>
      </c>
      <c r="Q706" s="451" t="s">
        <v>374</v>
      </c>
      <c r="R706" s="451" t="s">
        <v>263</v>
      </c>
      <c r="S706" s="452" t="s">
        <v>895</v>
      </c>
      <c r="T706" s="452">
        <v>45589</v>
      </c>
      <c r="U706" s="453"/>
      <c r="V706" s="454"/>
      <c r="W706" s="455" t="s">
        <v>406</v>
      </c>
      <c r="X706" s="455">
        <v>45561</v>
      </c>
      <c r="Y706" s="456" t="s">
        <v>377</v>
      </c>
      <c r="Z706" s="457"/>
      <c r="AA706" s="494"/>
    </row>
    <row r="707" spans="1:27" s="128" customFormat="1" ht="36" customHeight="1">
      <c r="A707" s="443">
        <v>7</v>
      </c>
      <c r="B707" s="444" t="s">
        <v>1674</v>
      </c>
      <c r="C707" s="445" t="s">
        <v>74</v>
      </c>
      <c r="D707" s="444" t="s">
        <v>1675</v>
      </c>
      <c r="E707" s="446">
        <v>2</v>
      </c>
      <c r="F707" s="447"/>
      <c r="G707" s="448">
        <f t="shared" si="29"/>
        <v>0</v>
      </c>
      <c r="H707" s="449"/>
      <c r="I707" s="444"/>
      <c r="J707" s="449"/>
      <c r="K707" s="444" t="s">
        <v>1660</v>
      </c>
      <c r="L707" s="450" t="s">
        <v>681</v>
      </c>
      <c r="M707" s="444" t="s">
        <v>1669</v>
      </c>
      <c r="N707" s="450"/>
      <c r="O707" s="450"/>
      <c r="P707" s="450" t="s">
        <v>1662</v>
      </c>
      <c r="Q707" s="451" t="s">
        <v>374</v>
      </c>
      <c r="R707" s="451" t="s">
        <v>263</v>
      </c>
      <c r="S707" s="452" t="s">
        <v>895</v>
      </c>
      <c r="T707" s="452">
        <v>45568</v>
      </c>
      <c r="U707" s="453"/>
      <c r="V707" s="454"/>
      <c r="W707" s="455" t="s">
        <v>406</v>
      </c>
      <c r="X707" s="455">
        <v>45561</v>
      </c>
      <c r="Y707" s="456" t="s">
        <v>377</v>
      </c>
      <c r="Z707" s="457"/>
      <c r="AA707" s="494"/>
    </row>
    <row r="708" spans="1:27" s="128" customFormat="1" ht="36" customHeight="1">
      <c r="A708" s="443">
        <v>8</v>
      </c>
      <c r="B708" s="444" t="s">
        <v>1676</v>
      </c>
      <c r="C708" s="445" t="s">
        <v>74</v>
      </c>
      <c r="D708" s="444" t="s">
        <v>1677</v>
      </c>
      <c r="E708" s="446">
        <v>6</v>
      </c>
      <c r="F708" s="447"/>
      <c r="G708" s="448">
        <f t="shared" si="29"/>
        <v>0</v>
      </c>
      <c r="H708" s="449"/>
      <c r="I708" s="444"/>
      <c r="J708" s="449"/>
      <c r="K708" s="444" t="s">
        <v>1660</v>
      </c>
      <c r="L708" s="450" t="s">
        <v>681</v>
      </c>
      <c r="M708" s="444" t="s">
        <v>1669</v>
      </c>
      <c r="N708" s="450"/>
      <c r="O708" s="450"/>
      <c r="P708" s="450" t="s">
        <v>1662</v>
      </c>
      <c r="Q708" s="451" t="s">
        <v>374</v>
      </c>
      <c r="R708" s="451" t="s">
        <v>263</v>
      </c>
      <c r="S708" s="452" t="s">
        <v>895</v>
      </c>
      <c r="T708" s="452">
        <v>45568</v>
      </c>
      <c r="U708" s="453"/>
      <c r="V708" s="454"/>
      <c r="W708" s="455" t="s">
        <v>406</v>
      </c>
      <c r="X708" s="455">
        <v>45561</v>
      </c>
      <c r="Y708" s="456" t="s">
        <v>377</v>
      </c>
      <c r="Z708" s="457"/>
      <c r="AA708" s="494"/>
    </row>
    <row r="709" spans="1:27" s="128" customFormat="1" ht="36" customHeight="1">
      <c r="A709" s="443">
        <v>9</v>
      </c>
      <c r="B709" s="444" t="s">
        <v>1678</v>
      </c>
      <c r="C709" s="445" t="s">
        <v>74</v>
      </c>
      <c r="D709" s="444" t="s">
        <v>1679</v>
      </c>
      <c r="E709" s="446">
        <v>4</v>
      </c>
      <c r="F709" s="447"/>
      <c r="G709" s="448">
        <f t="shared" si="29"/>
        <v>0</v>
      </c>
      <c r="H709" s="449"/>
      <c r="I709" s="444"/>
      <c r="J709" s="449"/>
      <c r="K709" s="444" t="s">
        <v>1660</v>
      </c>
      <c r="L709" s="450" t="s">
        <v>681</v>
      </c>
      <c r="M709" s="444" t="s">
        <v>1669</v>
      </c>
      <c r="N709" s="450"/>
      <c r="O709" s="450"/>
      <c r="P709" s="450" t="s">
        <v>1662</v>
      </c>
      <c r="Q709" s="451" t="s">
        <v>374</v>
      </c>
      <c r="R709" s="451" t="s">
        <v>263</v>
      </c>
      <c r="S709" s="452" t="s">
        <v>895</v>
      </c>
      <c r="T709" s="452">
        <v>45568</v>
      </c>
      <c r="U709" s="453"/>
      <c r="V709" s="454"/>
      <c r="W709" s="455" t="s">
        <v>406</v>
      </c>
      <c r="X709" s="455">
        <v>45561</v>
      </c>
      <c r="Y709" s="456" t="s">
        <v>377</v>
      </c>
      <c r="Z709" s="457"/>
      <c r="AA709" s="494"/>
    </row>
    <row r="710" spans="1:27" s="128" customFormat="1" ht="36" customHeight="1">
      <c r="A710" s="443">
        <v>10</v>
      </c>
      <c r="B710" s="444" t="s">
        <v>1680</v>
      </c>
      <c r="C710" s="445" t="s">
        <v>74</v>
      </c>
      <c r="D710" s="444" t="s">
        <v>1681</v>
      </c>
      <c r="E710" s="446">
        <v>3</v>
      </c>
      <c r="F710" s="447"/>
      <c r="G710" s="448">
        <f t="shared" si="29"/>
        <v>0</v>
      </c>
      <c r="H710" s="449"/>
      <c r="I710" s="444"/>
      <c r="J710" s="449"/>
      <c r="K710" s="444" t="s">
        <v>1660</v>
      </c>
      <c r="L710" s="450" t="s">
        <v>681</v>
      </c>
      <c r="M710" s="444" t="s">
        <v>1669</v>
      </c>
      <c r="N710" s="450"/>
      <c r="O710" s="450"/>
      <c r="P710" s="450" t="s">
        <v>1662</v>
      </c>
      <c r="Q710" s="451" t="s">
        <v>374</v>
      </c>
      <c r="R710" s="451" t="s">
        <v>263</v>
      </c>
      <c r="S710" s="452" t="s">
        <v>895</v>
      </c>
      <c r="T710" s="452">
        <v>45589</v>
      </c>
      <c r="U710" s="453"/>
      <c r="V710" s="454"/>
      <c r="W710" s="455" t="s">
        <v>406</v>
      </c>
      <c r="X710" s="455">
        <v>45561</v>
      </c>
      <c r="Y710" s="456" t="s">
        <v>377</v>
      </c>
      <c r="Z710" s="457"/>
      <c r="AA710" s="494"/>
    </row>
    <row r="711" spans="1:27" s="128" customFormat="1" ht="36" customHeight="1">
      <c r="A711" s="443">
        <v>11</v>
      </c>
      <c r="B711" s="444" t="s">
        <v>1682</v>
      </c>
      <c r="C711" s="445" t="s">
        <v>74</v>
      </c>
      <c r="D711" s="444" t="s">
        <v>1683</v>
      </c>
      <c r="E711" s="446">
        <v>1</v>
      </c>
      <c r="F711" s="447"/>
      <c r="G711" s="448">
        <f t="shared" si="29"/>
        <v>0</v>
      </c>
      <c r="H711" s="449"/>
      <c r="I711" s="444"/>
      <c r="J711" s="449"/>
      <c r="K711" s="444" t="s">
        <v>1660</v>
      </c>
      <c r="L711" s="450" t="s">
        <v>681</v>
      </c>
      <c r="M711" s="444" t="s">
        <v>1669</v>
      </c>
      <c r="N711" s="450"/>
      <c r="O711" s="450"/>
      <c r="P711" s="450" t="s">
        <v>1662</v>
      </c>
      <c r="Q711" s="451" t="s">
        <v>374</v>
      </c>
      <c r="R711" s="451" t="s">
        <v>263</v>
      </c>
      <c r="S711" s="452" t="s">
        <v>422</v>
      </c>
      <c r="T711" s="452">
        <v>45589</v>
      </c>
      <c r="U711" s="453"/>
      <c r="V711" s="454"/>
      <c r="W711" s="455" t="s">
        <v>406</v>
      </c>
      <c r="X711" s="455">
        <v>45561</v>
      </c>
      <c r="Y711" s="456" t="s">
        <v>377</v>
      </c>
      <c r="Z711" s="457"/>
      <c r="AA711" s="494"/>
    </row>
    <row r="712" spans="1:27" s="128" customFormat="1" ht="36" customHeight="1">
      <c r="A712" s="443">
        <v>12</v>
      </c>
      <c r="B712" s="444" t="s">
        <v>753</v>
      </c>
      <c r="C712" s="445" t="s">
        <v>74</v>
      </c>
      <c r="D712" s="444" t="s">
        <v>754</v>
      </c>
      <c r="E712" s="446">
        <v>2</v>
      </c>
      <c r="F712" s="447"/>
      <c r="G712" s="448">
        <f t="shared" si="29"/>
        <v>0</v>
      </c>
      <c r="H712" s="449"/>
      <c r="I712" s="444"/>
      <c r="J712" s="449"/>
      <c r="K712" s="444" t="s">
        <v>1660</v>
      </c>
      <c r="L712" s="450" t="s">
        <v>681</v>
      </c>
      <c r="M712" s="444" t="s">
        <v>1684</v>
      </c>
      <c r="N712" s="450"/>
      <c r="O712" s="450"/>
      <c r="P712" s="450" t="s">
        <v>1662</v>
      </c>
      <c r="Q712" s="451" t="s">
        <v>374</v>
      </c>
      <c r="R712" s="451" t="s">
        <v>249</v>
      </c>
      <c r="S712" s="452" t="s">
        <v>756</v>
      </c>
      <c r="T712" s="452"/>
      <c r="U712" s="453"/>
      <c r="V712" s="454"/>
      <c r="W712" s="455" t="s">
        <v>406</v>
      </c>
      <c r="X712" s="455">
        <v>45567</v>
      </c>
      <c r="Y712" s="456" t="s">
        <v>377</v>
      </c>
      <c r="Z712" s="457"/>
      <c r="AA712" s="494"/>
    </row>
    <row r="713" spans="1:27" s="128" customFormat="1" ht="36" customHeight="1">
      <c r="A713" s="443">
        <v>13</v>
      </c>
      <c r="B713" s="444" t="s">
        <v>1685</v>
      </c>
      <c r="C713" s="445" t="s">
        <v>74</v>
      </c>
      <c r="D713" s="444" t="s">
        <v>1686</v>
      </c>
      <c r="E713" s="446">
        <v>1</v>
      </c>
      <c r="F713" s="447"/>
      <c r="G713" s="448">
        <f t="shared" si="29"/>
        <v>0</v>
      </c>
      <c r="H713" s="449"/>
      <c r="I713" s="444"/>
      <c r="J713" s="449"/>
      <c r="K713" s="444" t="s">
        <v>1660</v>
      </c>
      <c r="L713" s="450" t="s">
        <v>681</v>
      </c>
      <c r="M713" s="444" t="s">
        <v>1687</v>
      </c>
      <c r="N713" s="450"/>
      <c r="O713" s="450"/>
      <c r="P713" s="450" t="s">
        <v>1662</v>
      </c>
      <c r="Q713" s="451" t="s">
        <v>374</v>
      </c>
      <c r="R713" s="451" t="s">
        <v>277</v>
      </c>
      <c r="S713" s="452" t="s">
        <v>763</v>
      </c>
      <c r="T713" s="452">
        <v>45568</v>
      </c>
      <c r="U713" s="453"/>
      <c r="V713" s="454"/>
      <c r="W713" s="455" t="s">
        <v>406</v>
      </c>
      <c r="X713" s="455">
        <v>45562</v>
      </c>
      <c r="Y713" s="456" t="s">
        <v>377</v>
      </c>
      <c r="Z713" s="457"/>
      <c r="AA713" s="494"/>
    </row>
    <row r="714" spans="1:27" s="128" customFormat="1" ht="36" customHeight="1">
      <c r="A714" s="443">
        <v>14</v>
      </c>
      <c r="B714" s="444" t="s">
        <v>1688</v>
      </c>
      <c r="C714" s="445" t="s">
        <v>74</v>
      </c>
      <c r="D714" s="444" t="s">
        <v>1689</v>
      </c>
      <c r="E714" s="446">
        <v>1</v>
      </c>
      <c r="F714" s="447"/>
      <c r="G714" s="448">
        <f t="shared" si="29"/>
        <v>0</v>
      </c>
      <c r="H714" s="449"/>
      <c r="I714" s="444"/>
      <c r="J714" s="449"/>
      <c r="K714" s="444" t="s">
        <v>1660</v>
      </c>
      <c r="L714" s="450" t="s">
        <v>681</v>
      </c>
      <c r="M714" s="444" t="s">
        <v>1687</v>
      </c>
      <c r="N714" s="450"/>
      <c r="O714" s="450"/>
      <c r="P714" s="450" t="s">
        <v>1662</v>
      </c>
      <c r="Q714" s="451" t="s">
        <v>374</v>
      </c>
      <c r="R714" s="451" t="s">
        <v>277</v>
      </c>
      <c r="S714" s="452" t="s">
        <v>763</v>
      </c>
      <c r="T714" s="452">
        <v>45568</v>
      </c>
      <c r="U714" s="453"/>
      <c r="V714" s="454"/>
      <c r="W714" s="455" t="s">
        <v>406</v>
      </c>
      <c r="X714" s="455">
        <v>45562</v>
      </c>
      <c r="Y714" s="456" t="s">
        <v>377</v>
      </c>
      <c r="Z714" s="457"/>
      <c r="AA714" s="494"/>
    </row>
    <row r="715" spans="1:27" s="128" customFormat="1" ht="36" customHeight="1">
      <c r="A715" s="443">
        <v>15</v>
      </c>
      <c r="B715" s="444" t="s">
        <v>1690</v>
      </c>
      <c r="C715" s="445" t="s">
        <v>74</v>
      </c>
      <c r="D715" s="444" t="s">
        <v>1691</v>
      </c>
      <c r="E715" s="446">
        <v>2</v>
      </c>
      <c r="F715" s="447"/>
      <c r="G715" s="448">
        <f t="shared" si="29"/>
        <v>0</v>
      </c>
      <c r="H715" s="449"/>
      <c r="I715" s="444"/>
      <c r="J715" s="449"/>
      <c r="K715" s="444" t="s">
        <v>1660</v>
      </c>
      <c r="L715" s="450" t="s">
        <v>681</v>
      </c>
      <c r="M715" s="444" t="s">
        <v>1669</v>
      </c>
      <c r="N715" s="450"/>
      <c r="O715" s="450"/>
      <c r="P715" s="450" t="s">
        <v>1662</v>
      </c>
      <c r="Q715" s="451" t="s">
        <v>374</v>
      </c>
      <c r="R715" s="451" t="s">
        <v>263</v>
      </c>
      <c r="S715" s="452" t="s">
        <v>895</v>
      </c>
      <c r="T715" s="452">
        <v>45568</v>
      </c>
      <c r="U715" s="453"/>
      <c r="V715" s="454"/>
      <c r="W715" s="455" t="s">
        <v>406</v>
      </c>
      <c r="X715" s="455">
        <v>45562</v>
      </c>
      <c r="Y715" s="456" t="s">
        <v>377</v>
      </c>
      <c r="Z715" s="457"/>
      <c r="AA715" s="494"/>
    </row>
    <row r="716" spans="1:27" s="128" customFormat="1" ht="36" customHeight="1">
      <c r="A716" s="443">
        <v>16</v>
      </c>
      <c r="B716" s="444" t="s">
        <v>1692</v>
      </c>
      <c r="C716" s="445" t="s">
        <v>74</v>
      </c>
      <c r="D716" s="444" t="s">
        <v>1693</v>
      </c>
      <c r="E716" s="446">
        <v>1</v>
      </c>
      <c r="F716" s="447"/>
      <c r="G716" s="448">
        <f t="shared" si="29"/>
        <v>0</v>
      </c>
      <c r="H716" s="449"/>
      <c r="I716" s="444"/>
      <c r="J716" s="449"/>
      <c r="K716" s="444" t="s">
        <v>1660</v>
      </c>
      <c r="L716" s="450" t="s">
        <v>681</v>
      </c>
      <c r="M716" s="444" t="s">
        <v>1687</v>
      </c>
      <c r="N716" s="450"/>
      <c r="O716" s="450"/>
      <c r="P716" s="450" t="s">
        <v>1662</v>
      </c>
      <c r="Q716" s="451" t="s">
        <v>374</v>
      </c>
      <c r="R716" s="451" t="s">
        <v>277</v>
      </c>
      <c r="S716" s="452" t="s">
        <v>763</v>
      </c>
      <c r="T716" s="452">
        <v>45568</v>
      </c>
      <c r="U716" s="453"/>
      <c r="V716" s="454"/>
      <c r="W716" s="455" t="s">
        <v>406</v>
      </c>
      <c r="X716" s="455">
        <v>45562</v>
      </c>
      <c r="Y716" s="456" t="s">
        <v>377</v>
      </c>
      <c r="Z716" s="457"/>
      <c r="AA716" s="494"/>
    </row>
    <row r="717" spans="1:27" s="128" customFormat="1" ht="18" customHeight="1">
      <c r="A717" s="443">
        <v>17</v>
      </c>
      <c r="B717" s="444" t="s">
        <v>394</v>
      </c>
      <c r="C717" s="445" t="s">
        <v>74</v>
      </c>
      <c r="D717" s="444" t="s">
        <v>395</v>
      </c>
      <c r="E717" s="446">
        <v>2</v>
      </c>
      <c r="F717" s="447"/>
      <c r="G717" s="448">
        <f t="shared" si="29"/>
        <v>0</v>
      </c>
      <c r="H717" s="449"/>
      <c r="I717" s="444"/>
      <c r="J717" s="449"/>
      <c r="K717" s="444"/>
      <c r="L717" s="450"/>
      <c r="M717" s="444"/>
      <c r="N717" s="450"/>
      <c r="O717" s="450"/>
      <c r="P717" s="450"/>
      <c r="Q717" s="451" t="s">
        <v>374</v>
      </c>
      <c r="R717" s="451"/>
      <c r="S717" s="452"/>
      <c r="T717" s="452"/>
      <c r="U717" s="453"/>
      <c r="V717" s="454"/>
      <c r="W717" s="455" t="s">
        <v>406</v>
      </c>
      <c r="X717" s="455">
        <v>45553</v>
      </c>
      <c r="Y717" s="456" t="s">
        <v>377</v>
      </c>
      <c r="Z717" s="457"/>
      <c r="AA717" s="494"/>
    </row>
    <row r="718" spans="1:27" s="128" customFormat="1" ht="36" customHeight="1">
      <c r="A718" s="443">
        <v>18</v>
      </c>
      <c r="B718" s="444" t="s">
        <v>1694</v>
      </c>
      <c r="C718" s="445" t="s">
        <v>74</v>
      </c>
      <c r="D718" s="444" t="s">
        <v>1695</v>
      </c>
      <c r="E718" s="446">
        <v>2</v>
      </c>
      <c r="F718" s="447"/>
      <c r="G718" s="448">
        <f t="shared" si="29"/>
        <v>0</v>
      </c>
      <c r="H718" s="449"/>
      <c r="I718" s="444"/>
      <c r="J718" s="449"/>
      <c r="K718" s="444" t="s">
        <v>1660</v>
      </c>
      <c r="L718" s="450" t="s">
        <v>681</v>
      </c>
      <c r="M718" s="444" t="s">
        <v>1669</v>
      </c>
      <c r="N718" s="450"/>
      <c r="O718" s="450"/>
      <c r="P718" s="450" t="s">
        <v>1662</v>
      </c>
      <c r="Q718" s="451" t="s">
        <v>374</v>
      </c>
      <c r="R718" s="451" t="s">
        <v>263</v>
      </c>
      <c r="S718" s="452" t="s">
        <v>895</v>
      </c>
      <c r="T718" s="452">
        <v>45568</v>
      </c>
      <c r="U718" s="453"/>
      <c r="V718" s="454"/>
      <c r="W718" s="455" t="s">
        <v>406</v>
      </c>
      <c r="X718" s="455">
        <v>45562</v>
      </c>
      <c r="Y718" s="456" t="s">
        <v>377</v>
      </c>
      <c r="Z718" s="457"/>
      <c r="AA718" s="494"/>
    </row>
    <row r="719" spans="1:27" s="128" customFormat="1" ht="36" customHeight="1">
      <c r="A719" s="443">
        <v>19</v>
      </c>
      <c r="B719" s="444" t="s">
        <v>1696</v>
      </c>
      <c r="C719" s="445" t="s">
        <v>74</v>
      </c>
      <c r="D719" s="444" t="s">
        <v>1697</v>
      </c>
      <c r="E719" s="446">
        <v>2</v>
      </c>
      <c r="F719" s="447"/>
      <c r="G719" s="448">
        <f t="shared" si="29"/>
        <v>0</v>
      </c>
      <c r="H719" s="449"/>
      <c r="I719" s="444"/>
      <c r="J719" s="449"/>
      <c r="K719" s="444" t="s">
        <v>1660</v>
      </c>
      <c r="L719" s="450" t="s">
        <v>681</v>
      </c>
      <c r="M719" s="444" t="s">
        <v>1669</v>
      </c>
      <c r="N719" s="450"/>
      <c r="O719" s="450"/>
      <c r="P719" s="450" t="s">
        <v>1662</v>
      </c>
      <c r="Q719" s="451" t="s">
        <v>374</v>
      </c>
      <c r="R719" s="451" t="s">
        <v>263</v>
      </c>
      <c r="S719" s="452" t="s">
        <v>895</v>
      </c>
      <c r="T719" s="452">
        <v>45568</v>
      </c>
      <c r="U719" s="453"/>
      <c r="V719" s="454"/>
      <c r="W719" s="455" t="s">
        <v>406</v>
      </c>
      <c r="X719" s="455">
        <v>45562</v>
      </c>
      <c r="Y719" s="456" t="s">
        <v>377</v>
      </c>
      <c r="Z719" s="457"/>
      <c r="AA719" s="494"/>
    </row>
    <row r="720" spans="1:27" s="128" customFormat="1" ht="36" customHeight="1">
      <c r="A720" s="443">
        <v>20</v>
      </c>
      <c r="B720" s="444" t="s">
        <v>1110</v>
      </c>
      <c r="C720" s="445" t="s">
        <v>74</v>
      </c>
      <c r="D720" s="444" t="s">
        <v>1111</v>
      </c>
      <c r="E720" s="446">
        <v>2</v>
      </c>
      <c r="F720" s="447"/>
      <c r="G720" s="448">
        <f t="shared" si="29"/>
        <v>0</v>
      </c>
      <c r="H720" s="449"/>
      <c r="I720" s="444"/>
      <c r="J720" s="449"/>
      <c r="K720" s="444" t="s">
        <v>1660</v>
      </c>
      <c r="L720" s="450" t="s">
        <v>681</v>
      </c>
      <c r="M720" s="444" t="s">
        <v>1669</v>
      </c>
      <c r="N720" s="450"/>
      <c r="O720" s="450"/>
      <c r="P720" s="450" t="s">
        <v>1662</v>
      </c>
      <c r="Q720" s="451" t="s">
        <v>374</v>
      </c>
      <c r="R720" s="451" t="s">
        <v>263</v>
      </c>
      <c r="S720" s="452" t="s">
        <v>895</v>
      </c>
      <c r="T720" s="452">
        <v>45568</v>
      </c>
      <c r="U720" s="453"/>
      <c r="V720" s="454"/>
      <c r="W720" s="455" t="s">
        <v>406</v>
      </c>
      <c r="X720" s="455">
        <v>45562</v>
      </c>
      <c r="Y720" s="456" t="s">
        <v>377</v>
      </c>
      <c r="Z720" s="457"/>
      <c r="AA720" s="494"/>
    </row>
    <row r="721" spans="1:27" s="128" customFormat="1" ht="36" customHeight="1">
      <c r="A721" s="443">
        <v>21</v>
      </c>
      <c r="B721" s="444" t="s">
        <v>1490</v>
      </c>
      <c r="C721" s="445" t="s">
        <v>74</v>
      </c>
      <c r="D721" s="444" t="s">
        <v>1491</v>
      </c>
      <c r="E721" s="446">
        <v>5</v>
      </c>
      <c r="F721" s="447"/>
      <c r="G721" s="448">
        <f t="shared" si="29"/>
        <v>0</v>
      </c>
      <c r="H721" s="449"/>
      <c r="I721" s="444"/>
      <c r="J721" s="449"/>
      <c r="K721" s="444" t="s">
        <v>1660</v>
      </c>
      <c r="L721" s="450" t="s">
        <v>681</v>
      </c>
      <c r="M721" s="444" t="s">
        <v>1669</v>
      </c>
      <c r="N721" s="450"/>
      <c r="O721" s="450"/>
      <c r="P721" s="450" t="s">
        <v>1662</v>
      </c>
      <c r="Q721" s="451" t="s">
        <v>374</v>
      </c>
      <c r="R721" s="451" t="s">
        <v>263</v>
      </c>
      <c r="S721" s="452" t="s">
        <v>895</v>
      </c>
      <c r="T721" s="452">
        <v>45568</v>
      </c>
      <c r="U721" s="453"/>
      <c r="V721" s="454"/>
      <c r="W721" s="455" t="s">
        <v>406</v>
      </c>
      <c r="X721" s="455">
        <v>45562</v>
      </c>
      <c r="Y721" s="456" t="s">
        <v>377</v>
      </c>
      <c r="Z721" s="457"/>
      <c r="AA721" s="494"/>
    </row>
    <row r="722" spans="1:27" s="128" customFormat="1" ht="36" customHeight="1">
      <c r="A722" s="443">
        <v>22</v>
      </c>
      <c r="B722" s="444" t="s">
        <v>1698</v>
      </c>
      <c r="C722" s="445" t="s">
        <v>74</v>
      </c>
      <c r="D722" s="444" t="s">
        <v>1699</v>
      </c>
      <c r="E722" s="446">
        <v>1</v>
      </c>
      <c r="F722" s="447"/>
      <c r="G722" s="448">
        <f t="shared" si="29"/>
        <v>0</v>
      </c>
      <c r="H722" s="449"/>
      <c r="I722" s="444"/>
      <c r="J722" s="449"/>
      <c r="K722" s="444" t="s">
        <v>1660</v>
      </c>
      <c r="L722" s="450" t="s">
        <v>681</v>
      </c>
      <c r="M722" s="444" t="s">
        <v>1669</v>
      </c>
      <c r="N722" s="450"/>
      <c r="O722" s="450"/>
      <c r="P722" s="450" t="s">
        <v>1662</v>
      </c>
      <c r="Q722" s="451" t="s">
        <v>374</v>
      </c>
      <c r="R722" s="451" t="s">
        <v>263</v>
      </c>
      <c r="S722" s="452" t="s">
        <v>895</v>
      </c>
      <c r="T722" s="452">
        <v>45568</v>
      </c>
      <c r="U722" s="453"/>
      <c r="V722" s="454"/>
      <c r="W722" s="455" t="s">
        <v>406</v>
      </c>
      <c r="X722" s="455">
        <v>45562</v>
      </c>
      <c r="Y722" s="456" t="s">
        <v>377</v>
      </c>
      <c r="Z722" s="457"/>
      <c r="AA722" s="494"/>
    </row>
    <row r="723" spans="1:27" s="128" customFormat="1" ht="36" customHeight="1">
      <c r="A723" s="443">
        <v>23</v>
      </c>
      <c r="B723" s="444" t="s">
        <v>1700</v>
      </c>
      <c r="C723" s="445" t="s">
        <v>74</v>
      </c>
      <c r="D723" s="444" t="s">
        <v>1701</v>
      </c>
      <c r="E723" s="446">
        <v>1</v>
      </c>
      <c r="F723" s="447"/>
      <c r="G723" s="448">
        <f t="shared" si="29"/>
        <v>0</v>
      </c>
      <c r="H723" s="449"/>
      <c r="I723" s="444"/>
      <c r="J723" s="449"/>
      <c r="K723" s="444" t="s">
        <v>1660</v>
      </c>
      <c r="L723" s="450" t="s">
        <v>681</v>
      </c>
      <c r="M723" s="444" t="s">
        <v>1669</v>
      </c>
      <c r="N723" s="450"/>
      <c r="O723" s="450"/>
      <c r="P723" s="450" t="s">
        <v>1662</v>
      </c>
      <c r="Q723" s="451" t="s">
        <v>374</v>
      </c>
      <c r="R723" s="451" t="s">
        <v>263</v>
      </c>
      <c r="S723" s="452" t="s">
        <v>895</v>
      </c>
      <c r="T723" s="452">
        <v>45568</v>
      </c>
      <c r="U723" s="453"/>
      <c r="V723" s="454"/>
      <c r="W723" s="455" t="s">
        <v>406</v>
      </c>
      <c r="X723" s="455">
        <v>45562</v>
      </c>
      <c r="Y723" s="456" t="s">
        <v>377</v>
      </c>
      <c r="Z723" s="457"/>
      <c r="AA723" s="494"/>
    </row>
    <row r="724" spans="1:27" s="128" customFormat="1" ht="36" customHeight="1">
      <c r="A724" s="443">
        <v>24</v>
      </c>
      <c r="B724" s="444" t="s">
        <v>1702</v>
      </c>
      <c r="C724" s="445" t="s">
        <v>74</v>
      </c>
      <c r="D724" s="444" t="s">
        <v>1703</v>
      </c>
      <c r="E724" s="446">
        <v>1</v>
      </c>
      <c r="F724" s="447"/>
      <c r="G724" s="448">
        <f t="shared" si="29"/>
        <v>0</v>
      </c>
      <c r="H724" s="449"/>
      <c r="I724" s="444"/>
      <c r="J724" s="449"/>
      <c r="K724" s="444" t="s">
        <v>1660</v>
      </c>
      <c r="L724" s="450" t="s">
        <v>681</v>
      </c>
      <c r="M724" s="444" t="s">
        <v>1684</v>
      </c>
      <c r="N724" s="450"/>
      <c r="O724" s="450"/>
      <c r="P724" s="450" t="s">
        <v>1662</v>
      </c>
      <c r="Q724" s="451" t="s">
        <v>374</v>
      </c>
      <c r="R724" s="451" t="s">
        <v>249</v>
      </c>
      <c r="S724" s="452" t="s">
        <v>756</v>
      </c>
      <c r="T724" s="452"/>
      <c r="U724" s="453"/>
      <c r="V724" s="454"/>
      <c r="W724" s="455" t="s">
        <v>406</v>
      </c>
      <c r="X724" s="455">
        <v>45567</v>
      </c>
      <c r="Y724" s="456" t="s">
        <v>377</v>
      </c>
      <c r="Z724" s="457"/>
      <c r="AA724" s="494"/>
    </row>
    <row r="725" spans="1:27" s="128" customFormat="1" ht="18" customHeight="1">
      <c r="A725" s="443">
        <v>25</v>
      </c>
      <c r="B725" s="444" t="s">
        <v>1704</v>
      </c>
      <c r="C725" s="445" t="s">
        <v>74</v>
      </c>
      <c r="D725" s="444" t="s">
        <v>1705</v>
      </c>
      <c r="E725" s="446">
        <v>3</v>
      </c>
      <c r="F725" s="447"/>
      <c r="G725" s="448">
        <f t="shared" si="29"/>
        <v>0</v>
      </c>
      <c r="H725" s="449"/>
      <c r="I725" s="444"/>
      <c r="J725" s="449"/>
      <c r="K725" s="444"/>
      <c r="L725" s="450"/>
      <c r="M725" s="444"/>
      <c r="N725" s="450"/>
      <c r="O725" s="450"/>
      <c r="P725" s="450"/>
      <c r="Q725" s="451" t="s">
        <v>374</v>
      </c>
      <c r="R725" s="451"/>
      <c r="S725" s="452"/>
      <c r="T725" s="452"/>
      <c r="U725" s="453"/>
      <c r="V725" s="454"/>
      <c r="W725" s="455" t="s">
        <v>406</v>
      </c>
      <c r="X725" s="455">
        <v>45519</v>
      </c>
      <c r="Y725" s="456" t="s">
        <v>377</v>
      </c>
      <c r="Z725" s="457"/>
      <c r="AA725" s="494"/>
    </row>
    <row r="726" spans="1:27" s="128" customFormat="1" ht="36" customHeight="1">
      <c r="A726" s="443">
        <v>26</v>
      </c>
      <c r="B726" s="444" t="s">
        <v>1706</v>
      </c>
      <c r="C726" s="445" t="s">
        <v>74</v>
      </c>
      <c r="D726" s="444" t="s">
        <v>1707</v>
      </c>
      <c r="E726" s="446">
        <v>5</v>
      </c>
      <c r="F726" s="447"/>
      <c r="G726" s="448">
        <f t="shared" si="29"/>
        <v>0</v>
      </c>
      <c r="H726" s="449"/>
      <c r="I726" s="444"/>
      <c r="J726" s="449"/>
      <c r="K726" s="444" t="s">
        <v>1660</v>
      </c>
      <c r="L726" s="450" t="s">
        <v>681</v>
      </c>
      <c r="M726" s="444" t="s">
        <v>1669</v>
      </c>
      <c r="N726" s="450"/>
      <c r="O726" s="450"/>
      <c r="P726" s="450" t="s">
        <v>1662</v>
      </c>
      <c r="Q726" s="451" t="s">
        <v>374</v>
      </c>
      <c r="R726" s="451" t="s">
        <v>263</v>
      </c>
      <c r="S726" s="452" t="s">
        <v>895</v>
      </c>
      <c r="T726" s="452">
        <v>45568</v>
      </c>
      <c r="U726" s="453"/>
      <c r="V726" s="454"/>
      <c r="W726" s="455" t="s">
        <v>406</v>
      </c>
      <c r="X726" s="455">
        <v>45562</v>
      </c>
      <c r="Y726" s="456" t="s">
        <v>377</v>
      </c>
      <c r="Z726" s="457"/>
      <c r="AA726" s="494"/>
    </row>
    <row r="727" spans="1:27" s="128" customFormat="1" ht="36" customHeight="1">
      <c r="A727" s="443">
        <v>27</v>
      </c>
      <c r="B727" s="444" t="s">
        <v>1708</v>
      </c>
      <c r="C727" s="445" t="s">
        <v>74</v>
      </c>
      <c r="D727" s="444" t="s">
        <v>1709</v>
      </c>
      <c r="E727" s="446">
        <v>1</v>
      </c>
      <c r="F727" s="447"/>
      <c r="G727" s="448">
        <f t="shared" si="29"/>
        <v>0</v>
      </c>
      <c r="H727" s="449"/>
      <c r="I727" s="444"/>
      <c r="J727" s="449"/>
      <c r="K727" s="444" t="s">
        <v>1660</v>
      </c>
      <c r="L727" s="450" t="s">
        <v>681</v>
      </c>
      <c r="M727" s="444" t="s">
        <v>1669</v>
      </c>
      <c r="N727" s="450"/>
      <c r="O727" s="450"/>
      <c r="P727" s="450" t="s">
        <v>1662</v>
      </c>
      <c r="Q727" s="451" t="s">
        <v>374</v>
      </c>
      <c r="R727" s="451" t="s">
        <v>263</v>
      </c>
      <c r="S727" s="452" t="s">
        <v>895</v>
      </c>
      <c r="T727" s="452">
        <v>45568</v>
      </c>
      <c r="U727" s="453"/>
      <c r="V727" s="454"/>
      <c r="W727" s="455" t="s">
        <v>406</v>
      </c>
      <c r="X727" s="455">
        <v>45562</v>
      </c>
      <c r="Y727" s="456" t="s">
        <v>377</v>
      </c>
      <c r="Z727" s="457"/>
      <c r="AA727" s="494"/>
    </row>
    <row r="728" spans="1:27" s="128" customFormat="1" ht="18" customHeight="1">
      <c r="A728" s="443">
        <v>28</v>
      </c>
      <c r="B728" s="444" t="s">
        <v>555</v>
      </c>
      <c r="C728" s="445" t="s">
        <v>74</v>
      </c>
      <c r="D728" s="444" t="s">
        <v>556</v>
      </c>
      <c r="E728" s="446">
        <v>2</v>
      </c>
      <c r="F728" s="447"/>
      <c r="G728" s="448">
        <f t="shared" si="29"/>
        <v>0</v>
      </c>
      <c r="H728" s="449"/>
      <c r="I728" s="444"/>
      <c r="J728" s="449"/>
      <c r="K728" s="444"/>
      <c r="L728" s="450"/>
      <c r="M728" s="444"/>
      <c r="N728" s="450"/>
      <c r="O728" s="450"/>
      <c r="P728" s="450"/>
      <c r="Q728" s="451" t="s">
        <v>374</v>
      </c>
      <c r="R728" s="451"/>
      <c r="S728" s="452"/>
      <c r="T728" s="452"/>
      <c r="U728" s="453"/>
      <c r="V728" s="454"/>
      <c r="W728" s="455" t="s">
        <v>406</v>
      </c>
      <c r="X728" s="455">
        <v>45566</v>
      </c>
      <c r="Y728" s="456" t="s">
        <v>377</v>
      </c>
      <c r="Z728" s="457"/>
      <c r="AA728" s="494"/>
    </row>
    <row r="729" spans="1:27" s="128" customFormat="1" ht="36" customHeight="1">
      <c r="A729" s="443">
        <v>29</v>
      </c>
      <c r="B729" s="444" t="s">
        <v>1710</v>
      </c>
      <c r="C729" s="445" t="s">
        <v>74</v>
      </c>
      <c r="D729" s="444" t="s">
        <v>1711</v>
      </c>
      <c r="E729" s="446">
        <v>6</v>
      </c>
      <c r="F729" s="447"/>
      <c r="G729" s="448">
        <f t="shared" si="29"/>
        <v>0</v>
      </c>
      <c r="H729" s="449"/>
      <c r="I729" s="444"/>
      <c r="J729" s="449"/>
      <c r="K729" s="444" t="s">
        <v>1660</v>
      </c>
      <c r="L729" s="450" t="s">
        <v>681</v>
      </c>
      <c r="M729" s="444" t="s">
        <v>1669</v>
      </c>
      <c r="N729" s="450"/>
      <c r="O729" s="450"/>
      <c r="P729" s="450" t="s">
        <v>1662</v>
      </c>
      <c r="Q729" s="451" t="s">
        <v>374</v>
      </c>
      <c r="R729" s="451" t="s">
        <v>263</v>
      </c>
      <c r="S729" s="452" t="s">
        <v>895</v>
      </c>
      <c r="T729" s="452">
        <v>45568</v>
      </c>
      <c r="U729" s="453"/>
      <c r="V729" s="454"/>
      <c r="W729" s="455" t="s">
        <v>406</v>
      </c>
      <c r="X729" s="455">
        <v>45562</v>
      </c>
      <c r="Y729" s="456" t="s">
        <v>377</v>
      </c>
      <c r="Z729" s="457"/>
      <c r="AA729" s="494"/>
    </row>
    <row r="730" spans="1:27" s="128" customFormat="1" ht="18" customHeight="1">
      <c r="A730" s="443">
        <v>30</v>
      </c>
      <c r="B730" s="444" t="s">
        <v>984</v>
      </c>
      <c r="C730" s="445" t="s">
        <v>74</v>
      </c>
      <c r="D730" s="444" t="s">
        <v>985</v>
      </c>
      <c r="E730" s="446">
        <v>6</v>
      </c>
      <c r="F730" s="447"/>
      <c r="G730" s="448">
        <f t="shared" si="29"/>
        <v>0</v>
      </c>
      <c r="H730" s="449"/>
      <c r="I730" s="444"/>
      <c r="J730" s="449"/>
      <c r="K730" s="444"/>
      <c r="L730" s="450"/>
      <c r="M730" s="444"/>
      <c r="N730" s="450"/>
      <c r="O730" s="450"/>
      <c r="P730" s="450"/>
      <c r="Q730" s="451" t="s">
        <v>374</v>
      </c>
      <c r="R730" s="451"/>
      <c r="S730" s="452"/>
      <c r="T730" s="452" t="s">
        <v>1712</v>
      </c>
      <c r="U730" s="453"/>
      <c r="V730" s="454"/>
      <c r="W730" s="455" t="s">
        <v>406</v>
      </c>
      <c r="X730" s="455">
        <v>45565</v>
      </c>
      <c r="Y730" s="456" t="s">
        <v>377</v>
      </c>
      <c r="Z730" s="457"/>
      <c r="AA730" s="494"/>
    </row>
    <row r="731" spans="1:27" s="128" customFormat="1" ht="18" customHeight="1">
      <c r="A731" s="443">
        <v>31</v>
      </c>
      <c r="B731" s="444" t="s">
        <v>1663</v>
      </c>
      <c r="C731" s="445" t="s">
        <v>74</v>
      </c>
      <c r="D731" s="444" t="s">
        <v>1664</v>
      </c>
      <c r="E731" s="446">
        <v>2</v>
      </c>
      <c r="F731" s="447"/>
      <c r="G731" s="448">
        <f t="shared" si="29"/>
        <v>0</v>
      </c>
      <c r="H731" s="449"/>
      <c r="I731" s="444"/>
      <c r="J731" s="449"/>
      <c r="K731" s="444" t="s">
        <v>1660</v>
      </c>
      <c r="L731" s="450" t="s">
        <v>681</v>
      </c>
      <c r="M731" s="444" t="s">
        <v>1661</v>
      </c>
      <c r="N731" s="450"/>
      <c r="O731" s="450"/>
      <c r="P731" s="450" t="s">
        <v>1662</v>
      </c>
      <c r="Q731" s="451" t="s">
        <v>374</v>
      </c>
      <c r="R731" s="451" t="s">
        <v>311</v>
      </c>
      <c r="S731" s="452" t="s">
        <v>806</v>
      </c>
      <c r="T731" s="452">
        <v>45568</v>
      </c>
      <c r="U731" s="453"/>
      <c r="V731" s="454"/>
      <c r="W731" s="455" t="s">
        <v>406</v>
      </c>
      <c r="X731" s="455">
        <v>45560</v>
      </c>
      <c r="Y731" s="456" t="s">
        <v>377</v>
      </c>
      <c r="Z731" s="457"/>
      <c r="AA731" s="494"/>
    </row>
    <row r="732" spans="1:27" s="128" customFormat="1" ht="36" customHeight="1">
      <c r="A732" s="443">
        <v>32</v>
      </c>
      <c r="B732" s="444" t="s">
        <v>866</v>
      </c>
      <c r="C732" s="445" t="s">
        <v>74</v>
      </c>
      <c r="D732" s="444" t="s">
        <v>867</v>
      </c>
      <c r="E732" s="446">
        <v>4</v>
      </c>
      <c r="F732" s="447"/>
      <c r="G732" s="448">
        <f t="shared" si="29"/>
        <v>0</v>
      </c>
      <c r="H732" s="449"/>
      <c r="I732" s="444"/>
      <c r="J732" s="449"/>
      <c r="K732" s="444" t="s">
        <v>1660</v>
      </c>
      <c r="L732" s="450" t="s">
        <v>681</v>
      </c>
      <c r="M732" s="444" t="s">
        <v>1713</v>
      </c>
      <c r="N732" s="450"/>
      <c r="O732" s="450"/>
      <c r="P732" s="450" t="s">
        <v>403</v>
      </c>
      <c r="Q732" s="451" t="s">
        <v>374</v>
      </c>
      <c r="R732" s="451" t="s">
        <v>404</v>
      </c>
      <c r="S732" s="452" t="s">
        <v>405</v>
      </c>
      <c r="T732" s="452"/>
      <c r="U732" s="453"/>
      <c r="V732" s="454"/>
      <c r="W732" s="455" t="s">
        <v>406</v>
      </c>
      <c r="X732" s="455">
        <v>45607</v>
      </c>
      <c r="Y732" s="456" t="s">
        <v>377</v>
      </c>
      <c r="Z732" s="457"/>
      <c r="AA732" s="494">
        <v>1</v>
      </c>
    </row>
    <row r="733" spans="1:27" s="128" customFormat="1" ht="36" customHeight="1">
      <c r="A733" s="443">
        <v>33</v>
      </c>
      <c r="B733" s="444" t="s">
        <v>601</v>
      </c>
      <c r="C733" s="445" t="s">
        <v>74</v>
      </c>
      <c r="D733" s="444" t="s">
        <v>602</v>
      </c>
      <c r="E733" s="446">
        <v>4</v>
      </c>
      <c r="F733" s="447"/>
      <c r="G733" s="448">
        <f t="shared" si="29"/>
        <v>0</v>
      </c>
      <c r="H733" s="449"/>
      <c r="I733" s="444"/>
      <c r="J733" s="449"/>
      <c r="K733" s="444" t="s">
        <v>1660</v>
      </c>
      <c r="L733" s="450" t="s">
        <v>681</v>
      </c>
      <c r="M733" s="444" t="s">
        <v>1713</v>
      </c>
      <c r="N733" s="450"/>
      <c r="O733" s="450"/>
      <c r="P733" s="450" t="s">
        <v>403</v>
      </c>
      <c r="Q733" s="451" t="s">
        <v>374</v>
      </c>
      <c r="R733" s="451" t="s">
        <v>404</v>
      </c>
      <c r="S733" s="452" t="s">
        <v>405</v>
      </c>
      <c r="T733" s="452" t="s">
        <v>481</v>
      </c>
      <c r="U733" s="453"/>
      <c r="V733" s="454"/>
      <c r="W733" s="455" t="s">
        <v>406</v>
      </c>
      <c r="X733" s="455">
        <v>45610</v>
      </c>
      <c r="Y733" s="456" t="s">
        <v>377</v>
      </c>
      <c r="Z733" s="457"/>
      <c r="AA733" s="494">
        <v>1</v>
      </c>
    </row>
    <row r="734" spans="1:27" s="128" customFormat="1" ht="36" customHeight="1">
      <c r="A734" s="443">
        <v>34</v>
      </c>
      <c r="B734" s="444" t="s">
        <v>599</v>
      </c>
      <c r="C734" s="445" t="s">
        <v>74</v>
      </c>
      <c r="D734" s="444" t="s">
        <v>600</v>
      </c>
      <c r="E734" s="446">
        <v>4</v>
      </c>
      <c r="F734" s="447"/>
      <c r="G734" s="448">
        <f t="shared" si="29"/>
        <v>0</v>
      </c>
      <c r="H734" s="449"/>
      <c r="I734" s="444"/>
      <c r="J734" s="449"/>
      <c r="K734" s="444" t="s">
        <v>1660</v>
      </c>
      <c r="L734" s="450" t="s">
        <v>681</v>
      </c>
      <c r="M734" s="444" t="s">
        <v>1713</v>
      </c>
      <c r="N734" s="450"/>
      <c r="O734" s="450"/>
      <c r="P734" s="450" t="s">
        <v>403</v>
      </c>
      <c r="Q734" s="451" t="s">
        <v>374</v>
      </c>
      <c r="R734" s="451" t="s">
        <v>404</v>
      </c>
      <c r="S734" s="452" t="s">
        <v>405</v>
      </c>
      <c r="T734" s="452" t="s">
        <v>481</v>
      </c>
      <c r="U734" s="453"/>
      <c r="V734" s="454"/>
      <c r="W734" s="455" t="s">
        <v>406</v>
      </c>
      <c r="X734" s="455">
        <v>45610</v>
      </c>
      <c r="Y734" s="456" t="s">
        <v>377</v>
      </c>
      <c r="Z734" s="457"/>
      <c r="AA734" s="494">
        <v>1</v>
      </c>
    </row>
    <row r="735" spans="1:27" s="128" customFormat="1" ht="36" customHeight="1">
      <c r="A735" s="443">
        <v>35</v>
      </c>
      <c r="B735" s="444" t="s">
        <v>1714</v>
      </c>
      <c r="C735" s="445" t="s">
        <v>74</v>
      </c>
      <c r="D735" s="444" t="s">
        <v>1715</v>
      </c>
      <c r="E735" s="446">
        <v>4</v>
      </c>
      <c r="F735" s="447"/>
      <c r="G735" s="448">
        <f t="shared" si="29"/>
        <v>0</v>
      </c>
      <c r="H735" s="449"/>
      <c r="I735" s="444"/>
      <c r="J735" s="449"/>
      <c r="K735" s="444" t="s">
        <v>1660</v>
      </c>
      <c r="L735" s="450" t="s">
        <v>681</v>
      </c>
      <c r="M735" s="444" t="s">
        <v>1669</v>
      </c>
      <c r="N735" s="450"/>
      <c r="O735" s="450"/>
      <c r="P735" s="450" t="s">
        <v>1662</v>
      </c>
      <c r="Q735" s="451" t="s">
        <v>374</v>
      </c>
      <c r="R735" s="451" t="s">
        <v>263</v>
      </c>
      <c r="S735" s="452" t="s">
        <v>895</v>
      </c>
      <c r="T735" s="452">
        <v>45568</v>
      </c>
      <c r="U735" s="453"/>
      <c r="V735" s="454"/>
      <c r="W735" s="455" t="s">
        <v>406</v>
      </c>
      <c r="X735" s="455">
        <v>45566</v>
      </c>
      <c r="Y735" s="456" t="s">
        <v>377</v>
      </c>
      <c r="Z735" s="457"/>
      <c r="AA735" s="494"/>
    </row>
    <row r="736" spans="1:27" s="128" customFormat="1" ht="18" customHeight="1">
      <c r="A736" s="443">
        <v>36</v>
      </c>
      <c r="B736" s="444" t="s">
        <v>567</v>
      </c>
      <c r="C736" s="445" t="s">
        <v>74</v>
      </c>
      <c r="D736" s="444" t="s">
        <v>568</v>
      </c>
      <c r="E736" s="446">
        <v>4</v>
      </c>
      <c r="F736" s="447"/>
      <c r="G736" s="448">
        <f t="shared" si="29"/>
        <v>0</v>
      </c>
      <c r="H736" s="449"/>
      <c r="I736" s="444"/>
      <c r="J736" s="449"/>
      <c r="K736" s="444"/>
      <c r="L736" s="450"/>
      <c r="M736" s="444"/>
      <c r="N736" s="450"/>
      <c r="O736" s="450"/>
      <c r="P736" s="450"/>
      <c r="Q736" s="451" t="s">
        <v>374</v>
      </c>
      <c r="R736" s="451"/>
      <c r="S736" s="452"/>
      <c r="T736" s="452" t="s">
        <v>1716</v>
      </c>
      <c r="U736" s="453"/>
      <c r="V736" s="454"/>
      <c r="W736" s="455" t="s">
        <v>406</v>
      </c>
      <c r="X736" s="455">
        <v>45565</v>
      </c>
      <c r="Y736" s="456" t="s">
        <v>377</v>
      </c>
      <c r="Z736" s="457"/>
      <c r="AA736" s="494"/>
    </row>
    <row r="737" spans="1:27" s="128" customFormat="1" ht="36" customHeight="1">
      <c r="A737" s="443">
        <v>37</v>
      </c>
      <c r="B737" s="444" t="s">
        <v>1696</v>
      </c>
      <c r="C737" s="445" t="s">
        <v>74</v>
      </c>
      <c r="D737" s="444" t="s">
        <v>1697</v>
      </c>
      <c r="E737" s="446">
        <v>4</v>
      </c>
      <c r="F737" s="447"/>
      <c r="G737" s="448">
        <f t="shared" si="29"/>
        <v>0</v>
      </c>
      <c r="H737" s="449"/>
      <c r="I737" s="444"/>
      <c r="J737" s="449"/>
      <c r="K737" s="444" t="s">
        <v>1660</v>
      </c>
      <c r="L737" s="450" t="s">
        <v>681</v>
      </c>
      <c r="M737" s="444" t="s">
        <v>1669</v>
      </c>
      <c r="N737" s="450"/>
      <c r="O737" s="450"/>
      <c r="P737" s="450" t="s">
        <v>1662</v>
      </c>
      <c r="Q737" s="451" t="s">
        <v>374</v>
      </c>
      <c r="R737" s="451" t="s">
        <v>263</v>
      </c>
      <c r="S737" s="452" t="s">
        <v>895</v>
      </c>
      <c r="T737" s="452" t="s">
        <v>1026</v>
      </c>
      <c r="U737" s="453"/>
      <c r="V737" s="454"/>
      <c r="W737" s="455" t="s">
        <v>406</v>
      </c>
      <c r="X737" s="455">
        <v>45562</v>
      </c>
      <c r="Y737" s="456" t="s">
        <v>377</v>
      </c>
      <c r="Z737" s="457"/>
      <c r="AA737" s="494"/>
    </row>
    <row r="738" spans="1:27" s="128" customFormat="1" ht="36" customHeight="1">
      <c r="A738" s="443">
        <v>38</v>
      </c>
      <c r="B738" s="444" t="s">
        <v>1110</v>
      </c>
      <c r="C738" s="445" t="s">
        <v>74</v>
      </c>
      <c r="D738" s="444" t="s">
        <v>1111</v>
      </c>
      <c r="E738" s="446">
        <v>4</v>
      </c>
      <c r="F738" s="447"/>
      <c r="G738" s="448">
        <f t="shared" si="29"/>
        <v>0</v>
      </c>
      <c r="H738" s="449"/>
      <c r="I738" s="444"/>
      <c r="J738" s="449"/>
      <c r="K738" s="444" t="s">
        <v>1660</v>
      </c>
      <c r="L738" s="450" t="s">
        <v>681</v>
      </c>
      <c r="M738" s="444" t="s">
        <v>1669</v>
      </c>
      <c r="N738" s="450"/>
      <c r="O738" s="450"/>
      <c r="P738" s="450" t="s">
        <v>1662</v>
      </c>
      <c r="Q738" s="451" t="s">
        <v>374</v>
      </c>
      <c r="R738" s="451" t="s">
        <v>263</v>
      </c>
      <c r="S738" s="452" t="s">
        <v>895</v>
      </c>
      <c r="T738" s="452">
        <v>45568</v>
      </c>
      <c r="U738" s="453"/>
      <c r="V738" s="454"/>
      <c r="W738" s="455" t="s">
        <v>406</v>
      </c>
      <c r="X738" s="455">
        <v>45562</v>
      </c>
      <c r="Y738" s="456" t="s">
        <v>377</v>
      </c>
      <c r="Z738" s="457"/>
      <c r="AA738" s="494"/>
    </row>
    <row r="739" spans="1:27" s="128" customFormat="1" ht="36" customHeight="1">
      <c r="A739" s="443">
        <v>39</v>
      </c>
      <c r="B739" s="444" t="s">
        <v>1717</v>
      </c>
      <c r="C739" s="445" t="s">
        <v>74</v>
      </c>
      <c r="D739" s="444" t="s">
        <v>1718</v>
      </c>
      <c r="E739" s="446">
        <v>2</v>
      </c>
      <c r="F739" s="447"/>
      <c r="G739" s="448">
        <f t="shared" si="29"/>
        <v>0</v>
      </c>
      <c r="H739" s="449"/>
      <c r="I739" s="444"/>
      <c r="J739" s="449"/>
      <c r="K739" s="444" t="s">
        <v>1660</v>
      </c>
      <c r="L739" s="450" t="s">
        <v>681</v>
      </c>
      <c r="M739" s="444" t="s">
        <v>1684</v>
      </c>
      <c r="N739" s="450"/>
      <c r="O739" s="450"/>
      <c r="P739" s="450" t="s">
        <v>1662</v>
      </c>
      <c r="Q739" s="451" t="s">
        <v>374</v>
      </c>
      <c r="R739" s="451" t="s">
        <v>249</v>
      </c>
      <c r="S739" s="452" t="s">
        <v>756</v>
      </c>
      <c r="T739" s="452"/>
      <c r="U739" s="453"/>
      <c r="V739" s="454"/>
      <c r="W739" s="455" t="s">
        <v>406</v>
      </c>
      <c r="X739" s="455">
        <v>45567</v>
      </c>
      <c r="Y739" s="456" t="s">
        <v>377</v>
      </c>
      <c r="Z739" s="457"/>
      <c r="AA739" s="494"/>
    </row>
    <row r="740" spans="1:27" s="128" customFormat="1" ht="36" customHeight="1">
      <c r="A740" s="443">
        <v>40</v>
      </c>
      <c r="B740" s="444" t="s">
        <v>1719</v>
      </c>
      <c r="C740" s="445" t="s">
        <v>74</v>
      </c>
      <c r="D740" s="444" t="s">
        <v>1720</v>
      </c>
      <c r="E740" s="446">
        <v>6</v>
      </c>
      <c r="F740" s="447"/>
      <c r="G740" s="448">
        <f t="shared" si="29"/>
        <v>0</v>
      </c>
      <c r="H740" s="449"/>
      <c r="I740" s="444"/>
      <c r="J740" s="449"/>
      <c r="K740" s="444" t="s">
        <v>1660</v>
      </c>
      <c r="L740" s="450" t="s">
        <v>681</v>
      </c>
      <c r="M740" s="444" t="s">
        <v>1684</v>
      </c>
      <c r="N740" s="450"/>
      <c r="O740" s="450"/>
      <c r="P740" s="450" t="s">
        <v>1662</v>
      </c>
      <c r="Q740" s="451" t="s">
        <v>374</v>
      </c>
      <c r="R740" s="451" t="s">
        <v>249</v>
      </c>
      <c r="S740" s="452" t="s">
        <v>756</v>
      </c>
      <c r="T740" s="452"/>
      <c r="U740" s="453"/>
      <c r="V740" s="454"/>
      <c r="W740" s="455" t="s">
        <v>406</v>
      </c>
      <c r="X740" s="455">
        <v>45571</v>
      </c>
      <c r="Y740" s="456" t="s">
        <v>377</v>
      </c>
      <c r="Z740" s="457"/>
      <c r="AA740" s="494"/>
    </row>
    <row r="741" spans="1:27" s="128" customFormat="1" ht="36" customHeight="1">
      <c r="A741" s="443">
        <v>41</v>
      </c>
      <c r="B741" s="444" t="s">
        <v>1721</v>
      </c>
      <c r="C741" s="445" t="s">
        <v>74</v>
      </c>
      <c r="D741" s="444" t="s">
        <v>1722</v>
      </c>
      <c r="E741" s="446">
        <v>3</v>
      </c>
      <c r="F741" s="447"/>
      <c r="G741" s="448">
        <f t="shared" si="29"/>
        <v>0</v>
      </c>
      <c r="H741" s="449"/>
      <c r="I741" s="444"/>
      <c r="J741" s="449"/>
      <c r="K741" s="444" t="s">
        <v>1660</v>
      </c>
      <c r="L741" s="450" t="s">
        <v>681</v>
      </c>
      <c r="M741" s="444" t="s">
        <v>1723</v>
      </c>
      <c r="N741" s="450"/>
      <c r="O741" s="450"/>
      <c r="P741" s="450" t="s">
        <v>1662</v>
      </c>
      <c r="Q741" s="451" t="s">
        <v>374</v>
      </c>
      <c r="R741" s="451" t="s">
        <v>247</v>
      </c>
      <c r="S741" s="452" t="s">
        <v>548</v>
      </c>
      <c r="T741" s="452">
        <v>45561</v>
      </c>
      <c r="U741" s="453"/>
      <c r="V741" s="454"/>
      <c r="W741" s="455" t="s">
        <v>406</v>
      </c>
      <c r="X741" s="455">
        <v>45560</v>
      </c>
      <c r="Y741" s="456" t="s">
        <v>377</v>
      </c>
      <c r="Z741" s="457"/>
      <c r="AA741" s="494"/>
    </row>
    <row r="742" spans="1:27" s="128" customFormat="1" ht="36" customHeight="1">
      <c r="A742" s="443">
        <v>42</v>
      </c>
      <c r="B742" s="444" t="s">
        <v>1724</v>
      </c>
      <c r="C742" s="445" t="s">
        <v>74</v>
      </c>
      <c r="D742" s="444" t="s">
        <v>1725</v>
      </c>
      <c r="E742" s="446">
        <v>6</v>
      </c>
      <c r="F742" s="447"/>
      <c r="G742" s="448">
        <f t="shared" si="29"/>
        <v>0</v>
      </c>
      <c r="H742" s="449"/>
      <c r="I742" s="444"/>
      <c r="J742" s="449"/>
      <c r="K742" s="444" t="s">
        <v>1660</v>
      </c>
      <c r="L742" s="450" t="s">
        <v>681</v>
      </c>
      <c r="M742" s="444" t="s">
        <v>1723</v>
      </c>
      <c r="N742" s="450"/>
      <c r="O742" s="450"/>
      <c r="P742" s="450" t="s">
        <v>1662</v>
      </c>
      <c r="Q742" s="451" t="s">
        <v>374</v>
      </c>
      <c r="R742" s="451" t="s">
        <v>247</v>
      </c>
      <c r="S742" s="452" t="s">
        <v>548</v>
      </c>
      <c r="T742" s="452">
        <v>45561</v>
      </c>
      <c r="U742" s="453"/>
      <c r="V742" s="454"/>
      <c r="W742" s="455" t="s">
        <v>406</v>
      </c>
      <c r="X742" s="455">
        <v>45560</v>
      </c>
      <c r="Y742" s="456" t="s">
        <v>377</v>
      </c>
      <c r="Z742" s="457"/>
      <c r="AA742" s="494"/>
    </row>
    <row r="743" spans="1:27" s="128" customFormat="1" ht="36" customHeight="1">
      <c r="A743" s="443">
        <v>43</v>
      </c>
      <c r="B743" s="444" t="s">
        <v>1726</v>
      </c>
      <c r="C743" s="445" t="s">
        <v>74</v>
      </c>
      <c r="D743" s="444" t="s">
        <v>1727</v>
      </c>
      <c r="E743" s="446">
        <v>3</v>
      </c>
      <c r="F743" s="447"/>
      <c r="G743" s="448">
        <f t="shared" si="29"/>
        <v>0</v>
      </c>
      <c r="H743" s="449"/>
      <c r="I743" s="444"/>
      <c r="J743" s="449"/>
      <c r="K743" s="444" t="s">
        <v>1660</v>
      </c>
      <c r="L743" s="450" t="s">
        <v>681</v>
      </c>
      <c r="M743" s="444" t="s">
        <v>1728</v>
      </c>
      <c r="N743" s="450"/>
      <c r="O743" s="450"/>
      <c r="P743" s="450" t="s">
        <v>1662</v>
      </c>
      <c r="Q743" s="451" t="s">
        <v>374</v>
      </c>
      <c r="R743" s="451" t="s">
        <v>273</v>
      </c>
      <c r="S743" s="452" t="s">
        <v>548</v>
      </c>
      <c r="T743" s="452">
        <v>45561</v>
      </c>
      <c r="U743" s="453"/>
      <c r="V743" s="454"/>
      <c r="W743" s="455" t="s">
        <v>406</v>
      </c>
      <c r="X743" s="455">
        <v>45561</v>
      </c>
      <c r="Y743" s="456" t="s">
        <v>377</v>
      </c>
      <c r="Z743" s="457"/>
      <c r="AA743" s="494"/>
    </row>
    <row r="744" spans="1:27" s="128" customFormat="1" ht="36" customHeight="1">
      <c r="A744" s="443">
        <v>44</v>
      </c>
      <c r="B744" s="444" t="s">
        <v>1729</v>
      </c>
      <c r="C744" s="445" t="s">
        <v>74</v>
      </c>
      <c r="D744" s="444" t="s">
        <v>1730</v>
      </c>
      <c r="E744" s="446">
        <v>4</v>
      </c>
      <c r="F744" s="447"/>
      <c r="G744" s="448">
        <f t="shared" si="29"/>
        <v>0</v>
      </c>
      <c r="H744" s="449"/>
      <c r="I744" s="444"/>
      <c r="J744" s="449"/>
      <c r="K744" s="444"/>
      <c r="L744" s="450"/>
      <c r="M744" s="444"/>
      <c r="N744" s="450"/>
      <c r="O744" s="450"/>
      <c r="P744" s="450"/>
      <c r="Q744" s="451" t="s">
        <v>374</v>
      </c>
      <c r="R744" s="451"/>
      <c r="S744" s="452"/>
      <c r="T744" s="452"/>
      <c r="U744" s="453"/>
      <c r="V744" s="454"/>
      <c r="W744" s="455" t="s">
        <v>406</v>
      </c>
      <c r="X744" s="455">
        <v>45519</v>
      </c>
      <c r="Y744" s="456" t="s">
        <v>377</v>
      </c>
      <c r="Z744" s="457"/>
      <c r="AA744" s="494"/>
    </row>
    <row r="745" spans="1:27" s="128" customFormat="1" ht="36" customHeight="1">
      <c r="A745" s="443">
        <v>45</v>
      </c>
      <c r="B745" s="444" t="s">
        <v>1731</v>
      </c>
      <c r="C745" s="445" t="s">
        <v>74</v>
      </c>
      <c r="D745" s="444" t="s">
        <v>1732</v>
      </c>
      <c r="E745" s="446">
        <v>1</v>
      </c>
      <c r="F745" s="447"/>
      <c r="G745" s="448">
        <f t="shared" si="29"/>
        <v>0</v>
      </c>
      <c r="H745" s="449"/>
      <c r="I745" s="444"/>
      <c r="J745" s="449"/>
      <c r="K745" s="444" t="s">
        <v>1660</v>
      </c>
      <c r="L745" s="450" t="s">
        <v>681</v>
      </c>
      <c r="M745" s="444" t="s">
        <v>1733</v>
      </c>
      <c r="N745" s="450"/>
      <c r="O745" s="450"/>
      <c r="P745" s="450" t="s">
        <v>1662</v>
      </c>
      <c r="Q745" s="451" t="s">
        <v>374</v>
      </c>
      <c r="R745" s="451" t="s">
        <v>269</v>
      </c>
      <c r="S745" s="452" t="s">
        <v>548</v>
      </c>
      <c r="T745" s="452"/>
      <c r="U745" s="453"/>
      <c r="V745" s="454"/>
      <c r="W745" s="455" t="s">
        <v>376</v>
      </c>
      <c r="X745" s="455">
        <v>45559</v>
      </c>
      <c r="Y745" s="456" t="s">
        <v>377</v>
      </c>
      <c r="Z745" s="457"/>
      <c r="AA745" s="494"/>
    </row>
    <row r="746" spans="1:27" s="128" customFormat="1" ht="36" customHeight="1">
      <c r="A746" s="443">
        <v>46</v>
      </c>
      <c r="B746" s="444" t="s">
        <v>1734</v>
      </c>
      <c r="C746" s="445" t="s">
        <v>74</v>
      </c>
      <c r="D746" s="444" t="s">
        <v>1735</v>
      </c>
      <c r="E746" s="446">
        <v>6</v>
      </c>
      <c r="F746" s="447"/>
      <c r="G746" s="448">
        <f t="shared" si="29"/>
        <v>0</v>
      </c>
      <c r="H746" s="449"/>
      <c r="I746" s="444"/>
      <c r="J746" s="449"/>
      <c r="K746" s="444" t="s">
        <v>1660</v>
      </c>
      <c r="L746" s="450" t="s">
        <v>681</v>
      </c>
      <c r="M746" s="444" t="s">
        <v>1728</v>
      </c>
      <c r="N746" s="450"/>
      <c r="O746" s="450"/>
      <c r="P746" s="450" t="s">
        <v>1662</v>
      </c>
      <c r="Q746" s="451" t="s">
        <v>374</v>
      </c>
      <c r="R746" s="451" t="s">
        <v>273</v>
      </c>
      <c r="S746" s="452" t="s">
        <v>548</v>
      </c>
      <c r="T746" s="452" t="s">
        <v>1712</v>
      </c>
      <c r="U746" s="453"/>
      <c r="V746" s="454"/>
      <c r="W746" s="455" t="s">
        <v>406</v>
      </c>
      <c r="X746" s="455">
        <v>45565</v>
      </c>
      <c r="Y746" s="456" t="s">
        <v>377</v>
      </c>
      <c r="Z746" s="457"/>
      <c r="AA746" s="494"/>
    </row>
    <row r="747" spans="1:27" s="128" customFormat="1" ht="36" customHeight="1">
      <c r="A747" s="443">
        <v>47</v>
      </c>
      <c r="B747" s="444" t="s">
        <v>1736</v>
      </c>
      <c r="C747" s="445" t="s">
        <v>74</v>
      </c>
      <c r="D747" s="444" t="s">
        <v>1737</v>
      </c>
      <c r="E747" s="446">
        <v>2</v>
      </c>
      <c r="F747" s="447"/>
      <c r="G747" s="448">
        <f t="shared" si="29"/>
        <v>0</v>
      </c>
      <c r="H747" s="449"/>
      <c r="I747" s="444"/>
      <c r="J747" s="449"/>
      <c r="K747" s="444" t="s">
        <v>1660</v>
      </c>
      <c r="L747" s="450" t="s">
        <v>681</v>
      </c>
      <c r="M747" s="444" t="s">
        <v>1661</v>
      </c>
      <c r="N747" s="450"/>
      <c r="O747" s="450"/>
      <c r="P747" s="450" t="s">
        <v>1662</v>
      </c>
      <c r="Q747" s="451" t="s">
        <v>374</v>
      </c>
      <c r="R747" s="451" t="s">
        <v>311</v>
      </c>
      <c r="S747" s="452" t="s">
        <v>806</v>
      </c>
      <c r="T747" s="452"/>
      <c r="U747" s="453"/>
      <c r="V747" s="454"/>
      <c r="W747" s="455" t="s">
        <v>406</v>
      </c>
      <c r="X747" s="455">
        <v>45560</v>
      </c>
      <c r="Y747" s="456" t="s">
        <v>377</v>
      </c>
      <c r="Z747" s="457"/>
      <c r="AA747" s="494"/>
    </row>
    <row r="748" spans="1:27" s="128" customFormat="1" ht="18" customHeight="1">
      <c r="A748" s="443">
        <v>48</v>
      </c>
      <c r="B748" s="444" t="s">
        <v>1658</v>
      </c>
      <c r="C748" s="445" t="s">
        <v>74</v>
      </c>
      <c r="D748" s="444" t="s">
        <v>1659</v>
      </c>
      <c r="E748" s="446">
        <v>2</v>
      </c>
      <c r="F748" s="447"/>
      <c r="G748" s="448">
        <f t="shared" ref="G748:G771" si="30">E748*F748</f>
        <v>0</v>
      </c>
      <c r="H748" s="449"/>
      <c r="I748" s="444"/>
      <c r="J748" s="449"/>
      <c r="K748" s="444" t="s">
        <v>1738</v>
      </c>
      <c r="L748" s="450" t="s">
        <v>681</v>
      </c>
      <c r="M748" s="444" t="s">
        <v>1739</v>
      </c>
      <c r="N748" s="450"/>
      <c r="O748" s="450"/>
      <c r="P748" s="450" t="s">
        <v>1662</v>
      </c>
      <c r="Q748" s="451" t="s">
        <v>611</v>
      </c>
      <c r="R748" s="451" t="s">
        <v>311</v>
      </c>
      <c r="S748" s="452" t="s">
        <v>548</v>
      </c>
      <c r="T748" s="452"/>
      <c r="U748" s="453"/>
      <c r="V748" s="454"/>
      <c r="W748" s="455" t="s">
        <v>406</v>
      </c>
      <c r="X748" s="455">
        <v>45544</v>
      </c>
      <c r="Y748" s="456" t="s">
        <v>377</v>
      </c>
      <c r="Z748" s="457"/>
      <c r="AA748" s="494"/>
    </row>
    <row r="749" spans="1:27" s="128" customFormat="1" ht="18" customHeight="1">
      <c r="A749" s="443">
        <v>49</v>
      </c>
      <c r="B749" s="444" t="s">
        <v>1740</v>
      </c>
      <c r="C749" s="445" t="s">
        <v>74</v>
      </c>
      <c r="D749" s="444" t="s">
        <v>1741</v>
      </c>
      <c r="E749" s="446">
        <v>3</v>
      </c>
      <c r="F749" s="447"/>
      <c r="G749" s="448">
        <f t="shared" si="30"/>
        <v>0</v>
      </c>
      <c r="H749" s="449"/>
      <c r="I749" s="444"/>
      <c r="J749" s="449"/>
      <c r="K749" s="444" t="s">
        <v>1738</v>
      </c>
      <c r="L749" s="450" t="s">
        <v>681</v>
      </c>
      <c r="M749" s="444" t="s">
        <v>1739</v>
      </c>
      <c r="N749" s="450"/>
      <c r="O749" s="450"/>
      <c r="P749" s="450" t="s">
        <v>1662</v>
      </c>
      <c r="Q749" s="451" t="s">
        <v>374</v>
      </c>
      <c r="R749" s="451" t="s">
        <v>311</v>
      </c>
      <c r="S749" s="452" t="s">
        <v>548</v>
      </c>
      <c r="T749" s="452"/>
      <c r="U749" s="453"/>
      <c r="V749" s="454"/>
      <c r="W749" s="455" t="s">
        <v>406</v>
      </c>
      <c r="X749" s="455">
        <v>45544</v>
      </c>
      <c r="Y749" s="456" t="s">
        <v>377</v>
      </c>
      <c r="Z749" s="457"/>
      <c r="AA749" s="494"/>
    </row>
    <row r="750" spans="1:27" s="128" customFormat="1" ht="18" customHeight="1">
      <c r="A750" s="443">
        <v>50</v>
      </c>
      <c r="B750" s="444" t="s">
        <v>1742</v>
      </c>
      <c r="C750" s="445" t="s">
        <v>74</v>
      </c>
      <c r="D750" s="444" t="s">
        <v>1743</v>
      </c>
      <c r="E750" s="446">
        <v>5</v>
      </c>
      <c r="F750" s="447"/>
      <c r="G750" s="448">
        <f t="shared" si="30"/>
        <v>0</v>
      </c>
      <c r="H750" s="449"/>
      <c r="I750" s="444"/>
      <c r="J750" s="449"/>
      <c r="K750" s="444" t="s">
        <v>1738</v>
      </c>
      <c r="L750" s="450" t="s">
        <v>681</v>
      </c>
      <c r="M750" s="444" t="s">
        <v>1744</v>
      </c>
      <c r="N750" s="450"/>
      <c r="O750" s="450"/>
      <c r="P750" s="450" t="s">
        <v>1662</v>
      </c>
      <c r="Q750" s="451" t="s">
        <v>374</v>
      </c>
      <c r="R750" s="451" t="s">
        <v>251</v>
      </c>
      <c r="S750" s="452" t="s">
        <v>806</v>
      </c>
      <c r="T750" s="452">
        <v>45568</v>
      </c>
      <c r="U750" s="453"/>
      <c r="V750" s="454"/>
      <c r="W750" s="455" t="s">
        <v>406</v>
      </c>
      <c r="X750" s="455">
        <v>45561</v>
      </c>
      <c r="Y750" s="456" t="s">
        <v>377</v>
      </c>
      <c r="Z750" s="457"/>
      <c r="AA750" s="494"/>
    </row>
    <row r="751" spans="1:27" s="128" customFormat="1" ht="18" customHeight="1">
      <c r="A751" s="443">
        <v>51</v>
      </c>
      <c r="B751" s="444" t="s">
        <v>1517</v>
      </c>
      <c r="C751" s="445" t="s">
        <v>74</v>
      </c>
      <c r="D751" s="444" t="s">
        <v>1518</v>
      </c>
      <c r="E751" s="446">
        <v>3</v>
      </c>
      <c r="F751" s="447"/>
      <c r="G751" s="448">
        <f t="shared" si="30"/>
        <v>0</v>
      </c>
      <c r="H751" s="449"/>
      <c r="I751" s="444"/>
      <c r="J751" s="449"/>
      <c r="K751" s="444"/>
      <c r="L751" s="450"/>
      <c r="M751" s="444"/>
      <c r="N751" s="450"/>
      <c r="O751" s="450"/>
      <c r="P751" s="450"/>
      <c r="Q751" s="451" t="s">
        <v>374</v>
      </c>
      <c r="R751" s="451"/>
      <c r="S751" s="452"/>
      <c r="T751" s="452"/>
      <c r="U751" s="453"/>
      <c r="V751" s="454"/>
      <c r="W751" s="455" t="s">
        <v>406</v>
      </c>
      <c r="X751" s="455">
        <v>45544</v>
      </c>
      <c r="Y751" s="456" t="s">
        <v>377</v>
      </c>
      <c r="Z751" s="457"/>
      <c r="AA751" s="494"/>
    </row>
    <row r="752" spans="1:27" s="128" customFormat="1" ht="36" customHeight="1">
      <c r="A752" s="443">
        <v>52</v>
      </c>
      <c r="B752" s="444" t="s">
        <v>1745</v>
      </c>
      <c r="C752" s="445" t="s">
        <v>74</v>
      </c>
      <c r="D752" s="444" t="s">
        <v>1746</v>
      </c>
      <c r="E752" s="446">
        <v>1</v>
      </c>
      <c r="F752" s="447"/>
      <c r="G752" s="448">
        <f t="shared" si="30"/>
        <v>0</v>
      </c>
      <c r="H752" s="449"/>
      <c r="I752" s="444"/>
      <c r="J752" s="449"/>
      <c r="K752" s="444" t="s">
        <v>1738</v>
      </c>
      <c r="L752" s="450" t="s">
        <v>681</v>
      </c>
      <c r="M752" s="444" t="s">
        <v>1747</v>
      </c>
      <c r="N752" s="450"/>
      <c r="O752" s="450"/>
      <c r="P752" s="450" t="s">
        <v>1662</v>
      </c>
      <c r="Q752" s="451" t="s">
        <v>374</v>
      </c>
      <c r="R752" s="451" t="s">
        <v>237</v>
      </c>
      <c r="S752" s="452" t="s">
        <v>763</v>
      </c>
      <c r="T752" s="452">
        <v>45568</v>
      </c>
      <c r="U752" s="453"/>
      <c r="V752" s="454"/>
      <c r="W752" s="455" t="s">
        <v>406</v>
      </c>
      <c r="X752" s="455">
        <v>45567</v>
      </c>
      <c r="Y752" s="456" t="s">
        <v>377</v>
      </c>
      <c r="Z752" s="457"/>
      <c r="AA752" s="494"/>
    </row>
    <row r="753" spans="1:27" s="128" customFormat="1" ht="18" customHeight="1">
      <c r="A753" s="443">
        <v>53</v>
      </c>
      <c r="B753" s="444" t="s">
        <v>1748</v>
      </c>
      <c r="C753" s="445" t="s">
        <v>74</v>
      </c>
      <c r="D753" s="444" t="s">
        <v>1749</v>
      </c>
      <c r="E753" s="446">
        <v>2</v>
      </c>
      <c r="F753" s="447"/>
      <c r="G753" s="448">
        <f t="shared" si="30"/>
        <v>0</v>
      </c>
      <c r="H753" s="449"/>
      <c r="I753" s="444"/>
      <c r="J753" s="449"/>
      <c r="K753" s="444" t="s">
        <v>1738</v>
      </c>
      <c r="L753" s="450" t="s">
        <v>681</v>
      </c>
      <c r="M753" s="444" t="s">
        <v>1747</v>
      </c>
      <c r="N753" s="450"/>
      <c r="O753" s="450"/>
      <c r="P753" s="450" t="s">
        <v>1662</v>
      </c>
      <c r="Q753" s="451" t="s">
        <v>374</v>
      </c>
      <c r="R753" s="451" t="s">
        <v>237</v>
      </c>
      <c r="S753" s="452" t="s">
        <v>763</v>
      </c>
      <c r="T753" s="452">
        <v>45568</v>
      </c>
      <c r="U753" s="453"/>
      <c r="V753" s="454"/>
      <c r="W753" s="455" t="s">
        <v>406</v>
      </c>
      <c r="X753" s="455">
        <v>45567</v>
      </c>
      <c r="Y753" s="456" t="s">
        <v>377</v>
      </c>
      <c r="Z753" s="457"/>
      <c r="AA753" s="494"/>
    </row>
    <row r="754" spans="1:27" s="128" customFormat="1" ht="18" customHeight="1">
      <c r="A754" s="443">
        <v>54</v>
      </c>
      <c r="B754" s="444" t="s">
        <v>1750</v>
      </c>
      <c r="C754" s="445" t="s">
        <v>74</v>
      </c>
      <c r="D754" s="444" t="s">
        <v>1751</v>
      </c>
      <c r="E754" s="446">
        <v>4</v>
      </c>
      <c r="F754" s="447"/>
      <c r="G754" s="448">
        <f t="shared" si="30"/>
        <v>0</v>
      </c>
      <c r="H754" s="449"/>
      <c r="I754" s="444"/>
      <c r="J754" s="449"/>
      <c r="K754" s="444" t="s">
        <v>1738</v>
      </c>
      <c r="L754" s="450" t="s">
        <v>681</v>
      </c>
      <c r="M754" s="444" t="s">
        <v>1752</v>
      </c>
      <c r="N754" s="450"/>
      <c r="O754" s="450"/>
      <c r="P754" s="450" t="s">
        <v>1662</v>
      </c>
      <c r="Q754" s="451" t="s">
        <v>374</v>
      </c>
      <c r="R754" s="451" t="s">
        <v>263</v>
      </c>
      <c r="S754" s="452" t="s">
        <v>806</v>
      </c>
      <c r="T754" s="452"/>
      <c r="U754" s="453"/>
      <c r="V754" s="454"/>
      <c r="W754" s="455" t="s">
        <v>406</v>
      </c>
      <c r="X754" s="455">
        <v>45544</v>
      </c>
      <c r="Y754" s="456" t="s">
        <v>377</v>
      </c>
      <c r="Z754" s="457"/>
      <c r="AA754" s="494"/>
    </row>
    <row r="755" spans="1:27" s="128" customFormat="1" ht="36" customHeight="1">
      <c r="A755" s="443">
        <v>55</v>
      </c>
      <c r="B755" s="444" t="s">
        <v>1070</v>
      </c>
      <c r="C755" s="445" t="s">
        <v>74</v>
      </c>
      <c r="D755" s="444" t="s">
        <v>919</v>
      </c>
      <c r="E755" s="446">
        <v>1</v>
      </c>
      <c r="F755" s="447"/>
      <c r="G755" s="448">
        <f t="shared" si="30"/>
        <v>0</v>
      </c>
      <c r="H755" s="449"/>
      <c r="I755" s="444"/>
      <c r="J755" s="449"/>
      <c r="K755" s="444"/>
      <c r="L755" s="450"/>
      <c r="M755" s="444"/>
      <c r="N755" s="450"/>
      <c r="O755" s="450"/>
      <c r="P755" s="450"/>
      <c r="Q755" s="451" t="s">
        <v>374</v>
      </c>
      <c r="R755" s="451"/>
      <c r="S755" s="452"/>
      <c r="T755" s="452">
        <v>45576</v>
      </c>
      <c r="U755" s="453"/>
      <c r="V755" s="454"/>
      <c r="W755" s="455" t="s">
        <v>406</v>
      </c>
      <c r="X755" s="455">
        <v>45576</v>
      </c>
      <c r="Y755" s="456" t="s">
        <v>377</v>
      </c>
      <c r="Z755" s="457"/>
      <c r="AA755" s="494"/>
    </row>
    <row r="756" spans="1:27" s="128" customFormat="1" ht="18" customHeight="1">
      <c r="A756" s="443">
        <v>56</v>
      </c>
      <c r="B756" s="444" t="s">
        <v>1753</v>
      </c>
      <c r="C756" s="445" t="s">
        <v>74</v>
      </c>
      <c r="D756" s="444" t="s">
        <v>1754</v>
      </c>
      <c r="E756" s="446">
        <v>1</v>
      </c>
      <c r="F756" s="447"/>
      <c r="G756" s="448">
        <f t="shared" si="30"/>
        <v>0</v>
      </c>
      <c r="H756" s="449"/>
      <c r="I756" s="444"/>
      <c r="J756" s="449"/>
      <c r="K756" s="444" t="s">
        <v>1738</v>
      </c>
      <c r="L756" s="450" t="s">
        <v>681</v>
      </c>
      <c r="M756" s="444" t="s">
        <v>1752</v>
      </c>
      <c r="N756" s="450"/>
      <c r="O756" s="450"/>
      <c r="P756" s="450" t="s">
        <v>1662</v>
      </c>
      <c r="Q756" s="451" t="s">
        <v>374</v>
      </c>
      <c r="R756" s="451" t="s">
        <v>263</v>
      </c>
      <c r="S756" s="452" t="s">
        <v>806</v>
      </c>
      <c r="T756" s="452">
        <v>45568</v>
      </c>
      <c r="U756" s="453"/>
      <c r="V756" s="454"/>
      <c r="W756" s="455" t="s">
        <v>406</v>
      </c>
      <c r="X756" s="455">
        <v>45562</v>
      </c>
      <c r="Y756" s="456" t="s">
        <v>377</v>
      </c>
      <c r="Z756" s="457"/>
      <c r="AA756" s="494"/>
    </row>
    <row r="757" spans="1:27" s="128" customFormat="1" ht="18" customHeight="1">
      <c r="A757" s="443">
        <v>57</v>
      </c>
      <c r="B757" s="444" t="s">
        <v>1755</v>
      </c>
      <c r="C757" s="445" t="s">
        <v>74</v>
      </c>
      <c r="D757" s="444" t="s">
        <v>1756</v>
      </c>
      <c r="E757" s="446">
        <v>10</v>
      </c>
      <c r="F757" s="447"/>
      <c r="G757" s="448">
        <f t="shared" si="30"/>
        <v>0</v>
      </c>
      <c r="H757" s="449"/>
      <c r="I757" s="444"/>
      <c r="J757" s="449"/>
      <c r="K757" s="444" t="s">
        <v>1738</v>
      </c>
      <c r="L757" s="450" t="s">
        <v>681</v>
      </c>
      <c r="M757" s="444" t="s">
        <v>1744</v>
      </c>
      <c r="N757" s="450"/>
      <c r="O757" s="450"/>
      <c r="P757" s="450" t="s">
        <v>1662</v>
      </c>
      <c r="Q757" s="451" t="s">
        <v>374</v>
      </c>
      <c r="R757" s="451" t="s">
        <v>251</v>
      </c>
      <c r="S757" s="452" t="s">
        <v>806</v>
      </c>
      <c r="T757" s="452">
        <v>45568</v>
      </c>
      <c r="U757" s="453"/>
      <c r="V757" s="454"/>
      <c r="W757" s="455" t="s">
        <v>406</v>
      </c>
      <c r="X757" s="455">
        <v>45561</v>
      </c>
      <c r="Y757" s="456" t="s">
        <v>377</v>
      </c>
      <c r="Z757" s="457"/>
      <c r="AA757" s="494"/>
    </row>
    <row r="758" spans="1:27" s="128" customFormat="1" ht="18" customHeight="1">
      <c r="A758" s="443">
        <v>58</v>
      </c>
      <c r="B758" s="444" t="s">
        <v>1757</v>
      </c>
      <c r="C758" s="445" t="s">
        <v>74</v>
      </c>
      <c r="D758" s="444" t="s">
        <v>1758</v>
      </c>
      <c r="E758" s="446">
        <v>1</v>
      </c>
      <c r="F758" s="447"/>
      <c r="G758" s="448">
        <f t="shared" si="30"/>
        <v>0</v>
      </c>
      <c r="H758" s="449"/>
      <c r="I758" s="444"/>
      <c r="J758" s="449"/>
      <c r="K758" s="444" t="s">
        <v>1738</v>
      </c>
      <c r="L758" s="450" t="s">
        <v>681</v>
      </c>
      <c r="M758" s="444" t="s">
        <v>1759</v>
      </c>
      <c r="N758" s="450"/>
      <c r="O758" s="450"/>
      <c r="P758" s="450" t="s">
        <v>1662</v>
      </c>
      <c r="Q758" s="451" t="s">
        <v>374</v>
      </c>
      <c r="R758" s="451" t="s">
        <v>995</v>
      </c>
      <c r="S758" s="452" t="s">
        <v>425</v>
      </c>
      <c r="T758" s="452">
        <v>45575</v>
      </c>
      <c r="U758" s="453"/>
      <c r="V758" s="454"/>
      <c r="W758" s="455" t="s">
        <v>406</v>
      </c>
      <c r="X758" s="455">
        <v>45561</v>
      </c>
      <c r="Y758" s="456" t="s">
        <v>377</v>
      </c>
      <c r="Z758" s="457"/>
      <c r="AA758" s="494"/>
    </row>
    <row r="759" spans="1:27" s="128" customFormat="1" ht="18" customHeight="1">
      <c r="A759" s="443">
        <v>59</v>
      </c>
      <c r="B759" s="444" t="s">
        <v>1760</v>
      </c>
      <c r="C759" s="445" t="s">
        <v>74</v>
      </c>
      <c r="D759" s="444" t="s">
        <v>1761</v>
      </c>
      <c r="E759" s="446">
        <v>1</v>
      </c>
      <c r="F759" s="447"/>
      <c r="G759" s="448">
        <f t="shared" si="30"/>
        <v>0</v>
      </c>
      <c r="H759" s="449"/>
      <c r="I759" s="444"/>
      <c r="J759" s="449"/>
      <c r="K759" s="444" t="s">
        <v>1738</v>
      </c>
      <c r="L759" s="450" t="s">
        <v>681</v>
      </c>
      <c r="M759" s="444" t="s">
        <v>1752</v>
      </c>
      <c r="N759" s="450"/>
      <c r="O759" s="450"/>
      <c r="P759" s="450" t="s">
        <v>1662</v>
      </c>
      <c r="Q759" s="451" t="s">
        <v>374</v>
      </c>
      <c r="R759" s="451" t="s">
        <v>263</v>
      </c>
      <c r="S759" s="452" t="s">
        <v>806</v>
      </c>
      <c r="T759" s="452"/>
      <c r="U759" s="453"/>
      <c r="V759" s="454"/>
      <c r="W759" s="455" t="s">
        <v>406</v>
      </c>
      <c r="X759" s="455">
        <v>45544</v>
      </c>
      <c r="Y759" s="456" t="s">
        <v>377</v>
      </c>
      <c r="Z759" s="457"/>
      <c r="AA759" s="494"/>
    </row>
    <row r="760" spans="1:27" s="128" customFormat="1" ht="18" customHeight="1">
      <c r="A760" s="443">
        <v>60</v>
      </c>
      <c r="B760" s="444" t="s">
        <v>1762</v>
      </c>
      <c r="C760" s="445" t="s">
        <v>74</v>
      </c>
      <c r="D760" s="444" t="s">
        <v>1763</v>
      </c>
      <c r="E760" s="446">
        <v>1</v>
      </c>
      <c r="F760" s="447"/>
      <c r="G760" s="448">
        <f t="shared" si="30"/>
        <v>0</v>
      </c>
      <c r="H760" s="449"/>
      <c r="I760" s="444"/>
      <c r="J760" s="449"/>
      <c r="K760" s="444" t="s">
        <v>1738</v>
      </c>
      <c r="L760" s="450" t="s">
        <v>681</v>
      </c>
      <c r="M760" s="444" t="s">
        <v>1752</v>
      </c>
      <c r="N760" s="450"/>
      <c r="O760" s="450"/>
      <c r="P760" s="450" t="s">
        <v>1662</v>
      </c>
      <c r="Q760" s="451" t="s">
        <v>374</v>
      </c>
      <c r="R760" s="451" t="s">
        <v>263</v>
      </c>
      <c r="S760" s="452" t="s">
        <v>806</v>
      </c>
      <c r="T760" s="452">
        <v>45568</v>
      </c>
      <c r="U760" s="453"/>
      <c r="V760" s="454"/>
      <c r="W760" s="455" t="s">
        <v>406</v>
      </c>
      <c r="X760" s="455">
        <v>45562</v>
      </c>
      <c r="Y760" s="456" t="s">
        <v>377</v>
      </c>
      <c r="Z760" s="457"/>
      <c r="AA760" s="494"/>
    </row>
    <row r="761" spans="1:27" s="128" customFormat="1" ht="18" customHeight="1">
      <c r="A761" s="443">
        <v>61</v>
      </c>
      <c r="B761" s="444" t="s">
        <v>1764</v>
      </c>
      <c r="C761" s="445" t="s">
        <v>74</v>
      </c>
      <c r="D761" s="444" t="s">
        <v>1765</v>
      </c>
      <c r="E761" s="446">
        <v>1</v>
      </c>
      <c r="F761" s="447"/>
      <c r="G761" s="448">
        <f t="shared" si="30"/>
        <v>0</v>
      </c>
      <c r="H761" s="449"/>
      <c r="I761" s="444"/>
      <c r="J761" s="449"/>
      <c r="K761" s="444" t="s">
        <v>1738</v>
      </c>
      <c r="L761" s="450" t="s">
        <v>681</v>
      </c>
      <c r="M761" s="444" t="s">
        <v>1747</v>
      </c>
      <c r="N761" s="450"/>
      <c r="O761" s="450"/>
      <c r="P761" s="450" t="s">
        <v>1662</v>
      </c>
      <c r="Q761" s="451" t="s">
        <v>374</v>
      </c>
      <c r="R761" s="451" t="s">
        <v>237</v>
      </c>
      <c r="S761" s="452" t="s">
        <v>763</v>
      </c>
      <c r="T761" s="452"/>
      <c r="U761" s="453"/>
      <c r="V761" s="454"/>
      <c r="W761" s="455" t="s">
        <v>406</v>
      </c>
      <c r="X761" s="455">
        <v>45544</v>
      </c>
      <c r="Y761" s="456" t="s">
        <v>377</v>
      </c>
      <c r="Z761" s="457"/>
      <c r="AA761" s="494"/>
    </row>
    <row r="762" spans="1:27" s="128" customFormat="1" ht="18" customHeight="1">
      <c r="A762" s="443">
        <v>62</v>
      </c>
      <c r="B762" s="444" t="s">
        <v>1766</v>
      </c>
      <c r="C762" s="445" t="s">
        <v>74</v>
      </c>
      <c r="D762" s="444" t="s">
        <v>1767</v>
      </c>
      <c r="E762" s="446">
        <v>4</v>
      </c>
      <c r="F762" s="447"/>
      <c r="G762" s="448">
        <f t="shared" si="30"/>
        <v>0</v>
      </c>
      <c r="H762" s="449"/>
      <c r="I762" s="444"/>
      <c r="J762" s="449"/>
      <c r="K762" s="444" t="s">
        <v>1738</v>
      </c>
      <c r="L762" s="450" t="s">
        <v>681</v>
      </c>
      <c r="M762" s="444" t="s">
        <v>1744</v>
      </c>
      <c r="N762" s="450"/>
      <c r="O762" s="450"/>
      <c r="P762" s="450" t="s">
        <v>1662</v>
      </c>
      <c r="Q762" s="451" t="s">
        <v>374</v>
      </c>
      <c r="R762" s="451" t="s">
        <v>251</v>
      </c>
      <c r="S762" s="452" t="s">
        <v>806</v>
      </c>
      <c r="T762" s="452"/>
      <c r="U762" s="453"/>
      <c r="V762" s="454"/>
      <c r="W762" s="455" t="s">
        <v>406</v>
      </c>
      <c r="X762" s="455">
        <v>45544</v>
      </c>
      <c r="Y762" s="456" t="s">
        <v>377</v>
      </c>
      <c r="Z762" s="457"/>
      <c r="AA762" s="494"/>
    </row>
    <row r="763" spans="1:27" s="128" customFormat="1" ht="18" customHeight="1">
      <c r="A763" s="443">
        <v>63</v>
      </c>
      <c r="B763" s="444" t="s">
        <v>1768</v>
      </c>
      <c r="C763" s="445" t="s">
        <v>74</v>
      </c>
      <c r="D763" s="444" t="s">
        <v>1769</v>
      </c>
      <c r="E763" s="446">
        <v>1</v>
      </c>
      <c r="F763" s="447"/>
      <c r="G763" s="448">
        <f t="shared" si="30"/>
        <v>0</v>
      </c>
      <c r="H763" s="449"/>
      <c r="I763" s="444"/>
      <c r="J763" s="449"/>
      <c r="K763" s="444" t="s">
        <v>1738</v>
      </c>
      <c r="L763" s="450" t="s">
        <v>681</v>
      </c>
      <c r="M763" s="444" t="s">
        <v>1747</v>
      </c>
      <c r="N763" s="450"/>
      <c r="O763" s="450"/>
      <c r="P763" s="450" t="s">
        <v>1662</v>
      </c>
      <c r="Q763" s="451" t="s">
        <v>374</v>
      </c>
      <c r="R763" s="451" t="s">
        <v>237</v>
      </c>
      <c r="S763" s="452" t="s">
        <v>763</v>
      </c>
      <c r="T763" s="452"/>
      <c r="U763" s="453"/>
      <c r="V763" s="454"/>
      <c r="W763" s="455" t="s">
        <v>406</v>
      </c>
      <c r="X763" s="455">
        <v>45567</v>
      </c>
      <c r="Y763" s="456" t="s">
        <v>377</v>
      </c>
      <c r="Z763" s="457"/>
      <c r="AA763" s="494"/>
    </row>
    <row r="764" spans="1:27" s="128" customFormat="1" ht="18" customHeight="1">
      <c r="A764" s="443">
        <v>64</v>
      </c>
      <c r="B764" s="444" t="s">
        <v>1770</v>
      </c>
      <c r="C764" s="445" t="s">
        <v>74</v>
      </c>
      <c r="D764" s="444" t="s">
        <v>1771</v>
      </c>
      <c r="E764" s="446">
        <v>1</v>
      </c>
      <c r="F764" s="447"/>
      <c r="G764" s="448">
        <f t="shared" si="30"/>
        <v>0</v>
      </c>
      <c r="H764" s="449"/>
      <c r="I764" s="444"/>
      <c r="J764" s="449"/>
      <c r="K764" s="444"/>
      <c r="L764" s="450"/>
      <c r="M764" s="444"/>
      <c r="N764" s="450"/>
      <c r="O764" s="450"/>
      <c r="P764" s="450"/>
      <c r="Q764" s="451" t="s">
        <v>374</v>
      </c>
      <c r="R764" s="451"/>
      <c r="S764" s="452"/>
      <c r="T764" s="452"/>
      <c r="U764" s="453"/>
      <c r="V764" s="454"/>
      <c r="W764" s="455" t="s">
        <v>406</v>
      </c>
      <c r="X764" s="455">
        <v>45544</v>
      </c>
      <c r="Y764" s="456" t="s">
        <v>377</v>
      </c>
      <c r="Z764" s="457"/>
      <c r="AA764" s="494"/>
    </row>
    <row r="765" spans="1:27" s="128" customFormat="1" ht="18" customHeight="1">
      <c r="A765" s="443">
        <v>65</v>
      </c>
      <c r="B765" s="444" t="s">
        <v>1772</v>
      </c>
      <c r="C765" s="445" t="s">
        <v>74</v>
      </c>
      <c r="D765" s="444" t="s">
        <v>1773</v>
      </c>
      <c r="E765" s="446">
        <v>2</v>
      </c>
      <c r="F765" s="447"/>
      <c r="G765" s="448">
        <f t="shared" si="30"/>
        <v>0</v>
      </c>
      <c r="H765" s="449"/>
      <c r="I765" s="444"/>
      <c r="J765" s="449"/>
      <c r="K765" s="444" t="s">
        <v>1738</v>
      </c>
      <c r="L765" s="450" t="s">
        <v>681</v>
      </c>
      <c r="M765" s="444" t="s">
        <v>1774</v>
      </c>
      <c r="N765" s="450"/>
      <c r="O765" s="450"/>
      <c r="P765" s="450" t="s">
        <v>1662</v>
      </c>
      <c r="Q765" s="451" t="s">
        <v>374</v>
      </c>
      <c r="R765" s="451" t="s">
        <v>249</v>
      </c>
      <c r="S765" s="452" t="s">
        <v>471</v>
      </c>
      <c r="T765" s="452">
        <v>45561</v>
      </c>
      <c r="U765" s="453"/>
      <c r="V765" s="454"/>
      <c r="W765" s="455" t="s">
        <v>406</v>
      </c>
      <c r="X765" s="455">
        <v>45569</v>
      </c>
      <c r="Y765" s="456" t="s">
        <v>377</v>
      </c>
      <c r="Z765" s="457"/>
      <c r="AA765" s="494"/>
    </row>
    <row r="766" spans="1:27" s="128" customFormat="1" ht="18" customHeight="1">
      <c r="A766" s="443">
        <v>66</v>
      </c>
      <c r="B766" s="444" t="s">
        <v>1775</v>
      </c>
      <c r="C766" s="445" t="s">
        <v>74</v>
      </c>
      <c r="D766" s="444" t="s">
        <v>1776</v>
      </c>
      <c r="E766" s="446">
        <v>2</v>
      </c>
      <c r="F766" s="447"/>
      <c r="G766" s="448">
        <f t="shared" si="30"/>
        <v>0</v>
      </c>
      <c r="H766" s="449"/>
      <c r="I766" s="444"/>
      <c r="J766" s="449"/>
      <c r="K766" s="444" t="s">
        <v>1738</v>
      </c>
      <c r="L766" s="450" t="s">
        <v>681</v>
      </c>
      <c r="M766" s="444" t="s">
        <v>1774</v>
      </c>
      <c r="N766" s="450"/>
      <c r="O766" s="450"/>
      <c r="P766" s="450" t="s">
        <v>1662</v>
      </c>
      <c r="Q766" s="451" t="s">
        <v>374</v>
      </c>
      <c r="R766" s="451" t="s">
        <v>249</v>
      </c>
      <c r="S766" s="452" t="s">
        <v>471</v>
      </c>
      <c r="T766" s="452">
        <v>45561</v>
      </c>
      <c r="U766" s="453"/>
      <c r="V766" s="454"/>
      <c r="W766" s="455" t="s">
        <v>406</v>
      </c>
      <c r="X766" s="455">
        <v>45569</v>
      </c>
      <c r="Y766" s="456" t="s">
        <v>377</v>
      </c>
      <c r="Z766" s="457"/>
      <c r="AA766" s="494"/>
    </row>
    <row r="767" spans="1:27" s="128" customFormat="1" ht="18" customHeight="1">
      <c r="A767" s="443">
        <v>67</v>
      </c>
      <c r="B767" s="444" t="s">
        <v>1777</v>
      </c>
      <c r="C767" s="445" t="s">
        <v>74</v>
      </c>
      <c r="D767" s="444" t="s">
        <v>1778</v>
      </c>
      <c r="E767" s="446">
        <v>1</v>
      </c>
      <c r="F767" s="447"/>
      <c r="G767" s="448">
        <f t="shared" si="30"/>
        <v>0</v>
      </c>
      <c r="H767" s="449"/>
      <c r="I767" s="444"/>
      <c r="J767" s="449"/>
      <c r="K767" s="444" t="s">
        <v>1738</v>
      </c>
      <c r="L767" s="450" t="s">
        <v>681</v>
      </c>
      <c r="M767" s="444" t="s">
        <v>1774</v>
      </c>
      <c r="N767" s="450"/>
      <c r="O767" s="450"/>
      <c r="P767" s="450" t="s">
        <v>1662</v>
      </c>
      <c r="Q767" s="451" t="s">
        <v>374</v>
      </c>
      <c r="R767" s="451" t="s">
        <v>249</v>
      </c>
      <c r="S767" s="452" t="s">
        <v>471</v>
      </c>
      <c r="T767" s="452">
        <v>45561</v>
      </c>
      <c r="U767" s="453"/>
      <c r="V767" s="454"/>
      <c r="W767" s="455" t="s">
        <v>406</v>
      </c>
      <c r="X767" s="455">
        <v>45569</v>
      </c>
      <c r="Y767" s="456" t="s">
        <v>377</v>
      </c>
      <c r="Z767" s="457"/>
      <c r="AA767" s="494"/>
    </row>
    <row r="768" spans="1:27" s="128" customFormat="1" ht="18" customHeight="1">
      <c r="A768" s="443">
        <v>68</v>
      </c>
      <c r="B768" s="444" t="s">
        <v>1779</v>
      </c>
      <c r="C768" s="445" t="s">
        <v>74</v>
      </c>
      <c r="D768" s="444" t="s">
        <v>1780</v>
      </c>
      <c r="E768" s="446">
        <v>1</v>
      </c>
      <c r="F768" s="447"/>
      <c r="G768" s="448">
        <f t="shared" si="30"/>
        <v>0</v>
      </c>
      <c r="H768" s="449"/>
      <c r="I768" s="444"/>
      <c r="J768" s="449"/>
      <c r="K768" s="444" t="s">
        <v>1738</v>
      </c>
      <c r="L768" s="450" t="s">
        <v>681</v>
      </c>
      <c r="M768" s="444" t="s">
        <v>1781</v>
      </c>
      <c r="N768" s="450"/>
      <c r="O768" s="450"/>
      <c r="P768" s="450" t="s">
        <v>1662</v>
      </c>
      <c r="Q768" s="451" t="s">
        <v>374</v>
      </c>
      <c r="R768" s="451" t="s">
        <v>1782</v>
      </c>
      <c r="S768" s="452" t="s">
        <v>548</v>
      </c>
      <c r="T768" s="452">
        <v>45561</v>
      </c>
      <c r="U768" s="453"/>
      <c r="V768" s="454"/>
      <c r="W768" s="455" t="s">
        <v>406</v>
      </c>
      <c r="X768" s="455">
        <v>45560</v>
      </c>
      <c r="Y768" s="456" t="s">
        <v>377</v>
      </c>
      <c r="Z768" s="457"/>
      <c r="AA768" s="494"/>
    </row>
    <row r="769" spans="1:27" s="128" customFormat="1" ht="18" customHeight="1">
      <c r="A769" s="443">
        <v>69</v>
      </c>
      <c r="B769" s="444" t="s">
        <v>1783</v>
      </c>
      <c r="C769" s="445" t="s">
        <v>74</v>
      </c>
      <c r="D769" s="444" t="s">
        <v>1784</v>
      </c>
      <c r="E769" s="446">
        <v>1</v>
      </c>
      <c r="F769" s="447"/>
      <c r="G769" s="448">
        <f t="shared" si="30"/>
        <v>0</v>
      </c>
      <c r="H769" s="449"/>
      <c r="I769" s="444"/>
      <c r="J769" s="449"/>
      <c r="K769" s="444" t="s">
        <v>1738</v>
      </c>
      <c r="L769" s="450" t="s">
        <v>681</v>
      </c>
      <c r="M769" s="444" t="s">
        <v>1747</v>
      </c>
      <c r="N769" s="450"/>
      <c r="O769" s="450"/>
      <c r="P769" s="450" t="s">
        <v>1662</v>
      </c>
      <c r="Q769" s="451" t="s">
        <v>374</v>
      </c>
      <c r="R769" s="451" t="s">
        <v>237</v>
      </c>
      <c r="S769" s="452" t="s">
        <v>763</v>
      </c>
      <c r="T769" s="452"/>
      <c r="U769" s="453"/>
      <c r="V769" s="454"/>
      <c r="W769" s="455" t="s">
        <v>406</v>
      </c>
      <c r="X769" s="455">
        <v>45567</v>
      </c>
      <c r="Y769" s="456" t="s">
        <v>377</v>
      </c>
      <c r="Z769" s="457"/>
      <c r="AA769" s="494"/>
    </row>
    <row r="770" spans="1:27" s="128" customFormat="1" ht="18" customHeight="1">
      <c r="A770" s="443">
        <v>70</v>
      </c>
      <c r="B770" s="444" t="s">
        <v>394</v>
      </c>
      <c r="C770" s="445" t="s">
        <v>74</v>
      </c>
      <c r="D770" s="444" t="s">
        <v>395</v>
      </c>
      <c r="E770" s="446">
        <v>2</v>
      </c>
      <c r="F770" s="447"/>
      <c r="G770" s="448">
        <f t="shared" si="30"/>
        <v>0</v>
      </c>
      <c r="H770" s="449"/>
      <c r="I770" s="444"/>
      <c r="J770" s="449"/>
      <c r="K770" s="444"/>
      <c r="L770" s="450"/>
      <c r="M770" s="444"/>
      <c r="N770" s="450"/>
      <c r="O770" s="450"/>
      <c r="P770" s="450"/>
      <c r="Q770" s="451" t="s">
        <v>374</v>
      </c>
      <c r="R770" s="451"/>
      <c r="S770" s="452"/>
      <c r="T770" s="452"/>
      <c r="U770" s="453"/>
      <c r="V770" s="454"/>
      <c r="W770" s="455" t="s">
        <v>406</v>
      </c>
      <c r="X770" s="455">
        <v>45566</v>
      </c>
      <c r="Y770" s="456" t="s">
        <v>377</v>
      </c>
      <c r="Z770" s="457"/>
      <c r="AA770" s="494"/>
    </row>
    <row r="771" spans="1:27" s="128" customFormat="1" ht="18" customHeight="1">
      <c r="A771" s="443">
        <v>71</v>
      </c>
      <c r="B771" s="444" t="s">
        <v>1280</v>
      </c>
      <c r="C771" s="445" t="s">
        <v>74</v>
      </c>
      <c r="D771" s="444" t="s">
        <v>1281</v>
      </c>
      <c r="E771" s="446">
        <v>2</v>
      </c>
      <c r="F771" s="447"/>
      <c r="G771" s="448">
        <f t="shared" si="30"/>
        <v>0</v>
      </c>
      <c r="H771" s="449"/>
      <c r="I771" s="444"/>
      <c r="J771" s="449"/>
      <c r="K771" s="444"/>
      <c r="L771" s="450"/>
      <c r="M771" s="444"/>
      <c r="N771" s="450"/>
      <c r="O771" s="450"/>
      <c r="P771" s="450"/>
      <c r="Q771" s="451" t="s">
        <v>374</v>
      </c>
      <c r="R771" s="451"/>
      <c r="S771" s="452"/>
      <c r="T771" s="452"/>
      <c r="U771" s="453"/>
      <c r="V771" s="454"/>
      <c r="W771" s="455" t="s">
        <v>406</v>
      </c>
      <c r="X771" s="455">
        <v>45544</v>
      </c>
      <c r="Y771" s="456" t="s">
        <v>377</v>
      </c>
      <c r="Z771" s="457"/>
      <c r="AA771" s="494"/>
    </row>
    <row r="772" spans="1:27" s="128" customFormat="1" ht="18" customHeight="1">
      <c r="A772" s="443">
        <v>72</v>
      </c>
      <c r="B772" s="444" t="s">
        <v>1785</v>
      </c>
      <c r="C772" s="445" t="s">
        <v>74</v>
      </c>
      <c r="D772" s="444" t="s">
        <v>1786</v>
      </c>
      <c r="E772" s="446">
        <v>1</v>
      </c>
      <c r="F772" s="447"/>
      <c r="G772" s="448">
        <f t="shared" ref="G772:G789" si="31">E772*F772</f>
        <v>0</v>
      </c>
      <c r="H772" s="449"/>
      <c r="I772" s="444"/>
      <c r="J772" s="449"/>
      <c r="K772" s="444"/>
      <c r="L772" s="450"/>
      <c r="M772" s="444"/>
      <c r="N772" s="450"/>
      <c r="O772" s="450"/>
      <c r="P772" s="450"/>
      <c r="Q772" s="451" t="s">
        <v>374</v>
      </c>
      <c r="R772" s="451"/>
      <c r="S772" s="452"/>
      <c r="T772" s="452" t="s">
        <v>712</v>
      </c>
      <c r="U772" s="453"/>
      <c r="V772" s="454"/>
      <c r="W772" s="455" t="s">
        <v>406</v>
      </c>
      <c r="X772" s="455">
        <v>45611</v>
      </c>
      <c r="Y772" s="456" t="s">
        <v>377</v>
      </c>
      <c r="Z772" s="498"/>
      <c r="AA772" s="494"/>
    </row>
    <row r="773" spans="1:27" s="128" customFormat="1" ht="18" customHeight="1">
      <c r="A773" s="443">
        <v>73</v>
      </c>
      <c r="B773" s="444" t="s">
        <v>1480</v>
      </c>
      <c r="C773" s="445" t="s">
        <v>74</v>
      </c>
      <c r="D773" s="444" t="s">
        <v>1481</v>
      </c>
      <c r="E773" s="446">
        <v>1</v>
      </c>
      <c r="F773" s="447"/>
      <c r="G773" s="448">
        <f t="shared" si="31"/>
        <v>0</v>
      </c>
      <c r="H773" s="449"/>
      <c r="I773" s="444"/>
      <c r="J773" s="449"/>
      <c r="K773" s="444"/>
      <c r="L773" s="450"/>
      <c r="M773" s="444"/>
      <c r="N773" s="450"/>
      <c r="O773" s="450"/>
      <c r="P773" s="450"/>
      <c r="Q773" s="451" t="s">
        <v>374</v>
      </c>
      <c r="R773" s="451"/>
      <c r="S773" s="452"/>
      <c r="T773" s="452" t="s">
        <v>712</v>
      </c>
      <c r="U773" s="453"/>
      <c r="V773" s="454"/>
      <c r="W773" s="455" t="s">
        <v>406</v>
      </c>
      <c r="X773" s="455">
        <v>45611</v>
      </c>
      <c r="Y773" s="456" t="s">
        <v>377</v>
      </c>
      <c r="Z773" s="498"/>
      <c r="AA773" s="494"/>
    </row>
    <row r="774" spans="1:27" s="128" customFormat="1" ht="18" customHeight="1">
      <c r="A774" s="443">
        <v>74</v>
      </c>
      <c r="B774" s="444" t="s">
        <v>1292</v>
      </c>
      <c r="C774" s="445" t="s">
        <v>74</v>
      </c>
      <c r="D774" s="444" t="s">
        <v>1293</v>
      </c>
      <c r="E774" s="446">
        <v>10</v>
      </c>
      <c r="F774" s="447"/>
      <c r="G774" s="448">
        <f t="shared" si="31"/>
        <v>0</v>
      </c>
      <c r="H774" s="449"/>
      <c r="I774" s="444"/>
      <c r="J774" s="449"/>
      <c r="K774" s="444"/>
      <c r="L774" s="450"/>
      <c r="M774" s="444"/>
      <c r="N774" s="450"/>
      <c r="O774" s="450"/>
      <c r="P774" s="450"/>
      <c r="Q774" s="451" t="s">
        <v>374</v>
      </c>
      <c r="R774" s="451"/>
      <c r="S774" s="452"/>
      <c r="T774" s="452" t="s">
        <v>712</v>
      </c>
      <c r="U774" s="453"/>
      <c r="V774" s="454"/>
      <c r="W774" s="455" t="s">
        <v>406</v>
      </c>
      <c r="X774" s="455">
        <v>45611</v>
      </c>
      <c r="Y774" s="456" t="s">
        <v>377</v>
      </c>
      <c r="Z774" s="498"/>
      <c r="AA774" s="494"/>
    </row>
    <row r="775" spans="1:27" s="128" customFormat="1" ht="18" customHeight="1">
      <c r="A775" s="443">
        <v>75</v>
      </c>
      <c r="B775" s="444" t="s">
        <v>1787</v>
      </c>
      <c r="C775" s="445" t="s">
        <v>74</v>
      </c>
      <c r="D775" s="444" t="s">
        <v>1788</v>
      </c>
      <c r="E775" s="446">
        <v>1</v>
      </c>
      <c r="F775" s="447"/>
      <c r="G775" s="448">
        <f t="shared" si="31"/>
        <v>0</v>
      </c>
      <c r="H775" s="449"/>
      <c r="I775" s="444"/>
      <c r="J775" s="449"/>
      <c r="K775" s="444"/>
      <c r="L775" s="450"/>
      <c r="M775" s="444"/>
      <c r="N775" s="450"/>
      <c r="O775" s="450"/>
      <c r="P775" s="450"/>
      <c r="Q775" s="451" t="s">
        <v>374</v>
      </c>
      <c r="R775" s="451"/>
      <c r="S775" s="452"/>
      <c r="T775" s="452"/>
      <c r="U775" s="453"/>
      <c r="V775" s="454"/>
      <c r="W775" s="455" t="s">
        <v>406</v>
      </c>
      <c r="X775" s="455">
        <v>45545</v>
      </c>
      <c r="Y775" s="456" t="s">
        <v>377</v>
      </c>
      <c r="Z775" s="457"/>
      <c r="AA775" s="494"/>
    </row>
    <row r="776" spans="1:27" s="128" customFormat="1" ht="18" customHeight="1">
      <c r="A776" s="443">
        <v>76</v>
      </c>
      <c r="B776" s="444" t="s">
        <v>1492</v>
      </c>
      <c r="C776" s="445" t="s">
        <v>74</v>
      </c>
      <c r="D776" s="444" t="s">
        <v>1493</v>
      </c>
      <c r="E776" s="446">
        <v>2</v>
      </c>
      <c r="F776" s="447"/>
      <c r="G776" s="448">
        <f t="shared" si="31"/>
        <v>0</v>
      </c>
      <c r="H776" s="449"/>
      <c r="I776" s="444"/>
      <c r="J776" s="449"/>
      <c r="K776" s="444"/>
      <c r="L776" s="450"/>
      <c r="M776" s="444"/>
      <c r="N776" s="450"/>
      <c r="O776" s="450"/>
      <c r="P776" s="450"/>
      <c r="Q776" s="451" t="s">
        <v>374</v>
      </c>
      <c r="R776" s="451"/>
      <c r="S776" s="452"/>
      <c r="T776" s="452" t="s">
        <v>712</v>
      </c>
      <c r="U776" s="453"/>
      <c r="V776" s="454"/>
      <c r="W776" s="455" t="s">
        <v>406</v>
      </c>
      <c r="X776" s="455">
        <v>45611</v>
      </c>
      <c r="Y776" s="456" t="s">
        <v>377</v>
      </c>
      <c r="Z776" s="498"/>
      <c r="AA776" s="494"/>
    </row>
    <row r="777" spans="1:27" s="128" customFormat="1" ht="18" customHeight="1">
      <c r="A777" s="443">
        <v>77</v>
      </c>
      <c r="B777" s="444" t="s">
        <v>1494</v>
      </c>
      <c r="C777" s="445" t="s">
        <v>74</v>
      </c>
      <c r="D777" s="444" t="s">
        <v>1495</v>
      </c>
      <c r="E777" s="446">
        <v>5</v>
      </c>
      <c r="F777" s="447"/>
      <c r="G777" s="448">
        <f t="shared" si="31"/>
        <v>0</v>
      </c>
      <c r="H777" s="449"/>
      <c r="I777" s="444"/>
      <c r="J777" s="449"/>
      <c r="K777" s="444" t="s">
        <v>1789</v>
      </c>
      <c r="L777" s="450" t="s">
        <v>986</v>
      </c>
      <c r="M777" s="444" t="s">
        <v>1790</v>
      </c>
      <c r="N777" s="450"/>
      <c r="O777" s="450"/>
      <c r="P777" s="450" t="s">
        <v>1654</v>
      </c>
      <c r="Q777" s="451" t="s">
        <v>1176</v>
      </c>
      <c r="R777" s="451" t="s">
        <v>263</v>
      </c>
      <c r="S777" s="452" t="s">
        <v>842</v>
      </c>
      <c r="T777" s="452"/>
      <c r="U777" s="453"/>
      <c r="V777" s="454"/>
      <c r="W777" s="455" t="s">
        <v>406</v>
      </c>
      <c r="X777" s="455">
        <v>45611</v>
      </c>
      <c r="Y777" s="456" t="s">
        <v>377</v>
      </c>
      <c r="Z777" s="457"/>
      <c r="AA777" s="494"/>
    </row>
    <row r="778" spans="1:27" s="128" customFormat="1" ht="18" customHeight="1">
      <c r="A778" s="443">
        <v>78</v>
      </c>
      <c r="B778" s="444" t="s">
        <v>1300</v>
      </c>
      <c r="C778" s="445" t="s">
        <v>74</v>
      </c>
      <c r="D778" s="444" t="s">
        <v>1301</v>
      </c>
      <c r="E778" s="446">
        <v>1</v>
      </c>
      <c r="F778" s="447"/>
      <c r="G778" s="448">
        <f t="shared" si="31"/>
        <v>0</v>
      </c>
      <c r="H778" s="449"/>
      <c r="I778" s="444"/>
      <c r="J778" s="449"/>
      <c r="K778" s="444"/>
      <c r="L778" s="450"/>
      <c r="M778" s="444"/>
      <c r="N778" s="450"/>
      <c r="O778" s="450"/>
      <c r="P778" s="450"/>
      <c r="Q778" s="451" t="s">
        <v>374</v>
      </c>
      <c r="R778" s="451"/>
      <c r="S778" s="452"/>
      <c r="T778" s="452" t="s">
        <v>712</v>
      </c>
      <c r="U778" s="453"/>
      <c r="V778" s="454"/>
      <c r="W778" s="455" t="s">
        <v>406</v>
      </c>
      <c r="X778" s="455">
        <v>45611</v>
      </c>
      <c r="Y778" s="456" t="s">
        <v>377</v>
      </c>
      <c r="Z778" s="498"/>
      <c r="AA778" s="494"/>
    </row>
    <row r="779" spans="1:27" s="128" customFormat="1" ht="18" customHeight="1">
      <c r="A779" s="443">
        <v>79</v>
      </c>
      <c r="B779" s="444" t="s">
        <v>1696</v>
      </c>
      <c r="C779" s="445" t="s">
        <v>74</v>
      </c>
      <c r="D779" s="444" t="s">
        <v>1697</v>
      </c>
      <c r="E779" s="446">
        <v>2</v>
      </c>
      <c r="F779" s="447"/>
      <c r="G779" s="448">
        <f t="shared" si="31"/>
        <v>0</v>
      </c>
      <c r="H779" s="449"/>
      <c r="I779" s="444"/>
      <c r="J779" s="449"/>
      <c r="K779" s="444" t="s">
        <v>1660</v>
      </c>
      <c r="L779" s="450" t="s">
        <v>681</v>
      </c>
      <c r="M779" s="444" t="s">
        <v>1669</v>
      </c>
      <c r="N779" s="450"/>
      <c r="O779" s="450"/>
      <c r="P779" s="450" t="s">
        <v>1662</v>
      </c>
      <c r="Q779" s="451" t="s">
        <v>374</v>
      </c>
      <c r="R779" s="451" t="s">
        <v>263</v>
      </c>
      <c r="S779" s="452" t="s">
        <v>895</v>
      </c>
      <c r="T779" s="452" t="s">
        <v>1287</v>
      </c>
      <c r="U779" s="453"/>
      <c r="V779" s="454"/>
      <c r="W779" s="455" t="s">
        <v>406</v>
      </c>
      <c r="X779" s="455">
        <v>45601</v>
      </c>
      <c r="Y779" s="456" t="s">
        <v>377</v>
      </c>
      <c r="Z779" s="457"/>
      <c r="AA779" s="494"/>
    </row>
    <row r="780" spans="1:27" s="128" customFormat="1" ht="18" customHeight="1">
      <c r="A780" s="443">
        <v>80</v>
      </c>
      <c r="B780" s="444" t="s">
        <v>1791</v>
      </c>
      <c r="C780" s="445" t="s">
        <v>74</v>
      </c>
      <c r="D780" s="444" t="s">
        <v>1792</v>
      </c>
      <c r="E780" s="446">
        <v>1</v>
      </c>
      <c r="F780" s="447"/>
      <c r="G780" s="448">
        <f t="shared" si="31"/>
        <v>0</v>
      </c>
      <c r="H780" s="449"/>
      <c r="I780" s="444"/>
      <c r="J780" s="449"/>
      <c r="K780" s="444"/>
      <c r="L780" s="450"/>
      <c r="M780" s="444"/>
      <c r="N780" s="450"/>
      <c r="O780" s="450"/>
      <c r="P780" s="450"/>
      <c r="Q780" s="451" t="s">
        <v>374</v>
      </c>
      <c r="R780" s="451"/>
      <c r="S780" s="452"/>
      <c r="T780" s="452">
        <v>45604</v>
      </c>
      <c r="U780" s="453"/>
      <c r="V780" s="454"/>
      <c r="W780" s="455" t="s">
        <v>406</v>
      </c>
      <c r="X780" s="455">
        <v>45607</v>
      </c>
      <c r="Y780" s="456" t="s">
        <v>377</v>
      </c>
      <c r="Z780" s="498"/>
      <c r="AA780" s="494"/>
    </row>
    <row r="781" spans="1:27" s="128" customFormat="1" ht="18" customHeight="1">
      <c r="A781" s="443">
        <v>81</v>
      </c>
      <c r="B781" s="444" t="s">
        <v>1793</v>
      </c>
      <c r="C781" s="445" t="s">
        <v>74</v>
      </c>
      <c r="D781" s="444" t="s">
        <v>1794</v>
      </c>
      <c r="E781" s="446">
        <v>2</v>
      </c>
      <c r="F781" s="447"/>
      <c r="G781" s="448">
        <f t="shared" si="31"/>
        <v>0</v>
      </c>
      <c r="H781" s="449"/>
      <c r="I781" s="444"/>
      <c r="J781" s="449"/>
      <c r="K781" s="444"/>
      <c r="L781" s="450"/>
      <c r="M781" s="444"/>
      <c r="N781" s="450"/>
      <c r="O781" s="450"/>
      <c r="P781" s="450"/>
      <c r="Q781" s="451" t="s">
        <v>374</v>
      </c>
      <c r="R781" s="451"/>
      <c r="S781" s="452"/>
      <c r="T781" s="452">
        <v>45604</v>
      </c>
      <c r="U781" s="453"/>
      <c r="V781" s="454"/>
      <c r="W781" s="455" t="s">
        <v>406</v>
      </c>
      <c r="X781" s="455">
        <v>45607</v>
      </c>
      <c r="Y781" s="456" t="s">
        <v>377</v>
      </c>
      <c r="Z781" s="498"/>
      <c r="AA781" s="494"/>
    </row>
    <row r="782" spans="1:27" s="128" customFormat="1" ht="18" customHeight="1">
      <c r="A782" s="443">
        <v>82</v>
      </c>
      <c r="B782" s="444" t="s">
        <v>1296</v>
      </c>
      <c r="C782" s="445" t="s">
        <v>74</v>
      </c>
      <c r="D782" s="444" t="s">
        <v>1297</v>
      </c>
      <c r="E782" s="446">
        <v>2</v>
      </c>
      <c r="F782" s="447"/>
      <c r="G782" s="448">
        <f t="shared" si="31"/>
        <v>0</v>
      </c>
      <c r="H782" s="449"/>
      <c r="I782" s="444"/>
      <c r="J782" s="449"/>
      <c r="K782" s="444"/>
      <c r="L782" s="450"/>
      <c r="M782" s="444"/>
      <c r="N782" s="450"/>
      <c r="O782" s="450"/>
      <c r="P782" s="450"/>
      <c r="Q782" s="451" t="s">
        <v>374</v>
      </c>
      <c r="R782" s="451"/>
      <c r="S782" s="452"/>
      <c r="T782" s="452" t="s">
        <v>712</v>
      </c>
      <c r="U782" s="453"/>
      <c r="V782" s="454"/>
      <c r="W782" s="455" t="s">
        <v>406</v>
      </c>
      <c r="X782" s="455">
        <v>45611</v>
      </c>
      <c r="Y782" s="456" t="s">
        <v>377</v>
      </c>
      <c r="Z782" s="498"/>
      <c r="AA782" s="494"/>
    </row>
    <row r="783" spans="1:27" s="128" customFormat="1" ht="18" customHeight="1">
      <c r="A783" s="443">
        <v>83</v>
      </c>
      <c r="B783" s="444" t="s">
        <v>1795</v>
      </c>
      <c r="C783" s="445" t="s">
        <v>74</v>
      </c>
      <c r="D783" s="444" t="s">
        <v>1796</v>
      </c>
      <c r="E783" s="446">
        <v>2</v>
      </c>
      <c r="F783" s="447"/>
      <c r="G783" s="448">
        <f t="shared" si="31"/>
        <v>0</v>
      </c>
      <c r="H783" s="449"/>
      <c r="I783" s="444"/>
      <c r="J783" s="449"/>
      <c r="K783" s="444"/>
      <c r="L783" s="450"/>
      <c r="M783" s="444"/>
      <c r="N783" s="450"/>
      <c r="O783" s="450"/>
      <c r="P783" s="450"/>
      <c r="Q783" s="451" t="s">
        <v>374</v>
      </c>
      <c r="R783" s="451"/>
      <c r="S783" s="452"/>
      <c r="T783" s="452" t="s">
        <v>712</v>
      </c>
      <c r="U783" s="453"/>
      <c r="V783" s="454"/>
      <c r="W783" s="455" t="s">
        <v>406</v>
      </c>
      <c r="X783" s="455">
        <v>45611</v>
      </c>
      <c r="Y783" s="456" t="s">
        <v>377</v>
      </c>
      <c r="Z783" s="498"/>
      <c r="AA783" s="494"/>
    </row>
    <row r="784" spans="1:27" s="128" customFormat="1" ht="18" customHeight="1">
      <c r="A784" s="443">
        <v>84</v>
      </c>
      <c r="B784" s="444" t="s">
        <v>1797</v>
      </c>
      <c r="C784" s="445" t="s">
        <v>74</v>
      </c>
      <c r="D784" s="444" t="s">
        <v>1798</v>
      </c>
      <c r="E784" s="446">
        <v>2</v>
      </c>
      <c r="F784" s="447"/>
      <c r="G784" s="448">
        <f t="shared" si="31"/>
        <v>0</v>
      </c>
      <c r="H784" s="449"/>
      <c r="I784" s="444"/>
      <c r="J784" s="449"/>
      <c r="K784" s="444"/>
      <c r="L784" s="450"/>
      <c r="M784" s="444"/>
      <c r="N784" s="450"/>
      <c r="O784" s="450"/>
      <c r="P784" s="450"/>
      <c r="Q784" s="451" t="s">
        <v>374</v>
      </c>
      <c r="R784" s="451"/>
      <c r="S784" s="452"/>
      <c r="T784" s="452">
        <v>45604</v>
      </c>
      <c r="U784" s="453"/>
      <c r="V784" s="454"/>
      <c r="W784" s="455" t="s">
        <v>406</v>
      </c>
      <c r="X784" s="455">
        <v>45607</v>
      </c>
      <c r="Y784" s="456" t="s">
        <v>377</v>
      </c>
      <c r="Z784" s="498"/>
      <c r="AA784" s="494"/>
    </row>
    <row r="785" spans="1:27" s="128" customFormat="1" ht="18" customHeight="1">
      <c r="A785" s="443">
        <v>85</v>
      </c>
      <c r="B785" s="444" t="s">
        <v>1496</v>
      </c>
      <c r="C785" s="445" t="s">
        <v>74</v>
      </c>
      <c r="D785" s="444" t="s">
        <v>1497</v>
      </c>
      <c r="E785" s="446">
        <v>1</v>
      </c>
      <c r="F785" s="447"/>
      <c r="G785" s="448">
        <f t="shared" si="31"/>
        <v>0</v>
      </c>
      <c r="H785" s="449"/>
      <c r="I785" s="444"/>
      <c r="J785" s="449"/>
      <c r="K785" s="444"/>
      <c r="L785" s="450"/>
      <c r="M785" s="444"/>
      <c r="N785" s="450"/>
      <c r="O785" s="450"/>
      <c r="P785" s="450"/>
      <c r="Q785" s="451" t="s">
        <v>374</v>
      </c>
      <c r="R785" s="451"/>
      <c r="S785" s="452"/>
      <c r="T785" s="452" t="s">
        <v>712</v>
      </c>
      <c r="U785" s="453"/>
      <c r="V785" s="454"/>
      <c r="W785" s="455" t="s">
        <v>406</v>
      </c>
      <c r="X785" s="455">
        <v>45611</v>
      </c>
      <c r="Y785" s="456" t="s">
        <v>377</v>
      </c>
      <c r="Z785" s="498"/>
      <c r="AA785" s="494"/>
    </row>
    <row r="786" spans="1:27" s="128" customFormat="1" ht="18" customHeight="1">
      <c r="A786" s="443">
        <v>86</v>
      </c>
      <c r="B786" s="444" t="s">
        <v>1799</v>
      </c>
      <c r="C786" s="445" t="s">
        <v>74</v>
      </c>
      <c r="D786" s="444" t="s">
        <v>1800</v>
      </c>
      <c r="E786" s="446">
        <v>2</v>
      </c>
      <c r="F786" s="447"/>
      <c r="G786" s="448">
        <f t="shared" si="31"/>
        <v>0</v>
      </c>
      <c r="H786" s="449"/>
      <c r="I786" s="444"/>
      <c r="J786" s="449"/>
      <c r="K786" s="444"/>
      <c r="L786" s="450"/>
      <c r="M786" s="444"/>
      <c r="N786" s="450"/>
      <c r="O786" s="450"/>
      <c r="P786" s="450"/>
      <c r="Q786" s="451" t="s">
        <v>374</v>
      </c>
      <c r="R786" s="451"/>
      <c r="S786" s="452"/>
      <c r="T786" s="452">
        <v>45604</v>
      </c>
      <c r="U786" s="453"/>
      <c r="V786" s="454"/>
      <c r="W786" s="455" t="s">
        <v>406</v>
      </c>
      <c r="X786" s="455">
        <v>45607</v>
      </c>
      <c r="Y786" s="456" t="s">
        <v>377</v>
      </c>
      <c r="Z786" s="498"/>
      <c r="AA786" s="494"/>
    </row>
    <row r="787" spans="1:27" s="128" customFormat="1" ht="36" customHeight="1">
      <c r="A787" s="443">
        <v>87</v>
      </c>
      <c r="B787" s="444" t="s">
        <v>1801</v>
      </c>
      <c r="C787" s="445" t="s">
        <v>74</v>
      </c>
      <c r="D787" s="444" t="s">
        <v>1802</v>
      </c>
      <c r="E787" s="446">
        <v>2</v>
      </c>
      <c r="F787" s="447"/>
      <c r="G787" s="448">
        <f t="shared" si="31"/>
        <v>0</v>
      </c>
      <c r="H787" s="449"/>
      <c r="I787" s="444"/>
      <c r="J787" s="449"/>
      <c r="K787" s="444"/>
      <c r="L787" s="450"/>
      <c r="M787" s="444"/>
      <c r="N787" s="450"/>
      <c r="O787" s="450"/>
      <c r="P787" s="450"/>
      <c r="Q787" s="451" t="s">
        <v>374</v>
      </c>
      <c r="R787" s="451"/>
      <c r="S787" s="452"/>
      <c r="T787" s="452">
        <v>45604</v>
      </c>
      <c r="U787" s="453"/>
      <c r="V787" s="454"/>
      <c r="W787" s="455" t="s">
        <v>406</v>
      </c>
      <c r="X787" s="455">
        <v>45607</v>
      </c>
      <c r="Y787" s="456" t="s">
        <v>377</v>
      </c>
      <c r="Z787" s="498"/>
      <c r="AA787" s="494"/>
    </row>
    <row r="788" spans="1:27" s="128" customFormat="1" ht="18" customHeight="1">
      <c r="A788" s="443">
        <v>88</v>
      </c>
      <c r="B788" s="444" t="s">
        <v>1803</v>
      </c>
      <c r="C788" s="445" t="s">
        <v>74</v>
      </c>
      <c r="D788" s="444" t="s">
        <v>1804</v>
      </c>
      <c r="E788" s="446">
        <v>3</v>
      </c>
      <c r="F788" s="447"/>
      <c r="G788" s="448">
        <f t="shared" si="31"/>
        <v>0</v>
      </c>
      <c r="H788" s="449"/>
      <c r="I788" s="444"/>
      <c r="J788" s="449"/>
      <c r="K788" s="444"/>
      <c r="L788" s="450"/>
      <c r="M788" s="444"/>
      <c r="N788" s="450"/>
      <c r="O788" s="450"/>
      <c r="P788" s="450"/>
      <c r="Q788" s="451" t="s">
        <v>374</v>
      </c>
      <c r="R788" s="451"/>
      <c r="S788" s="452"/>
      <c r="T788" s="452">
        <v>45604</v>
      </c>
      <c r="U788" s="453"/>
      <c r="V788" s="454"/>
      <c r="W788" s="455" t="s">
        <v>406</v>
      </c>
      <c r="X788" s="455">
        <v>45607</v>
      </c>
      <c r="Y788" s="456" t="s">
        <v>377</v>
      </c>
      <c r="Z788" s="498"/>
      <c r="AA788" s="494"/>
    </row>
    <row r="789" spans="1:27" s="128" customFormat="1" ht="18" customHeight="1">
      <c r="A789" s="443">
        <v>89</v>
      </c>
      <c r="B789" s="444" t="s">
        <v>1805</v>
      </c>
      <c r="C789" s="445" t="s">
        <v>74</v>
      </c>
      <c r="D789" s="444" t="s">
        <v>1806</v>
      </c>
      <c r="E789" s="446">
        <v>2</v>
      </c>
      <c r="F789" s="447"/>
      <c r="G789" s="448">
        <f t="shared" si="31"/>
        <v>0</v>
      </c>
      <c r="H789" s="449"/>
      <c r="I789" s="444"/>
      <c r="J789" s="449"/>
      <c r="K789" s="444"/>
      <c r="L789" s="450"/>
      <c r="M789" s="444"/>
      <c r="N789" s="450"/>
      <c r="O789" s="450"/>
      <c r="P789" s="450"/>
      <c r="Q789" s="451" t="s">
        <v>374</v>
      </c>
      <c r="R789" s="451"/>
      <c r="S789" s="452"/>
      <c r="T789" s="452">
        <v>45604</v>
      </c>
      <c r="U789" s="453"/>
      <c r="V789" s="454"/>
      <c r="W789" s="455" t="s">
        <v>406</v>
      </c>
      <c r="X789" s="455">
        <v>45607</v>
      </c>
      <c r="Y789" s="456" t="s">
        <v>377</v>
      </c>
      <c r="Z789" s="498"/>
      <c r="AA789" s="494"/>
    </row>
    <row r="790" spans="1:27" ht="18" customHeight="1">
      <c r="A790" s="389"/>
      <c r="B790" s="390" t="s">
        <v>1807</v>
      </c>
      <c r="C790" s="391"/>
      <c r="D790" s="392"/>
      <c r="E790" s="393"/>
      <c r="F790" s="394"/>
      <c r="G790" s="395">
        <f t="shared" si="28"/>
        <v>0</v>
      </c>
      <c r="H790" s="396"/>
      <c r="I790" s="392"/>
      <c r="J790" s="396"/>
      <c r="K790" s="392"/>
      <c r="L790" s="397"/>
      <c r="M790" s="392"/>
      <c r="N790" s="397"/>
      <c r="O790" s="397"/>
      <c r="P790" s="397"/>
      <c r="Q790" s="398"/>
      <c r="R790" s="398"/>
      <c r="S790" s="399"/>
      <c r="T790" s="399"/>
      <c r="U790" s="400"/>
      <c r="V790" s="401"/>
      <c r="W790" s="402"/>
      <c r="X790" s="402"/>
      <c r="Y790" s="403"/>
      <c r="Z790" s="404"/>
      <c r="AA790" s="492"/>
    </row>
    <row r="791" spans="1:27" s="128" customFormat="1" ht="18" customHeight="1">
      <c r="A791" s="443">
        <v>1</v>
      </c>
      <c r="B791" s="444" t="s">
        <v>1284</v>
      </c>
      <c r="C791" s="445" t="s">
        <v>76</v>
      </c>
      <c r="D791" s="444" t="s">
        <v>1285</v>
      </c>
      <c r="E791" s="446">
        <v>3</v>
      </c>
      <c r="F791" s="447"/>
      <c r="G791" s="448">
        <f t="shared" ref="G791:G822" si="32">E791*F791</f>
        <v>0</v>
      </c>
      <c r="H791" s="449"/>
      <c r="I791" s="444"/>
      <c r="J791" s="449"/>
      <c r="K791" s="444"/>
      <c r="L791" s="450"/>
      <c r="M791" s="444"/>
      <c r="N791" s="450"/>
      <c r="O791" s="450"/>
      <c r="P791" s="450"/>
      <c r="Q791" s="451" t="s">
        <v>374</v>
      </c>
      <c r="R791" s="451"/>
      <c r="S791" s="452"/>
      <c r="T791" s="452" t="s">
        <v>481</v>
      </c>
      <c r="U791" s="453"/>
      <c r="V791" s="454"/>
      <c r="W791" s="455" t="s">
        <v>406</v>
      </c>
      <c r="X791" s="455">
        <v>45601</v>
      </c>
      <c r="Y791" s="456" t="s">
        <v>377</v>
      </c>
      <c r="Z791" s="498"/>
      <c r="AA791" s="494"/>
    </row>
    <row r="792" spans="1:27" s="128" customFormat="1" ht="18" customHeight="1">
      <c r="A792" s="405">
        <v>2</v>
      </c>
      <c r="B792" s="407" t="s">
        <v>643</v>
      </c>
      <c r="C792" s="406" t="s">
        <v>76</v>
      </c>
      <c r="D792" s="407" t="s">
        <v>644</v>
      </c>
      <c r="E792" s="408">
        <v>3</v>
      </c>
      <c r="F792" s="409"/>
      <c r="G792" s="410">
        <f t="shared" si="32"/>
        <v>0</v>
      </c>
      <c r="H792" s="411"/>
      <c r="I792" s="407"/>
      <c r="J792" s="411"/>
      <c r="K792" s="407" t="s">
        <v>1808</v>
      </c>
      <c r="L792" s="412" t="s">
        <v>1348</v>
      </c>
      <c r="M792" s="407" t="s">
        <v>1809</v>
      </c>
      <c r="N792" s="412"/>
      <c r="O792" s="412"/>
      <c r="P792" s="412" t="s">
        <v>1350</v>
      </c>
      <c r="Q792" s="413" t="s">
        <v>726</v>
      </c>
      <c r="R792" s="413" t="s">
        <v>263</v>
      </c>
      <c r="S792" s="414" t="s">
        <v>800</v>
      </c>
      <c r="T792" s="414"/>
      <c r="U792" s="415"/>
      <c r="V792" s="416"/>
      <c r="W792" s="417"/>
      <c r="X792" s="417"/>
      <c r="Y792" s="418" t="s">
        <v>377</v>
      </c>
      <c r="Z792" s="496"/>
      <c r="AA792" s="492"/>
    </row>
    <row r="793" spans="1:27" s="128" customFormat="1" ht="18" customHeight="1">
      <c r="A793" s="405">
        <v>3</v>
      </c>
      <c r="B793" s="407" t="s">
        <v>1121</v>
      </c>
      <c r="C793" s="406" t="s">
        <v>76</v>
      </c>
      <c r="D793" s="407" t="s">
        <v>1122</v>
      </c>
      <c r="E793" s="408">
        <v>3</v>
      </c>
      <c r="F793" s="409"/>
      <c r="G793" s="410">
        <f t="shared" si="32"/>
        <v>0</v>
      </c>
      <c r="H793" s="411"/>
      <c r="I793" s="407"/>
      <c r="J793" s="411"/>
      <c r="K793" s="407" t="s">
        <v>1808</v>
      </c>
      <c r="L793" s="412" t="s">
        <v>1348</v>
      </c>
      <c r="M793" s="407" t="s">
        <v>1809</v>
      </c>
      <c r="N793" s="412"/>
      <c r="O793" s="412"/>
      <c r="P793" s="412" t="s">
        <v>1350</v>
      </c>
      <c r="Q793" s="413" t="s">
        <v>726</v>
      </c>
      <c r="R793" s="413" t="s">
        <v>263</v>
      </c>
      <c r="S793" s="414" t="s">
        <v>800</v>
      </c>
      <c r="T793" s="414"/>
      <c r="U793" s="415"/>
      <c r="V793" s="416"/>
      <c r="W793" s="417"/>
      <c r="X793" s="417"/>
      <c r="Y793" s="418" t="s">
        <v>377</v>
      </c>
      <c r="Z793" s="496"/>
      <c r="AA793" s="492"/>
    </row>
    <row r="794" spans="1:27" s="128" customFormat="1" ht="18" customHeight="1">
      <c r="A794" s="443">
        <v>4</v>
      </c>
      <c r="B794" s="444" t="s">
        <v>1810</v>
      </c>
      <c r="C794" s="445" t="s">
        <v>76</v>
      </c>
      <c r="D794" s="444" t="s">
        <v>1811</v>
      </c>
      <c r="E794" s="446">
        <v>1</v>
      </c>
      <c r="F794" s="447"/>
      <c r="G794" s="448">
        <f t="shared" si="32"/>
        <v>0</v>
      </c>
      <c r="H794" s="449"/>
      <c r="I794" s="444"/>
      <c r="J794" s="449"/>
      <c r="K794" s="444"/>
      <c r="L794" s="450"/>
      <c r="M794" s="444"/>
      <c r="N794" s="450"/>
      <c r="O794" s="450"/>
      <c r="P794" s="450"/>
      <c r="Q794" s="451" t="s">
        <v>374</v>
      </c>
      <c r="R794" s="451"/>
      <c r="S794" s="452"/>
      <c r="T794" s="452" t="s">
        <v>481</v>
      </c>
      <c r="U794" s="453"/>
      <c r="V794" s="454"/>
      <c r="W794" s="455" t="s">
        <v>406</v>
      </c>
      <c r="X794" s="455">
        <v>45601</v>
      </c>
      <c r="Y794" s="456" t="s">
        <v>377</v>
      </c>
      <c r="Z794" s="498"/>
      <c r="AA794" s="494"/>
    </row>
    <row r="795" spans="1:27" s="128" customFormat="1" ht="18" customHeight="1">
      <c r="A795" s="443">
        <v>5</v>
      </c>
      <c r="B795" s="444" t="s">
        <v>706</v>
      </c>
      <c r="C795" s="445" t="s">
        <v>76</v>
      </c>
      <c r="D795" s="444" t="s">
        <v>707</v>
      </c>
      <c r="E795" s="446">
        <v>1</v>
      </c>
      <c r="F795" s="447"/>
      <c r="G795" s="448">
        <f t="shared" si="32"/>
        <v>0</v>
      </c>
      <c r="H795" s="449"/>
      <c r="I795" s="444"/>
      <c r="J795" s="449"/>
      <c r="K795" s="444"/>
      <c r="L795" s="450"/>
      <c r="M795" s="444"/>
      <c r="N795" s="450"/>
      <c r="O795" s="450"/>
      <c r="P795" s="450"/>
      <c r="Q795" s="451" t="s">
        <v>374</v>
      </c>
      <c r="R795" s="451"/>
      <c r="S795" s="452"/>
      <c r="T795" s="452" t="s">
        <v>481</v>
      </c>
      <c r="U795" s="453"/>
      <c r="V795" s="454"/>
      <c r="W795" s="455" t="s">
        <v>406</v>
      </c>
      <c r="X795" s="455">
        <v>45601</v>
      </c>
      <c r="Y795" s="456" t="s">
        <v>377</v>
      </c>
      <c r="Z795" s="498"/>
      <c r="AA795" s="494"/>
    </row>
    <row r="796" spans="1:27" s="128" customFormat="1" ht="18" customHeight="1">
      <c r="A796" s="405">
        <v>6</v>
      </c>
      <c r="B796" s="407" t="s">
        <v>690</v>
      </c>
      <c r="C796" s="406" t="s">
        <v>76</v>
      </c>
      <c r="D796" s="407" t="s">
        <v>691</v>
      </c>
      <c r="E796" s="408">
        <v>1</v>
      </c>
      <c r="F796" s="409"/>
      <c r="G796" s="410">
        <f t="shared" si="32"/>
        <v>0</v>
      </c>
      <c r="H796" s="411"/>
      <c r="I796" s="407"/>
      <c r="J796" s="411"/>
      <c r="K796" s="407" t="s">
        <v>1808</v>
      </c>
      <c r="L796" s="412" t="s">
        <v>1348</v>
      </c>
      <c r="M796" s="407" t="s">
        <v>1809</v>
      </c>
      <c r="N796" s="412"/>
      <c r="O796" s="412"/>
      <c r="P796" s="412" t="s">
        <v>1350</v>
      </c>
      <c r="Q796" s="413" t="s">
        <v>726</v>
      </c>
      <c r="R796" s="413" t="s">
        <v>263</v>
      </c>
      <c r="S796" s="414" t="s">
        <v>800</v>
      </c>
      <c r="T796" s="414"/>
      <c r="U796" s="415"/>
      <c r="V796" s="416"/>
      <c r="W796" s="417"/>
      <c r="X796" s="417"/>
      <c r="Y796" s="418" t="s">
        <v>377</v>
      </c>
      <c r="Z796" s="496"/>
      <c r="AA796" s="492"/>
    </row>
    <row r="797" spans="1:27" s="128" customFormat="1" ht="18" customHeight="1">
      <c r="A797" s="443">
        <v>7</v>
      </c>
      <c r="B797" s="444" t="s">
        <v>597</v>
      </c>
      <c r="C797" s="445" t="s">
        <v>76</v>
      </c>
      <c r="D797" s="444" t="s">
        <v>598</v>
      </c>
      <c r="E797" s="446">
        <v>1</v>
      </c>
      <c r="F797" s="447"/>
      <c r="G797" s="448">
        <f t="shared" si="32"/>
        <v>0</v>
      </c>
      <c r="H797" s="449"/>
      <c r="I797" s="444"/>
      <c r="J797" s="449"/>
      <c r="K797" s="444" t="s">
        <v>1808</v>
      </c>
      <c r="L797" s="450" t="s">
        <v>1348</v>
      </c>
      <c r="M797" s="444" t="s">
        <v>1256</v>
      </c>
      <c r="N797" s="450"/>
      <c r="O797" s="450"/>
      <c r="P797" s="450" t="s">
        <v>1350</v>
      </c>
      <c r="Q797" s="451" t="s">
        <v>726</v>
      </c>
      <c r="R797" s="451" t="s">
        <v>404</v>
      </c>
      <c r="S797" s="452" t="s">
        <v>1446</v>
      </c>
      <c r="T797" s="452" t="s">
        <v>1812</v>
      </c>
      <c r="U797" s="453"/>
      <c r="V797" s="454"/>
      <c r="W797" s="455" t="s">
        <v>406</v>
      </c>
      <c r="X797" s="455">
        <v>45600</v>
      </c>
      <c r="Y797" s="456" t="s">
        <v>377</v>
      </c>
      <c r="Z797" s="498"/>
      <c r="AA797" s="494"/>
    </row>
    <row r="798" spans="1:27" s="128" customFormat="1" ht="18" customHeight="1">
      <c r="A798" s="405">
        <v>8</v>
      </c>
      <c r="B798" s="407" t="s">
        <v>601</v>
      </c>
      <c r="C798" s="406" t="s">
        <v>76</v>
      </c>
      <c r="D798" s="407" t="s">
        <v>602</v>
      </c>
      <c r="E798" s="408">
        <v>1</v>
      </c>
      <c r="F798" s="409"/>
      <c r="G798" s="410">
        <f t="shared" si="32"/>
        <v>0</v>
      </c>
      <c r="H798" s="411"/>
      <c r="I798" s="407"/>
      <c r="J798" s="411"/>
      <c r="K798" s="407" t="s">
        <v>1808</v>
      </c>
      <c r="L798" s="412" t="s">
        <v>1348</v>
      </c>
      <c r="M798" s="407" t="s">
        <v>1256</v>
      </c>
      <c r="N798" s="412"/>
      <c r="O798" s="412"/>
      <c r="P798" s="412" t="s">
        <v>1350</v>
      </c>
      <c r="Q798" s="413" t="s">
        <v>726</v>
      </c>
      <c r="R798" s="413" t="s">
        <v>404</v>
      </c>
      <c r="S798" s="414" t="s">
        <v>1446</v>
      </c>
      <c r="T798" s="414">
        <v>45622</v>
      </c>
      <c r="U798" s="415"/>
      <c r="V798" s="416"/>
      <c r="W798" s="417"/>
      <c r="X798" s="417"/>
      <c r="Y798" s="418" t="s">
        <v>377</v>
      </c>
      <c r="Z798" s="496"/>
      <c r="AA798" s="492"/>
    </row>
    <row r="799" spans="1:27" s="128" customFormat="1" ht="18" customHeight="1">
      <c r="A799" s="443">
        <v>9</v>
      </c>
      <c r="B799" s="444" t="s">
        <v>599</v>
      </c>
      <c r="C799" s="445" t="s">
        <v>76</v>
      </c>
      <c r="D799" s="444" t="s">
        <v>600</v>
      </c>
      <c r="E799" s="446">
        <v>1</v>
      </c>
      <c r="F799" s="447"/>
      <c r="G799" s="448">
        <f t="shared" si="32"/>
        <v>0</v>
      </c>
      <c r="H799" s="449"/>
      <c r="I799" s="444"/>
      <c r="J799" s="449"/>
      <c r="K799" s="444" t="s">
        <v>1808</v>
      </c>
      <c r="L799" s="450" t="s">
        <v>1348</v>
      </c>
      <c r="M799" s="444" t="s">
        <v>1256</v>
      </c>
      <c r="N799" s="450"/>
      <c r="O799" s="450"/>
      <c r="P799" s="450" t="s">
        <v>1350</v>
      </c>
      <c r="Q799" s="451" t="s">
        <v>374</v>
      </c>
      <c r="R799" s="451" t="s">
        <v>404</v>
      </c>
      <c r="S799" s="452" t="s">
        <v>1446</v>
      </c>
      <c r="T799" s="452" t="s">
        <v>481</v>
      </c>
      <c r="U799" s="453"/>
      <c r="V799" s="454"/>
      <c r="W799" s="455" t="s">
        <v>406</v>
      </c>
      <c r="X799" s="455">
        <v>45610</v>
      </c>
      <c r="Y799" s="456" t="s">
        <v>377</v>
      </c>
      <c r="Z799" s="498"/>
      <c r="AA799" s="494"/>
    </row>
    <row r="800" spans="1:27" s="128" customFormat="1" ht="18" customHeight="1">
      <c r="A800" s="405">
        <v>10</v>
      </c>
      <c r="B800" s="407" t="s">
        <v>1484</v>
      </c>
      <c r="C800" s="406" t="s">
        <v>76</v>
      </c>
      <c r="D800" s="407" t="s">
        <v>1813</v>
      </c>
      <c r="E800" s="408">
        <v>1</v>
      </c>
      <c r="F800" s="409"/>
      <c r="G800" s="410">
        <f t="shared" si="32"/>
        <v>0</v>
      </c>
      <c r="H800" s="411"/>
      <c r="I800" s="407"/>
      <c r="J800" s="411"/>
      <c r="K800" s="407" t="s">
        <v>1808</v>
      </c>
      <c r="L800" s="412" t="s">
        <v>1348</v>
      </c>
      <c r="M800" s="407" t="s">
        <v>1809</v>
      </c>
      <c r="N800" s="412"/>
      <c r="O800" s="412"/>
      <c r="P800" s="412" t="s">
        <v>1350</v>
      </c>
      <c r="Q800" s="413" t="s">
        <v>726</v>
      </c>
      <c r="R800" s="413" t="s">
        <v>263</v>
      </c>
      <c r="S800" s="414" t="s">
        <v>800</v>
      </c>
      <c r="T800" s="414"/>
      <c r="U800" s="415"/>
      <c r="V800" s="416"/>
      <c r="W800" s="417"/>
      <c r="X800" s="417"/>
      <c r="Y800" s="418" t="s">
        <v>377</v>
      </c>
      <c r="Z800" s="496"/>
      <c r="AA800" s="492"/>
    </row>
    <row r="801" spans="1:27" s="128" customFormat="1" ht="18" customHeight="1">
      <c r="A801" s="405">
        <v>11</v>
      </c>
      <c r="B801" s="407" t="s">
        <v>987</v>
      </c>
      <c r="C801" s="406" t="s">
        <v>76</v>
      </c>
      <c r="D801" s="407" t="s">
        <v>397</v>
      </c>
      <c r="E801" s="408">
        <v>1</v>
      </c>
      <c r="F801" s="409"/>
      <c r="G801" s="410">
        <f t="shared" si="32"/>
        <v>0</v>
      </c>
      <c r="H801" s="411"/>
      <c r="I801" s="407"/>
      <c r="J801" s="411"/>
      <c r="K801" s="407" t="s">
        <v>1808</v>
      </c>
      <c r="L801" s="412" t="s">
        <v>1348</v>
      </c>
      <c r="M801" s="407" t="s">
        <v>1809</v>
      </c>
      <c r="N801" s="412"/>
      <c r="O801" s="412"/>
      <c r="P801" s="412" t="s">
        <v>1350</v>
      </c>
      <c r="Q801" s="413" t="s">
        <v>726</v>
      </c>
      <c r="R801" s="413" t="s">
        <v>263</v>
      </c>
      <c r="S801" s="414" t="s">
        <v>800</v>
      </c>
      <c r="T801" s="414"/>
      <c r="U801" s="415"/>
      <c r="V801" s="416"/>
      <c r="W801" s="417"/>
      <c r="X801" s="417"/>
      <c r="Y801" s="418" t="s">
        <v>377</v>
      </c>
      <c r="Z801" s="496"/>
      <c r="AA801" s="492"/>
    </row>
    <row r="802" spans="1:27" s="128" customFormat="1" ht="18" customHeight="1">
      <c r="A802" s="443">
        <v>12</v>
      </c>
      <c r="B802" s="444" t="s">
        <v>1280</v>
      </c>
      <c r="C802" s="445" t="s">
        <v>76</v>
      </c>
      <c r="D802" s="444" t="s">
        <v>1281</v>
      </c>
      <c r="E802" s="446">
        <v>2</v>
      </c>
      <c r="F802" s="447"/>
      <c r="G802" s="448">
        <f t="shared" si="32"/>
        <v>0</v>
      </c>
      <c r="H802" s="449"/>
      <c r="I802" s="444"/>
      <c r="J802" s="449"/>
      <c r="K802" s="444"/>
      <c r="L802" s="450"/>
      <c r="M802" s="444"/>
      <c r="N802" s="450"/>
      <c r="O802" s="450"/>
      <c r="P802" s="450"/>
      <c r="Q802" s="451" t="s">
        <v>374</v>
      </c>
      <c r="R802" s="451"/>
      <c r="S802" s="452"/>
      <c r="T802" s="452" t="s">
        <v>481</v>
      </c>
      <c r="U802" s="453"/>
      <c r="V802" s="454"/>
      <c r="W802" s="455" t="s">
        <v>406</v>
      </c>
      <c r="X802" s="455">
        <v>45601</v>
      </c>
      <c r="Y802" s="456" t="s">
        <v>377</v>
      </c>
      <c r="Z802" s="498"/>
      <c r="AA802" s="494"/>
    </row>
    <row r="803" spans="1:27" s="128" customFormat="1" ht="18" customHeight="1">
      <c r="A803" s="405">
        <v>13</v>
      </c>
      <c r="B803" s="407" t="s">
        <v>1814</v>
      </c>
      <c r="C803" s="406" t="s">
        <v>76</v>
      </c>
      <c r="D803" s="407" t="s">
        <v>1815</v>
      </c>
      <c r="E803" s="408">
        <v>1</v>
      </c>
      <c r="F803" s="409"/>
      <c r="G803" s="410">
        <f t="shared" si="32"/>
        <v>0</v>
      </c>
      <c r="H803" s="411"/>
      <c r="I803" s="407"/>
      <c r="J803" s="411"/>
      <c r="K803" s="407" t="s">
        <v>1808</v>
      </c>
      <c r="L803" s="412" t="s">
        <v>1348</v>
      </c>
      <c r="M803" s="407" t="s">
        <v>1816</v>
      </c>
      <c r="N803" s="412"/>
      <c r="O803" s="412"/>
      <c r="P803" s="412" t="s">
        <v>1350</v>
      </c>
      <c r="Q803" s="413" t="s">
        <v>726</v>
      </c>
      <c r="R803" s="413" t="s">
        <v>277</v>
      </c>
      <c r="S803" s="414" t="s">
        <v>1446</v>
      </c>
      <c r="T803" s="414"/>
      <c r="U803" s="415"/>
      <c r="V803" s="416"/>
      <c r="W803" s="417"/>
      <c r="X803" s="417"/>
      <c r="Y803" s="418" t="s">
        <v>377</v>
      </c>
      <c r="Z803" s="496"/>
      <c r="AA803" s="492"/>
    </row>
    <row r="804" spans="1:27" s="128" customFormat="1" ht="18" customHeight="1">
      <c r="A804" s="405">
        <v>14</v>
      </c>
      <c r="B804" s="407" t="s">
        <v>972</v>
      </c>
      <c r="C804" s="406" t="s">
        <v>76</v>
      </c>
      <c r="D804" s="407" t="s">
        <v>973</v>
      </c>
      <c r="E804" s="408">
        <v>8</v>
      </c>
      <c r="F804" s="409"/>
      <c r="G804" s="410">
        <f t="shared" si="32"/>
        <v>0</v>
      </c>
      <c r="H804" s="411"/>
      <c r="I804" s="407"/>
      <c r="J804" s="411"/>
      <c r="K804" s="407" t="s">
        <v>1808</v>
      </c>
      <c r="L804" s="412" t="s">
        <v>1348</v>
      </c>
      <c r="M804" s="407" t="s">
        <v>1816</v>
      </c>
      <c r="N804" s="412"/>
      <c r="O804" s="412"/>
      <c r="P804" s="412" t="s">
        <v>1350</v>
      </c>
      <c r="Q804" s="413" t="s">
        <v>726</v>
      </c>
      <c r="R804" s="413" t="s">
        <v>277</v>
      </c>
      <c r="S804" s="414" t="s">
        <v>1446</v>
      </c>
      <c r="T804" s="414"/>
      <c r="U804" s="415"/>
      <c r="V804" s="416"/>
      <c r="W804" s="417"/>
      <c r="X804" s="417"/>
      <c r="Y804" s="418" t="s">
        <v>377</v>
      </c>
      <c r="Z804" s="496"/>
      <c r="AA804" s="492"/>
    </row>
    <row r="805" spans="1:27" s="128" customFormat="1" ht="18" customHeight="1">
      <c r="A805" s="405">
        <v>15</v>
      </c>
      <c r="B805" s="407" t="s">
        <v>965</v>
      </c>
      <c r="C805" s="406" t="s">
        <v>76</v>
      </c>
      <c r="D805" s="407" t="s">
        <v>966</v>
      </c>
      <c r="E805" s="408">
        <v>1</v>
      </c>
      <c r="F805" s="409"/>
      <c r="G805" s="410">
        <f t="shared" si="32"/>
        <v>0</v>
      </c>
      <c r="H805" s="411"/>
      <c r="I805" s="407"/>
      <c r="J805" s="411"/>
      <c r="K805" s="407" t="s">
        <v>1808</v>
      </c>
      <c r="L805" s="412" t="s">
        <v>1348</v>
      </c>
      <c r="M805" s="407" t="s">
        <v>1256</v>
      </c>
      <c r="N805" s="412"/>
      <c r="O805" s="412"/>
      <c r="P805" s="412" t="s">
        <v>1350</v>
      </c>
      <c r="Q805" s="413" t="s">
        <v>726</v>
      </c>
      <c r="R805" s="413" t="s">
        <v>404</v>
      </c>
      <c r="S805" s="414" t="s">
        <v>1446</v>
      </c>
      <c r="T805" s="414">
        <v>45622</v>
      </c>
      <c r="U805" s="415"/>
      <c r="V805" s="416"/>
      <c r="W805" s="417"/>
      <c r="X805" s="417"/>
      <c r="Y805" s="418" t="s">
        <v>377</v>
      </c>
      <c r="Z805" s="496"/>
      <c r="AA805" s="492"/>
    </row>
    <row r="806" spans="1:27" s="128" customFormat="1" ht="18" customHeight="1">
      <c r="A806" s="443">
        <v>16</v>
      </c>
      <c r="B806" s="444" t="s">
        <v>976</v>
      </c>
      <c r="C806" s="445" t="s">
        <v>76</v>
      </c>
      <c r="D806" s="444" t="s">
        <v>977</v>
      </c>
      <c r="E806" s="446">
        <v>1</v>
      </c>
      <c r="F806" s="447"/>
      <c r="G806" s="448">
        <f t="shared" si="32"/>
        <v>0</v>
      </c>
      <c r="H806" s="449"/>
      <c r="I806" s="444"/>
      <c r="J806" s="449"/>
      <c r="K806" s="444" t="s">
        <v>1808</v>
      </c>
      <c r="L806" s="450" t="s">
        <v>1348</v>
      </c>
      <c r="M806" s="444" t="s">
        <v>1817</v>
      </c>
      <c r="N806" s="450"/>
      <c r="O806" s="450"/>
      <c r="P806" s="450" t="s">
        <v>1350</v>
      </c>
      <c r="Q806" s="451" t="s">
        <v>726</v>
      </c>
      <c r="R806" s="451" t="s">
        <v>303</v>
      </c>
      <c r="S806" s="452" t="s">
        <v>842</v>
      </c>
      <c r="T806" s="452"/>
      <c r="U806" s="453"/>
      <c r="V806" s="454"/>
      <c r="W806" s="455" t="s">
        <v>406</v>
      </c>
      <c r="X806" s="455">
        <v>45611</v>
      </c>
      <c r="Y806" s="456" t="s">
        <v>377</v>
      </c>
      <c r="Z806" s="498"/>
      <c r="AA806" s="494"/>
    </row>
    <row r="807" spans="1:27" s="128" customFormat="1" ht="18" customHeight="1">
      <c r="A807" s="443">
        <v>17</v>
      </c>
      <c r="B807" s="444" t="s">
        <v>980</v>
      </c>
      <c r="C807" s="445" t="s">
        <v>76</v>
      </c>
      <c r="D807" s="444" t="s">
        <v>981</v>
      </c>
      <c r="E807" s="446">
        <v>1</v>
      </c>
      <c r="F807" s="447"/>
      <c r="G807" s="448">
        <f t="shared" si="32"/>
        <v>0</v>
      </c>
      <c r="H807" s="449"/>
      <c r="I807" s="444"/>
      <c r="J807" s="449"/>
      <c r="K807" s="444" t="s">
        <v>1808</v>
      </c>
      <c r="L807" s="450" t="s">
        <v>1348</v>
      </c>
      <c r="M807" s="444" t="s">
        <v>1817</v>
      </c>
      <c r="N807" s="450"/>
      <c r="O807" s="450"/>
      <c r="P807" s="450" t="s">
        <v>1350</v>
      </c>
      <c r="Q807" s="451" t="s">
        <v>726</v>
      </c>
      <c r="R807" s="451" t="s">
        <v>303</v>
      </c>
      <c r="S807" s="452" t="s">
        <v>842</v>
      </c>
      <c r="T807" s="452"/>
      <c r="U807" s="453"/>
      <c r="V807" s="454"/>
      <c r="W807" s="455" t="s">
        <v>406</v>
      </c>
      <c r="X807" s="455">
        <v>45611</v>
      </c>
      <c r="Y807" s="456" t="s">
        <v>377</v>
      </c>
      <c r="Z807" s="498"/>
      <c r="AA807" s="494"/>
    </row>
    <row r="808" spans="1:27" s="128" customFormat="1" ht="18" customHeight="1">
      <c r="A808" s="443">
        <v>18</v>
      </c>
      <c r="B808" s="444" t="s">
        <v>982</v>
      </c>
      <c r="C808" s="445" t="s">
        <v>76</v>
      </c>
      <c r="D808" s="444" t="s">
        <v>983</v>
      </c>
      <c r="E808" s="446">
        <v>1</v>
      </c>
      <c r="F808" s="447"/>
      <c r="G808" s="448">
        <f t="shared" si="32"/>
        <v>0</v>
      </c>
      <c r="H808" s="449"/>
      <c r="I808" s="444"/>
      <c r="J808" s="449"/>
      <c r="K808" s="444" t="s">
        <v>1808</v>
      </c>
      <c r="L808" s="450" t="s">
        <v>1348</v>
      </c>
      <c r="M808" s="444" t="s">
        <v>1817</v>
      </c>
      <c r="N808" s="450"/>
      <c r="O808" s="450"/>
      <c r="P808" s="450" t="s">
        <v>1350</v>
      </c>
      <c r="Q808" s="451" t="s">
        <v>726</v>
      </c>
      <c r="R808" s="451" t="s">
        <v>303</v>
      </c>
      <c r="S808" s="452" t="s">
        <v>842</v>
      </c>
      <c r="T808" s="452"/>
      <c r="U808" s="453"/>
      <c r="V808" s="454"/>
      <c r="W808" s="455" t="s">
        <v>406</v>
      </c>
      <c r="X808" s="455">
        <v>45611</v>
      </c>
      <c r="Y808" s="456" t="s">
        <v>377</v>
      </c>
      <c r="Z808" s="498"/>
      <c r="AA808" s="494"/>
    </row>
    <row r="809" spans="1:27" s="128" customFormat="1" ht="18" customHeight="1">
      <c r="A809" s="405">
        <v>19</v>
      </c>
      <c r="B809" s="407" t="s">
        <v>984</v>
      </c>
      <c r="C809" s="406" t="s">
        <v>76</v>
      </c>
      <c r="D809" s="407" t="s">
        <v>985</v>
      </c>
      <c r="E809" s="408">
        <v>1</v>
      </c>
      <c r="F809" s="409"/>
      <c r="G809" s="410">
        <f t="shared" si="32"/>
        <v>0</v>
      </c>
      <c r="H809" s="411"/>
      <c r="I809" s="407"/>
      <c r="J809" s="411"/>
      <c r="K809" s="407" t="s">
        <v>1808</v>
      </c>
      <c r="L809" s="412" t="s">
        <v>1348</v>
      </c>
      <c r="M809" s="407" t="s">
        <v>1809</v>
      </c>
      <c r="N809" s="412"/>
      <c r="O809" s="412"/>
      <c r="P809" s="412" t="s">
        <v>1350</v>
      </c>
      <c r="Q809" s="413" t="s">
        <v>726</v>
      </c>
      <c r="R809" s="413" t="s">
        <v>263</v>
      </c>
      <c r="S809" s="414" t="s">
        <v>800</v>
      </c>
      <c r="T809" s="414"/>
      <c r="U809" s="415"/>
      <c r="V809" s="416"/>
      <c r="W809" s="417"/>
      <c r="X809" s="417"/>
      <c r="Y809" s="418" t="s">
        <v>377</v>
      </c>
      <c r="Z809" s="496"/>
      <c r="AA809" s="492"/>
    </row>
    <row r="810" spans="1:27" s="128" customFormat="1" ht="18" customHeight="1">
      <c r="A810" s="405">
        <v>20</v>
      </c>
      <c r="B810" s="407" t="s">
        <v>1092</v>
      </c>
      <c r="C810" s="406" t="s">
        <v>76</v>
      </c>
      <c r="D810" s="407" t="s">
        <v>1093</v>
      </c>
      <c r="E810" s="408">
        <v>1</v>
      </c>
      <c r="F810" s="409"/>
      <c r="G810" s="410">
        <f t="shared" si="32"/>
        <v>0</v>
      </c>
      <c r="H810" s="411"/>
      <c r="I810" s="407"/>
      <c r="J810" s="411"/>
      <c r="K810" s="407" t="s">
        <v>1808</v>
      </c>
      <c r="L810" s="412" t="s">
        <v>1348</v>
      </c>
      <c r="M810" s="407" t="s">
        <v>1256</v>
      </c>
      <c r="N810" s="412"/>
      <c r="O810" s="412"/>
      <c r="P810" s="412" t="s">
        <v>1350</v>
      </c>
      <c r="Q810" s="413" t="s">
        <v>726</v>
      </c>
      <c r="R810" s="413" t="s">
        <v>404</v>
      </c>
      <c r="S810" s="414" t="s">
        <v>1446</v>
      </c>
      <c r="T810" s="414">
        <v>45622</v>
      </c>
      <c r="U810" s="415"/>
      <c r="V810" s="416"/>
      <c r="W810" s="417"/>
      <c r="X810" s="417"/>
      <c r="Y810" s="418" t="s">
        <v>377</v>
      </c>
      <c r="Z810" s="496"/>
      <c r="AA810" s="492"/>
    </row>
    <row r="811" spans="1:27" s="128" customFormat="1" ht="18" customHeight="1">
      <c r="A811" s="405">
        <v>21</v>
      </c>
      <c r="B811" s="407" t="s">
        <v>951</v>
      </c>
      <c r="C811" s="406" t="s">
        <v>76</v>
      </c>
      <c r="D811" s="407" t="s">
        <v>952</v>
      </c>
      <c r="E811" s="408">
        <v>1</v>
      </c>
      <c r="F811" s="409"/>
      <c r="G811" s="410">
        <f t="shared" si="32"/>
        <v>0</v>
      </c>
      <c r="H811" s="411"/>
      <c r="I811" s="407"/>
      <c r="J811" s="411"/>
      <c r="K811" s="407" t="s">
        <v>1808</v>
      </c>
      <c r="L811" s="412" t="s">
        <v>1348</v>
      </c>
      <c r="M811" s="407" t="s">
        <v>1256</v>
      </c>
      <c r="N811" s="412"/>
      <c r="O811" s="412"/>
      <c r="P811" s="412" t="s">
        <v>1350</v>
      </c>
      <c r="Q811" s="413" t="s">
        <v>726</v>
      </c>
      <c r="R811" s="413" t="s">
        <v>404</v>
      </c>
      <c r="S811" s="414" t="s">
        <v>1446</v>
      </c>
      <c r="T811" s="414">
        <v>45622</v>
      </c>
      <c r="U811" s="415"/>
      <c r="V811" s="416"/>
      <c r="W811" s="417"/>
      <c r="X811" s="417"/>
      <c r="Y811" s="418" t="s">
        <v>377</v>
      </c>
      <c r="Z811" s="496"/>
      <c r="AA811" s="492"/>
    </row>
    <row r="812" spans="1:27" s="128" customFormat="1" ht="18" customHeight="1">
      <c r="A812" s="405">
        <v>22</v>
      </c>
      <c r="B812" s="407" t="s">
        <v>1818</v>
      </c>
      <c r="C812" s="406" t="s">
        <v>76</v>
      </c>
      <c r="D812" s="407" t="s">
        <v>1007</v>
      </c>
      <c r="E812" s="408">
        <v>1</v>
      </c>
      <c r="F812" s="409"/>
      <c r="G812" s="410">
        <f t="shared" si="32"/>
        <v>0</v>
      </c>
      <c r="H812" s="411"/>
      <c r="I812" s="407"/>
      <c r="J812" s="411"/>
      <c r="K812" s="407" t="s">
        <v>1808</v>
      </c>
      <c r="L812" s="412" t="s">
        <v>1348</v>
      </c>
      <c r="M812" s="407" t="s">
        <v>1256</v>
      </c>
      <c r="N812" s="412"/>
      <c r="O812" s="412"/>
      <c r="P812" s="412" t="s">
        <v>1350</v>
      </c>
      <c r="Q812" s="413" t="s">
        <v>726</v>
      </c>
      <c r="R812" s="413" t="s">
        <v>404</v>
      </c>
      <c r="S812" s="414" t="s">
        <v>1446</v>
      </c>
      <c r="T812" s="414">
        <v>45622</v>
      </c>
      <c r="U812" s="415"/>
      <c r="V812" s="416"/>
      <c r="W812" s="417"/>
      <c r="X812" s="417"/>
      <c r="Y812" s="418" t="s">
        <v>377</v>
      </c>
      <c r="Z812" s="496"/>
      <c r="AA812" s="492"/>
    </row>
    <row r="813" spans="1:27" s="128" customFormat="1" ht="18" customHeight="1">
      <c r="A813" s="405">
        <v>23</v>
      </c>
      <c r="B813" s="407" t="s">
        <v>1010</v>
      </c>
      <c r="C813" s="406" t="s">
        <v>76</v>
      </c>
      <c r="D813" s="407" t="s">
        <v>1011</v>
      </c>
      <c r="E813" s="408">
        <v>1</v>
      </c>
      <c r="F813" s="409"/>
      <c r="G813" s="410">
        <f t="shared" si="32"/>
        <v>0</v>
      </c>
      <c r="H813" s="411"/>
      <c r="I813" s="407"/>
      <c r="J813" s="411"/>
      <c r="K813" s="407" t="s">
        <v>1808</v>
      </c>
      <c r="L813" s="412" t="s">
        <v>1348</v>
      </c>
      <c r="M813" s="407" t="s">
        <v>1256</v>
      </c>
      <c r="N813" s="412"/>
      <c r="O813" s="412"/>
      <c r="P813" s="412" t="s">
        <v>1350</v>
      </c>
      <c r="Q813" s="413" t="s">
        <v>726</v>
      </c>
      <c r="R813" s="413" t="s">
        <v>404</v>
      </c>
      <c r="S813" s="414" t="s">
        <v>1446</v>
      </c>
      <c r="T813" s="414">
        <v>45622</v>
      </c>
      <c r="U813" s="415"/>
      <c r="V813" s="416"/>
      <c r="W813" s="417"/>
      <c r="X813" s="417"/>
      <c r="Y813" s="418" t="s">
        <v>377</v>
      </c>
      <c r="Z813" s="496"/>
      <c r="AA813" s="492"/>
    </row>
    <row r="814" spans="1:27" s="128" customFormat="1" ht="18" customHeight="1">
      <c r="A814" s="405">
        <v>24</v>
      </c>
      <c r="B814" s="407" t="s">
        <v>1819</v>
      </c>
      <c r="C814" s="406" t="s">
        <v>76</v>
      </c>
      <c r="D814" s="407" t="s">
        <v>1229</v>
      </c>
      <c r="E814" s="408">
        <v>1</v>
      </c>
      <c r="F814" s="409"/>
      <c r="G814" s="410">
        <f t="shared" si="32"/>
        <v>0</v>
      </c>
      <c r="H814" s="411"/>
      <c r="I814" s="407"/>
      <c r="J814" s="411"/>
      <c r="K814" s="407" t="s">
        <v>1808</v>
      </c>
      <c r="L814" s="412" t="s">
        <v>1348</v>
      </c>
      <c r="M814" s="407" t="s">
        <v>1256</v>
      </c>
      <c r="N814" s="412"/>
      <c r="O814" s="412"/>
      <c r="P814" s="412" t="s">
        <v>1350</v>
      </c>
      <c r="Q814" s="413" t="s">
        <v>726</v>
      </c>
      <c r="R814" s="413" t="s">
        <v>404</v>
      </c>
      <c r="S814" s="414" t="s">
        <v>1446</v>
      </c>
      <c r="T814" s="414">
        <v>45622</v>
      </c>
      <c r="U814" s="415"/>
      <c r="V814" s="416"/>
      <c r="W814" s="417"/>
      <c r="X814" s="417"/>
      <c r="Y814" s="418" t="s">
        <v>377</v>
      </c>
      <c r="Z814" s="496"/>
      <c r="AA814" s="492"/>
    </row>
    <row r="815" spans="1:27" s="128" customFormat="1" ht="18" customHeight="1">
      <c r="A815" s="405">
        <v>25</v>
      </c>
      <c r="B815" s="407" t="s">
        <v>959</v>
      </c>
      <c r="C815" s="406" t="s">
        <v>76</v>
      </c>
      <c r="D815" s="407" t="s">
        <v>960</v>
      </c>
      <c r="E815" s="408">
        <v>1</v>
      </c>
      <c r="F815" s="409"/>
      <c r="G815" s="410">
        <f t="shared" si="32"/>
        <v>0</v>
      </c>
      <c r="H815" s="411"/>
      <c r="I815" s="407"/>
      <c r="J815" s="411"/>
      <c r="K815" s="407" t="s">
        <v>1808</v>
      </c>
      <c r="L815" s="412" t="s">
        <v>1348</v>
      </c>
      <c r="M815" s="407" t="s">
        <v>1256</v>
      </c>
      <c r="N815" s="412"/>
      <c r="O815" s="412"/>
      <c r="P815" s="412" t="s">
        <v>1350</v>
      </c>
      <c r="Q815" s="413" t="s">
        <v>726</v>
      </c>
      <c r="R815" s="413" t="s">
        <v>404</v>
      </c>
      <c r="S815" s="414" t="s">
        <v>1446</v>
      </c>
      <c r="T815" s="414">
        <v>45622</v>
      </c>
      <c r="U815" s="415"/>
      <c r="V815" s="416"/>
      <c r="W815" s="417"/>
      <c r="X815" s="417"/>
      <c r="Y815" s="418" t="s">
        <v>377</v>
      </c>
      <c r="Z815" s="496"/>
      <c r="AA815" s="492"/>
    </row>
    <row r="816" spans="1:27" s="128" customFormat="1" ht="18" customHeight="1">
      <c r="A816" s="405">
        <v>26</v>
      </c>
      <c r="B816" s="407" t="s">
        <v>992</v>
      </c>
      <c r="C816" s="406" t="s">
        <v>76</v>
      </c>
      <c r="D816" s="407" t="s">
        <v>993</v>
      </c>
      <c r="E816" s="408">
        <v>1</v>
      </c>
      <c r="F816" s="409"/>
      <c r="G816" s="410">
        <f t="shared" si="32"/>
        <v>0</v>
      </c>
      <c r="H816" s="411"/>
      <c r="I816" s="407"/>
      <c r="J816" s="411"/>
      <c r="K816" s="407" t="s">
        <v>1808</v>
      </c>
      <c r="L816" s="412" t="s">
        <v>1348</v>
      </c>
      <c r="M816" s="407" t="s">
        <v>1820</v>
      </c>
      <c r="N816" s="412"/>
      <c r="O816" s="412"/>
      <c r="P816" s="412" t="s">
        <v>1350</v>
      </c>
      <c r="Q816" s="413" t="s">
        <v>726</v>
      </c>
      <c r="R816" s="413" t="s">
        <v>995</v>
      </c>
      <c r="S816" s="414" t="s">
        <v>800</v>
      </c>
      <c r="T816" s="414" t="s">
        <v>1821</v>
      </c>
      <c r="U816" s="415"/>
      <c r="V816" s="416"/>
      <c r="W816" s="417"/>
      <c r="X816" s="417"/>
      <c r="Y816" s="418" t="s">
        <v>377</v>
      </c>
      <c r="Z816" s="496"/>
      <c r="AA816" s="492"/>
    </row>
    <row r="817" spans="1:27" s="128" customFormat="1" ht="18" customHeight="1">
      <c r="A817" s="443">
        <v>27</v>
      </c>
      <c r="B817" s="444" t="s">
        <v>1822</v>
      </c>
      <c r="C817" s="445" t="s">
        <v>76</v>
      </c>
      <c r="D817" s="444" t="s">
        <v>1823</v>
      </c>
      <c r="E817" s="446">
        <v>1</v>
      </c>
      <c r="F817" s="447"/>
      <c r="G817" s="448">
        <f t="shared" si="32"/>
        <v>0</v>
      </c>
      <c r="H817" s="449"/>
      <c r="I817" s="444"/>
      <c r="J817" s="449"/>
      <c r="K817" s="444"/>
      <c r="L817" s="450"/>
      <c r="M817" s="444"/>
      <c r="N817" s="450"/>
      <c r="O817" s="450"/>
      <c r="P817" s="450"/>
      <c r="Q817" s="451" t="s">
        <v>374</v>
      </c>
      <c r="R817" s="451"/>
      <c r="S817" s="452"/>
      <c r="T817" s="452" t="s">
        <v>481</v>
      </c>
      <c r="U817" s="453"/>
      <c r="V817" s="454"/>
      <c r="W817" s="455" t="s">
        <v>406</v>
      </c>
      <c r="X817" s="455">
        <v>45601</v>
      </c>
      <c r="Y817" s="456" t="s">
        <v>377</v>
      </c>
      <c r="Z817" s="498"/>
      <c r="AA817" s="494"/>
    </row>
    <row r="818" spans="1:27" s="128" customFormat="1" ht="18" customHeight="1">
      <c r="A818" s="405">
        <v>28</v>
      </c>
      <c r="B818" s="407" t="s">
        <v>1824</v>
      </c>
      <c r="C818" s="406" t="s">
        <v>76</v>
      </c>
      <c r="D818" s="407" t="s">
        <v>1825</v>
      </c>
      <c r="E818" s="408">
        <v>1</v>
      </c>
      <c r="F818" s="409"/>
      <c r="G818" s="410">
        <f t="shared" si="32"/>
        <v>0</v>
      </c>
      <c r="H818" s="411"/>
      <c r="I818" s="407"/>
      <c r="J818" s="411"/>
      <c r="K818" s="407" t="s">
        <v>1808</v>
      </c>
      <c r="L818" s="412" t="s">
        <v>1348</v>
      </c>
      <c r="M818" s="407" t="s">
        <v>1826</v>
      </c>
      <c r="N818" s="412"/>
      <c r="O818" s="412"/>
      <c r="P818" s="412" t="s">
        <v>1350</v>
      </c>
      <c r="Q818" s="413" t="s">
        <v>726</v>
      </c>
      <c r="R818" s="413" t="s">
        <v>470</v>
      </c>
      <c r="S818" s="414" t="s">
        <v>1455</v>
      </c>
      <c r="T818" s="414"/>
      <c r="U818" s="415"/>
      <c r="V818" s="416"/>
      <c r="W818" s="417"/>
      <c r="X818" s="417"/>
      <c r="Y818" s="418" t="s">
        <v>377</v>
      </c>
      <c r="Z818" s="496"/>
      <c r="AA818" s="492"/>
    </row>
    <row r="819" spans="1:27" s="128" customFormat="1" ht="18" customHeight="1">
      <c r="A819" s="405">
        <v>29</v>
      </c>
      <c r="B819" s="407" t="s">
        <v>970</v>
      </c>
      <c r="C819" s="406" t="s">
        <v>76</v>
      </c>
      <c r="D819" s="407" t="s">
        <v>971</v>
      </c>
      <c r="E819" s="408">
        <v>1</v>
      </c>
      <c r="F819" s="409"/>
      <c r="G819" s="410">
        <f t="shared" si="32"/>
        <v>0</v>
      </c>
      <c r="H819" s="411"/>
      <c r="I819" s="407"/>
      <c r="J819" s="411"/>
      <c r="K819" s="407" t="s">
        <v>1808</v>
      </c>
      <c r="L819" s="412" t="s">
        <v>1348</v>
      </c>
      <c r="M819" s="407" t="s">
        <v>1816</v>
      </c>
      <c r="N819" s="412"/>
      <c r="O819" s="412"/>
      <c r="P819" s="412" t="s">
        <v>1350</v>
      </c>
      <c r="Q819" s="413" t="s">
        <v>726</v>
      </c>
      <c r="R819" s="413" t="s">
        <v>277</v>
      </c>
      <c r="S819" s="414" t="s">
        <v>1446</v>
      </c>
      <c r="T819" s="414"/>
      <c r="U819" s="415"/>
      <c r="V819" s="416"/>
      <c r="W819" s="417"/>
      <c r="X819" s="417"/>
      <c r="Y819" s="418" t="s">
        <v>377</v>
      </c>
      <c r="Z819" s="496"/>
      <c r="AA819" s="492"/>
    </row>
    <row r="820" spans="1:27" s="128" customFormat="1" ht="18" customHeight="1">
      <c r="A820" s="405">
        <v>30</v>
      </c>
      <c r="B820" s="407" t="s">
        <v>1827</v>
      </c>
      <c r="C820" s="406" t="s">
        <v>76</v>
      </c>
      <c r="D820" s="407" t="s">
        <v>1828</v>
      </c>
      <c r="E820" s="408">
        <v>1</v>
      </c>
      <c r="F820" s="409"/>
      <c r="G820" s="410">
        <f t="shared" si="32"/>
        <v>0</v>
      </c>
      <c r="H820" s="411"/>
      <c r="I820" s="407"/>
      <c r="J820" s="411"/>
      <c r="K820" s="407" t="s">
        <v>1829</v>
      </c>
      <c r="L820" s="412" t="s">
        <v>444</v>
      </c>
      <c r="M820" s="407" t="s">
        <v>444</v>
      </c>
      <c r="N820" s="412"/>
      <c r="O820" s="412"/>
      <c r="P820" s="412" t="s">
        <v>444</v>
      </c>
      <c r="Q820" s="413" t="s">
        <v>1514</v>
      </c>
      <c r="R820" s="413" t="s">
        <v>444</v>
      </c>
      <c r="S820" s="414" t="s">
        <v>444</v>
      </c>
      <c r="T820" s="414" t="s">
        <v>1829</v>
      </c>
      <c r="U820" s="415"/>
      <c r="V820" s="416"/>
      <c r="W820" s="417"/>
      <c r="X820" s="417"/>
      <c r="Y820" s="418" t="s">
        <v>377</v>
      </c>
      <c r="Z820" s="496"/>
      <c r="AA820" s="492"/>
    </row>
    <row r="821" spans="1:27" s="128" customFormat="1" ht="18" customHeight="1">
      <c r="A821" s="405">
        <v>31</v>
      </c>
      <c r="B821" s="407" t="s">
        <v>1830</v>
      </c>
      <c r="C821" s="406" t="s">
        <v>76</v>
      </c>
      <c r="D821" s="407" t="s">
        <v>1831</v>
      </c>
      <c r="E821" s="408">
        <v>1</v>
      </c>
      <c r="F821" s="409"/>
      <c r="G821" s="410">
        <f t="shared" si="32"/>
        <v>0</v>
      </c>
      <c r="H821" s="411"/>
      <c r="I821" s="407"/>
      <c r="J821" s="411"/>
      <c r="K821" s="407" t="s">
        <v>1808</v>
      </c>
      <c r="L821" s="412" t="s">
        <v>1348</v>
      </c>
      <c r="M821" s="407" t="s">
        <v>1832</v>
      </c>
      <c r="N821" s="412"/>
      <c r="O821" s="412"/>
      <c r="P821" s="412" t="s">
        <v>1350</v>
      </c>
      <c r="Q821" s="413" t="s">
        <v>726</v>
      </c>
      <c r="R821" s="413" t="s">
        <v>249</v>
      </c>
      <c r="S821" s="414" t="s">
        <v>800</v>
      </c>
      <c r="T821" s="414"/>
      <c r="U821" s="415"/>
      <c r="V821" s="416"/>
      <c r="W821" s="417"/>
      <c r="X821" s="417"/>
      <c r="Y821" s="418" t="s">
        <v>377</v>
      </c>
      <c r="Z821" s="496"/>
      <c r="AA821" s="492"/>
    </row>
    <row r="822" spans="1:27" s="128" customFormat="1" ht="18" customHeight="1">
      <c r="A822" s="405">
        <v>32</v>
      </c>
      <c r="B822" s="407" t="s">
        <v>1833</v>
      </c>
      <c r="C822" s="406" t="s">
        <v>76</v>
      </c>
      <c r="D822" s="407" t="s">
        <v>1834</v>
      </c>
      <c r="E822" s="408">
        <v>1</v>
      </c>
      <c r="F822" s="409"/>
      <c r="G822" s="410">
        <f t="shared" si="32"/>
        <v>0</v>
      </c>
      <c r="H822" s="411"/>
      <c r="I822" s="407"/>
      <c r="J822" s="411"/>
      <c r="K822" s="407" t="s">
        <v>1808</v>
      </c>
      <c r="L822" s="412" t="s">
        <v>1348</v>
      </c>
      <c r="M822" s="407" t="s">
        <v>1832</v>
      </c>
      <c r="N822" s="412"/>
      <c r="O822" s="412"/>
      <c r="P822" s="412" t="s">
        <v>1350</v>
      </c>
      <c r="Q822" s="413" t="s">
        <v>726</v>
      </c>
      <c r="R822" s="413" t="s">
        <v>249</v>
      </c>
      <c r="S822" s="414" t="s">
        <v>800</v>
      </c>
      <c r="T822" s="414"/>
      <c r="U822" s="415"/>
      <c r="V822" s="416"/>
      <c r="W822" s="417"/>
      <c r="X822" s="417"/>
      <c r="Y822" s="418" t="s">
        <v>377</v>
      </c>
      <c r="Z822" s="496"/>
      <c r="AA822" s="492"/>
    </row>
    <row r="823" spans="1:27" s="128" customFormat="1" ht="18" customHeight="1">
      <c r="A823" s="443">
        <v>33</v>
      </c>
      <c r="B823" s="444" t="s">
        <v>976</v>
      </c>
      <c r="C823" s="445" t="s">
        <v>76</v>
      </c>
      <c r="D823" s="444" t="s">
        <v>977</v>
      </c>
      <c r="E823" s="446">
        <v>2</v>
      </c>
      <c r="F823" s="447"/>
      <c r="G823" s="448">
        <f t="shared" ref="G823:G854" si="33">E823*F823</f>
        <v>0</v>
      </c>
      <c r="H823" s="449"/>
      <c r="I823" s="444"/>
      <c r="J823" s="449"/>
      <c r="K823" s="444" t="s">
        <v>1808</v>
      </c>
      <c r="L823" s="450" t="s">
        <v>1348</v>
      </c>
      <c r="M823" s="444" t="s">
        <v>1817</v>
      </c>
      <c r="N823" s="450"/>
      <c r="O823" s="450"/>
      <c r="P823" s="450" t="s">
        <v>1350</v>
      </c>
      <c r="Q823" s="451" t="s">
        <v>726</v>
      </c>
      <c r="R823" s="451" t="s">
        <v>303</v>
      </c>
      <c r="S823" s="452" t="s">
        <v>842</v>
      </c>
      <c r="T823" s="452"/>
      <c r="U823" s="453"/>
      <c r="V823" s="454"/>
      <c r="W823" s="455" t="s">
        <v>406</v>
      </c>
      <c r="X823" s="455">
        <v>45611</v>
      </c>
      <c r="Y823" s="456" t="s">
        <v>377</v>
      </c>
      <c r="Z823" s="498"/>
      <c r="AA823" s="494"/>
    </row>
    <row r="824" spans="1:27" s="128" customFormat="1" ht="18" customHeight="1">
      <c r="A824" s="443">
        <v>34</v>
      </c>
      <c r="B824" s="444" t="s">
        <v>980</v>
      </c>
      <c r="C824" s="445" t="s">
        <v>76</v>
      </c>
      <c r="D824" s="444" t="s">
        <v>981</v>
      </c>
      <c r="E824" s="446">
        <v>2</v>
      </c>
      <c r="F824" s="447"/>
      <c r="G824" s="448">
        <f t="shared" si="33"/>
        <v>0</v>
      </c>
      <c r="H824" s="449"/>
      <c r="I824" s="444"/>
      <c r="J824" s="449"/>
      <c r="K824" s="444" t="s">
        <v>1808</v>
      </c>
      <c r="L824" s="450" t="s">
        <v>1348</v>
      </c>
      <c r="M824" s="444" t="s">
        <v>1817</v>
      </c>
      <c r="N824" s="450"/>
      <c r="O824" s="450"/>
      <c r="P824" s="450" t="s">
        <v>1350</v>
      </c>
      <c r="Q824" s="451" t="s">
        <v>726</v>
      </c>
      <c r="R824" s="451" t="s">
        <v>303</v>
      </c>
      <c r="S824" s="452" t="s">
        <v>842</v>
      </c>
      <c r="T824" s="452"/>
      <c r="U824" s="453"/>
      <c r="V824" s="454"/>
      <c r="W824" s="455" t="s">
        <v>406</v>
      </c>
      <c r="X824" s="455">
        <v>45611</v>
      </c>
      <c r="Y824" s="456" t="s">
        <v>377</v>
      </c>
      <c r="Z824" s="498"/>
      <c r="AA824" s="494"/>
    </row>
    <row r="825" spans="1:27" s="128" customFormat="1" ht="18" customHeight="1">
      <c r="A825" s="443">
        <v>35</v>
      </c>
      <c r="B825" s="444" t="s">
        <v>982</v>
      </c>
      <c r="C825" s="445" t="s">
        <v>76</v>
      </c>
      <c r="D825" s="444" t="s">
        <v>983</v>
      </c>
      <c r="E825" s="446">
        <v>2</v>
      </c>
      <c r="F825" s="447"/>
      <c r="G825" s="448">
        <f t="shared" si="33"/>
        <v>0</v>
      </c>
      <c r="H825" s="449"/>
      <c r="I825" s="444"/>
      <c r="J825" s="449"/>
      <c r="K825" s="444" t="s">
        <v>1808</v>
      </c>
      <c r="L825" s="450" t="s">
        <v>1348</v>
      </c>
      <c r="M825" s="444" t="s">
        <v>1817</v>
      </c>
      <c r="N825" s="450"/>
      <c r="O825" s="450"/>
      <c r="P825" s="450" t="s">
        <v>1350</v>
      </c>
      <c r="Q825" s="451" t="s">
        <v>726</v>
      </c>
      <c r="R825" s="451" t="s">
        <v>303</v>
      </c>
      <c r="S825" s="452" t="s">
        <v>842</v>
      </c>
      <c r="T825" s="452"/>
      <c r="U825" s="453"/>
      <c r="V825" s="454"/>
      <c r="W825" s="455" t="s">
        <v>406</v>
      </c>
      <c r="X825" s="455">
        <v>45611</v>
      </c>
      <c r="Y825" s="456" t="s">
        <v>377</v>
      </c>
      <c r="Z825" s="498"/>
      <c r="AA825" s="494"/>
    </row>
    <row r="826" spans="1:27" s="128" customFormat="1" ht="18" customHeight="1">
      <c r="A826" s="443">
        <v>36</v>
      </c>
      <c r="B826" s="444" t="s">
        <v>597</v>
      </c>
      <c r="C826" s="445" t="s">
        <v>76</v>
      </c>
      <c r="D826" s="444" t="s">
        <v>598</v>
      </c>
      <c r="E826" s="446">
        <v>2</v>
      </c>
      <c r="F826" s="447"/>
      <c r="G826" s="448">
        <f t="shared" si="33"/>
        <v>0</v>
      </c>
      <c r="H826" s="449"/>
      <c r="I826" s="444"/>
      <c r="J826" s="449"/>
      <c r="K826" s="444" t="s">
        <v>1808</v>
      </c>
      <c r="L826" s="450" t="s">
        <v>1348</v>
      </c>
      <c r="M826" s="444" t="s">
        <v>1256</v>
      </c>
      <c r="N826" s="450"/>
      <c r="O826" s="450"/>
      <c r="P826" s="450" t="s">
        <v>1350</v>
      </c>
      <c r="Q826" s="451" t="s">
        <v>374</v>
      </c>
      <c r="R826" s="451" t="s">
        <v>404</v>
      </c>
      <c r="S826" s="452" t="s">
        <v>1446</v>
      </c>
      <c r="T826" s="452" t="s">
        <v>481</v>
      </c>
      <c r="U826" s="453"/>
      <c r="V826" s="454"/>
      <c r="W826" s="455" t="s">
        <v>406</v>
      </c>
      <c r="X826" s="455">
        <v>45610</v>
      </c>
      <c r="Y826" s="456" t="s">
        <v>377</v>
      </c>
      <c r="Z826" s="498"/>
      <c r="AA826" s="494"/>
    </row>
    <row r="827" spans="1:27" s="128" customFormat="1" ht="18" customHeight="1">
      <c r="A827" s="443">
        <v>37</v>
      </c>
      <c r="B827" s="444" t="s">
        <v>601</v>
      </c>
      <c r="C827" s="445" t="s">
        <v>76</v>
      </c>
      <c r="D827" s="444" t="s">
        <v>602</v>
      </c>
      <c r="E827" s="446">
        <v>2</v>
      </c>
      <c r="F827" s="447"/>
      <c r="G827" s="448">
        <f t="shared" si="33"/>
        <v>0</v>
      </c>
      <c r="H827" s="449"/>
      <c r="I827" s="444"/>
      <c r="J827" s="449"/>
      <c r="K827" s="444" t="s">
        <v>1808</v>
      </c>
      <c r="L827" s="450" t="s">
        <v>1348</v>
      </c>
      <c r="M827" s="444" t="s">
        <v>1256</v>
      </c>
      <c r="N827" s="450"/>
      <c r="O827" s="450"/>
      <c r="P827" s="450" t="s">
        <v>1350</v>
      </c>
      <c r="Q827" s="451" t="s">
        <v>374</v>
      </c>
      <c r="R827" s="451" t="s">
        <v>404</v>
      </c>
      <c r="S827" s="452" t="s">
        <v>1446</v>
      </c>
      <c r="T827" s="452" t="s">
        <v>481</v>
      </c>
      <c r="U827" s="453"/>
      <c r="V827" s="454"/>
      <c r="W827" s="455" t="s">
        <v>406</v>
      </c>
      <c r="X827" s="455">
        <v>45610</v>
      </c>
      <c r="Y827" s="456" t="s">
        <v>377</v>
      </c>
      <c r="Z827" s="498"/>
      <c r="AA827" s="494"/>
    </row>
    <row r="828" spans="1:27" s="128" customFormat="1" ht="18" customHeight="1">
      <c r="A828" s="443">
        <v>38</v>
      </c>
      <c r="B828" s="444" t="s">
        <v>599</v>
      </c>
      <c r="C828" s="445" t="s">
        <v>76</v>
      </c>
      <c r="D828" s="444" t="s">
        <v>600</v>
      </c>
      <c r="E828" s="446">
        <v>2</v>
      </c>
      <c r="F828" s="447"/>
      <c r="G828" s="448">
        <f t="shared" si="33"/>
        <v>0</v>
      </c>
      <c r="H828" s="449"/>
      <c r="I828" s="444"/>
      <c r="J828" s="449"/>
      <c r="K828" s="444" t="s">
        <v>1808</v>
      </c>
      <c r="L828" s="450" t="s">
        <v>1348</v>
      </c>
      <c r="M828" s="444" t="s">
        <v>1256</v>
      </c>
      <c r="N828" s="450"/>
      <c r="O828" s="450"/>
      <c r="P828" s="450" t="s">
        <v>1350</v>
      </c>
      <c r="Q828" s="451" t="s">
        <v>374</v>
      </c>
      <c r="R828" s="451" t="s">
        <v>404</v>
      </c>
      <c r="S828" s="452" t="s">
        <v>1446</v>
      </c>
      <c r="T828" s="452" t="s">
        <v>481</v>
      </c>
      <c r="U828" s="453"/>
      <c r="V828" s="454"/>
      <c r="W828" s="455" t="s">
        <v>406</v>
      </c>
      <c r="X828" s="455">
        <v>45610</v>
      </c>
      <c r="Y828" s="456" t="s">
        <v>377</v>
      </c>
      <c r="Z828" s="498"/>
      <c r="AA828" s="494"/>
    </row>
    <row r="829" spans="1:27" s="128" customFormat="1" ht="18" customHeight="1">
      <c r="A829" s="405">
        <v>39</v>
      </c>
      <c r="B829" s="407" t="s">
        <v>965</v>
      </c>
      <c r="C829" s="406" t="s">
        <v>76</v>
      </c>
      <c r="D829" s="407" t="s">
        <v>966</v>
      </c>
      <c r="E829" s="408">
        <v>1</v>
      </c>
      <c r="F829" s="409"/>
      <c r="G829" s="410">
        <f t="shared" si="33"/>
        <v>0</v>
      </c>
      <c r="H829" s="411"/>
      <c r="I829" s="407"/>
      <c r="J829" s="411"/>
      <c r="K829" s="407" t="s">
        <v>1808</v>
      </c>
      <c r="L829" s="412" t="s">
        <v>1348</v>
      </c>
      <c r="M829" s="407" t="s">
        <v>1256</v>
      </c>
      <c r="N829" s="412"/>
      <c r="O829" s="412"/>
      <c r="P829" s="412" t="s">
        <v>1350</v>
      </c>
      <c r="Q829" s="413" t="s">
        <v>726</v>
      </c>
      <c r="R829" s="413" t="s">
        <v>404</v>
      </c>
      <c r="S829" s="414" t="s">
        <v>1446</v>
      </c>
      <c r="T829" s="414">
        <v>45622</v>
      </c>
      <c r="U829" s="415"/>
      <c r="V829" s="416"/>
      <c r="W829" s="417"/>
      <c r="X829" s="417"/>
      <c r="Y829" s="418" t="s">
        <v>377</v>
      </c>
      <c r="Z829" s="496"/>
      <c r="AA829" s="492"/>
    </row>
    <row r="830" spans="1:27" s="128" customFormat="1" ht="18" customHeight="1">
      <c r="A830" s="405">
        <v>40</v>
      </c>
      <c r="B830" s="407" t="s">
        <v>1835</v>
      </c>
      <c r="C830" s="406" t="s">
        <v>76</v>
      </c>
      <c r="D830" s="407" t="s">
        <v>1836</v>
      </c>
      <c r="E830" s="408">
        <v>4</v>
      </c>
      <c r="F830" s="409"/>
      <c r="G830" s="410">
        <f t="shared" si="33"/>
        <v>0</v>
      </c>
      <c r="H830" s="411"/>
      <c r="I830" s="407"/>
      <c r="J830" s="411"/>
      <c r="K830" s="407" t="s">
        <v>1808</v>
      </c>
      <c r="L830" s="412" t="s">
        <v>1348</v>
      </c>
      <c r="M830" s="407" t="s">
        <v>1832</v>
      </c>
      <c r="N830" s="412"/>
      <c r="O830" s="412"/>
      <c r="P830" s="412" t="s">
        <v>1350</v>
      </c>
      <c r="Q830" s="413" t="s">
        <v>726</v>
      </c>
      <c r="R830" s="413" t="s">
        <v>249</v>
      </c>
      <c r="S830" s="414" t="s">
        <v>800</v>
      </c>
      <c r="T830" s="414"/>
      <c r="U830" s="415"/>
      <c r="V830" s="416"/>
      <c r="W830" s="417"/>
      <c r="X830" s="417"/>
      <c r="Y830" s="418" t="s">
        <v>377</v>
      </c>
      <c r="Z830" s="496"/>
      <c r="AA830" s="492"/>
    </row>
    <row r="831" spans="1:27" s="128" customFormat="1" ht="18" customHeight="1">
      <c r="A831" s="405">
        <v>41</v>
      </c>
      <c r="B831" s="407" t="s">
        <v>1837</v>
      </c>
      <c r="C831" s="406" t="s">
        <v>76</v>
      </c>
      <c r="D831" s="407" t="s">
        <v>1838</v>
      </c>
      <c r="E831" s="408">
        <v>4</v>
      </c>
      <c r="F831" s="409"/>
      <c r="G831" s="410">
        <f t="shared" si="33"/>
        <v>0</v>
      </c>
      <c r="H831" s="411"/>
      <c r="I831" s="407"/>
      <c r="J831" s="411"/>
      <c r="K831" s="407" t="s">
        <v>1808</v>
      </c>
      <c r="L831" s="412" t="s">
        <v>1348</v>
      </c>
      <c r="M831" s="407" t="s">
        <v>1832</v>
      </c>
      <c r="N831" s="412"/>
      <c r="O831" s="412"/>
      <c r="P831" s="412" t="s">
        <v>1350</v>
      </c>
      <c r="Q831" s="413" t="s">
        <v>726</v>
      </c>
      <c r="R831" s="413" t="s">
        <v>249</v>
      </c>
      <c r="S831" s="414" t="s">
        <v>800</v>
      </c>
      <c r="T831" s="414"/>
      <c r="U831" s="415"/>
      <c r="V831" s="416"/>
      <c r="W831" s="417"/>
      <c r="X831" s="417"/>
      <c r="Y831" s="418" t="s">
        <v>377</v>
      </c>
      <c r="Z831" s="496"/>
      <c r="AA831" s="492"/>
    </row>
    <row r="832" spans="1:27" s="128" customFormat="1" ht="18" customHeight="1">
      <c r="A832" s="405">
        <v>42</v>
      </c>
      <c r="B832" s="407" t="s">
        <v>984</v>
      </c>
      <c r="C832" s="406" t="s">
        <v>76</v>
      </c>
      <c r="D832" s="407" t="s">
        <v>985</v>
      </c>
      <c r="E832" s="408">
        <v>4</v>
      </c>
      <c r="F832" s="409"/>
      <c r="G832" s="410">
        <f t="shared" si="33"/>
        <v>0</v>
      </c>
      <c r="H832" s="411"/>
      <c r="I832" s="407"/>
      <c r="J832" s="411"/>
      <c r="K832" s="407" t="s">
        <v>1808</v>
      </c>
      <c r="L832" s="412" t="s">
        <v>1348</v>
      </c>
      <c r="M832" s="407" t="s">
        <v>1809</v>
      </c>
      <c r="N832" s="412"/>
      <c r="O832" s="412"/>
      <c r="P832" s="412" t="s">
        <v>1350</v>
      </c>
      <c r="Q832" s="413" t="s">
        <v>726</v>
      </c>
      <c r="R832" s="413" t="s">
        <v>263</v>
      </c>
      <c r="S832" s="414" t="s">
        <v>800</v>
      </c>
      <c r="T832" s="414"/>
      <c r="U832" s="415"/>
      <c r="V832" s="416"/>
      <c r="W832" s="417"/>
      <c r="X832" s="417"/>
      <c r="Y832" s="418" t="s">
        <v>377</v>
      </c>
      <c r="Z832" s="496"/>
      <c r="AA832" s="492"/>
    </row>
    <row r="833" spans="1:27" s="128" customFormat="1" ht="18" customHeight="1">
      <c r="A833" s="405">
        <v>43</v>
      </c>
      <c r="B833" s="407" t="s">
        <v>1839</v>
      </c>
      <c r="C833" s="406" t="s">
        <v>76</v>
      </c>
      <c r="D833" s="407" t="s">
        <v>1840</v>
      </c>
      <c r="E833" s="408">
        <v>4</v>
      </c>
      <c r="F833" s="409"/>
      <c r="G833" s="410">
        <f t="shared" si="33"/>
        <v>0</v>
      </c>
      <c r="H833" s="411"/>
      <c r="I833" s="407"/>
      <c r="J833" s="411"/>
      <c r="K833" s="407" t="s">
        <v>1808</v>
      </c>
      <c r="L833" s="412" t="s">
        <v>1348</v>
      </c>
      <c r="M833" s="407" t="s">
        <v>1809</v>
      </c>
      <c r="N833" s="412"/>
      <c r="O833" s="412"/>
      <c r="P833" s="412" t="s">
        <v>1350</v>
      </c>
      <c r="Q833" s="413" t="s">
        <v>726</v>
      </c>
      <c r="R833" s="413" t="s">
        <v>263</v>
      </c>
      <c r="S833" s="414" t="s">
        <v>800</v>
      </c>
      <c r="T833" s="414"/>
      <c r="U833" s="415"/>
      <c r="V833" s="416"/>
      <c r="W833" s="417"/>
      <c r="X833" s="417"/>
      <c r="Y833" s="418" t="s">
        <v>377</v>
      </c>
      <c r="Z833" s="496"/>
      <c r="AA833" s="492"/>
    </row>
    <row r="834" spans="1:27" s="128" customFormat="1" ht="18" customHeight="1">
      <c r="A834" s="405">
        <v>44</v>
      </c>
      <c r="B834" s="407" t="s">
        <v>1841</v>
      </c>
      <c r="C834" s="406" t="s">
        <v>76</v>
      </c>
      <c r="D834" s="407" t="s">
        <v>1842</v>
      </c>
      <c r="E834" s="408">
        <v>4</v>
      </c>
      <c r="F834" s="409"/>
      <c r="G834" s="410">
        <f t="shared" si="33"/>
        <v>0</v>
      </c>
      <c r="H834" s="411"/>
      <c r="I834" s="407"/>
      <c r="J834" s="411"/>
      <c r="K834" s="407" t="s">
        <v>1808</v>
      </c>
      <c r="L834" s="412" t="s">
        <v>1348</v>
      </c>
      <c r="M834" s="407" t="s">
        <v>1809</v>
      </c>
      <c r="N834" s="412"/>
      <c r="O834" s="412"/>
      <c r="P834" s="412" t="s">
        <v>1350</v>
      </c>
      <c r="Q834" s="413" t="s">
        <v>726</v>
      </c>
      <c r="R834" s="413" t="s">
        <v>263</v>
      </c>
      <c r="S834" s="414" t="s">
        <v>800</v>
      </c>
      <c r="T834" s="414"/>
      <c r="U834" s="415"/>
      <c r="V834" s="416"/>
      <c r="W834" s="417"/>
      <c r="X834" s="417"/>
      <c r="Y834" s="418" t="s">
        <v>377</v>
      </c>
      <c r="Z834" s="496"/>
      <c r="AA834" s="492"/>
    </row>
    <row r="835" spans="1:27" s="128" customFormat="1" ht="18" customHeight="1">
      <c r="A835" s="405">
        <v>45</v>
      </c>
      <c r="B835" s="407" t="s">
        <v>830</v>
      </c>
      <c r="C835" s="406" t="s">
        <v>76</v>
      </c>
      <c r="D835" s="407" t="s">
        <v>831</v>
      </c>
      <c r="E835" s="408">
        <v>2</v>
      </c>
      <c r="F835" s="409"/>
      <c r="G835" s="410">
        <f t="shared" si="33"/>
        <v>0</v>
      </c>
      <c r="H835" s="411"/>
      <c r="I835" s="407"/>
      <c r="J835" s="411"/>
      <c r="K835" s="407" t="s">
        <v>1808</v>
      </c>
      <c r="L835" s="412" t="s">
        <v>1348</v>
      </c>
      <c r="M835" s="407" t="s">
        <v>1809</v>
      </c>
      <c r="N835" s="412"/>
      <c r="O835" s="412"/>
      <c r="P835" s="412" t="s">
        <v>1350</v>
      </c>
      <c r="Q835" s="413" t="s">
        <v>726</v>
      </c>
      <c r="R835" s="413" t="s">
        <v>263</v>
      </c>
      <c r="S835" s="414" t="s">
        <v>800</v>
      </c>
      <c r="T835" s="414"/>
      <c r="U835" s="415"/>
      <c r="V835" s="416"/>
      <c r="W835" s="417"/>
      <c r="X835" s="417"/>
      <c r="Y835" s="418" t="s">
        <v>377</v>
      </c>
      <c r="Z835" s="496"/>
      <c r="AA835" s="492"/>
    </row>
    <row r="836" spans="1:27" s="128" customFormat="1" ht="18" customHeight="1">
      <c r="A836" s="405">
        <v>46</v>
      </c>
      <c r="B836" s="407" t="s">
        <v>1843</v>
      </c>
      <c r="C836" s="406" t="s">
        <v>76</v>
      </c>
      <c r="D836" s="407" t="s">
        <v>1844</v>
      </c>
      <c r="E836" s="408">
        <v>2</v>
      </c>
      <c r="F836" s="409"/>
      <c r="G836" s="410">
        <f t="shared" si="33"/>
        <v>0</v>
      </c>
      <c r="H836" s="411"/>
      <c r="I836" s="407"/>
      <c r="J836" s="411"/>
      <c r="K836" s="407" t="s">
        <v>1808</v>
      </c>
      <c r="L836" s="412" t="s">
        <v>1348</v>
      </c>
      <c r="M836" s="407" t="s">
        <v>1809</v>
      </c>
      <c r="N836" s="412"/>
      <c r="O836" s="412"/>
      <c r="P836" s="412" t="s">
        <v>1350</v>
      </c>
      <c r="Q836" s="413" t="s">
        <v>726</v>
      </c>
      <c r="R836" s="413" t="s">
        <v>263</v>
      </c>
      <c r="S836" s="414" t="s">
        <v>800</v>
      </c>
      <c r="T836" s="414"/>
      <c r="U836" s="415"/>
      <c r="V836" s="416"/>
      <c r="W836" s="417"/>
      <c r="X836" s="417"/>
      <c r="Y836" s="418" t="s">
        <v>377</v>
      </c>
      <c r="Z836" s="496"/>
      <c r="AA836" s="492"/>
    </row>
    <row r="837" spans="1:27" s="128" customFormat="1" ht="18" customHeight="1">
      <c r="A837" s="405">
        <v>47</v>
      </c>
      <c r="B837" s="407" t="s">
        <v>1845</v>
      </c>
      <c r="C837" s="406" t="s">
        <v>76</v>
      </c>
      <c r="D837" s="407" t="s">
        <v>1846</v>
      </c>
      <c r="E837" s="408">
        <v>2</v>
      </c>
      <c r="F837" s="409"/>
      <c r="G837" s="410">
        <f t="shared" si="33"/>
        <v>0</v>
      </c>
      <c r="H837" s="411"/>
      <c r="I837" s="407"/>
      <c r="J837" s="411"/>
      <c r="K837" s="407" t="s">
        <v>1808</v>
      </c>
      <c r="L837" s="412" t="s">
        <v>1348</v>
      </c>
      <c r="M837" s="407" t="s">
        <v>1832</v>
      </c>
      <c r="N837" s="412"/>
      <c r="O837" s="412"/>
      <c r="P837" s="412" t="s">
        <v>1350</v>
      </c>
      <c r="Q837" s="413" t="s">
        <v>726</v>
      </c>
      <c r="R837" s="413" t="s">
        <v>249</v>
      </c>
      <c r="S837" s="414" t="s">
        <v>800</v>
      </c>
      <c r="T837" s="414"/>
      <c r="U837" s="415"/>
      <c r="V837" s="416"/>
      <c r="W837" s="417"/>
      <c r="X837" s="417"/>
      <c r="Y837" s="418" t="s">
        <v>377</v>
      </c>
      <c r="Z837" s="496"/>
      <c r="AA837" s="492"/>
    </row>
    <row r="838" spans="1:27" s="128" customFormat="1" ht="18" customHeight="1">
      <c r="A838" s="405">
        <v>48</v>
      </c>
      <c r="B838" s="407" t="s">
        <v>1847</v>
      </c>
      <c r="C838" s="406" t="s">
        <v>76</v>
      </c>
      <c r="D838" s="407" t="s">
        <v>1848</v>
      </c>
      <c r="E838" s="408">
        <v>2</v>
      </c>
      <c r="F838" s="409"/>
      <c r="G838" s="410">
        <f t="shared" si="33"/>
        <v>0</v>
      </c>
      <c r="H838" s="411"/>
      <c r="I838" s="407"/>
      <c r="J838" s="411"/>
      <c r="K838" s="407" t="s">
        <v>1808</v>
      </c>
      <c r="L838" s="412" t="s">
        <v>1348</v>
      </c>
      <c r="M838" s="407" t="s">
        <v>1832</v>
      </c>
      <c r="N838" s="412"/>
      <c r="O838" s="412"/>
      <c r="P838" s="412" t="s">
        <v>1350</v>
      </c>
      <c r="Q838" s="413" t="s">
        <v>726</v>
      </c>
      <c r="R838" s="413" t="s">
        <v>249</v>
      </c>
      <c r="S838" s="414" t="s">
        <v>800</v>
      </c>
      <c r="T838" s="414"/>
      <c r="U838" s="415"/>
      <c r="V838" s="416"/>
      <c r="W838" s="417"/>
      <c r="X838" s="417"/>
      <c r="Y838" s="418" t="s">
        <v>377</v>
      </c>
      <c r="Z838" s="496"/>
      <c r="AA838" s="492"/>
    </row>
    <row r="839" spans="1:27" s="128" customFormat="1" ht="18" customHeight="1">
      <c r="A839" s="405">
        <v>49</v>
      </c>
      <c r="B839" s="407" t="s">
        <v>1849</v>
      </c>
      <c r="C839" s="406" t="s">
        <v>76</v>
      </c>
      <c r="D839" s="407" t="s">
        <v>1850</v>
      </c>
      <c r="E839" s="408">
        <v>1</v>
      </c>
      <c r="F839" s="409"/>
      <c r="G839" s="410">
        <f t="shared" si="33"/>
        <v>0</v>
      </c>
      <c r="H839" s="411"/>
      <c r="I839" s="407"/>
      <c r="J839" s="411"/>
      <c r="K839" s="407" t="s">
        <v>1808</v>
      </c>
      <c r="L839" s="412" t="s">
        <v>1348</v>
      </c>
      <c r="M839" s="407" t="s">
        <v>1832</v>
      </c>
      <c r="N839" s="412"/>
      <c r="O839" s="412"/>
      <c r="P839" s="412" t="s">
        <v>1350</v>
      </c>
      <c r="Q839" s="413" t="s">
        <v>726</v>
      </c>
      <c r="R839" s="413" t="s">
        <v>249</v>
      </c>
      <c r="S839" s="414" t="s">
        <v>800</v>
      </c>
      <c r="T839" s="414"/>
      <c r="U839" s="415"/>
      <c r="V839" s="416"/>
      <c r="W839" s="417"/>
      <c r="X839" s="417"/>
      <c r="Y839" s="418" t="s">
        <v>377</v>
      </c>
      <c r="Z839" s="496"/>
      <c r="AA839" s="492"/>
    </row>
    <row r="840" spans="1:27" s="128" customFormat="1" ht="18" customHeight="1">
      <c r="A840" s="405">
        <v>50</v>
      </c>
      <c r="B840" s="407" t="s">
        <v>1851</v>
      </c>
      <c r="C840" s="406" t="s">
        <v>76</v>
      </c>
      <c r="D840" s="407" t="s">
        <v>1852</v>
      </c>
      <c r="E840" s="408">
        <v>1</v>
      </c>
      <c r="F840" s="409"/>
      <c r="G840" s="410">
        <f t="shared" si="33"/>
        <v>0</v>
      </c>
      <c r="H840" s="411"/>
      <c r="I840" s="407"/>
      <c r="J840" s="411"/>
      <c r="K840" s="407" t="s">
        <v>1808</v>
      </c>
      <c r="L840" s="412" t="s">
        <v>1348</v>
      </c>
      <c r="M840" s="407" t="s">
        <v>1832</v>
      </c>
      <c r="N840" s="412"/>
      <c r="O840" s="412"/>
      <c r="P840" s="412" t="s">
        <v>1350</v>
      </c>
      <c r="Q840" s="413" t="s">
        <v>726</v>
      </c>
      <c r="R840" s="413" t="s">
        <v>249</v>
      </c>
      <c r="S840" s="414" t="s">
        <v>800</v>
      </c>
      <c r="T840" s="414"/>
      <c r="U840" s="415"/>
      <c r="V840" s="416"/>
      <c r="W840" s="417"/>
      <c r="X840" s="417"/>
      <c r="Y840" s="418" t="s">
        <v>377</v>
      </c>
      <c r="Z840" s="496"/>
      <c r="AA840" s="492"/>
    </row>
    <row r="841" spans="1:27" s="128" customFormat="1" ht="18" customHeight="1">
      <c r="A841" s="405">
        <v>51</v>
      </c>
      <c r="B841" s="407" t="s">
        <v>1853</v>
      </c>
      <c r="C841" s="406" t="s">
        <v>76</v>
      </c>
      <c r="D841" s="407" t="s">
        <v>1854</v>
      </c>
      <c r="E841" s="408">
        <v>2</v>
      </c>
      <c r="F841" s="409"/>
      <c r="G841" s="410">
        <f t="shared" si="33"/>
        <v>0</v>
      </c>
      <c r="H841" s="411"/>
      <c r="I841" s="407"/>
      <c r="J841" s="411"/>
      <c r="K841" s="407" t="s">
        <v>1808</v>
      </c>
      <c r="L841" s="412" t="s">
        <v>1348</v>
      </c>
      <c r="M841" s="407" t="s">
        <v>1832</v>
      </c>
      <c r="N841" s="412"/>
      <c r="O841" s="412"/>
      <c r="P841" s="412" t="s">
        <v>1350</v>
      </c>
      <c r="Q841" s="413" t="s">
        <v>726</v>
      </c>
      <c r="R841" s="413" t="s">
        <v>249</v>
      </c>
      <c r="S841" s="414" t="s">
        <v>800</v>
      </c>
      <c r="T841" s="414"/>
      <c r="U841" s="415"/>
      <c r="V841" s="416"/>
      <c r="W841" s="417"/>
      <c r="X841" s="417"/>
      <c r="Y841" s="418" t="s">
        <v>377</v>
      </c>
      <c r="Z841" s="496"/>
      <c r="AA841" s="492"/>
    </row>
    <row r="842" spans="1:27" s="128" customFormat="1" ht="18" customHeight="1">
      <c r="A842" s="405">
        <v>52</v>
      </c>
      <c r="B842" s="407" t="s">
        <v>1855</v>
      </c>
      <c r="C842" s="406" t="s">
        <v>76</v>
      </c>
      <c r="D842" s="407" t="s">
        <v>1856</v>
      </c>
      <c r="E842" s="408">
        <v>2</v>
      </c>
      <c r="F842" s="409"/>
      <c r="G842" s="410">
        <f t="shared" si="33"/>
        <v>0</v>
      </c>
      <c r="H842" s="411"/>
      <c r="I842" s="407"/>
      <c r="J842" s="411"/>
      <c r="K842" s="407" t="s">
        <v>1808</v>
      </c>
      <c r="L842" s="412" t="s">
        <v>1348</v>
      </c>
      <c r="M842" s="407" t="s">
        <v>1832</v>
      </c>
      <c r="N842" s="412"/>
      <c r="O842" s="412"/>
      <c r="P842" s="412" t="s">
        <v>1350</v>
      </c>
      <c r="Q842" s="413" t="s">
        <v>726</v>
      </c>
      <c r="R842" s="413" t="s">
        <v>249</v>
      </c>
      <c r="S842" s="414" t="s">
        <v>800</v>
      </c>
      <c r="T842" s="414"/>
      <c r="U842" s="415"/>
      <c r="V842" s="416"/>
      <c r="W842" s="417"/>
      <c r="X842" s="417"/>
      <c r="Y842" s="418" t="s">
        <v>377</v>
      </c>
      <c r="Z842" s="496"/>
      <c r="AA842" s="492"/>
    </row>
    <row r="843" spans="1:27" s="128" customFormat="1" ht="18" customHeight="1">
      <c r="A843" s="405">
        <v>53</v>
      </c>
      <c r="B843" s="407" t="s">
        <v>1857</v>
      </c>
      <c r="C843" s="406" t="s">
        <v>76</v>
      </c>
      <c r="D843" s="407" t="s">
        <v>1858</v>
      </c>
      <c r="E843" s="408">
        <v>1</v>
      </c>
      <c r="F843" s="409"/>
      <c r="G843" s="410">
        <f t="shared" si="33"/>
        <v>0</v>
      </c>
      <c r="H843" s="411"/>
      <c r="I843" s="407"/>
      <c r="J843" s="411"/>
      <c r="K843" s="407" t="s">
        <v>1808</v>
      </c>
      <c r="L843" s="412" t="s">
        <v>1348</v>
      </c>
      <c r="M843" s="407" t="s">
        <v>1826</v>
      </c>
      <c r="N843" s="412"/>
      <c r="O843" s="412"/>
      <c r="P843" s="412" t="s">
        <v>1350</v>
      </c>
      <c r="Q843" s="413" t="s">
        <v>726</v>
      </c>
      <c r="R843" s="413" t="s">
        <v>470</v>
      </c>
      <c r="S843" s="414" t="s">
        <v>1455</v>
      </c>
      <c r="T843" s="414"/>
      <c r="U843" s="415"/>
      <c r="V843" s="416"/>
      <c r="W843" s="417"/>
      <c r="X843" s="417"/>
      <c r="Y843" s="418" t="s">
        <v>377</v>
      </c>
      <c r="Z843" s="496"/>
      <c r="AA843" s="492"/>
    </row>
    <row r="844" spans="1:27" s="128" customFormat="1" ht="18" customHeight="1">
      <c r="A844" s="405">
        <v>54</v>
      </c>
      <c r="B844" s="407" t="s">
        <v>1083</v>
      </c>
      <c r="C844" s="406" t="s">
        <v>76</v>
      </c>
      <c r="D844" s="407" t="s">
        <v>1084</v>
      </c>
      <c r="E844" s="408">
        <v>2</v>
      </c>
      <c r="F844" s="409"/>
      <c r="G844" s="410">
        <f t="shared" si="33"/>
        <v>0</v>
      </c>
      <c r="H844" s="411"/>
      <c r="I844" s="407"/>
      <c r="J844" s="411"/>
      <c r="K844" s="407" t="s">
        <v>1808</v>
      </c>
      <c r="L844" s="412" t="s">
        <v>1348</v>
      </c>
      <c r="M844" s="407" t="s">
        <v>1256</v>
      </c>
      <c r="N844" s="412"/>
      <c r="O844" s="412"/>
      <c r="P844" s="412" t="s">
        <v>1350</v>
      </c>
      <c r="Q844" s="413" t="s">
        <v>726</v>
      </c>
      <c r="R844" s="413" t="s">
        <v>404</v>
      </c>
      <c r="S844" s="414" t="s">
        <v>1446</v>
      </c>
      <c r="T844" s="414">
        <v>45622</v>
      </c>
      <c r="U844" s="415"/>
      <c r="V844" s="416"/>
      <c r="W844" s="417"/>
      <c r="X844" s="417"/>
      <c r="Y844" s="418" t="s">
        <v>377</v>
      </c>
      <c r="Z844" s="496"/>
      <c r="AA844" s="492"/>
    </row>
    <row r="845" spans="1:27" s="128" customFormat="1" ht="18" customHeight="1">
      <c r="A845" s="443">
        <v>55</v>
      </c>
      <c r="B845" s="444" t="s">
        <v>587</v>
      </c>
      <c r="C845" s="445" t="s">
        <v>76</v>
      </c>
      <c r="D845" s="444" t="s">
        <v>588</v>
      </c>
      <c r="E845" s="446">
        <v>2</v>
      </c>
      <c r="F845" s="447"/>
      <c r="G845" s="448">
        <f t="shared" si="33"/>
        <v>0</v>
      </c>
      <c r="H845" s="449"/>
      <c r="I845" s="444"/>
      <c r="J845" s="449"/>
      <c r="K845" s="444" t="s">
        <v>1808</v>
      </c>
      <c r="L845" s="450" t="s">
        <v>1348</v>
      </c>
      <c r="M845" s="444" t="s">
        <v>1256</v>
      </c>
      <c r="N845" s="450"/>
      <c r="O845" s="450"/>
      <c r="P845" s="450" t="s">
        <v>1350</v>
      </c>
      <c r="Q845" s="451" t="s">
        <v>374</v>
      </c>
      <c r="R845" s="451" t="s">
        <v>404</v>
      </c>
      <c r="S845" s="452" t="s">
        <v>1446</v>
      </c>
      <c r="T845" s="452" t="s">
        <v>481</v>
      </c>
      <c r="U845" s="453"/>
      <c r="V845" s="454"/>
      <c r="W845" s="455" t="s">
        <v>406</v>
      </c>
      <c r="X845" s="455">
        <v>45610</v>
      </c>
      <c r="Y845" s="456" t="s">
        <v>377</v>
      </c>
      <c r="Z845" s="498"/>
      <c r="AA845" s="494"/>
    </row>
    <row r="846" spans="1:27" s="128" customFormat="1" ht="18" customHeight="1">
      <c r="A846" s="405">
        <v>56</v>
      </c>
      <c r="B846" s="407" t="s">
        <v>1510</v>
      </c>
      <c r="C846" s="406" t="s">
        <v>76</v>
      </c>
      <c r="D846" s="407" t="s">
        <v>1231</v>
      </c>
      <c r="E846" s="408">
        <v>2</v>
      </c>
      <c r="F846" s="409"/>
      <c r="G846" s="410">
        <f t="shared" si="33"/>
        <v>0</v>
      </c>
      <c r="H846" s="411"/>
      <c r="I846" s="407"/>
      <c r="J846" s="411"/>
      <c r="K846" s="407" t="s">
        <v>1808</v>
      </c>
      <c r="L846" s="412" t="s">
        <v>1348</v>
      </c>
      <c r="M846" s="407" t="s">
        <v>1256</v>
      </c>
      <c r="N846" s="412"/>
      <c r="O846" s="412"/>
      <c r="P846" s="412" t="s">
        <v>1350</v>
      </c>
      <c r="Q846" s="413" t="s">
        <v>726</v>
      </c>
      <c r="R846" s="413" t="s">
        <v>404</v>
      </c>
      <c r="S846" s="414" t="s">
        <v>1446</v>
      </c>
      <c r="T846" s="414">
        <v>45622</v>
      </c>
      <c r="U846" s="415"/>
      <c r="V846" s="416"/>
      <c r="W846" s="417"/>
      <c r="X846" s="417"/>
      <c r="Y846" s="418" t="s">
        <v>377</v>
      </c>
      <c r="Z846" s="496"/>
      <c r="AA846" s="492"/>
    </row>
    <row r="847" spans="1:27" s="128" customFormat="1" ht="18" customHeight="1">
      <c r="A847" s="405">
        <v>57</v>
      </c>
      <c r="B847" s="407" t="s">
        <v>1232</v>
      </c>
      <c r="C847" s="406" t="s">
        <v>76</v>
      </c>
      <c r="D847" s="407" t="s">
        <v>1233</v>
      </c>
      <c r="E847" s="408">
        <v>2</v>
      </c>
      <c r="F847" s="409"/>
      <c r="G847" s="410">
        <f t="shared" si="33"/>
        <v>0</v>
      </c>
      <c r="H847" s="411"/>
      <c r="I847" s="407"/>
      <c r="J847" s="411"/>
      <c r="K847" s="407" t="s">
        <v>1808</v>
      </c>
      <c r="L847" s="412" t="s">
        <v>1348</v>
      </c>
      <c r="M847" s="407" t="s">
        <v>1256</v>
      </c>
      <c r="N847" s="412"/>
      <c r="O847" s="412"/>
      <c r="P847" s="412" t="s">
        <v>1350</v>
      </c>
      <c r="Q847" s="413" t="s">
        <v>726</v>
      </c>
      <c r="R847" s="413" t="s">
        <v>404</v>
      </c>
      <c r="S847" s="414" t="s">
        <v>1446</v>
      </c>
      <c r="T847" s="414">
        <v>45622</v>
      </c>
      <c r="U847" s="415"/>
      <c r="V847" s="416"/>
      <c r="W847" s="417"/>
      <c r="X847" s="417"/>
      <c r="Y847" s="418" t="s">
        <v>377</v>
      </c>
      <c r="Z847" s="496"/>
      <c r="AA847" s="492"/>
    </row>
    <row r="848" spans="1:27" s="128" customFormat="1" ht="18" customHeight="1">
      <c r="A848" s="405">
        <v>58</v>
      </c>
      <c r="B848" s="407" t="s">
        <v>992</v>
      </c>
      <c r="C848" s="406" t="s">
        <v>76</v>
      </c>
      <c r="D848" s="407" t="s">
        <v>993</v>
      </c>
      <c r="E848" s="408">
        <v>2</v>
      </c>
      <c r="F848" s="409"/>
      <c r="G848" s="410">
        <f t="shared" si="33"/>
        <v>0</v>
      </c>
      <c r="H848" s="411"/>
      <c r="I848" s="407"/>
      <c r="J848" s="411"/>
      <c r="K848" s="407" t="s">
        <v>1808</v>
      </c>
      <c r="L848" s="412" t="s">
        <v>1348</v>
      </c>
      <c r="M848" s="407" t="s">
        <v>1820</v>
      </c>
      <c r="N848" s="412"/>
      <c r="O848" s="412"/>
      <c r="P848" s="412" t="s">
        <v>1350</v>
      </c>
      <c r="Q848" s="413" t="s">
        <v>726</v>
      </c>
      <c r="R848" s="413" t="s">
        <v>995</v>
      </c>
      <c r="S848" s="414" t="s">
        <v>800</v>
      </c>
      <c r="T848" s="414" t="s">
        <v>1821</v>
      </c>
      <c r="U848" s="415"/>
      <c r="V848" s="416"/>
      <c r="W848" s="417"/>
      <c r="X848" s="417"/>
      <c r="Y848" s="418" t="s">
        <v>377</v>
      </c>
      <c r="Z848" s="496"/>
      <c r="AA848" s="492"/>
    </row>
    <row r="849" spans="1:27" s="128" customFormat="1" ht="18" customHeight="1">
      <c r="A849" s="405">
        <v>59</v>
      </c>
      <c r="B849" s="407" t="s">
        <v>1859</v>
      </c>
      <c r="C849" s="406" t="s">
        <v>76</v>
      </c>
      <c r="D849" s="407" t="s">
        <v>1860</v>
      </c>
      <c r="E849" s="408">
        <v>1</v>
      </c>
      <c r="F849" s="409"/>
      <c r="G849" s="410">
        <f t="shared" si="33"/>
        <v>0</v>
      </c>
      <c r="H849" s="411"/>
      <c r="I849" s="407"/>
      <c r="J849" s="411"/>
      <c r="K849" s="407" t="s">
        <v>1808</v>
      </c>
      <c r="L849" s="412" t="s">
        <v>1348</v>
      </c>
      <c r="M849" s="407" t="s">
        <v>1832</v>
      </c>
      <c r="N849" s="412"/>
      <c r="O849" s="412"/>
      <c r="P849" s="412" t="s">
        <v>1350</v>
      </c>
      <c r="Q849" s="413" t="s">
        <v>726</v>
      </c>
      <c r="R849" s="413" t="s">
        <v>249</v>
      </c>
      <c r="S849" s="414" t="s">
        <v>800</v>
      </c>
      <c r="T849" s="414"/>
      <c r="U849" s="415"/>
      <c r="V849" s="416"/>
      <c r="W849" s="417"/>
      <c r="X849" s="417"/>
      <c r="Y849" s="418" t="s">
        <v>377</v>
      </c>
      <c r="Z849" s="496"/>
      <c r="AA849" s="492"/>
    </row>
    <row r="850" spans="1:27" s="128" customFormat="1" ht="18" customHeight="1">
      <c r="A850" s="405">
        <v>60</v>
      </c>
      <c r="B850" s="407" t="s">
        <v>1861</v>
      </c>
      <c r="C850" s="406" t="s">
        <v>76</v>
      </c>
      <c r="D850" s="407" t="s">
        <v>1862</v>
      </c>
      <c r="E850" s="408">
        <v>1</v>
      </c>
      <c r="F850" s="409"/>
      <c r="G850" s="410">
        <f t="shared" si="33"/>
        <v>0</v>
      </c>
      <c r="H850" s="411"/>
      <c r="I850" s="407"/>
      <c r="J850" s="411"/>
      <c r="K850" s="407" t="s">
        <v>1808</v>
      </c>
      <c r="L850" s="412" t="s">
        <v>1348</v>
      </c>
      <c r="M850" s="407" t="s">
        <v>1832</v>
      </c>
      <c r="N850" s="412"/>
      <c r="O850" s="412"/>
      <c r="P850" s="412" t="s">
        <v>1350</v>
      </c>
      <c r="Q850" s="413" t="s">
        <v>726</v>
      </c>
      <c r="R850" s="413" t="s">
        <v>249</v>
      </c>
      <c r="S850" s="414" t="s">
        <v>800</v>
      </c>
      <c r="T850" s="414"/>
      <c r="U850" s="415"/>
      <c r="V850" s="416"/>
      <c r="W850" s="417"/>
      <c r="X850" s="417"/>
      <c r="Y850" s="418" t="s">
        <v>377</v>
      </c>
      <c r="Z850" s="496"/>
      <c r="AA850" s="492"/>
    </row>
    <row r="851" spans="1:27" s="128" customFormat="1" ht="18" customHeight="1">
      <c r="A851" s="405">
        <v>61</v>
      </c>
      <c r="B851" s="407" t="s">
        <v>965</v>
      </c>
      <c r="C851" s="406" t="s">
        <v>76</v>
      </c>
      <c r="D851" s="407" t="s">
        <v>966</v>
      </c>
      <c r="E851" s="408">
        <v>1</v>
      </c>
      <c r="F851" s="409"/>
      <c r="G851" s="410">
        <f t="shared" si="33"/>
        <v>0</v>
      </c>
      <c r="H851" s="411"/>
      <c r="I851" s="407"/>
      <c r="J851" s="411"/>
      <c r="K851" s="407" t="s">
        <v>1808</v>
      </c>
      <c r="L851" s="412" t="s">
        <v>1348</v>
      </c>
      <c r="M851" s="407" t="s">
        <v>1256</v>
      </c>
      <c r="N851" s="412"/>
      <c r="O851" s="412"/>
      <c r="P851" s="412" t="s">
        <v>1350</v>
      </c>
      <c r="Q851" s="413" t="s">
        <v>726</v>
      </c>
      <c r="R851" s="413" t="s">
        <v>404</v>
      </c>
      <c r="S851" s="414" t="s">
        <v>1446</v>
      </c>
      <c r="T851" s="414">
        <v>45622</v>
      </c>
      <c r="U851" s="415"/>
      <c r="V851" s="416"/>
      <c r="W851" s="417"/>
      <c r="X851" s="417"/>
      <c r="Y851" s="418" t="s">
        <v>377</v>
      </c>
      <c r="Z851" s="496"/>
      <c r="AA851" s="492"/>
    </row>
    <row r="852" spans="1:27" s="128" customFormat="1" ht="18" customHeight="1">
      <c r="A852" s="405">
        <v>62</v>
      </c>
      <c r="B852" s="407" t="s">
        <v>1863</v>
      </c>
      <c r="C852" s="406" t="s">
        <v>76</v>
      </c>
      <c r="D852" s="407" t="s">
        <v>1864</v>
      </c>
      <c r="E852" s="408">
        <v>1</v>
      </c>
      <c r="F852" s="409"/>
      <c r="G852" s="410">
        <f t="shared" si="33"/>
        <v>0</v>
      </c>
      <c r="H852" s="411"/>
      <c r="I852" s="407"/>
      <c r="J852" s="411"/>
      <c r="K852" s="407" t="s">
        <v>1808</v>
      </c>
      <c r="L852" s="412" t="s">
        <v>1348</v>
      </c>
      <c r="M852" s="407" t="s">
        <v>1832</v>
      </c>
      <c r="N852" s="412"/>
      <c r="O852" s="412"/>
      <c r="P852" s="412" t="s">
        <v>1350</v>
      </c>
      <c r="Q852" s="413" t="s">
        <v>726</v>
      </c>
      <c r="R852" s="413" t="s">
        <v>249</v>
      </c>
      <c r="S852" s="414" t="s">
        <v>800</v>
      </c>
      <c r="T852" s="414"/>
      <c r="U852" s="415"/>
      <c r="V852" s="416"/>
      <c r="W852" s="417"/>
      <c r="X852" s="417"/>
      <c r="Y852" s="418" t="s">
        <v>377</v>
      </c>
      <c r="Z852" s="496"/>
      <c r="AA852" s="492"/>
    </row>
    <row r="853" spans="1:27" s="128" customFormat="1" ht="18" customHeight="1">
      <c r="A853" s="405">
        <v>63</v>
      </c>
      <c r="B853" s="407" t="s">
        <v>1865</v>
      </c>
      <c r="C853" s="406" t="s">
        <v>76</v>
      </c>
      <c r="D853" s="407" t="s">
        <v>1866</v>
      </c>
      <c r="E853" s="408">
        <v>30</v>
      </c>
      <c r="F853" s="409"/>
      <c r="G853" s="410">
        <f t="shared" si="33"/>
        <v>0</v>
      </c>
      <c r="H853" s="411"/>
      <c r="I853" s="407"/>
      <c r="J853" s="411"/>
      <c r="K853" s="407" t="s">
        <v>1808</v>
      </c>
      <c r="L853" s="412" t="s">
        <v>1348</v>
      </c>
      <c r="M853" s="407" t="s">
        <v>1832</v>
      </c>
      <c r="N853" s="412"/>
      <c r="O853" s="412"/>
      <c r="P853" s="412" t="s">
        <v>1350</v>
      </c>
      <c r="Q853" s="413" t="s">
        <v>726</v>
      </c>
      <c r="R853" s="413" t="s">
        <v>249</v>
      </c>
      <c r="S853" s="414" t="s">
        <v>800</v>
      </c>
      <c r="T853" s="414"/>
      <c r="U853" s="415"/>
      <c r="V853" s="416"/>
      <c r="W853" s="417"/>
      <c r="X853" s="417"/>
      <c r="Y853" s="418" t="s">
        <v>377</v>
      </c>
      <c r="Z853" s="496"/>
      <c r="AA853" s="492"/>
    </row>
    <row r="854" spans="1:27" s="128" customFormat="1" ht="18" customHeight="1">
      <c r="A854" s="443">
        <v>64</v>
      </c>
      <c r="B854" s="444" t="s">
        <v>1867</v>
      </c>
      <c r="C854" s="445" t="s">
        <v>76</v>
      </c>
      <c r="D854" s="444" t="s">
        <v>1868</v>
      </c>
      <c r="E854" s="446">
        <v>1</v>
      </c>
      <c r="F854" s="447"/>
      <c r="G854" s="448">
        <f t="shared" si="33"/>
        <v>0</v>
      </c>
      <c r="H854" s="449"/>
      <c r="I854" s="444"/>
      <c r="J854" s="449"/>
      <c r="K854" s="444" t="s">
        <v>1808</v>
      </c>
      <c r="L854" s="450" t="s">
        <v>1348</v>
      </c>
      <c r="M854" s="444" t="s">
        <v>1869</v>
      </c>
      <c r="N854" s="450"/>
      <c r="O854" s="450"/>
      <c r="P854" s="450" t="s">
        <v>1350</v>
      </c>
      <c r="Q854" s="451" t="s">
        <v>374</v>
      </c>
      <c r="R854" s="451" t="s">
        <v>251</v>
      </c>
      <c r="S854" s="452" t="s">
        <v>842</v>
      </c>
      <c r="T854" s="452" t="s">
        <v>1812</v>
      </c>
      <c r="U854" s="453"/>
      <c r="V854" s="454"/>
      <c r="W854" s="455" t="s">
        <v>406</v>
      </c>
      <c r="X854" s="455">
        <v>45610</v>
      </c>
      <c r="Y854" s="456" t="s">
        <v>377</v>
      </c>
      <c r="Z854" s="498"/>
      <c r="AA854" s="494"/>
    </row>
    <row r="855" spans="1:27" s="128" customFormat="1" ht="18" customHeight="1">
      <c r="A855" s="443">
        <v>65</v>
      </c>
      <c r="B855" s="444" t="s">
        <v>1870</v>
      </c>
      <c r="C855" s="445" t="s">
        <v>76</v>
      </c>
      <c r="D855" s="444" t="s">
        <v>1871</v>
      </c>
      <c r="E855" s="446">
        <v>36</v>
      </c>
      <c r="F855" s="447"/>
      <c r="G855" s="448">
        <f t="shared" ref="G855:G865" si="34">E855*F855</f>
        <v>0</v>
      </c>
      <c r="H855" s="449"/>
      <c r="I855" s="444"/>
      <c r="J855" s="449"/>
      <c r="K855" s="444" t="s">
        <v>1808</v>
      </c>
      <c r="L855" s="450" t="s">
        <v>1348</v>
      </c>
      <c r="M855" s="444" t="s">
        <v>1869</v>
      </c>
      <c r="N855" s="450"/>
      <c r="O855" s="450"/>
      <c r="P855" s="450" t="s">
        <v>1350</v>
      </c>
      <c r="Q855" s="451" t="s">
        <v>374</v>
      </c>
      <c r="R855" s="451" t="s">
        <v>251</v>
      </c>
      <c r="S855" s="452" t="s">
        <v>842</v>
      </c>
      <c r="T855" s="452" t="s">
        <v>1812</v>
      </c>
      <c r="U855" s="453"/>
      <c r="V855" s="454"/>
      <c r="W855" s="455" t="s">
        <v>406</v>
      </c>
      <c r="X855" s="455">
        <v>45610</v>
      </c>
      <c r="Y855" s="456" t="s">
        <v>377</v>
      </c>
      <c r="Z855" s="498"/>
      <c r="AA855" s="494"/>
    </row>
    <row r="856" spans="1:27" s="128" customFormat="1" ht="18" customHeight="1">
      <c r="A856" s="443">
        <v>66</v>
      </c>
      <c r="B856" s="444" t="s">
        <v>1872</v>
      </c>
      <c r="C856" s="445" t="s">
        <v>76</v>
      </c>
      <c r="D856" s="444" t="s">
        <v>1873</v>
      </c>
      <c r="E856" s="446">
        <v>1</v>
      </c>
      <c r="F856" s="447"/>
      <c r="G856" s="448">
        <f t="shared" si="34"/>
        <v>0</v>
      </c>
      <c r="H856" s="449"/>
      <c r="I856" s="444"/>
      <c r="J856" s="449"/>
      <c r="K856" s="444" t="s">
        <v>1808</v>
      </c>
      <c r="L856" s="450" t="s">
        <v>1348</v>
      </c>
      <c r="M856" s="444" t="s">
        <v>1869</v>
      </c>
      <c r="N856" s="450"/>
      <c r="O856" s="450"/>
      <c r="P856" s="450" t="s">
        <v>1350</v>
      </c>
      <c r="Q856" s="451" t="s">
        <v>374</v>
      </c>
      <c r="R856" s="451" t="s">
        <v>251</v>
      </c>
      <c r="S856" s="452" t="s">
        <v>842</v>
      </c>
      <c r="T856" s="452" t="s">
        <v>1812</v>
      </c>
      <c r="U856" s="453"/>
      <c r="V856" s="454"/>
      <c r="W856" s="455" t="s">
        <v>406</v>
      </c>
      <c r="X856" s="455">
        <v>45610</v>
      </c>
      <c r="Y856" s="456" t="s">
        <v>377</v>
      </c>
      <c r="Z856" s="498"/>
      <c r="AA856" s="494"/>
    </row>
    <row r="857" spans="1:27" s="128" customFormat="1" ht="18" customHeight="1">
      <c r="A857" s="443">
        <v>67</v>
      </c>
      <c r="B857" s="444" t="s">
        <v>1874</v>
      </c>
      <c r="C857" s="445" t="s">
        <v>76</v>
      </c>
      <c r="D857" s="444" t="s">
        <v>1875</v>
      </c>
      <c r="E857" s="446">
        <v>16</v>
      </c>
      <c r="F857" s="447"/>
      <c r="G857" s="448">
        <f t="shared" si="34"/>
        <v>0</v>
      </c>
      <c r="H857" s="449"/>
      <c r="I857" s="444"/>
      <c r="J857" s="449"/>
      <c r="K857" s="444" t="s">
        <v>1808</v>
      </c>
      <c r="L857" s="450" t="s">
        <v>1348</v>
      </c>
      <c r="M857" s="444" t="s">
        <v>1869</v>
      </c>
      <c r="N857" s="450"/>
      <c r="O857" s="450"/>
      <c r="P857" s="450" t="s">
        <v>1350</v>
      </c>
      <c r="Q857" s="451" t="s">
        <v>374</v>
      </c>
      <c r="R857" s="451" t="s">
        <v>251</v>
      </c>
      <c r="S857" s="452" t="s">
        <v>842</v>
      </c>
      <c r="T857" s="452" t="s">
        <v>1876</v>
      </c>
      <c r="U857" s="453"/>
      <c r="V857" s="454"/>
      <c r="W857" s="455" t="s">
        <v>406</v>
      </c>
      <c r="X857" s="455">
        <v>45610</v>
      </c>
      <c r="Y857" s="456" t="s">
        <v>377</v>
      </c>
      <c r="Z857" s="498"/>
      <c r="AA857" s="494"/>
    </row>
    <row r="858" spans="1:27" s="128" customFormat="1" ht="18" customHeight="1">
      <c r="A858" s="405">
        <v>68</v>
      </c>
      <c r="B858" s="407" t="s">
        <v>392</v>
      </c>
      <c r="C858" s="406" t="s">
        <v>76</v>
      </c>
      <c r="D858" s="407" t="s">
        <v>393</v>
      </c>
      <c r="E858" s="408">
        <v>3</v>
      </c>
      <c r="F858" s="409"/>
      <c r="G858" s="410">
        <f t="shared" si="34"/>
        <v>0</v>
      </c>
      <c r="H858" s="411"/>
      <c r="I858" s="407"/>
      <c r="J858" s="411"/>
      <c r="K858" s="407" t="s">
        <v>1808</v>
      </c>
      <c r="L858" s="412" t="s">
        <v>1348</v>
      </c>
      <c r="M858" s="407" t="s">
        <v>1809</v>
      </c>
      <c r="N858" s="412"/>
      <c r="O858" s="412"/>
      <c r="P858" s="412" t="s">
        <v>1350</v>
      </c>
      <c r="Q858" s="413" t="s">
        <v>726</v>
      </c>
      <c r="R858" s="413" t="s">
        <v>263</v>
      </c>
      <c r="S858" s="414" t="s">
        <v>800</v>
      </c>
      <c r="T858" s="414"/>
      <c r="U858" s="415"/>
      <c r="V858" s="416"/>
      <c r="W858" s="417"/>
      <c r="X858" s="417"/>
      <c r="Y858" s="418" t="s">
        <v>377</v>
      </c>
      <c r="Z858" s="496"/>
      <c r="AA858" s="492"/>
    </row>
    <row r="859" spans="1:27" s="128" customFormat="1" ht="18" customHeight="1">
      <c r="A859" s="405">
        <v>69</v>
      </c>
      <c r="B859" s="407" t="s">
        <v>1070</v>
      </c>
      <c r="C859" s="406" t="s">
        <v>76</v>
      </c>
      <c r="D859" s="407" t="s">
        <v>919</v>
      </c>
      <c r="E859" s="408">
        <v>4</v>
      </c>
      <c r="F859" s="409"/>
      <c r="G859" s="410">
        <f t="shared" si="34"/>
        <v>0</v>
      </c>
      <c r="H859" s="411"/>
      <c r="I859" s="407"/>
      <c r="J859" s="411"/>
      <c r="K859" s="407" t="s">
        <v>1808</v>
      </c>
      <c r="L859" s="412" t="s">
        <v>1348</v>
      </c>
      <c r="M859" s="407" t="s">
        <v>1809</v>
      </c>
      <c r="N859" s="412"/>
      <c r="O859" s="412"/>
      <c r="P859" s="412" t="s">
        <v>1350</v>
      </c>
      <c r="Q859" s="413" t="s">
        <v>726</v>
      </c>
      <c r="R859" s="413" t="s">
        <v>263</v>
      </c>
      <c r="S859" s="414" t="s">
        <v>800</v>
      </c>
      <c r="T859" s="414"/>
      <c r="U859" s="415"/>
      <c r="V859" s="416"/>
      <c r="W859" s="417"/>
      <c r="X859" s="417"/>
      <c r="Y859" s="418" t="s">
        <v>377</v>
      </c>
      <c r="Z859" s="496"/>
      <c r="AA859" s="492"/>
    </row>
    <row r="860" spans="1:27" s="128" customFormat="1" ht="18" customHeight="1">
      <c r="A860" s="405">
        <v>70</v>
      </c>
      <c r="B860" s="407" t="s">
        <v>1877</v>
      </c>
      <c r="C860" s="406" t="s">
        <v>76</v>
      </c>
      <c r="D860" s="407" t="s">
        <v>1878</v>
      </c>
      <c r="E860" s="408">
        <v>1</v>
      </c>
      <c r="F860" s="409"/>
      <c r="G860" s="410">
        <f t="shared" si="34"/>
        <v>0</v>
      </c>
      <c r="H860" s="411"/>
      <c r="I860" s="407"/>
      <c r="J860" s="411"/>
      <c r="K860" s="407" t="s">
        <v>1808</v>
      </c>
      <c r="L860" s="412" t="s">
        <v>1348</v>
      </c>
      <c r="M860" s="407" t="s">
        <v>1809</v>
      </c>
      <c r="N860" s="412"/>
      <c r="O860" s="412"/>
      <c r="P860" s="412" t="s">
        <v>1350</v>
      </c>
      <c r="Q860" s="413" t="s">
        <v>726</v>
      </c>
      <c r="R860" s="413" t="s">
        <v>263</v>
      </c>
      <c r="S860" s="414" t="s">
        <v>800</v>
      </c>
      <c r="T860" s="414"/>
      <c r="U860" s="415"/>
      <c r="V860" s="416"/>
      <c r="W860" s="417"/>
      <c r="X860" s="417"/>
      <c r="Y860" s="418" t="s">
        <v>377</v>
      </c>
      <c r="Z860" s="496"/>
      <c r="AA860" s="492"/>
    </row>
    <row r="861" spans="1:27" s="128" customFormat="1" ht="18" customHeight="1">
      <c r="A861" s="405">
        <v>71</v>
      </c>
      <c r="B861" s="407" t="s">
        <v>394</v>
      </c>
      <c r="C861" s="406" t="s">
        <v>76</v>
      </c>
      <c r="D861" s="407" t="s">
        <v>395</v>
      </c>
      <c r="E861" s="408">
        <v>7</v>
      </c>
      <c r="F861" s="409"/>
      <c r="G861" s="410">
        <f t="shared" si="34"/>
        <v>0</v>
      </c>
      <c r="H861" s="411"/>
      <c r="I861" s="407"/>
      <c r="J861" s="411"/>
      <c r="K861" s="407" t="s">
        <v>1808</v>
      </c>
      <c r="L861" s="412" t="s">
        <v>1348</v>
      </c>
      <c r="M861" s="407" t="s">
        <v>1809</v>
      </c>
      <c r="N861" s="412"/>
      <c r="O861" s="412"/>
      <c r="P861" s="412" t="s">
        <v>1350</v>
      </c>
      <c r="Q861" s="413" t="s">
        <v>726</v>
      </c>
      <c r="R861" s="413" t="s">
        <v>263</v>
      </c>
      <c r="S861" s="414" t="s">
        <v>800</v>
      </c>
      <c r="T861" s="414"/>
      <c r="U861" s="415"/>
      <c r="V861" s="416"/>
      <c r="W861" s="417"/>
      <c r="X861" s="417"/>
      <c r="Y861" s="418" t="s">
        <v>377</v>
      </c>
      <c r="Z861" s="496"/>
      <c r="AA861" s="492"/>
    </row>
    <row r="862" spans="1:27" s="128" customFormat="1" ht="18" customHeight="1">
      <c r="A862" s="405">
        <v>72</v>
      </c>
      <c r="B862" s="407" t="s">
        <v>1879</v>
      </c>
      <c r="C862" s="406" t="s">
        <v>76</v>
      </c>
      <c r="D862" s="407" t="s">
        <v>1880</v>
      </c>
      <c r="E862" s="408">
        <v>1</v>
      </c>
      <c r="F862" s="409"/>
      <c r="G862" s="410">
        <f t="shared" si="34"/>
        <v>0</v>
      </c>
      <c r="H862" s="411"/>
      <c r="I862" s="407"/>
      <c r="J862" s="411"/>
      <c r="K862" s="407" t="s">
        <v>1808</v>
      </c>
      <c r="L862" s="412" t="s">
        <v>1348</v>
      </c>
      <c r="M862" s="407" t="s">
        <v>1809</v>
      </c>
      <c r="N862" s="412"/>
      <c r="O862" s="412"/>
      <c r="P862" s="412" t="s">
        <v>1350</v>
      </c>
      <c r="Q862" s="413" t="s">
        <v>726</v>
      </c>
      <c r="R862" s="413" t="s">
        <v>263</v>
      </c>
      <c r="S862" s="414" t="s">
        <v>800</v>
      </c>
      <c r="T862" s="414"/>
      <c r="U862" s="415"/>
      <c r="V862" s="416"/>
      <c r="W862" s="417"/>
      <c r="X862" s="417"/>
      <c r="Y862" s="418" t="s">
        <v>377</v>
      </c>
      <c r="Z862" s="496"/>
      <c r="AA862" s="492"/>
    </row>
    <row r="863" spans="1:27" s="128" customFormat="1" ht="18" customHeight="1">
      <c r="A863" s="405">
        <v>73</v>
      </c>
      <c r="B863" s="407" t="s">
        <v>988</v>
      </c>
      <c r="C863" s="406" t="s">
        <v>76</v>
      </c>
      <c r="D863" s="407" t="s">
        <v>989</v>
      </c>
      <c r="E863" s="408">
        <v>1</v>
      </c>
      <c r="F863" s="409"/>
      <c r="G863" s="410">
        <f t="shared" si="34"/>
        <v>0</v>
      </c>
      <c r="H863" s="411"/>
      <c r="I863" s="407"/>
      <c r="J863" s="411"/>
      <c r="K863" s="407" t="s">
        <v>1808</v>
      </c>
      <c r="L863" s="412" t="s">
        <v>1348</v>
      </c>
      <c r="M863" s="407" t="s">
        <v>1809</v>
      </c>
      <c r="N863" s="412"/>
      <c r="O863" s="412"/>
      <c r="P863" s="412" t="s">
        <v>1350</v>
      </c>
      <c r="Q863" s="413" t="s">
        <v>726</v>
      </c>
      <c r="R863" s="413" t="s">
        <v>263</v>
      </c>
      <c r="S863" s="414" t="s">
        <v>800</v>
      </c>
      <c r="T863" s="414"/>
      <c r="U863" s="415"/>
      <c r="V863" s="416"/>
      <c r="W863" s="417"/>
      <c r="X863" s="417"/>
      <c r="Y863" s="418" t="s">
        <v>377</v>
      </c>
      <c r="Z863" s="496"/>
      <c r="AA863" s="492"/>
    </row>
    <row r="864" spans="1:27" s="128" customFormat="1" ht="18" customHeight="1">
      <c r="A864" s="443">
        <v>74</v>
      </c>
      <c r="B864" s="444" t="s">
        <v>838</v>
      </c>
      <c r="C864" s="445" t="s">
        <v>76</v>
      </c>
      <c r="D864" s="444" t="s">
        <v>839</v>
      </c>
      <c r="E864" s="446">
        <v>1</v>
      </c>
      <c r="F864" s="447"/>
      <c r="G864" s="448">
        <f t="shared" si="34"/>
        <v>0</v>
      </c>
      <c r="H864" s="449"/>
      <c r="I864" s="444"/>
      <c r="J864" s="449"/>
      <c r="K864" s="444"/>
      <c r="L864" s="450"/>
      <c r="M864" s="444"/>
      <c r="N864" s="450"/>
      <c r="O864" s="450"/>
      <c r="P864" s="450"/>
      <c r="Q864" s="451" t="s">
        <v>374</v>
      </c>
      <c r="R864" s="451"/>
      <c r="S864" s="452"/>
      <c r="T864" s="452" t="s">
        <v>481</v>
      </c>
      <c r="U864" s="453"/>
      <c r="V864" s="454"/>
      <c r="W864" s="455" t="s">
        <v>406</v>
      </c>
      <c r="X864" s="455">
        <v>45601</v>
      </c>
      <c r="Y864" s="456" t="s">
        <v>377</v>
      </c>
      <c r="Z864" s="498"/>
      <c r="AA864" s="494"/>
    </row>
    <row r="865" spans="1:27" s="128" customFormat="1" ht="18" customHeight="1">
      <c r="A865" s="405">
        <v>75</v>
      </c>
      <c r="B865" s="407" t="s">
        <v>1881</v>
      </c>
      <c r="C865" s="406" t="s">
        <v>76</v>
      </c>
      <c r="D865" s="407" t="s">
        <v>1882</v>
      </c>
      <c r="E865" s="408">
        <v>4</v>
      </c>
      <c r="F865" s="409"/>
      <c r="G865" s="410">
        <f t="shared" si="34"/>
        <v>0</v>
      </c>
      <c r="H865" s="411"/>
      <c r="I865" s="407"/>
      <c r="J865" s="411"/>
      <c r="K865" s="407" t="s">
        <v>1808</v>
      </c>
      <c r="L865" s="412" t="s">
        <v>1348</v>
      </c>
      <c r="M865" s="407" t="s">
        <v>444</v>
      </c>
      <c r="N865" s="412"/>
      <c r="O865" s="412"/>
      <c r="P865" s="412" t="s">
        <v>444</v>
      </c>
      <c r="Q865" s="413" t="s">
        <v>591</v>
      </c>
      <c r="R865" s="413" t="s">
        <v>444</v>
      </c>
      <c r="S865" s="414" t="s">
        <v>444</v>
      </c>
      <c r="T865" s="414"/>
      <c r="U865" s="415"/>
      <c r="V865" s="416"/>
      <c r="W865" s="417"/>
      <c r="X865" s="417"/>
      <c r="Y865" s="418" t="s">
        <v>377</v>
      </c>
      <c r="Z865" s="496"/>
      <c r="AA865" s="492"/>
    </row>
    <row r="866" spans="1:27" ht="18" customHeight="1">
      <c r="A866" s="389"/>
      <c r="B866" s="390" t="s">
        <v>1883</v>
      </c>
      <c r="C866" s="391"/>
      <c r="D866" s="392"/>
      <c r="E866" s="393"/>
      <c r="F866" s="394"/>
      <c r="G866" s="395">
        <f t="shared" si="28"/>
        <v>0</v>
      </c>
      <c r="H866" s="396"/>
      <c r="I866" s="392"/>
      <c r="J866" s="396"/>
      <c r="K866" s="392"/>
      <c r="L866" s="397"/>
      <c r="M866" s="392"/>
      <c r="N866" s="397"/>
      <c r="O866" s="397"/>
      <c r="P866" s="397"/>
      <c r="Q866" s="398"/>
      <c r="R866" s="398"/>
      <c r="S866" s="399"/>
      <c r="T866" s="399"/>
      <c r="U866" s="400"/>
      <c r="V866" s="401"/>
      <c r="W866" s="402"/>
      <c r="X866" s="402"/>
      <c r="Y866" s="403"/>
      <c r="Z866" s="404"/>
      <c r="AA866" s="492"/>
    </row>
    <row r="867" spans="1:27" s="128" customFormat="1" ht="18" customHeight="1">
      <c r="A867" s="443">
        <v>1</v>
      </c>
      <c r="B867" s="444" t="s">
        <v>1665</v>
      </c>
      <c r="C867" s="445" t="s">
        <v>78</v>
      </c>
      <c r="D867" s="444" t="s">
        <v>1666</v>
      </c>
      <c r="E867" s="446">
        <v>4</v>
      </c>
      <c r="F867" s="447"/>
      <c r="G867" s="448">
        <f t="shared" ref="G867:G895" si="35">E867*F867</f>
        <v>0</v>
      </c>
      <c r="H867" s="449"/>
      <c r="I867" s="444"/>
      <c r="J867" s="449"/>
      <c r="K867" s="444"/>
      <c r="L867" s="450"/>
      <c r="M867" s="444"/>
      <c r="N867" s="450"/>
      <c r="O867" s="450"/>
      <c r="P867" s="450"/>
      <c r="Q867" s="451" t="s">
        <v>374</v>
      </c>
      <c r="R867" s="451"/>
      <c r="S867" s="452"/>
      <c r="T867" s="452"/>
      <c r="U867" s="453"/>
      <c r="V867" s="454"/>
      <c r="W867" s="455" t="s">
        <v>406</v>
      </c>
      <c r="X867" s="455">
        <v>45566</v>
      </c>
      <c r="Y867" s="456" t="s">
        <v>377</v>
      </c>
      <c r="Z867" s="457"/>
      <c r="AA867" s="494"/>
    </row>
    <row r="868" spans="1:27" s="128" customFormat="1" ht="18" customHeight="1">
      <c r="A868" s="443">
        <v>2</v>
      </c>
      <c r="B868" s="444" t="s">
        <v>1884</v>
      </c>
      <c r="C868" s="445" t="s">
        <v>78</v>
      </c>
      <c r="D868" s="444" t="s">
        <v>1885</v>
      </c>
      <c r="E868" s="446">
        <v>2</v>
      </c>
      <c r="F868" s="447"/>
      <c r="G868" s="448">
        <f t="shared" si="35"/>
        <v>0</v>
      </c>
      <c r="H868" s="449"/>
      <c r="I868" s="444"/>
      <c r="J868" s="449"/>
      <c r="K868" s="444"/>
      <c r="L868" s="450"/>
      <c r="M868" s="444"/>
      <c r="N868" s="450"/>
      <c r="O868" s="450"/>
      <c r="P868" s="450"/>
      <c r="Q868" s="451" t="s">
        <v>374</v>
      </c>
      <c r="R868" s="451"/>
      <c r="S868" s="452"/>
      <c r="T868" s="452"/>
      <c r="U868" s="453"/>
      <c r="V868" s="454"/>
      <c r="W868" s="455" t="s">
        <v>406</v>
      </c>
      <c r="X868" s="455">
        <v>45566</v>
      </c>
      <c r="Y868" s="456" t="s">
        <v>377</v>
      </c>
      <c r="Z868" s="457"/>
      <c r="AA868" s="494"/>
    </row>
    <row r="869" spans="1:27" s="128" customFormat="1" ht="18" customHeight="1">
      <c r="A869" s="443">
        <v>3</v>
      </c>
      <c r="B869" s="444" t="s">
        <v>1886</v>
      </c>
      <c r="C869" s="445" t="s">
        <v>78</v>
      </c>
      <c r="D869" s="444" t="s">
        <v>1887</v>
      </c>
      <c r="E869" s="446">
        <v>1</v>
      </c>
      <c r="F869" s="447"/>
      <c r="G869" s="448">
        <f t="shared" si="35"/>
        <v>0</v>
      </c>
      <c r="H869" s="449"/>
      <c r="I869" s="444"/>
      <c r="J869" s="449"/>
      <c r="K869" s="444" t="s">
        <v>1888</v>
      </c>
      <c r="L869" s="450" t="s">
        <v>806</v>
      </c>
      <c r="M869" s="444" t="s">
        <v>1889</v>
      </c>
      <c r="N869" s="450"/>
      <c r="O869" s="450"/>
      <c r="P869" s="450" t="s">
        <v>1890</v>
      </c>
      <c r="Q869" s="451" t="s">
        <v>374</v>
      </c>
      <c r="R869" s="451" t="s">
        <v>247</v>
      </c>
      <c r="S869" s="452" t="s">
        <v>895</v>
      </c>
      <c r="T869" s="452"/>
      <c r="U869" s="453"/>
      <c r="V869" s="454"/>
      <c r="W869" s="455" t="s">
        <v>406</v>
      </c>
      <c r="X869" s="455">
        <v>45576</v>
      </c>
      <c r="Y869" s="456" t="s">
        <v>377</v>
      </c>
      <c r="Z869" s="457"/>
      <c r="AA869" s="494"/>
    </row>
    <row r="870" spans="1:27" s="128" customFormat="1" ht="18" customHeight="1">
      <c r="A870" s="443">
        <v>4</v>
      </c>
      <c r="B870" s="444" t="s">
        <v>1724</v>
      </c>
      <c r="C870" s="445" t="s">
        <v>78</v>
      </c>
      <c r="D870" s="444" t="s">
        <v>1725</v>
      </c>
      <c r="E870" s="446">
        <v>2</v>
      </c>
      <c r="F870" s="447"/>
      <c r="G870" s="448">
        <f t="shared" si="35"/>
        <v>0</v>
      </c>
      <c r="H870" s="449"/>
      <c r="I870" s="444"/>
      <c r="J870" s="449"/>
      <c r="K870" s="444" t="s">
        <v>1888</v>
      </c>
      <c r="L870" s="450" t="s">
        <v>806</v>
      </c>
      <c r="M870" s="444" t="s">
        <v>1889</v>
      </c>
      <c r="N870" s="450"/>
      <c r="O870" s="450"/>
      <c r="P870" s="450" t="s">
        <v>1890</v>
      </c>
      <c r="Q870" s="451" t="s">
        <v>374</v>
      </c>
      <c r="R870" s="451" t="s">
        <v>247</v>
      </c>
      <c r="S870" s="452" t="s">
        <v>425</v>
      </c>
      <c r="T870" s="452"/>
      <c r="U870" s="453"/>
      <c r="V870" s="454"/>
      <c r="W870" s="455" t="s">
        <v>406</v>
      </c>
      <c r="X870" s="455">
        <v>45576</v>
      </c>
      <c r="Y870" s="456" t="s">
        <v>377</v>
      </c>
      <c r="Z870" s="457"/>
      <c r="AA870" s="494"/>
    </row>
    <row r="871" spans="1:27" s="128" customFormat="1" ht="18" customHeight="1">
      <c r="A871" s="443" t="s">
        <v>1891</v>
      </c>
      <c r="B871" s="444" t="s">
        <v>1892</v>
      </c>
      <c r="C871" s="445" t="s">
        <v>78</v>
      </c>
      <c r="D871" s="444" t="s">
        <v>1893</v>
      </c>
      <c r="E871" s="446">
        <v>4</v>
      </c>
      <c r="F871" s="447"/>
      <c r="G871" s="448">
        <f t="shared" si="35"/>
        <v>0</v>
      </c>
      <c r="H871" s="449"/>
      <c r="I871" s="444"/>
      <c r="J871" s="449"/>
      <c r="K871" s="444" t="s">
        <v>1888</v>
      </c>
      <c r="L871" s="450" t="s">
        <v>806</v>
      </c>
      <c r="M871" s="444" t="s">
        <v>1894</v>
      </c>
      <c r="N871" s="450"/>
      <c r="O871" s="450"/>
      <c r="P871" s="450" t="s">
        <v>1890</v>
      </c>
      <c r="Q871" s="451" t="s">
        <v>374</v>
      </c>
      <c r="R871" s="451" t="s">
        <v>311</v>
      </c>
      <c r="S871" s="452" t="s">
        <v>895</v>
      </c>
      <c r="T871" s="452"/>
      <c r="U871" s="453"/>
      <c r="V871" s="454"/>
      <c r="W871" s="455" t="s">
        <v>406</v>
      </c>
      <c r="X871" s="455">
        <v>45582</v>
      </c>
      <c r="Y871" s="456" t="s">
        <v>377</v>
      </c>
      <c r="Z871" s="457"/>
      <c r="AA871" s="494"/>
    </row>
    <row r="872" spans="1:27" s="128" customFormat="1" ht="18" customHeight="1">
      <c r="A872" s="443" t="s">
        <v>1895</v>
      </c>
      <c r="B872" s="444" t="s">
        <v>1896</v>
      </c>
      <c r="C872" s="445" t="s">
        <v>78</v>
      </c>
      <c r="D872" s="444" t="s">
        <v>1897</v>
      </c>
      <c r="E872" s="446">
        <v>1</v>
      </c>
      <c r="F872" s="447"/>
      <c r="G872" s="448">
        <f t="shared" si="35"/>
        <v>0</v>
      </c>
      <c r="H872" s="449"/>
      <c r="I872" s="444"/>
      <c r="J872" s="449"/>
      <c r="K872" s="444"/>
      <c r="L872" s="450"/>
      <c r="M872" s="444"/>
      <c r="N872" s="450"/>
      <c r="O872" s="450"/>
      <c r="P872" s="450"/>
      <c r="Q872" s="451" t="s">
        <v>374</v>
      </c>
      <c r="R872" s="451"/>
      <c r="S872" s="452"/>
      <c r="T872" s="452"/>
      <c r="U872" s="453"/>
      <c r="V872" s="454"/>
      <c r="W872" s="455" t="s">
        <v>406</v>
      </c>
      <c r="X872" s="455">
        <v>45566</v>
      </c>
      <c r="Y872" s="456" t="s">
        <v>377</v>
      </c>
      <c r="Z872" s="457"/>
      <c r="AA872" s="494"/>
    </row>
    <row r="873" spans="1:27" s="128" customFormat="1" ht="18" customHeight="1">
      <c r="A873" s="443" t="s">
        <v>1898</v>
      </c>
      <c r="B873" s="444" t="s">
        <v>1517</v>
      </c>
      <c r="C873" s="445" t="s">
        <v>78</v>
      </c>
      <c r="D873" s="444" t="s">
        <v>1899</v>
      </c>
      <c r="E873" s="446">
        <v>3</v>
      </c>
      <c r="F873" s="447"/>
      <c r="G873" s="448">
        <f t="shared" si="35"/>
        <v>0</v>
      </c>
      <c r="H873" s="449"/>
      <c r="I873" s="444"/>
      <c r="J873" s="449"/>
      <c r="K873" s="444"/>
      <c r="L873" s="450"/>
      <c r="M873" s="444"/>
      <c r="N873" s="450"/>
      <c r="O873" s="450"/>
      <c r="P873" s="450"/>
      <c r="Q873" s="451" t="s">
        <v>374</v>
      </c>
      <c r="R873" s="451"/>
      <c r="S873" s="452"/>
      <c r="T873" s="452"/>
      <c r="U873" s="453"/>
      <c r="V873" s="454"/>
      <c r="W873" s="455" t="s">
        <v>406</v>
      </c>
      <c r="X873" s="455">
        <v>45566</v>
      </c>
      <c r="Y873" s="456" t="s">
        <v>377</v>
      </c>
      <c r="Z873" s="457"/>
      <c r="AA873" s="494"/>
    </row>
    <row r="874" spans="1:27" s="128" customFormat="1" ht="18" customHeight="1">
      <c r="A874" s="443" t="s">
        <v>1900</v>
      </c>
      <c r="B874" s="444" t="s">
        <v>1901</v>
      </c>
      <c r="C874" s="445" t="s">
        <v>78</v>
      </c>
      <c r="D874" s="444" t="s">
        <v>1902</v>
      </c>
      <c r="E874" s="446">
        <v>2</v>
      </c>
      <c r="F874" s="447"/>
      <c r="G874" s="448">
        <f t="shared" si="35"/>
        <v>0</v>
      </c>
      <c r="H874" s="449"/>
      <c r="I874" s="444"/>
      <c r="J874" s="449"/>
      <c r="K874" s="444" t="s">
        <v>1888</v>
      </c>
      <c r="L874" s="450" t="s">
        <v>806</v>
      </c>
      <c r="M874" s="444" t="s">
        <v>1903</v>
      </c>
      <c r="N874" s="450"/>
      <c r="O874" s="450"/>
      <c r="P874" s="450" t="s">
        <v>1890</v>
      </c>
      <c r="Q874" s="451" t="s">
        <v>374</v>
      </c>
      <c r="R874" s="451" t="s">
        <v>249</v>
      </c>
      <c r="S874" s="452" t="s">
        <v>895</v>
      </c>
      <c r="T874" s="452"/>
      <c r="U874" s="453"/>
      <c r="V874" s="454"/>
      <c r="W874" s="455" t="s">
        <v>406</v>
      </c>
      <c r="X874" s="455">
        <v>45582</v>
      </c>
      <c r="Y874" s="456" t="s">
        <v>377</v>
      </c>
      <c r="Z874" s="457"/>
      <c r="AA874" s="494"/>
    </row>
    <row r="875" spans="1:27" s="128" customFormat="1" ht="18" customHeight="1">
      <c r="A875" s="443" t="s">
        <v>1904</v>
      </c>
      <c r="B875" s="444" t="s">
        <v>1515</v>
      </c>
      <c r="C875" s="445" t="s">
        <v>78</v>
      </c>
      <c r="D875" s="444" t="s">
        <v>1905</v>
      </c>
      <c r="E875" s="446">
        <v>1</v>
      </c>
      <c r="F875" s="447"/>
      <c r="G875" s="448">
        <f t="shared" si="35"/>
        <v>0</v>
      </c>
      <c r="H875" s="449"/>
      <c r="I875" s="444"/>
      <c r="J875" s="449"/>
      <c r="K875" s="444"/>
      <c r="L875" s="450"/>
      <c r="M875" s="444"/>
      <c r="N875" s="450"/>
      <c r="O875" s="450"/>
      <c r="P875" s="450"/>
      <c r="Q875" s="451" t="s">
        <v>374</v>
      </c>
      <c r="R875" s="451"/>
      <c r="S875" s="452"/>
      <c r="T875" s="452"/>
      <c r="U875" s="453"/>
      <c r="V875" s="454"/>
      <c r="W875" s="455" t="s">
        <v>406</v>
      </c>
      <c r="X875" s="455">
        <v>45566</v>
      </c>
      <c r="Y875" s="456" t="s">
        <v>377</v>
      </c>
      <c r="Z875" s="457"/>
      <c r="AA875" s="494"/>
    </row>
    <row r="876" spans="1:27" s="128" customFormat="1" ht="18" customHeight="1">
      <c r="A876" s="443" t="s">
        <v>1906</v>
      </c>
      <c r="B876" s="444" t="s">
        <v>1907</v>
      </c>
      <c r="C876" s="445" t="s">
        <v>78</v>
      </c>
      <c r="D876" s="444" t="s">
        <v>1908</v>
      </c>
      <c r="E876" s="446">
        <v>1</v>
      </c>
      <c r="F876" s="447"/>
      <c r="G876" s="448">
        <f t="shared" si="35"/>
        <v>0</v>
      </c>
      <c r="H876" s="449"/>
      <c r="I876" s="444"/>
      <c r="J876" s="449"/>
      <c r="K876" s="444"/>
      <c r="L876" s="450"/>
      <c r="M876" s="444"/>
      <c r="N876" s="450"/>
      <c r="O876" s="450"/>
      <c r="P876" s="450"/>
      <c r="Q876" s="451" t="s">
        <v>374</v>
      </c>
      <c r="R876" s="451"/>
      <c r="S876" s="452"/>
      <c r="T876" s="452"/>
      <c r="U876" s="453"/>
      <c r="V876" s="454"/>
      <c r="W876" s="455" t="s">
        <v>406</v>
      </c>
      <c r="X876" s="455">
        <v>45566</v>
      </c>
      <c r="Y876" s="456" t="s">
        <v>377</v>
      </c>
      <c r="Z876" s="457"/>
      <c r="AA876" s="494"/>
    </row>
    <row r="877" spans="1:27" s="128" customFormat="1" ht="18" customHeight="1">
      <c r="A877" s="443" t="s">
        <v>1909</v>
      </c>
      <c r="B877" s="444" t="s">
        <v>673</v>
      </c>
      <c r="C877" s="445" t="s">
        <v>78</v>
      </c>
      <c r="D877" s="444" t="s">
        <v>674</v>
      </c>
      <c r="E877" s="446">
        <v>1</v>
      </c>
      <c r="F877" s="447"/>
      <c r="G877" s="448">
        <f t="shared" si="35"/>
        <v>0</v>
      </c>
      <c r="H877" s="449"/>
      <c r="I877" s="444"/>
      <c r="J877" s="449"/>
      <c r="K877" s="444"/>
      <c r="L877" s="450"/>
      <c r="M877" s="444"/>
      <c r="N877" s="450"/>
      <c r="O877" s="450"/>
      <c r="P877" s="450"/>
      <c r="Q877" s="451" t="s">
        <v>374</v>
      </c>
      <c r="R877" s="451"/>
      <c r="S877" s="452"/>
      <c r="T877" s="452"/>
      <c r="U877" s="453"/>
      <c r="V877" s="454"/>
      <c r="W877" s="455" t="s">
        <v>406</v>
      </c>
      <c r="X877" s="455">
        <v>45566</v>
      </c>
      <c r="Y877" s="456" t="s">
        <v>377</v>
      </c>
      <c r="Z877" s="457"/>
      <c r="AA877" s="494"/>
    </row>
    <row r="878" spans="1:27" s="128" customFormat="1" ht="36" customHeight="1">
      <c r="A878" s="443" t="s">
        <v>1910</v>
      </c>
      <c r="B878" s="444" t="s">
        <v>1911</v>
      </c>
      <c r="C878" s="445" t="s">
        <v>78</v>
      </c>
      <c r="D878" s="444" t="s">
        <v>1912</v>
      </c>
      <c r="E878" s="446">
        <v>2</v>
      </c>
      <c r="F878" s="447"/>
      <c r="G878" s="448">
        <f t="shared" si="35"/>
        <v>0</v>
      </c>
      <c r="H878" s="449"/>
      <c r="I878" s="444"/>
      <c r="J878" s="449"/>
      <c r="K878" s="444"/>
      <c r="L878" s="450"/>
      <c r="M878" s="444"/>
      <c r="N878" s="450"/>
      <c r="O878" s="450"/>
      <c r="P878" s="450"/>
      <c r="Q878" s="451" t="s">
        <v>374</v>
      </c>
      <c r="R878" s="451"/>
      <c r="S878" s="452"/>
      <c r="T878" s="452"/>
      <c r="U878" s="453"/>
      <c r="V878" s="454"/>
      <c r="W878" s="455" t="s">
        <v>406</v>
      </c>
      <c r="X878" s="455">
        <v>45566</v>
      </c>
      <c r="Y878" s="456" t="s">
        <v>377</v>
      </c>
      <c r="Z878" s="457"/>
      <c r="AA878" s="494"/>
    </row>
    <row r="879" spans="1:27" s="128" customFormat="1" ht="18" customHeight="1">
      <c r="A879" s="443" t="s">
        <v>1913</v>
      </c>
      <c r="B879" s="444" t="s">
        <v>1914</v>
      </c>
      <c r="C879" s="445" t="s">
        <v>78</v>
      </c>
      <c r="D879" s="444" t="s">
        <v>1915</v>
      </c>
      <c r="E879" s="446">
        <v>6</v>
      </c>
      <c r="F879" s="447"/>
      <c r="G879" s="448">
        <f t="shared" si="35"/>
        <v>0</v>
      </c>
      <c r="H879" s="449"/>
      <c r="I879" s="444"/>
      <c r="J879" s="449"/>
      <c r="K879" s="444"/>
      <c r="L879" s="450"/>
      <c r="M879" s="444"/>
      <c r="N879" s="450"/>
      <c r="O879" s="450"/>
      <c r="P879" s="450"/>
      <c r="Q879" s="451" t="s">
        <v>374</v>
      </c>
      <c r="R879" s="451"/>
      <c r="S879" s="452"/>
      <c r="T879" s="452"/>
      <c r="U879" s="453"/>
      <c r="V879" s="454"/>
      <c r="W879" s="455" t="s">
        <v>406</v>
      </c>
      <c r="X879" s="455">
        <v>45566</v>
      </c>
      <c r="Y879" s="456" t="s">
        <v>377</v>
      </c>
      <c r="Z879" s="457"/>
      <c r="AA879" s="494"/>
    </row>
    <row r="880" spans="1:27" s="128" customFormat="1" ht="18" customHeight="1">
      <c r="A880" s="443" t="s">
        <v>1916</v>
      </c>
      <c r="B880" s="444" t="s">
        <v>1917</v>
      </c>
      <c r="C880" s="445" t="s">
        <v>78</v>
      </c>
      <c r="D880" s="444" t="s">
        <v>1918</v>
      </c>
      <c r="E880" s="446">
        <v>1</v>
      </c>
      <c r="F880" s="447"/>
      <c r="G880" s="448">
        <f t="shared" si="35"/>
        <v>0</v>
      </c>
      <c r="H880" s="449"/>
      <c r="I880" s="444"/>
      <c r="J880" s="449"/>
      <c r="K880" s="444"/>
      <c r="L880" s="450"/>
      <c r="M880" s="444"/>
      <c r="N880" s="450"/>
      <c r="O880" s="450"/>
      <c r="P880" s="450"/>
      <c r="Q880" s="451" t="s">
        <v>374</v>
      </c>
      <c r="R880" s="451"/>
      <c r="S880" s="452"/>
      <c r="T880" s="452"/>
      <c r="U880" s="453"/>
      <c r="V880" s="454"/>
      <c r="W880" s="455" t="s">
        <v>406</v>
      </c>
      <c r="X880" s="455">
        <v>45566</v>
      </c>
      <c r="Y880" s="456" t="s">
        <v>377</v>
      </c>
      <c r="Z880" s="457"/>
      <c r="AA880" s="494"/>
    </row>
    <row r="881" spans="1:27" s="441" customFormat="1" ht="18" customHeight="1">
      <c r="A881" s="427" t="s">
        <v>1919</v>
      </c>
      <c r="B881" s="428" t="s">
        <v>1920</v>
      </c>
      <c r="C881" s="429" t="s">
        <v>78</v>
      </c>
      <c r="D881" s="428" t="s">
        <v>1921</v>
      </c>
      <c r="E881" s="430">
        <v>1</v>
      </c>
      <c r="F881" s="431"/>
      <c r="G881" s="432">
        <f t="shared" si="35"/>
        <v>0</v>
      </c>
      <c r="H881" s="442"/>
      <c r="I881" s="428"/>
      <c r="J881" s="442"/>
      <c r="K881" s="428"/>
      <c r="L881" s="433"/>
      <c r="M881" s="428"/>
      <c r="N881" s="433"/>
      <c r="O881" s="433"/>
      <c r="P881" s="433"/>
      <c r="Q881" s="434"/>
      <c r="R881" s="434"/>
      <c r="S881" s="435"/>
      <c r="T881" s="435"/>
      <c r="U881" s="436"/>
      <c r="V881" s="437"/>
      <c r="W881" s="438"/>
      <c r="X881" s="438"/>
      <c r="Y881" s="439" t="s">
        <v>592</v>
      </c>
      <c r="Z881" s="440"/>
      <c r="AA881" s="495"/>
    </row>
    <row r="882" spans="1:27" s="441" customFormat="1" ht="18" customHeight="1">
      <c r="A882" s="427" t="s">
        <v>1922</v>
      </c>
      <c r="B882" s="428" t="s">
        <v>1923</v>
      </c>
      <c r="C882" s="429" t="s">
        <v>78</v>
      </c>
      <c r="D882" s="428" t="s">
        <v>1924</v>
      </c>
      <c r="E882" s="430">
        <v>1</v>
      </c>
      <c r="F882" s="431"/>
      <c r="G882" s="432">
        <f t="shared" si="35"/>
        <v>0</v>
      </c>
      <c r="H882" s="442"/>
      <c r="I882" s="428"/>
      <c r="J882" s="442"/>
      <c r="K882" s="428"/>
      <c r="L882" s="433"/>
      <c r="M882" s="428"/>
      <c r="N882" s="433"/>
      <c r="O882" s="433"/>
      <c r="P882" s="433"/>
      <c r="Q882" s="434"/>
      <c r="R882" s="434"/>
      <c r="S882" s="435"/>
      <c r="T882" s="435"/>
      <c r="U882" s="436"/>
      <c r="V882" s="437"/>
      <c r="W882" s="438"/>
      <c r="X882" s="438"/>
      <c r="Y882" s="439" t="s">
        <v>592</v>
      </c>
      <c r="Z882" s="440"/>
      <c r="AA882" s="495"/>
    </row>
    <row r="883" spans="1:27" s="128" customFormat="1" ht="18" customHeight="1">
      <c r="A883" s="443" t="s">
        <v>1925</v>
      </c>
      <c r="B883" s="444" t="s">
        <v>1926</v>
      </c>
      <c r="C883" s="445" t="s">
        <v>78</v>
      </c>
      <c r="D883" s="444" t="s">
        <v>1927</v>
      </c>
      <c r="E883" s="446">
        <v>4</v>
      </c>
      <c r="F883" s="447"/>
      <c r="G883" s="448">
        <f t="shared" si="35"/>
        <v>0</v>
      </c>
      <c r="H883" s="449"/>
      <c r="I883" s="444"/>
      <c r="J883" s="449"/>
      <c r="K883" s="444" t="s">
        <v>1888</v>
      </c>
      <c r="L883" s="450" t="s">
        <v>806</v>
      </c>
      <c r="M883" s="444" t="s">
        <v>1928</v>
      </c>
      <c r="N883" s="450"/>
      <c r="O883" s="450"/>
      <c r="P883" s="450" t="s">
        <v>1890</v>
      </c>
      <c r="Q883" s="451" t="s">
        <v>374</v>
      </c>
      <c r="R883" s="451" t="s">
        <v>995</v>
      </c>
      <c r="S883" s="452" t="s">
        <v>405</v>
      </c>
      <c r="T883" s="452"/>
      <c r="U883" s="453"/>
      <c r="V883" s="454"/>
      <c r="W883" s="455" t="s">
        <v>406</v>
      </c>
      <c r="X883" s="455">
        <v>45576</v>
      </c>
      <c r="Y883" s="456" t="s">
        <v>377</v>
      </c>
      <c r="Z883" s="457"/>
      <c r="AA883" s="494"/>
    </row>
    <row r="884" spans="1:27" s="128" customFormat="1" ht="18" customHeight="1">
      <c r="A884" s="443" t="s">
        <v>1929</v>
      </c>
      <c r="B884" s="444" t="s">
        <v>1930</v>
      </c>
      <c r="C884" s="445" t="s">
        <v>78</v>
      </c>
      <c r="D884" s="444" t="s">
        <v>1931</v>
      </c>
      <c r="E884" s="446">
        <v>4</v>
      </c>
      <c r="F884" s="447"/>
      <c r="G884" s="448">
        <f t="shared" si="35"/>
        <v>0</v>
      </c>
      <c r="H884" s="449"/>
      <c r="I884" s="444"/>
      <c r="J884" s="449"/>
      <c r="K884" s="444" t="s">
        <v>1932</v>
      </c>
      <c r="L884" s="450" t="s">
        <v>1348</v>
      </c>
      <c r="M884" s="444" t="s">
        <v>1933</v>
      </c>
      <c r="N884" s="450"/>
      <c r="O884" s="450"/>
      <c r="P884" s="450" t="s">
        <v>1934</v>
      </c>
      <c r="Q884" s="451" t="s">
        <v>374</v>
      </c>
      <c r="R884" s="451" t="s">
        <v>273</v>
      </c>
      <c r="S884" s="452" t="s">
        <v>797</v>
      </c>
      <c r="T884" s="452"/>
      <c r="U884" s="453"/>
      <c r="V884" s="454"/>
      <c r="W884" s="455" t="s">
        <v>406</v>
      </c>
      <c r="X884" s="455">
        <v>45566</v>
      </c>
      <c r="Y884" s="456" t="s">
        <v>377</v>
      </c>
      <c r="Z884" s="457"/>
      <c r="AA884" s="494"/>
    </row>
    <row r="885" spans="1:27" s="128" customFormat="1" ht="18" customHeight="1">
      <c r="A885" s="443" t="s">
        <v>1935</v>
      </c>
      <c r="B885" s="444" t="s">
        <v>675</v>
      </c>
      <c r="C885" s="445" t="s">
        <v>78</v>
      </c>
      <c r="D885" s="444" t="s">
        <v>1936</v>
      </c>
      <c r="E885" s="446">
        <v>9</v>
      </c>
      <c r="F885" s="447"/>
      <c r="G885" s="448">
        <f t="shared" si="35"/>
        <v>0</v>
      </c>
      <c r="H885" s="449"/>
      <c r="I885" s="444"/>
      <c r="J885" s="449"/>
      <c r="K885" s="444" t="s">
        <v>1888</v>
      </c>
      <c r="L885" s="450" t="s">
        <v>806</v>
      </c>
      <c r="M885" s="444" t="s">
        <v>1937</v>
      </c>
      <c r="N885" s="450"/>
      <c r="O885" s="450"/>
      <c r="P885" s="450" t="s">
        <v>1890</v>
      </c>
      <c r="Q885" s="451" t="s">
        <v>374</v>
      </c>
      <c r="R885" s="451" t="s">
        <v>271</v>
      </c>
      <c r="S885" s="452" t="s">
        <v>425</v>
      </c>
      <c r="T885" s="452"/>
      <c r="U885" s="453"/>
      <c r="V885" s="454"/>
      <c r="W885" s="455" t="s">
        <v>406</v>
      </c>
      <c r="X885" s="455">
        <v>45576</v>
      </c>
      <c r="Y885" s="456" t="s">
        <v>377</v>
      </c>
      <c r="Z885" s="457"/>
      <c r="AA885" s="494"/>
    </row>
    <row r="886" spans="1:27" s="128" customFormat="1" ht="18" customHeight="1">
      <c r="A886" s="443" t="s">
        <v>1938</v>
      </c>
      <c r="B886" s="444" t="s">
        <v>1726</v>
      </c>
      <c r="C886" s="445" t="s">
        <v>78</v>
      </c>
      <c r="D886" s="444" t="s">
        <v>1727</v>
      </c>
      <c r="E886" s="446">
        <v>2</v>
      </c>
      <c r="F886" s="447"/>
      <c r="G886" s="448">
        <f t="shared" si="35"/>
        <v>0</v>
      </c>
      <c r="H886" s="449"/>
      <c r="I886" s="444"/>
      <c r="J886" s="449"/>
      <c r="K886" s="444" t="s">
        <v>1888</v>
      </c>
      <c r="L886" s="450" t="s">
        <v>806</v>
      </c>
      <c r="M886" s="444" t="s">
        <v>1928</v>
      </c>
      <c r="N886" s="450"/>
      <c r="O886" s="450"/>
      <c r="P886" s="450" t="s">
        <v>1890</v>
      </c>
      <c r="Q886" s="451" t="s">
        <v>374</v>
      </c>
      <c r="R886" s="451" t="s">
        <v>995</v>
      </c>
      <c r="S886" s="452" t="s">
        <v>405</v>
      </c>
      <c r="T886" s="452"/>
      <c r="U886" s="453"/>
      <c r="V886" s="454"/>
      <c r="W886" s="455" t="s">
        <v>406</v>
      </c>
      <c r="X886" s="455">
        <v>45576</v>
      </c>
      <c r="Y886" s="456" t="s">
        <v>377</v>
      </c>
      <c r="Z886" s="457"/>
      <c r="AA886" s="494"/>
    </row>
    <row r="887" spans="1:27" s="441" customFormat="1" ht="18" customHeight="1">
      <c r="A887" s="427" t="s">
        <v>1939</v>
      </c>
      <c r="B887" s="428" t="s">
        <v>1940</v>
      </c>
      <c r="C887" s="429" t="s">
        <v>78</v>
      </c>
      <c r="D887" s="428" t="s">
        <v>1941</v>
      </c>
      <c r="E887" s="430">
        <v>2</v>
      </c>
      <c r="F887" s="431"/>
      <c r="G887" s="432">
        <f t="shared" si="35"/>
        <v>0</v>
      </c>
      <c r="H887" s="442"/>
      <c r="I887" s="428"/>
      <c r="J887" s="442"/>
      <c r="K887" s="428"/>
      <c r="L887" s="433"/>
      <c r="M887" s="428"/>
      <c r="N887" s="433"/>
      <c r="O887" s="433"/>
      <c r="P887" s="433"/>
      <c r="Q887" s="434"/>
      <c r="R887" s="434"/>
      <c r="S887" s="435"/>
      <c r="T887" s="435" t="s">
        <v>1812</v>
      </c>
      <c r="U887" s="436"/>
      <c r="V887" s="437"/>
      <c r="W887" s="438"/>
      <c r="X887" s="438"/>
      <c r="Y887" s="439" t="s">
        <v>592</v>
      </c>
      <c r="Z887" s="440"/>
      <c r="AA887" s="495"/>
    </row>
    <row r="888" spans="1:27" s="128" customFormat="1" ht="36" customHeight="1">
      <c r="A888" s="443" t="s">
        <v>1942</v>
      </c>
      <c r="B888" s="444" t="s">
        <v>1943</v>
      </c>
      <c r="C888" s="445" t="s">
        <v>78</v>
      </c>
      <c r="D888" s="444" t="s">
        <v>1520</v>
      </c>
      <c r="E888" s="446">
        <v>16</v>
      </c>
      <c r="F888" s="447"/>
      <c r="G888" s="448">
        <f t="shared" si="35"/>
        <v>0</v>
      </c>
      <c r="H888" s="449"/>
      <c r="I888" s="444"/>
      <c r="J888" s="449"/>
      <c r="K888" s="444"/>
      <c r="L888" s="450"/>
      <c r="M888" s="444"/>
      <c r="N888" s="450"/>
      <c r="O888" s="450"/>
      <c r="P888" s="450"/>
      <c r="Q888" s="451" t="s">
        <v>374</v>
      </c>
      <c r="R888" s="451"/>
      <c r="S888" s="452"/>
      <c r="T888" s="452"/>
      <c r="U888" s="453"/>
      <c r="V888" s="454"/>
      <c r="W888" s="455" t="s">
        <v>406</v>
      </c>
      <c r="X888" s="455">
        <v>45566</v>
      </c>
      <c r="Y888" s="456" t="s">
        <v>377</v>
      </c>
      <c r="Z888" s="457"/>
      <c r="AA888" s="494"/>
    </row>
    <row r="889" spans="1:27" s="128" customFormat="1" ht="18" customHeight="1">
      <c r="A889" s="443" t="s">
        <v>1944</v>
      </c>
      <c r="B889" s="444" t="s">
        <v>1742</v>
      </c>
      <c r="C889" s="445" t="s">
        <v>78</v>
      </c>
      <c r="D889" s="444" t="s">
        <v>1743</v>
      </c>
      <c r="E889" s="446">
        <v>1</v>
      </c>
      <c r="F889" s="447"/>
      <c r="G889" s="448">
        <f t="shared" si="35"/>
        <v>0</v>
      </c>
      <c r="H889" s="449"/>
      <c r="I889" s="444"/>
      <c r="J889" s="449"/>
      <c r="K889" s="444" t="s">
        <v>1888</v>
      </c>
      <c r="L889" s="450" t="s">
        <v>806</v>
      </c>
      <c r="M889" s="444" t="s">
        <v>1945</v>
      </c>
      <c r="N889" s="450"/>
      <c r="O889" s="450"/>
      <c r="P889" s="450" t="s">
        <v>1890</v>
      </c>
      <c r="Q889" s="451" t="s">
        <v>374</v>
      </c>
      <c r="R889" s="451" t="s">
        <v>251</v>
      </c>
      <c r="S889" s="452" t="s">
        <v>425</v>
      </c>
      <c r="T889" s="452"/>
      <c r="U889" s="453"/>
      <c r="V889" s="454"/>
      <c r="W889" s="455" t="s">
        <v>406</v>
      </c>
      <c r="X889" s="455">
        <v>45574</v>
      </c>
      <c r="Y889" s="456" t="s">
        <v>377</v>
      </c>
      <c r="Z889" s="457"/>
      <c r="AA889" s="494"/>
    </row>
    <row r="890" spans="1:27" s="128" customFormat="1" ht="18" customHeight="1">
      <c r="A890" s="443" t="s">
        <v>1946</v>
      </c>
      <c r="B890" s="444" t="s">
        <v>1947</v>
      </c>
      <c r="C890" s="445" t="s">
        <v>78</v>
      </c>
      <c r="D890" s="444" t="s">
        <v>1948</v>
      </c>
      <c r="E890" s="446">
        <v>8</v>
      </c>
      <c r="F890" s="447"/>
      <c r="G890" s="448">
        <f t="shared" si="35"/>
        <v>0</v>
      </c>
      <c r="H890" s="449"/>
      <c r="I890" s="444"/>
      <c r="J890" s="449"/>
      <c r="K890" s="444" t="s">
        <v>1888</v>
      </c>
      <c r="L890" s="450" t="s">
        <v>806</v>
      </c>
      <c r="M890" s="444" t="s">
        <v>1937</v>
      </c>
      <c r="N890" s="450"/>
      <c r="O890" s="450"/>
      <c r="P890" s="450" t="s">
        <v>1890</v>
      </c>
      <c r="Q890" s="451" t="s">
        <v>374</v>
      </c>
      <c r="R890" s="451" t="s">
        <v>271</v>
      </c>
      <c r="S890" s="452" t="s">
        <v>425</v>
      </c>
      <c r="T890" s="452"/>
      <c r="U890" s="453"/>
      <c r="V890" s="454"/>
      <c r="W890" s="455" t="s">
        <v>406</v>
      </c>
      <c r="X890" s="455">
        <v>45576</v>
      </c>
      <c r="Y890" s="456" t="s">
        <v>377</v>
      </c>
      <c r="Z890" s="457"/>
      <c r="AA890" s="494"/>
    </row>
    <row r="891" spans="1:27" s="128" customFormat="1" ht="36" customHeight="1">
      <c r="A891" s="443" t="s">
        <v>1949</v>
      </c>
      <c r="B891" s="444" t="s">
        <v>1729</v>
      </c>
      <c r="C891" s="445" t="s">
        <v>78</v>
      </c>
      <c r="D891" s="444" t="s">
        <v>1730</v>
      </c>
      <c r="E891" s="446">
        <v>2</v>
      </c>
      <c r="F891" s="447"/>
      <c r="G891" s="448">
        <f t="shared" si="35"/>
        <v>0</v>
      </c>
      <c r="H891" s="449"/>
      <c r="I891" s="444"/>
      <c r="J891" s="449"/>
      <c r="K891" s="444"/>
      <c r="L891" s="450"/>
      <c r="M891" s="444"/>
      <c r="N891" s="450"/>
      <c r="O891" s="450"/>
      <c r="P891" s="450"/>
      <c r="Q891" s="451" t="s">
        <v>374</v>
      </c>
      <c r="R891" s="451"/>
      <c r="S891" s="452"/>
      <c r="T891" s="452"/>
      <c r="U891" s="453"/>
      <c r="V891" s="454"/>
      <c r="W891" s="455" t="s">
        <v>406</v>
      </c>
      <c r="X891" s="455">
        <v>45566</v>
      </c>
      <c r="Y891" s="456" t="s">
        <v>377</v>
      </c>
      <c r="Z891" s="457"/>
      <c r="AA891" s="494"/>
    </row>
    <row r="892" spans="1:27" s="128" customFormat="1" ht="18" customHeight="1">
      <c r="A892" s="443" t="s">
        <v>1950</v>
      </c>
      <c r="B892" s="444" t="s">
        <v>1930</v>
      </c>
      <c r="C892" s="445" t="s">
        <v>78</v>
      </c>
      <c r="D892" s="444" t="s">
        <v>1931</v>
      </c>
      <c r="E892" s="446">
        <v>1</v>
      </c>
      <c r="F892" s="447"/>
      <c r="G892" s="448">
        <f t="shared" si="35"/>
        <v>0</v>
      </c>
      <c r="H892" s="449"/>
      <c r="I892" s="444"/>
      <c r="J892" s="449"/>
      <c r="K892" s="444" t="s">
        <v>1932</v>
      </c>
      <c r="L892" s="450" t="s">
        <v>1348</v>
      </c>
      <c r="M892" s="444" t="s">
        <v>1933</v>
      </c>
      <c r="N892" s="450"/>
      <c r="O892" s="450"/>
      <c r="P892" s="450" t="s">
        <v>1934</v>
      </c>
      <c r="Q892" s="451" t="s">
        <v>374</v>
      </c>
      <c r="R892" s="451" t="s">
        <v>273</v>
      </c>
      <c r="S892" s="452" t="s">
        <v>797</v>
      </c>
      <c r="T892" s="452"/>
      <c r="U892" s="453"/>
      <c r="V892" s="454"/>
      <c r="W892" s="455" t="s">
        <v>406</v>
      </c>
      <c r="X892" s="455">
        <v>45566</v>
      </c>
      <c r="Y892" s="456" t="s">
        <v>377</v>
      </c>
      <c r="Z892" s="457"/>
      <c r="AA892" s="494"/>
    </row>
    <row r="893" spans="1:27" s="128" customFormat="1" ht="18" customHeight="1">
      <c r="A893" s="443" t="s">
        <v>1951</v>
      </c>
      <c r="B893" s="444" t="s">
        <v>675</v>
      </c>
      <c r="C893" s="445" t="s">
        <v>78</v>
      </c>
      <c r="D893" s="444" t="s">
        <v>1936</v>
      </c>
      <c r="E893" s="446">
        <v>1</v>
      </c>
      <c r="F893" s="447"/>
      <c r="G893" s="448">
        <f t="shared" si="35"/>
        <v>0</v>
      </c>
      <c r="H893" s="449"/>
      <c r="I893" s="444"/>
      <c r="J893" s="449"/>
      <c r="K893" s="444" t="s">
        <v>1888</v>
      </c>
      <c r="L893" s="450" t="s">
        <v>806</v>
      </c>
      <c r="M893" s="444" t="s">
        <v>1937</v>
      </c>
      <c r="N893" s="450"/>
      <c r="O893" s="450"/>
      <c r="P893" s="450" t="s">
        <v>1890</v>
      </c>
      <c r="Q893" s="451" t="s">
        <v>374</v>
      </c>
      <c r="R893" s="451" t="s">
        <v>271</v>
      </c>
      <c r="S893" s="452" t="s">
        <v>425</v>
      </c>
      <c r="T893" s="452"/>
      <c r="U893" s="453"/>
      <c r="V893" s="454"/>
      <c r="W893" s="455" t="s">
        <v>406</v>
      </c>
      <c r="X893" s="455">
        <v>45576</v>
      </c>
      <c r="Y893" s="456" t="s">
        <v>377</v>
      </c>
      <c r="Z893" s="457"/>
      <c r="AA893" s="494"/>
    </row>
    <row r="894" spans="1:27" s="128" customFormat="1" ht="18" customHeight="1">
      <c r="A894" s="443" t="s">
        <v>1952</v>
      </c>
      <c r="B894" s="444" t="s">
        <v>1926</v>
      </c>
      <c r="C894" s="445" t="s">
        <v>78</v>
      </c>
      <c r="D894" s="444" t="s">
        <v>1927</v>
      </c>
      <c r="E894" s="446">
        <v>1</v>
      </c>
      <c r="F894" s="447"/>
      <c r="G894" s="448">
        <f t="shared" si="35"/>
        <v>0</v>
      </c>
      <c r="H894" s="449"/>
      <c r="I894" s="444"/>
      <c r="J894" s="449"/>
      <c r="K894" s="444" t="s">
        <v>1888</v>
      </c>
      <c r="L894" s="450" t="s">
        <v>806</v>
      </c>
      <c r="M894" s="444" t="s">
        <v>1928</v>
      </c>
      <c r="N894" s="450"/>
      <c r="O894" s="450"/>
      <c r="P894" s="450" t="s">
        <v>1890</v>
      </c>
      <c r="Q894" s="451" t="s">
        <v>374</v>
      </c>
      <c r="R894" s="451" t="s">
        <v>995</v>
      </c>
      <c r="S894" s="452" t="s">
        <v>405</v>
      </c>
      <c r="T894" s="452"/>
      <c r="U894" s="453"/>
      <c r="V894" s="454"/>
      <c r="W894" s="455" t="s">
        <v>406</v>
      </c>
      <c r="X894" s="455">
        <v>45576</v>
      </c>
      <c r="Y894" s="456" t="s">
        <v>377</v>
      </c>
      <c r="Z894" s="457"/>
      <c r="AA894" s="494"/>
    </row>
    <row r="895" spans="1:27" s="128" customFormat="1" ht="18" customHeight="1">
      <c r="A895" s="443" t="s">
        <v>1953</v>
      </c>
      <c r="B895" s="444" t="s">
        <v>1947</v>
      </c>
      <c r="C895" s="445" t="s">
        <v>78</v>
      </c>
      <c r="D895" s="444" t="s">
        <v>1948</v>
      </c>
      <c r="E895" s="446">
        <v>2</v>
      </c>
      <c r="F895" s="447"/>
      <c r="G895" s="448">
        <f t="shared" si="35"/>
        <v>0</v>
      </c>
      <c r="H895" s="449"/>
      <c r="I895" s="444"/>
      <c r="J895" s="449"/>
      <c r="K895" s="444" t="s">
        <v>1888</v>
      </c>
      <c r="L895" s="450" t="s">
        <v>806</v>
      </c>
      <c r="M895" s="444" t="s">
        <v>1937</v>
      </c>
      <c r="N895" s="450"/>
      <c r="O895" s="450"/>
      <c r="P895" s="450" t="s">
        <v>1890</v>
      </c>
      <c r="Q895" s="451" t="s">
        <v>374</v>
      </c>
      <c r="R895" s="451" t="s">
        <v>271</v>
      </c>
      <c r="S895" s="452" t="s">
        <v>425</v>
      </c>
      <c r="T895" s="452"/>
      <c r="U895" s="453"/>
      <c r="V895" s="454"/>
      <c r="W895" s="455" t="s">
        <v>406</v>
      </c>
      <c r="X895" s="455">
        <v>45576</v>
      </c>
      <c r="Y895" s="456" t="s">
        <v>377</v>
      </c>
      <c r="Z895" s="457"/>
      <c r="AA895" s="494"/>
    </row>
    <row r="896" spans="1:27" s="128" customFormat="1" ht="18" customHeight="1">
      <c r="A896" s="443">
        <v>30</v>
      </c>
      <c r="B896" s="444" t="s">
        <v>1954</v>
      </c>
      <c r="C896" s="445" t="s">
        <v>78</v>
      </c>
      <c r="D896" s="444" t="s">
        <v>1955</v>
      </c>
      <c r="E896" s="446">
        <v>4</v>
      </c>
      <c r="F896" s="447"/>
      <c r="G896" s="448">
        <f t="shared" ref="G896:G913" si="36">E896*F896</f>
        <v>0</v>
      </c>
      <c r="H896" s="449"/>
      <c r="I896" s="444"/>
      <c r="J896" s="449"/>
      <c r="K896" s="444"/>
      <c r="L896" s="450"/>
      <c r="M896" s="444"/>
      <c r="N896" s="450"/>
      <c r="O896" s="450"/>
      <c r="P896" s="450"/>
      <c r="Q896" s="451" t="s">
        <v>374</v>
      </c>
      <c r="R896" s="451"/>
      <c r="S896" s="452"/>
      <c r="T896" s="452" t="s">
        <v>1358</v>
      </c>
      <c r="U896" s="453"/>
      <c r="V896" s="454"/>
      <c r="W896" s="455" t="s">
        <v>406</v>
      </c>
      <c r="X896" s="455">
        <v>45600</v>
      </c>
      <c r="Y896" s="456" t="s">
        <v>377</v>
      </c>
      <c r="Z896" s="457"/>
      <c r="AA896" s="494"/>
    </row>
    <row r="897" spans="1:27" s="128" customFormat="1" ht="18" customHeight="1">
      <c r="A897" s="405">
        <v>31</v>
      </c>
      <c r="B897" s="407" t="s">
        <v>1956</v>
      </c>
      <c r="C897" s="406" t="s">
        <v>78</v>
      </c>
      <c r="D897" s="407" t="s">
        <v>1957</v>
      </c>
      <c r="E897" s="408">
        <v>1</v>
      </c>
      <c r="F897" s="409"/>
      <c r="G897" s="410">
        <f t="shared" si="36"/>
        <v>0</v>
      </c>
      <c r="H897" s="411"/>
      <c r="I897" s="407"/>
      <c r="J897" s="411"/>
      <c r="K897" s="407" t="s">
        <v>1932</v>
      </c>
      <c r="L897" s="412" t="s">
        <v>1348</v>
      </c>
      <c r="M897" s="407" t="s">
        <v>1958</v>
      </c>
      <c r="N897" s="412"/>
      <c r="O897" s="412"/>
      <c r="P897" s="412" t="s">
        <v>1934</v>
      </c>
      <c r="Q897" s="413" t="s">
        <v>726</v>
      </c>
      <c r="R897" s="413" t="s">
        <v>249</v>
      </c>
      <c r="S897" s="414" t="s">
        <v>800</v>
      </c>
      <c r="T897" s="414"/>
      <c r="U897" s="415"/>
      <c r="V897" s="416"/>
      <c r="W897" s="417"/>
      <c r="X897" s="417"/>
      <c r="Y897" s="418" t="s">
        <v>377</v>
      </c>
      <c r="Z897" s="419"/>
      <c r="AA897" s="492"/>
    </row>
    <row r="898" spans="1:27" s="128" customFormat="1" ht="18" customHeight="1">
      <c r="A898" s="405">
        <v>32</v>
      </c>
      <c r="B898" s="407" t="s">
        <v>1959</v>
      </c>
      <c r="C898" s="406" t="s">
        <v>78</v>
      </c>
      <c r="D898" s="407" t="s">
        <v>1960</v>
      </c>
      <c r="E898" s="408">
        <v>4</v>
      </c>
      <c r="F898" s="409"/>
      <c r="G898" s="410">
        <f t="shared" si="36"/>
        <v>0</v>
      </c>
      <c r="H898" s="411"/>
      <c r="I898" s="407"/>
      <c r="J898" s="411"/>
      <c r="K898" s="407" t="s">
        <v>1932</v>
      </c>
      <c r="L898" s="412" t="s">
        <v>1348</v>
      </c>
      <c r="M898" s="407" t="s">
        <v>1958</v>
      </c>
      <c r="N898" s="412"/>
      <c r="O898" s="412"/>
      <c r="P898" s="412" t="s">
        <v>1934</v>
      </c>
      <c r="Q898" s="413" t="s">
        <v>726</v>
      </c>
      <c r="R898" s="413" t="s">
        <v>249</v>
      </c>
      <c r="S898" s="414" t="s">
        <v>800</v>
      </c>
      <c r="T898" s="414"/>
      <c r="U898" s="415"/>
      <c r="V898" s="416"/>
      <c r="W898" s="417"/>
      <c r="X898" s="417"/>
      <c r="Y898" s="418" t="s">
        <v>377</v>
      </c>
      <c r="Z898" s="419"/>
      <c r="AA898" s="492"/>
    </row>
    <row r="899" spans="1:27" s="128" customFormat="1" ht="18" customHeight="1">
      <c r="A899" s="405">
        <v>33</v>
      </c>
      <c r="B899" s="407" t="s">
        <v>1961</v>
      </c>
      <c r="C899" s="406" t="s">
        <v>78</v>
      </c>
      <c r="D899" s="407" t="s">
        <v>1962</v>
      </c>
      <c r="E899" s="408">
        <v>4</v>
      </c>
      <c r="F899" s="409"/>
      <c r="G899" s="410">
        <f t="shared" si="36"/>
        <v>0</v>
      </c>
      <c r="H899" s="411"/>
      <c r="I899" s="407"/>
      <c r="J899" s="411"/>
      <c r="K899" s="407" t="s">
        <v>1932</v>
      </c>
      <c r="L899" s="412" t="s">
        <v>1348</v>
      </c>
      <c r="M899" s="407" t="s">
        <v>1958</v>
      </c>
      <c r="N899" s="412"/>
      <c r="O899" s="412"/>
      <c r="P899" s="412" t="s">
        <v>1934</v>
      </c>
      <c r="Q899" s="413" t="s">
        <v>726</v>
      </c>
      <c r="R899" s="413" t="s">
        <v>249</v>
      </c>
      <c r="S899" s="414" t="s">
        <v>800</v>
      </c>
      <c r="T899" s="414"/>
      <c r="U899" s="415"/>
      <c r="V899" s="416"/>
      <c r="W899" s="417"/>
      <c r="X899" s="417"/>
      <c r="Y899" s="418" t="s">
        <v>377</v>
      </c>
      <c r="Z899" s="419"/>
      <c r="AA899" s="492"/>
    </row>
    <row r="900" spans="1:27" s="441" customFormat="1" ht="18" customHeight="1">
      <c r="A900" s="427">
        <v>34</v>
      </c>
      <c r="B900" s="428" t="s">
        <v>1963</v>
      </c>
      <c r="C900" s="429" t="s">
        <v>78</v>
      </c>
      <c r="D900" s="428" t="s">
        <v>1964</v>
      </c>
      <c r="E900" s="430">
        <v>2</v>
      </c>
      <c r="F900" s="431"/>
      <c r="G900" s="432">
        <f t="shared" si="36"/>
        <v>0</v>
      </c>
      <c r="H900" s="442"/>
      <c r="I900" s="428"/>
      <c r="J900" s="442"/>
      <c r="K900" s="428"/>
      <c r="L900" s="433"/>
      <c r="M900" s="428"/>
      <c r="N900" s="433"/>
      <c r="O900" s="433"/>
      <c r="P900" s="433"/>
      <c r="Q900" s="434"/>
      <c r="R900" s="434"/>
      <c r="S900" s="435"/>
      <c r="T900" s="435" t="s">
        <v>1358</v>
      </c>
      <c r="U900" s="436"/>
      <c r="V900" s="437"/>
      <c r="W900" s="438"/>
      <c r="X900" s="438"/>
      <c r="Y900" s="439" t="s">
        <v>592</v>
      </c>
      <c r="Z900" s="440"/>
      <c r="AA900" s="495"/>
    </row>
    <row r="901" spans="1:27" s="128" customFormat="1" ht="18" customHeight="1">
      <c r="A901" s="405">
        <v>35</v>
      </c>
      <c r="B901" s="407" t="s">
        <v>1965</v>
      </c>
      <c r="C901" s="406" t="s">
        <v>78</v>
      </c>
      <c r="D901" s="407" t="s">
        <v>1966</v>
      </c>
      <c r="E901" s="408">
        <v>2</v>
      </c>
      <c r="F901" s="409"/>
      <c r="G901" s="410">
        <f t="shared" si="36"/>
        <v>0</v>
      </c>
      <c r="H901" s="411"/>
      <c r="I901" s="407"/>
      <c r="J901" s="411"/>
      <c r="K901" s="407" t="s">
        <v>1932</v>
      </c>
      <c r="L901" s="412" t="s">
        <v>1348</v>
      </c>
      <c r="M901" s="407" t="s">
        <v>1958</v>
      </c>
      <c r="N901" s="412"/>
      <c r="O901" s="412"/>
      <c r="P901" s="412" t="s">
        <v>1934</v>
      </c>
      <c r="Q901" s="413" t="s">
        <v>726</v>
      </c>
      <c r="R901" s="413" t="s">
        <v>249</v>
      </c>
      <c r="S901" s="414" t="s">
        <v>800</v>
      </c>
      <c r="T901" s="414"/>
      <c r="U901" s="415"/>
      <c r="V901" s="416"/>
      <c r="W901" s="417"/>
      <c r="X901" s="417"/>
      <c r="Y901" s="418" t="s">
        <v>377</v>
      </c>
      <c r="Z901" s="419"/>
      <c r="AA901" s="492"/>
    </row>
    <row r="902" spans="1:27" s="128" customFormat="1" ht="18" customHeight="1">
      <c r="A902" s="405">
        <v>36</v>
      </c>
      <c r="B902" s="407" t="s">
        <v>1967</v>
      </c>
      <c r="C902" s="406" t="s">
        <v>78</v>
      </c>
      <c r="D902" s="407" t="s">
        <v>1968</v>
      </c>
      <c r="E902" s="408">
        <v>3</v>
      </c>
      <c r="F902" s="409"/>
      <c r="G902" s="410">
        <f t="shared" si="36"/>
        <v>0</v>
      </c>
      <c r="H902" s="411"/>
      <c r="I902" s="407"/>
      <c r="J902" s="411"/>
      <c r="K902" s="407" t="s">
        <v>1932</v>
      </c>
      <c r="L902" s="412" t="s">
        <v>1348</v>
      </c>
      <c r="M902" s="407" t="s">
        <v>1958</v>
      </c>
      <c r="N902" s="412"/>
      <c r="O902" s="412"/>
      <c r="P902" s="412" t="s">
        <v>1934</v>
      </c>
      <c r="Q902" s="413" t="s">
        <v>726</v>
      </c>
      <c r="R902" s="413" t="s">
        <v>249</v>
      </c>
      <c r="S902" s="414" t="s">
        <v>800</v>
      </c>
      <c r="T902" s="414"/>
      <c r="U902" s="415"/>
      <c r="V902" s="416"/>
      <c r="W902" s="417"/>
      <c r="X902" s="417"/>
      <c r="Y902" s="418" t="s">
        <v>377</v>
      </c>
      <c r="Z902" s="419"/>
      <c r="AA902" s="492"/>
    </row>
    <row r="903" spans="1:27" s="128" customFormat="1" ht="18" customHeight="1">
      <c r="A903" s="405">
        <v>37</v>
      </c>
      <c r="B903" s="407" t="s">
        <v>1969</v>
      </c>
      <c r="C903" s="406" t="s">
        <v>78</v>
      </c>
      <c r="D903" s="407" t="s">
        <v>1970</v>
      </c>
      <c r="E903" s="408">
        <v>1</v>
      </c>
      <c r="F903" s="409"/>
      <c r="G903" s="410">
        <f t="shared" si="36"/>
        <v>0</v>
      </c>
      <c r="H903" s="411"/>
      <c r="I903" s="407"/>
      <c r="J903" s="411"/>
      <c r="K903" s="407" t="s">
        <v>1932</v>
      </c>
      <c r="L903" s="412" t="s">
        <v>1348</v>
      </c>
      <c r="M903" s="407" t="s">
        <v>1958</v>
      </c>
      <c r="N903" s="412"/>
      <c r="O903" s="412"/>
      <c r="P903" s="412" t="s">
        <v>1934</v>
      </c>
      <c r="Q903" s="413" t="s">
        <v>726</v>
      </c>
      <c r="R903" s="413" t="s">
        <v>249</v>
      </c>
      <c r="S903" s="414" t="s">
        <v>800</v>
      </c>
      <c r="T903" s="414"/>
      <c r="U903" s="415"/>
      <c r="V903" s="416"/>
      <c r="W903" s="417"/>
      <c r="X903" s="417"/>
      <c r="Y903" s="418" t="s">
        <v>377</v>
      </c>
      <c r="Z903" s="419"/>
      <c r="AA903" s="492"/>
    </row>
    <row r="904" spans="1:27" s="128" customFormat="1" ht="18" customHeight="1">
      <c r="A904" s="405">
        <v>38</v>
      </c>
      <c r="B904" s="407" t="s">
        <v>1971</v>
      </c>
      <c r="C904" s="406" t="s">
        <v>78</v>
      </c>
      <c r="D904" s="407" t="s">
        <v>1972</v>
      </c>
      <c r="E904" s="408">
        <v>1</v>
      </c>
      <c r="F904" s="409"/>
      <c r="G904" s="410">
        <f t="shared" si="36"/>
        <v>0</v>
      </c>
      <c r="H904" s="411"/>
      <c r="I904" s="407"/>
      <c r="J904" s="411"/>
      <c r="K904" s="407" t="s">
        <v>1932</v>
      </c>
      <c r="L904" s="412" t="s">
        <v>1348</v>
      </c>
      <c r="M904" s="407" t="s">
        <v>1958</v>
      </c>
      <c r="N904" s="412"/>
      <c r="O904" s="412"/>
      <c r="P904" s="412" t="s">
        <v>1934</v>
      </c>
      <c r="Q904" s="413" t="s">
        <v>726</v>
      </c>
      <c r="R904" s="413" t="s">
        <v>249</v>
      </c>
      <c r="S904" s="414" t="s">
        <v>800</v>
      </c>
      <c r="T904" s="414"/>
      <c r="U904" s="415"/>
      <c r="V904" s="416"/>
      <c r="W904" s="417"/>
      <c r="X904" s="417"/>
      <c r="Y904" s="418" t="s">
        <v>377</v>
      </c>
      <c r="Z904" s="419"/>
      <c r="AA904" s="492"/>
    </row>
    <row r="905" spans="1:27" s="128" customFormat="1" ht="18" customHeight="1">
      <c r="A905" s="443">
        <v>39</v>
      </c>
      <c r="B905" s="444" t="s">
        <v>1930</v>
      </c>
      <c r="C905" s="445" t="s">
        <v>78</v>
      </c>
      <c r="D905" s="444" t="s">
        <v>1973</v>
      </c>
      <c r="E905" s="446">
        <v>1</v>
      </c>
      <c r="F905" s="447"/>
      <c r="G905" s="448">
        <f t="shared" si="36"/>
        <v>0</v>
      </c>
      <c r="H905" s="449"/>
      <c r="I905" s="444"/>
      <c r="J905" s="449"/>
      <c r="K905" s="444" t="s">
        <v>1932</v>
      </c>
      <c r="L905" s="450" t="s">
        <v>1348</v>
      </c>
      <c r="M905" s="444" t="s">
        <v>1933</v>
      </c>
      <c r="N905" s="450"/>
      <c r="O905" s="450"/>
      <c r="P905" s="450" t="s">
        <v>1934</v>
      </c>
      <c r="Q905" s="451" t="s">
        <v>374</v>
      </c>
      <c r="R905" s="451" t="s">
        <v>273</v>
      </c>
      <c r="S905" s="452" t="s">
        <v>797</v>
      </c>
      <c r="T905" s="452"/>
      <c r="U905" s="453"/>
      <c r="V905" s="454"/>
      <c r="W905" s="455" t="s">
        <v>4771</v>
      </c>
      <c r="X905" s="455">
        <v>45614</v>
      </c>
      <c r="Y905" s="456" t="s">
        <v>377</v>
      </c>
      <c r="Z905" s="498"/>
      <c r="AA905" s="494"/>
    </row>
    <row r="906" spans="1:27" s="128" customFormat="1" ht="18" customHeight="1">
      <c r="A906" s="405">
        <v>40</v>
      </c>
      <c r="B906" s="407" t="s">
        <v>1974</v>
      </c>
      <c r="C906" s="406" t="s">
        <v>78</v>
      </c>
      <c r="D906" s="407" t="s">
        <v>1975</v>
      </c>
      <c r="E906" s="408">
        <v>2</v>
      </c>
      <c r="F906" s="409"/>
      <c r="G906" s="410">
        <f t="shared" si="36"/>
        <v>0</v>
      </c>
      <c r="H906" s="411"/>
      <c r="I906" s="407"/>
      <c r="J906" s="411"/>
      <c r="K906" s="407" t="s">
        <v>1932</v>
      </c>
      <c r="L906" s="412" t="s">
        <v>1348</v>
      </c>
      <c r="M906" s="407" t="s">
        <v>1958</v>
      </c>
      <c r="N906" s="412"/>
      <c r="O906" s="412"/>
      <c r="P906" s="412" t="s">
        <v>1934</v>
      </c>
      <c r="Q906" s="413" t="s">
        <v>726</v>
      </c>
      <c r="R906" s="413" t="s">
        <v>249</v>
      </c>
      <c r="S906" s="414" t="s">
        <v>800</v>
      </c>
      <c r="T906" s="414"/>
      <c r="U906" s="415"/>
      <c r="V906" s="416"/>
      <c r="W906" s="417"/>
      <c r="X906" s="417"/>
      <c r="Y906" s="418" t="s">
        <v>377</v>
      </c>
      <c r="Z906" s="419"/>
      <c r="AA906" s="492"/>
    </row>
    <row r="907" spans="1:27" s="128" customFormat="1" ht="18" customHeight="1">
      <c r="A907" s="405">
        <v>41</v>
      </c>
      <c r="B907" s="407" t="s">
        <v>1976</v>
      </c>
      <c r="C907" s="406" t="s">
        <v>78</v>
      </c>
      <c r="D907" s="407" t="s">
        <v>1977</v>
      </c>
      <c r="E907" s="408">
        <v>4</v>
      </c>
      <c r="F907" s="409"/>
      <c r="G907" s="410">
        <f t="shared" si="36"/>
        <v>0</v>
      </c>
      <c r="H907" s="411"/>
      <c r="I907" s="407"/>
      <c r="J907" s="411"/>
      <c r="K907" s="407" t="s">
        <v>1932</v>
      </c>
      <c r="L907" s="412" t="s">
        <v>1348</v>
      </c>
      <c r="M907" s="407" t="s">
        <v>1958</v>
      </c>
      <c r="N907" s="412"/>
      <c r="O907" s="412"/>
      <c r="P907" s="412" t="s">
        <v>1934</v>
      </c>
      <c r="Q907" s="413" t="s">
        <v>726</v>
      </c>
      <c r="R907" s="413" t="s">
        <v>249</v>
      </c>
      <c r="S907" s="414" t="s">
        <v>800</v>
      </c>
      <c r="T907" s="414"/>
      <c r="U907" s="415"/>
      <c r="V907" s="416"/>
      <c r="W907" s="417"/>
      <c r="X907" s="417"/>
      <c r="Y907" s="418" t="s">
        <v>377</v>
      </c>
      <c r="Z907" s="419"/>
      <c r="AA907" s="492"/>
    </row>
    <row r="908" spans="1:27" s="128" customFormat="1" ht="18" customHeight="1">
      <c r="A908" s="405">
        <v>42</v>
      </c>
      <c r="B908" s="407" t="s">
        <v>1978</v>
      </c>
      <c r="C908" s="406" t="s">
        <v>78</v>
      </c>
      <c r="D908" s="407" t="s">
        <v>1979</v>
      </c>
      <c r="E908" s="408">
        <v>2</v>
      </c>
      <c r="F908" s="409"/>
      <c r="G908" s="410">
        <f t="shared" si="36"/>
        <v>0</v>
      </c>
      <c r="H908" s="411"/>
      <c r="I908" s="407"/>
      <c r="J908" s="411"/>
      <c r="K908" s="407" t="s">
        <v>1932</v>
      </c>
      <c r="L908" s="412" t="s">
        <v>1348</v>
      </c>
      <c r="M908" s="407" t="s">
        <v>1958</v>
      </c>
      <c r="N908" s="412"/>
      <c r="O908" s="412"/>
      <c r="P908" s="412" t="s">
        <v>1934</v>
      </c>
      <c r="Q908" s="413" t="s">
        <v>726</v>
      </c>
      <c r="R908" s="413" t="s">
        <v>249</v>
      </c>
      <c r="S908" s="414" t="s">
        <v>800</v>
      </c>
      <c r="T908" s="414"/>
      <c r="U908" s="415"/>
      <c r="V908" s="416"/>
      <c r="W908" s="417"/>
      <c r="X908" s="417"/>
      <c r="Y908" s="418" t="s">
        <v>377</v>
      </c>
      <c r="Z908" s="419"/>
      <c r="AA908" s="492"/>
    </row>
    <row r="909" spans="1:27" s="441" customFormat="1" ht="18" customHeight="1">
      <c r="A909" s="427">
        <v>43</v>
      </c>
      <c r="B909" s="428" t="s">
        <v>1980</v>
      </c>
      <c r="C909" s="429" t="s">
        <v>78</v>
      </c>
      <c r="D909" s="428" t="s">
        <v>1981</v>
      </c>
      <c r="E909" s="430">
        <v>1</v>
      </c>
      <c r="F909" s="431"/>
      <c r="G909" s="432">
        <f t="shared" si="36"/>
        <v>0</v>
      </c>
      <c r="H909" s="442"/>
      <c r="I909" s="428"/>
      <c r="J909" s="442"/>
      <c r="K909" s="428" t="s">
        <v>1932</v>
      </c>
      <c r="L909" s="433" t="s">
        <v>444</v>
      </c>
      <c r="M909" s="428" t="s">
        <v>444</v>
      </c>
      <c r="N909" s="433"/>
      <c r="O909" s="433"/>
      <c r="P909" s="433" t="s">
        <v>444</v>
      </c>
      <c r="Q909" s="434" t="s">
        <v>1514</v>
      </c>
      <c r="R909" s="434"/>
      <c r="S909" s="435" t="s">
        <v>444</v>
      </c>
      <c r="T909" s="435"/>
      <c r="U909" s="436"/>
      <c r="V909" s="437"/>
      <c r="W909" s="438"/>
      <c r="X909" s="438"/>
      <c r="Y909" s="439" t="s">
        <v>592</v>
      </c>
      <c r="Z909" s="440"/>
      <c r="AA909" s="495"/>
    </row>
    <row r="910" spans="1:27" s="441" customFormat="1" ht="18" customHeight="1">
      <c r="A910" s="427">
        <v>44</v>
      </c>
      <c r="B910" s="428" t="s">
        <v>1982</v>
      </c>
      <c r="C910" s="429" t="s">
        <v>78</v>
      </c>
      <c r="D910" s="428" t="s">
        <v>1983</v>
      </c>
      <c r="E910" s="430">
        <v>2</v>
      </c>
      <c r="F910" s="431"/>
      <c r="G910" s="432">
        <f t="shared" si="36"/>
        <v>0</v>
      </c>
      <c r="H910" s="442"/>
      <c r="I910" s="428"/>
      <c r="J910" s="442"/>
      <c r="K910" s="428" t="s">
        <v>1932</v>
      </c>
      <c r="L910" s="433" t="s">
        <v>1348</v>
      </c>
      <c r="M910" s="428" t="s">
        <v>1958</v>
      </c>
      <c r="N910" s="433"/>
      <c r="O910" s="433"/>
      <c r="P910" s="433" t="s">
        <v>1934</v>
      </c>
      <c r="Q910" s="434" t="s">
        <v>726</v>
      </c>
      <c r="R910" s="434" t="s">
        <v>249</v>
      </c>
      <c r="S910" s="435" t="s">
        <v>800</v>
      </c>
      <c r="T910" s="435"/>
      <c r="U910" s="436"/>
      <c r="V910" s="437"/>
      <c r="W910" s="438"/>
      <c r="X910" s="438"/>
      <c r="Y910" s="439" t="s">
        <v>592</v>
      </c>
      <c r="Z910" s="440"/>
      <c r="AA910" s="495"/>
    </row>
    <row r="911" spans="1:27" s="128" customFormat="1" ht="18" customHeight="1">
      <c r="A911" s="405">
        <v>45</v>
      </c>
      <c r="B911" s="407" t="s">
        <v>1984</v>
      </c>
      <c r="C911" s="406" t="s">
        <v>78</v>
      </c>
      <c r="D911" s="407" t="s">
        <v>1985</v>
      </c>
      <c r="E911" s="408">
        <v>4</v>
      </c>
      <c r="F911" s="409"/>
      <c r="G911" s="410">
        <f t="shared" si="36"/>
        <v>0</v>
      </c>
      <c r="H911" s="411"/>
      <c r="I911" s="407"/>
      <c r="J911" s="411"/>
      <c r="K911" s="407" t="s">
        <v>1932</v>
      </c>
      <c r="L911" s="412" t="s">
        <v>1348</v>
      </c>
      <c r="M911" s="407" t="s">
        <v>1958</v>
      </c>
      <c r="N911" s="412"/>
      <c r="O911" s="412"/>
      <c r="P911" s="412" t="s">
        <v>1934</v>
      </c>
      <c r="Q911" s="413" t="s">
        <v>726</v>
      </c>
      <c r="R911" s="413" t="s">
        <v>249</v>
      </c>
      <c r="S911" s="414" t="s">
        <v>800</v>
      </c>
      <c r="T911" s="414"/>
      <c r="U911" s="415"/>
      <c r="V911" s="416"/>
      <c r="W911" s="417"/>
      <c r="X911" s="417"/>
      <c r="Y911" s="418" t="s">
        <v>377</v>
      </c>
      <c r="Z911" s="419"/>
      <c r="AA911" s="492"/>
    </row>
    <row r="912" spans="1:27" s="128" customFormat="1" ht="18" customHeight="1">
      <c r="A912" s="405">
        <v>46</v>
      </c>
      <c r="B912" s="407" t="s">
        <v>1986</v>
      </c>
      <c r="C912" s="406" t="s">
        <v>78</v>
      </c>
      <c r="D912" s="407" t="s">
        <v>1987</v>
      </c>
      <c r="E912" s="408">
        <v>2</v>
      </c>
      <c r="F912" s="409"/>
      <c r="G912" s="410">
        <f t="shared" si="36"/>
        <v>0</v>
      </c>
      <c r="H912" s="411"/>
      <c r="I912" s="407"/>
      <c r="J912" s="411"/>
      <c r="K912" s="407" t="s">
        <v>1932</v>
      </c>
      <c r="L912" s="412" t="s">
        <v>1348</v>
      </c>
      <c r="M912" s="407" t="s">
        <v>1958</v>
      </c>
      <c r="N912" s="412"/>
      <c r="O912" s="412"/>
      <c r="P912" s="412" t="s">
        <v>1934</v>
      </c>
      <c r="Q912" s="413" t="s">
        <v>726</v>
      </c>
      <c r="R912" s="413" t="s">
        <v>249</v>
      </c>
      <c r="S912" s="414" t="s">
        <v>800</v>
      </c>
      <c r="T912" s="414"/>
      <c r="U912" s="415"/>
      <c r="V912" s="416"/>
      <c r="W912" s="417"/>
      <c r="X912" s="417"/>
      <c r="Y912" s="418" t="s">
        <v>377</v>
      </c>
      <c r="Z912" s="419"/>
      <c r="AA912" s="492"/>
    </row>
    <row r="913" spans="1:27" s="128" customFormat="1" ht="18" customHeight="1">
      <c r="A913" s="405">
        <v>47</v>
      </c>
      <c r="B913" s="407" t="s">
        <v>1988</v>
      </c>
      <c r="C913" s="406" t="s">
        <v>78</v>
      </c>
      <c r="D913" s="407" t="s">
        <v>1989</v>
      </c>
      <c r="E913" s="408">
        <v>2</v>
      </c>
      <c r="F913" s="409"/>
      <c r="G913" s="410">
        <f t="shared" si="36"/>
        <v>0</v>
      </c>
      <c r="H913" s="411"/>
      <c r="I913" s="407"/>
      <c r="J913" s="411"/>
      <c r="K913" s="407" t="s">
        <v>1932</v>
      </c>
      <c r="L913" s="412" t="s">
        <v>1348</v>
      </c>
      <c r="M913" s="407" t="s">
        <v>1933</v>
      </c>
      <c r="N913" s="412"/>
      <c r="O913" s="412"/>
      <c r="P913" s="412" t="s">
        <v>1934</v>
      </c>
      <c r="Q913" s="413" t="s">
        <v>726</v>
      </c>
      <c r="R913" s="413" t="s">
        <v>273</v>
      </c>
      <c r="S913" s="414" t="s">
        <v>1990</v>
      </c>
      <c r="T913" s="414"/>
      <c r="U913" s="415"/>
      <c r="V913" s="416"/>
      <c r="W913" s="417"/>
      <c r="X913" s="417"/>
      <c r="Y913" s="418" t="s">
        <v>377</v>
      </c>
      <c r="Z913" s="419"/>
      <c r="AA913" s="492"/>
    </row>
    <row r="914" spans="1:27" s="128" customFormat="1" ht="18" customHeight="1">
      <c r="A914" s="405">
        <v>48</v>
      </c>
      <c r="B914" s="407" t="s">
        <v>1991</v>
      </c>
      <c r="C914" s="406" t="s">
        <v>78</v>
      </c>
      <c r="D914" s="407" t="s">
        <v>1992</v>
      </c>
      <c r="E914" s="408">
        <v>1</v>
      </c>
      <c r="F914" s="409"/>
      <c r="G914" s="410">
        <f t="shared" ref="G914:G921" si="37">E914*F914</f>
        <v>0</v>
      </c>
      <c r="H914" s="411"/>
      <c r="I914" s="407"/>
      <c r="J914" s="411"/>
      <c r="K914" s="407" t="s">
        <v>1932</v>
      </c>
      <c r="L914" s="412" t="s">
        <v>1348</v>
      </c>
      <c r="M914" s="407" t="s">
        <v>1958</v>
      </c>
      <c r="N914" s="412"/>
      <c r="O914" s="412"/>
      <c r="P914" s="412" t="s">
        <v>1934</v>
      </c>
      <c r="Q914" s="413" t="s">
        <v>726</v>
      </c>
      <c r="R914" s="413" t="s">
        <v>249</v>
      </c>
      <c r="S914" s="414" t="s">
        <v>800</v>
      </c>
      <c r="T914" s="414"/>
      <c r="U914" s="415"/>
      <c r="V914" s="416"/>
      <c r="W914" s="417"/>
      <c r="X914" s="417"/>
      <c r="Y914" s="418" t="s">
        <v>377</v>
      </c>
      <c r="Z914" s="419"/>
      <c r="AA914" s="492"/>
    </row>
    <row r="915" spans="1:27" s="128" customFormat="1" ht="18" customHeight="1">
      <c r="A915" s="443">
        <v>49</v>
      </c>
      <c r="B915" s="444" t="s">
        <v>1993</v>
      </c>
      <c r="C915" s="445" t="s">
        <v>78</v>
      </c>
      <c r="D915" s="444" t="s">
        <v>1994</v>
      </c>
      <c r="E915" s="446">
        <v>1</v>
      </c>
      <c r="F915" s="447"/>
      <c r="G915" s="448">
        <f t="shared" si="37"/>
        <v>0</v>
      </c>
      <c r="H915" s="449"/>
      <c r="I915" s="444"/>
      <c r="J915" s="449"/>
      <c r="K915" s="444"/>
      <c r="L915" s="450"/>
      <c r="M915" s="444"/>
      <c r="N915" s="450"/>
      <c r="O915" s="450"/>
      <c r="P915" s="450"/>
      <c r="Q915" s="451" t="s">
        <v>374</v>
      </c>
      <c r="R915" s="451"/>
      <c r="S915" s="452"/>
      <c r="T915" s="452" t="s">
        <v>481</v>
      </c>
      <c r="U915" s="453"/>
      <c r="V915" s="454"/>
      <c r="W915" s="455" t="s">
        <v>406</v>
      </c>
      <c r="X915" s="455">
        <v>45601</v>
      </c>
      <c r="Y915" s="456" t="s">
        <v>377</v>
      </c>
      <c r="Z915" s="457"/>
      <c r="AA915" s="494"/>
    </row>
    <row r="916" spans="1:27" s="128" customFormat="1" ht="18" customHeight="1">
      <c r="A916" s="405">
        <v>50</v>
      </c>
      <c r="B916" s="407" t="s">
        <v>1995</v>
      </c>
      <c r="C916" s="406" t="s">
        <v>78</v>
      </c>
      <c r="D916" s="407" t="s">
        <v>1996</v>
      </c>
      <c r="E916" s="408">
        <v>2</v>
      </c>
      <c r="F916" s="409"/>
      <c r="G916" s="410">
        <f t="shared" si="37"/>
        <v>0</v>
      </c>
      <c r="H916" s="411"/>
      <c r="I916" s="407"/>
      <c r="J916" s="411"/>
      <c r="K916" s="407" t="s">
        <v>1932</v>
      </c>
      <c r="L916" s="412" t="s">
        <v>1348</v>
      </c>
      <c r="M916" s="407" t="s">
        <v>1997</v>
      </c>
      <c r="N916" s="412"/>
      <c r="O916" s="412"/>
      <c r="P916" s="412" t="s">
        <v>1934</v>
      </c>
      <c r="Q916" s="413" t="s">
        <v>726</v>
      </c>
      <c r="R916" s="413" t="s">
        <v>237</v>
      </c>
      <c r="S916" s="414" t="s">
        <v>1455</v>
      </c>
      <c r="T916" s="414"/>
      <c r="U916" s="415"/>
      <c r="V916" s="416"/>
      <c r="W916" s="417"/>
      <c r="X916" s="417"/>
      <c r="Y916" s="418" t="s">
        <v>377</v>
      </c>
      <c r="Z916" s="419"/>
      <c r="AA916" s="492"/>
    </row>
    <row r="917" spans="1:27" s="128" customFormat="1" ht="18" customHeight="1">
      <c r="A917" s="405">
        <v>51</v>
      </c>
      <c r="B917" s="407" t="s">
        <v>1998</v>
      </c>
      <c r="C917" s="406" t="s">
        <v>78</v>
      </c>
      <c r="D917" s="407" t="s">
        <v>1999</v>
      </c>
      <c r="E917" s="408">
        <v>2</v>
      </c>
      <c r="F917" s="409"/>
      <c r="G917" s="410">
        <f t="shared" si="37"/>
        <v>0</v>
      </c>
      <c r="H917" s="411"/>
      <c r="I917" s="407"/>
      <c r="J917" s="411"/>
      <c r="K917" s="407" t="s">
        <v>2000</v>
      </c>
      <c r="L917" s="412" t="s">
        <v>417</v>
      </c>
      <c r="M917" s="407" t="s">
        <v>2001</v>
      </c>
      <c r="N917" s="412"/>
      <c r="O917" s="412"/>
      <c r="P917" s="412" t="s">
        <v>711</v>
      </c>
      <c r="Q917" s="413" t="s">
        <v>726</v>
      </c>
      <c r="R917" s="413" t="s">
        <v>249</v>
      </c>
      <c r="S917" s="414" t="s">
        <v>1446</v>
      </c>
      <c r="T917" s="414"/>
      <c r="U917" s="415"/>
      <c r="V917" s="416"/>
      <c r="W917" s="417"/>
      <c r="X917" s="417"/>
      <c r="Y917" s="418" t="s">
        <v>377</v>
      </c>
      <c r="Z917" s="496"/>
      <c r="AA917" s="492"/>
    </row>
    <row r="918" spans="1:27" s="128" customFormat="1" ht="18" customHeight="1">
      <c r="A918" s="405">
        <v>52</v>
      </c>
      <c r="B918" s="407" t="s">
        <v>2002</v>
      </c>
      <c r="C918" s="406" t="s">
        <v>78</v>
      </c>
      <c r="D918" s="407" t="s">
        <v>2003</v>
      </c>
      <c r="E918" s="408">
        <v>1</v>
      </c>
      <c r="F918" s="409"/>
      <c r="G918" s="410">
        <f t="shared" si="37"/>
        <v>0</v>
      </c>
      <c r="H918" s="411"/>
      <c r="I918" s="407"/>
      <c r="J918" s="411"/>
      <c r="K918" s="407"/>
      <c r="L918" s="412"/>
      <c r="M918" s="407"/>
      <c r="N918" s="412"/>
      <c r="O918" s="412"/>
      <c r="P918" s="412"/>
      <c r="Q918" s="413"/>
      <c r="R918" s="413"/>
      <c r="S918" s="414"/>
      <c r="T918" s="414" t="s">
        <v>4769</v>
      </c>
      <c r="U918" s="415"/>
      <c r="V918" s="416"/>
      <c r="W918" s="417"/>
      <c r="X918" s="417"/>
      <c r="Y918" s="418" t="s">
        <v>377</v>
      </c>
      <c r="Z918" s="496"/>
      <c r="AA918" s="492"/>
    </row>
    <row r="919" spans="1:27" s="128" customFormat="1" ht="18" customHeight="1">
      <c r="A919" s="405">
        <v>53</v>
      </c>
      <c r="B919" s="407" t="s">
        <v>2004</v>
      </c>
      <c r="C919" s="406" t="s">
        <v>78</v>
      </c>
      <c r="D919" s="407" t="s">
        <v>2005</v>
      </c>
      <c r="E919" s="408">
        <v>1</v>
      </c>
      <c r="F919" s="409"/>
      <c r="G919" s="410">
        <f t="shared" si="37"/>
        <v>0</v>
      </c>
      <c r="H919" s="411"/>
      <c r="I919" s="407"/>
      <c r="J919" s="411"/>
      <c r="K919" s="407"/>
      <c r="L919" s="412"/>
      <c r="M919" s="407"/>
      <c r="N919" s="412"/>
      <c r="O919" s="412"/>
      <c r="P919" s="412"/>
      <c r="Q919" s="413"/>
      <c r="R919" s="413"/>
      <c r="S919" s="414"/>
      <c r="T919" s="414" t="s">
        <v>4769</v>
      </c>
      <c r="U919" s="415"/>
      <c r="V919" s="416"/>
      <c r="W919" s="417"/>
      <c r="X919" s="417"/>
      <c r="Y919" s="418" t="s">
        <v>377</v>
      </c>
      <c r="Z919" s="496"/>
      <c r="AA919" s="492"/>
    </row>
    <row r="920" spans="1:27" s="128" customFormat="1" ht="18" customHeight="1">
      <c r="A920" s="405">
        <v>54</v>
      </c>
      <c r="B920" s="407" t="s">
        <v>2006</v>
      </c>
      <c r="C920" s="406" t="s">
        <v>78</v>
      </c>
      <c r="D920" s="407" t="s">
        <v>2007</v>
      </c>
      <c r="E920" s="408">
        <v>1</v>
      </c>
      <c r="F920" s="409"/>
      <c r="G920" s="410">
        <f t="shared" si="37"/>
        <v>0</v>
      </c>
      <c r="H920" s="411"/>
      <c r="I920" s="407"/>
      <c r="J920" s="411"/>
      <c r="K920" s="407"/>
      <c r="L920" s="412"/>
      <c r="M920" s="407"/>
      <c r="N920" s="412"/>
      <c r="O920" s="412"/>
      <c r="P920" s="412"/>
      <c r="Q920" s="413"/>
      <c r="R920" s="413"/>
      <c r="S920" s="414"/>
      <c r="T920" s="414" t="s">
        <v>4769</v>
      </c>
      <c r="U920" s="415"/>
      <c r="V920" s="416"/>
      <c r="W920" s="417"/>
      <c r="X920" s="417"/>
      <c r="Y920" s="418" t="s">
        <v>377</v>
      </c>
      <c r="Z920" s="496"/>
      <c r="AA920" s="492"/>
    </row>
    <row r="921" spans="1:27" s="128" customFormat="1" ht="18" customHeight="1">
      <c r="A921" s="405">
        <v>55</v>
      </c>
      <c r="B921" s="407" t="s">
        <v>2008</v>
      </c>
      <c r="C921" s="406" t="s">
        <v>78</v>
      </c>
      <c r="D921" s="407" t="s">
        <v>2009</v>
      </c>
      <c r="E921" s="408">
        <v>2</v>
      </c>
      <c r="F921" s="409"/>
      <c r="G921" s="410">
        <f t="shared" si="37"/>
        <v>0</v>
      </c>
      <c r="H921" s="411"/>
      <c r="I921" s="407"/>
      <c r="J921" s="411"/>
      <c r="K921" s="407"/>
      <c r="L921" s="412"/>
      <c r="M921" s="407"/>
      <c r="N921" s="412"/>
      <c r="O921" s="412"/>
      <c r="P921" s="412"/>
      <c r="Q921" s="413"/>
      <c r="R921" s="413"/>
      <c r="S921" s="414"/>
      <c r="T921" s="414" t="s">
        <v>4769</v>
      </c>
      <c r="U921" s="415"/>
      <c r="V921" s="416"/>
      <c r="W921" s="417"/>
      <c r="X921" s="417"/>
      <c r="Y921" s="418" t="s">
        <v>377</v>
      </c>
      <c r="Z921" s="496"/>
      <c r="AA921" s="492"/>
    </row>
    <row r="922" spans="1:27" ht="18" customHeight="1">
      <c r="A922" s="389"/>
      <c r="B922" s="390" t="s">
        <v>2010</v>
      </c>
      <c r="C922" s="391"/>
      <c r="D922" s="392"/>
      <c r="E922" s="393"/>
      <c r="F922" s="394"/>
      <c r="G922" s="395">
        <f t="shared" si="28"/>
        <v>0</v>
      </c>
      <c r="H922" s="396"/>
      <c r="I922" s="392"/>
      <c r="J922" s="396"/>
      <c r="K922" s="392"/>
      <c r="L922" s="397"/>
      <c r="M922" s="392"/>
      <c r="N922" s="397"/>
      <c r="O922" s="397"/>
      <c r="P922" s="397"/>
      <c r="Q922" s="398"/>
      <c r="R922" s="398"/>
      <c r="S922" s="399"/>
      <c r="T922" s="399"/>
      <c r="U922" s="400"/>
      <c r="V922" s="401"/>
      <c r="W922" s="402"/>
      <c r="X922" s="402"/>
      <c r="Y922" s="403"/>
      <c r="Z922" s="404"/>
      <c r="AA922" s="492"/>
    </row>
    <row r="923" spans="1:27" s="128" customFormat="1" ht="18" customHeight="1">
      <c r="A923" s="405">
        <v>1</v>
      </c>
      <c r="B923" s="407" t="s">
        <v>2011</v>
      </c>
      <c r="C923" s="406" t="s">
        <v>80</v>
      </c>
      <c r="D923" s="407" t="s">
        <v>2012</v>
      </c>
      <c r="E923" s="408">
        <v>1</v>
      </c>
      <c r="F923" s="409"/>
      <c r="G923" s="410">
        <f t="shared" ref="G923:G938" si="38">E923*F923</f>
        <v>0</v>
      </c>
      <c r="H923" s="411"/>
      <c r="I923" s="407"/>
      <c r="J923" s="411"/>
      <c r="K923" s="407" t="s">
        <v>2013</v>
      </c>
      <c r="L923" s="412" t="s">
        <v>2014</v>
      </c>
      <c r="M923" s="407" t="s">
        <v>2015</v>
      </c>
      <c r="N923" s="412"/>
      <c r="O923" s="412"/>
      <c r="P923" s="412" t="s">
        <v>1934</v>
      </c>
      <c r="Q923" s="413" t="s">
        <v>374</v>
      </c>
      <c r="R923" s="413" t="s">
        <v>299</v>
      </c>
      <c r="S923" s="414" t="s">
        <v>842</v>
      </c>
      <c r="T923" s="414"/>
      <c r="U923" s="415"/>
      <c r="V923" s="416"/>
      <c r="W923" s="417"/>
      <c r="X923" s="417"/>
      <c r="Y923" s="418" t="s">
        <v>377</v>
      </c>
      <c r="Z923" s="419"/>
      <c r="AA923" s="492"/>
    </row>
    <row r="924" spans="1:27" s="128" customFormat="1" ht="18" customHeight="1">
      <c r="A924" s="443">
        <v>2</v>
      </c>
      <c r="B924" s="444" t="s">
        <v>1083</v>
      </c>
      <c r="C924" s="445" t="s">
        <v>80</v>
      </c>
      <c r="D924" s="444" t="s">
        <v>1084</v>
      </c>
      <c r="E924" s="446">
        <v>1</v>
      </c>
      <c r="F924" s="447"/>
      <c r="G924" s="448">
        <f t="shared" si="38"/>
        <v>0</v>
      </c>
      <c r="H924" s="449"/>
      <c r="I924" s="444"/>
      <c r="J924" s="449"/>
      <c r="K924" s="444" t="s">
        <v>2013</v>
      </c>
      <c r="L924" s="450" t="s">
        <v>2014</v>
      </c>
      <c r="M924" s="444" t="s">
        <v>2016</v>
      </c>
      <c r="N924" s="450"/>
      <c r="O924" s="450"/>
      <c r="P924" s="450" t="s">
        <v>1934</v>
      </c>
      <c r="Q924" s="451" t="s">
        <v>374</v>
      </c>
      <c r="R924" s="451" t="s">
        <v>404</v>
      </c>
      <c r="S924" s="452" t="s">
        <v>1446</v>
      </c>
      <c r="T924" s="452" t="s">
        <v>481</v>
      </c>
      <c r="U924" s="453"/>
      <c r="V924" s="454"/>
      <c r="W924" s="455" t="s">
        <v>406</v>
      </c>
      <c r="X924" s="455">
        <v>45610</v>
      </c>
      <c r="Y924" s="456" t="s">
        <v>377</v>
      </c>
      <c r="Z924" s="457"/>
      <c r="AA924" s="494">
        <v>1</v>
      </c>
    </row>
    <row r="925" spans="1:27" s="128" customFormat="1" ht="18" customHeight="1">
      <c r="A925" s="405">
        <v>3</v>
      </c>
      <c r="B925" s="407" t="s">
        <v>587</v>
      </c>
      <c r="C925" s="406" t="s">
        <v>80</v>
      </c>
      <c r="D925" s="407" t="s">
        <v>588</v>
      </c>
      <c r="E925" s="408">
        <v>1</v>
      </c>
      <c r="F925" s="409"/>
      <c r="G925" s="410">
        <f t="shared" si="38"/>
        <v>0</v>
      </c>
      <c r="H925" s="411"/>
      <c r="I925" s="407"/>
      <c r="J925" s="411"/>
      <c r="K925" s="407" t="s">
        <v>2013</v>
      </c>
      <c r="L925" s="412" t="s">
        <v>2014</v>
      </c>
      <c r="M925" s="407" t="s">
        <v>2016</v>
      </c>
      <c r="N925" s="412"/>
      <c r="O925" s="412"/>
      <c r="P925" s="412" t="s">
        <v>1934</v>
      </c>
      <c r="Q925" s="413" t="s">
        <v>726</v>
      </c>
      <c r="R925" s="413" t="s">
        <v>404</v>
      </c>
      <c r="S925" s="414" t="s">
        <v>1446</v>
      </c>
      <c r="T925" s="414">
        <v>45622</v>
      </c>
      <c r="U925" s="415"/>
      <c r="V925" s="416"/>
      <c r="W925" s="417"/>
      <c r="X925" s="417"/>
      <c r="Y925" s="418" t="s">
        <v>377</v>
      </c>
      <c r="Z925" s="419"/>
      <c r="AA925" s="492">
        <v>1</v>
      </c>
    </row>
    <row r="926" spans="1:27" s="128" customFormat="1" ht="18" customHeight="1">
      <c r="A926" s="405">
        <v>4</v>
      </c>
      <c r="B926" s="407" t="s">
        <v>992</v>
      </c>
      <c r="C926" s="406" t="s">
        <v>80</v>
      </c>
      <c r="D926" s="407" t="s">
        <v>993</v>
      </c>
      <c r="E926" s="408">
        <v>1</v>
      </c>
      <c r="F926" s="409"/>
      <c r="G926" s="410">
        <f t="shared" si="38"/>
        <v>0</v>
      </c>
      <c r="H926" s="411"/>
      <c r="I926" s="407"/>
      <c r="J926" s="411"/>
      <c r="K926" s="407" t="s">
        <v>2013</v>
      </c>
      <c r="L926" s="412" t="s">
        <v>2014</v>
      </c>
      <c r="M926" s="407" t="s">
        <v>2017</v>
      </c>
      <c r="N926" s="412"/>
      <c r="O926" s="412"/>
      <c r="P926" s="412" t="s">
        <v>1934</v>
      </c>
      <c r="Q926" s="413" t="s">
        <v>726</v>
      </c>
      <c r="R926" s="413" t="s">
        <v>995</v>
      </c>
      <c r="S926" s="414" t="s">
        <v>800</v>
      </c>
      <c r="T926" s="414" t="s">
        <v>1821</v>
      </c>
      <c r="U926" s="415"/>
      <c r="V926" s="416"/>
      <c r="W926" s="417"/>
      <c r="X926" s="417"/>
      <c r="Y926" s="418" t="s">
        <v>377</v>
      </c>
      <c r="Z926" s="419"/>
      <c r="AA926" s="492"/>
    </row>
    <row r="927" spans="1:27" s="128" customFormat="1" ht="18" customHeight="1">
      <c r="A927" s="405">
        <v>5</v>
      </c>
      <c r="B927" s="407" t="s">
        <v>1506</v>
      </c>
      <c r="C927" s="406" t="s">
        <v>80</v>
      </c>
      <c r="D927" s="407" t="s">
        <v>1507</v>
      </c>
      <c r="E927" s="408">
        <v>1</v>
      </c>
      <c r="F927" s="409"/>
      <c r="G927" s="410">
        <f t="shared" si="38"/>
        <v>0</v>
      </c>
      <c r="H927" s="411"/>
      <c r="I927" s="407"/>
      <c r="J927" s="411"/>
      <c r="K927" s="407" t="s">
        <v>2013</v>
      </c>
      <c r="L927" s="412" t="s">
        <v>2014</v>
      </c>
      <c r="M927" s="407" t="s">
        <v>2016</v>
      </c>
      <c r="N927" s="412"/>
      <c r="O927" s="412"/>
      <c r="P927" s="412" t="s">
        <v>1934</v>
      </c>
      <c r="Q927" s="413" t="s">
        <v>726</v>
      </c>
      <c r="R927" s="413" t="s">
        <v>404</v>
      </c>
      <c r="S927" s="414" t="s">
        <v>1446</v>
      </c>
      <c r="T927" s="414">
        <v>45622</v>
      </c>
      <c r="U927" s="415"/>
      <c r="V927" s="416"/>
      <c r="W927" s="417"/>
      <c r="X927" s="417"/>
      <c r="Y927" s="418" t="s">
        <v>377</v>
      </c>
      <c r="Z927" s="419"/>
      <c r="AA927" s="492">
        <v>1</v>
      </c>
    </row>
    <row r="928" spans="1:27" s="128" customFormat="1" ht="18" customHeight="1">
      <c r="A928" s="405">
        <v>6</v>
      </c>
      <c r="B928" s="407" t="s">
        <v>1508</v>
      </c>
      <c r="C928" s="406" t="s">
        <v>80</v>
      </c>
      <c r="D928" s="407" t="s">
        <v>1509</v>
      </c>
      <c r="E928" s="408">
        <v>1</v>
      </c>
      <c r="F928" s="409"/>
      <c r="G928" s="410">
        <f t="shared" si="38"/>
        <v>0</v>
      </c>
      <c r="H928" s="411"/>
      <c r="I928" s="407"/>
      <c r="J928" s="411"/>
      <c r="K928" s="407" t="s">
        <v>2013</v>
      </c>
      <c r="L928" s="412" t="s">
        <v>2014</v>
      </c>
      <c r="M928" s="407" t="s">
        <v>2016</v>
      </c>
      <c r="N928" s="412"/>
      <c r="O928" s="412"/>
      <c r="P928" s="412" t="s">
        <v>1934</v>
      </c>
      <c r="Q928" s="413" t="s">
        <v>726</v>
      </c>
      <c r="R928" s="413" t="s">
        <v>404</v>
      </c>
      <c r="S928" s="414" t="s">
        <v>1446</v>
      </c>
      <c r="T928" s="414">
        <v>45622</v>
      </c>
      <c r="U928" s="415"/>
      <c r="V928" s="416"/>
      <c r="W928" s="417"/>
      <c r="X928" s="417"/>
      <c r="Y928" s="418" t="s">
        <v>377</v>
      </c>
      <c r="Z928" s="419"/>
      <c r="AA928" s="492">
        <v>1</v>
      </c>
    </row>
    <row r="929" spans="1:27" s="128" customFormat="1" ht="18" customHeight="1">
      <c r="A929" s="443">
        <v>7</v>
      </c>
      <c r="B929" s="444" t="s">
        <v>757</v>
      </c>
      <c r="C929" s="445" t="s">
        <v>80</v>
      </c>
      <c r="D929" s="444" t="s">
        <v>758</v>
      </c>
      <c r="E929" s="446">
        <v>1</v>
      </c>
      <c r="F929" s="447"/>
      <c r="G929" s="448">
        <f t="shared" si="38"/>
        <v>0</v>
      </c>
      <c r="H929" s="449"/>
      <c r="I929" s="444"/>
      <c r="J929" s="449"/>
      <c r="K929" s="444" t="s">
        <v>2013</v>
      </c>
      <c r="L929" s="450" t="s">
        <v>2014</v>
      </c>
      <c r="M929" s="444" t="s">
        <v>2016</v>
      </c>
      <c r="N929" s="450"/>
      <c r="O929" s="450"/>
      <c r="P929" s="450" t="s">
        <v>1934</v>
      </c>
      <c r="Q929" s="451" t="s">
        <v>374</v>
      </c>
      <c r="R929" s="451" t="s">
        <v>404</v>
      </c>
      <c r="S929" s="452" t="s">
        <v>1446</v>
      </c>
      <c r="T929" s="452" t="s">
        <v>1358</v>
      </c>
      <c r="U929" s="453"/>
      <c r="V929" s="454"/>
      <c r="W929" s="455" t="s">
        <v>406</v>
      </c>
      <c r="X929" s="455">
        <v>45600</v>
      </c>
      <c r="Y929" s="456" t="s">
        <v>377</v>
      </c>
      <c r="Z929" s="457"/>
      <c r="AA929" s="494">
        <v>1</v>
      </c>
    </row>
    <row r="930" spans="1:27" s="128" customFormat="1" ht="18" customHeight="1">
      <c r="A930" s="405">
        <v>8</v>
      </c>
      <c r="B930" s="407" t="s">
        <v>1861</v>
      </c>
      <c r="C930" s="406" t="s">
        <v>80</v>
      </c>
      <c r="D930" s="407" t="s">
        <v>1862</v>
      </c>
      <c r="E930" s="408">
        <v>1</v>
      </c>
      <c r="F930" s="409"/>
      <c r="G930" s="410">
        <f t="shared" si="38"/>
        <v>0</v>
      </c>
      <c r="H930" s="411"/>
      <c r="I930" s="407"/>
      <c r="J930" s="411"/>
      <c r="K930" s="407" t="s">
        <v>2013</v>
      </c>
      <c r="L930" s="412" t="s">
        <v>2014</v>
      </c>
      <c r="M930" s="407" t="s">
        <v>2018</v>
      </c>
      <c r="N930" s="412"/>
      <c r="O930" s="412"/>
      <c r="P930" s="412" t="s">
        <v>711</v>
      </c>
      <c r="Q930" s="413" t="s">
        <v>726</v>
      </c>
      <c r="R930" s="413" t="s">
        <v>249</v>
      </c>
      <c r="S930" s="414" t="s">
        <v>800</v>
      </c>
      <c r="T930" s="414"/>
      <c r="U930" s="415"/>
      <c r="V930" s="416"/>
      <c r="W930" s="417"/>
      <c r="X930" s="417"/>
      <c r="Y930" s="418" t="s">
        <v>377</v>
      </c>
      <c r="Z930" s="419"/>
      <c r="AA930" s="492"/>
    </row>
    <row r="931" spans="1:27" s="128" customFormat="1" ht="18" customHeight="1">
      <c r="A931" s="405">
        <v>9</v>
      </c>
      <c r="B931" s="407" t="s">
        <v>2019</v>
      </c>
      <c r="C931" s="406" t="s">
        <v>80</v>
      </c>
      <c r="D931" s="407" t="s">
        <v>2020</v>
      </c>
      <c r="E931" s="408">
        <v>1</v>
      </c>
      <c r="F931" s="409"/>
      <c r="G931" s="410">
        <f t="shared" si="38"/>
        <v>0</v>
      </c>
      <c r="H931" s="411"/>
      <c r="I931" s="407"/>
      <c r="J931" s="411"/>
      <c r="K931" s="407" t="s">
        <v>2013</v>
      </c>
      <c r="L931" s="412" t="s">
        <v>2014</v>
      </c>
      <c r="M931" s="407" t="s">
        <v>2018</v>
      </c>
      <c r="N931" s="412"/>
      <c r="O931" s="412"/>
      <c r="P931" s="412" t="s">
        <v>711</v>
      </c>
      <c r="Q931" s="413" t="s">
        <v>726</v>
      </c>
      <c r="R931" s="413" t="s">
        <v>249</v>
      </c>
      <c r="S931" s="414" t="s">
        <v>800</v>
      </c>
      <c r="T931" s="414"/>
      <c r="U931" s="415"/>
      <c r="V931" s="416"/>
      <c r="W931" s="417"/>
      <c r="X931" s="417"/>
      <c r="Y931" s="418" t="s">
        <v>377</v>
      </c>
      <c r="Z931" s="419"/>
      <c r="AA931" s="492"/>
    </row>
    <row r="932" spans="1:27" s="128" customFormat="1" ht="18" customHeight="1">
      <c r="A932" s="405">
        <v>10</v>
      </c>
      <c r="B932" s="407" t="s">
        <v>2021</v>
      </c>
      <c r="C932" s="406" t="s">
        <v>80</v>
      </c>
      <c r="D932" s="407" t="s">
        <v>2022</v>
      </c>
      <c r="E932" s="408">
        <v>1</v>
      </c>
      <c r="F932" s="409"/>
      <c r="G932" s="410">
        <f t="shared" si="38"/>
        <v>0</v>
      </c>
      <c r="H932" s="411"/>
      <c r="I932" s="407"/>
      <c r="J932" s="411"/>
      <c r="K932" s="407" t="s">
        <v>2013</v>
      </c>
      <c r="L932" s="412" t="s">
        <v>2014</v>
      </c>
      <c r="M932" s="407" t="s">
        <v>2018</v>
      </c>
      <c r="N932" s="412"/>
      <c r="O932" s="412"/>
      <c r="P932" s="412" t="s">
        <v>711</v>
      </c>
      <c r="Q932" s="413" t="s">
        <v>726</v>
      </c>
      <c r="R932" s="413" t="s">
        <v>249</v>
      </c>
      <c r="S932" s="414" t="s">
        <v>800</v>
      </c>
      <c r="T932" s="414"/>
      <c r="U932" s="415"/>
      <c r="V932" s="416"/>
      <c r="W932" s="417"/>
      <c r="X932" s="417"/>
      <c r="Y932" s="418" t="s">
        <v>377</v>
      </c>
      <c r="Z932" s="419"/>
      <c r="AA932" s="492"/>
    </row>
    <row r="933" spans="1:27" s="128" customFormat="1" ht="18" customHeight="1">
      <c r="A933" s="405">
        <v>11</v>
      </c>
      <c r="B933" s="407" t="s">
        <v>2023</v>
      </c>
      <c r="C933" s="406" t="s">
        <v>80</v>
      </c>
      <c r="D933" s="407" t="s">
        <v>2024</v>
      </c>
      <c r="E933" s="408">
        <v>1</v>
      </c>
      <c r="F933" s="409"/>
      <c r="G933" s="410">
        <f t="shared" si="38"/>
        <v>0</v>
      </c>
      <c r="H933" s="411"/>
      <c r="I933" s="407"/>
      <c r="J933" s="411"/>
      <c r="K933" s="407" t="s">
        <v>2013</v>
      </c>
      <c r="L933" s="412" t="s">
        <v>2014</v>
      </c>
      <c r="M933" s="407" t="s">
        <v>2025</v>
      </c>
      <c r="N933" s="412"/>
      <c r="O933" s="412"/>
      <c r="P933" s="412" t="s">
        <v>711</v>
      </c>
      <c r="Q933" s="413" t="s">
        <v>726</v>
      </c>
      <c r="R933" s="413" t="s">
        <v>297</v>
      </c>
      <c r="S933" s="414" t="s">
        <v>727</v>
      </c>
      <c r="T933" s="414"/>
      <c r="U933" s="415"/>
      <c r="V933" s="416"/>
      <c r="W933" s="417"/>
      <c r="X933" s="417"/>
      <c r="Y933" s="418" t="s">
        <v>377</v>
      </c>
      <c r="Z933" s="419"/>
      <c r="AA933" s="492"/>
    </row>
    <row r="934" spans="1:27" s="128" customFormat="1" ht="18" customHeight="1">
      <c r="A934" s="405">
        <v>12</v>
      </c>
      <c r="B934" s="407" t="s">
        <v>1335</v>
      </c>
      <c r="C934" s="406" t="s">
        <v>80</v>
      </c>
      <c r="D934" s="407" t="s">
        <v>1336</v>
      </c>
      <c r="E934" s="408">
        <v>1</v>
      </c>
      <c r="F934" s="409"/>
      <c r="G934" s="410">
        <f t="shared" si="38"/>
        <v>0</v>
      </c>
      <c r="H934" s="411"/>
      <c r="I934" s="407"/>
      <c r="J934" s="411"/>
      <c r="K934" s="407" t="s">
        <v>2013</v>
      </c>
      <c r="L934" s="412" t="s">
        <v>2014</v>
      </c>
      <c r="M934" s="407" t="s">
        <v>2025</v>
      </c>
      <c r="N934" s="412"/>
      <c r="O934" s="412"/>
      <c r="P934" s="412" t="s">
        <v>711</v>
      </c>
      <c r="Q934" s="413" t="s">
        <v>726</v>
      </c>
      <c r="R934" s="413" t="s">
        <v>297</v>
      </c>
      <c r="S934" s="414" t="s">
        <v>727</v>
      </c>
      <c r="T934" s="414"/>
      <c r="U934" s="415"/>
      <c r="V934" s="416"/>
      <c r="W934" s="417"/>
      <c r="X934" s="417"/>
      <c r="Y934" s="418" t="s">
        <v>377</v>
      </c>
      <c r="Z934" s="419"/>
      <c r="AA934" s="492"/>
    </row>
    <row r="935" spans="1:27" s="128" customFormat="1" ht="18" customHeight="1">
      <c r="A935" s="443">
        <v>13</v>
      </c>
      <c r="B935" s="444" t="s">
        <v>2026</v>
      </c>
      <c r="C935" s="445" t="s">
        <v>80</v>
      </c>
      <c r="D935" s="444" t="s">
        <v>2027</v>
      </c>
      <c r="E935" s="446">
        <v>1</v>
      </c>
      <c r="F935" s="447"/>
      <c r="G935" s="448">
        <f t="shared" si="38"/>
        <v>0</v>
      </c>
      <c r="H935" s="449"/>
      <c r="I935" s="444"/>
      <c r="J935" s="449"/>
      <c r="K935" s="444"/>
      <c r="L935" s="450"/>
      <c r="M935" s="444"/>
      <c r="N935" s="450"/>
      <c r="O935" s="450"/>
      <c r="P935" s="450"/>
      <c r="Q935" s="451" t="s">
        <v>374</v>
      </c>
      <c r="R935" s="451"/>
      <c r="S935" s="452"/>
      <c r="T935" s="452" t="s">
        <v>481</v>
      </c>
      <c r="U935" s="453"/>
      <c r="V935" s="454"/>
      <c r="W935" s="455" t="s">
        <v>406</v>
      </c>
      <c r="X935" s="455">
        <v>45601</v>
      </c>
      <c r="Y935" s="456" t="s">
        <v>377</v>
      </c>
      <c r="Z935" s="457"/>
      <c r="AA935" s="494"/>
    </row>
    <row r="936" spans="1:27" s="128" customFormat="1" ht="18" customHeight="1">
      <c r="A936" s="405">
        <v>14</v>
      </c>
      <c r="B936" s="407" t="s">
        <v>2028</v>
      </c>
      <c r="C936" s="406" t="s">
        <v>80</v>
      </c>
      <c r="D936" s="407" t="s">
        <v>2029</v>
      </c>
      <c r="E936" s="408">
        <v>1</v>
      </c>
      <c r="F936" s="409"/>
      <c r="G936" s="410">
        <f t="shared" si="38"/>
        <v>0</v>
      </c>
      <c r="H936" s="411"/>
      <c r="I936" s="407"/>
      <c r="J936" s="411"/>
      <c r="K936" s="407" t="s">
        <v>2013</v>
      </c>
      <c r="L936" s="412" t="s">
        <v>2014</v>
      </c>
      <c r="M936" s="407" t="s">
        <v>2025</v>
      </c>
      <c r="N936" s="412"/>
      <c r="O936" s="412"/>
      <c r="P936" s="412" t="s">
        <v>711</v>
      </c>
      <c r="Q936" s="413" t="s">
        <v>726</v>
      </c>
      <c r="R936" s="413" t="s">
        <v>297</v>
      </c>
      <c r="S936" s="414" t="s">
        <v>727</v>
      </c>
      <c r="T936" s="414"/>
      <c r="U936" s="415"/>
      <c r="V936" s="416"/>
      <c r="W936" s="417"/>
      <c r="X936" s="417"/>
      <c r="Y936" s="418" t="s">
        <v>377</v>
      </c>
      <c r="Z936" s="419"/>
      <c r="AA936" s="492"/>
    </row>
    <row r="937" spans="1:27" s="128" customFormat="1" ht="18" customHeight="1">
      <c r="A937" s="405">
        <v>15</v>
      </c>
      <c r="B937" s="407" t="s">
        <v>896</v>
      </c>
      <c r="C937" s="406" t="s">
        <v>80</v>
      </c>
      <c r="D937" s="407" t="s">
        <v>897</v>
      </c>
      <c r="E937" s="408">
        <v>1</v>
      </c>
      <c r="F937" s="409"/>
      <c r="G937" s="410">
        <f t="shared" si="38"/>
        <v>0</v>
      </c>
      <c r="H937" s="411"/>
      <c r="I937" s="407"/>
      <c r="J937" s="411"/>
      <c r="K937" s="407" t="s">
        <v>2013</v>
      </c>
      <c r="L937" s="412" t="s">
        <v>2014</v>
      </c>
      <c r="M937" s="407" t="s">
        <v>2025</v>
      </c>
      <c r="N937" s="412"/>
      <c r="O937" s="412"/>
      <c r="P937" s="412" t="s">
        <v>711</v>
      </c>
      <c r="Q937" s="413" t="s">
        <v>726</v>
      </c>
      <c r="R937" s="413" t="s">
        <v>297</v>
      </c>
      <c r="S937" s="414" t="s">
        <v>727</v>
      </c>
      <c r="T937" s="414"/>
      <c r="U937" s="415"/>
      <c r="V937" s="416"/>
      <c r="W937" s="417"/>
      <c r="X937" s="417"/>
      <c r="Y937" s="418" t="s">
        <v>377</v>
      </c>
      <c r="Z937" s="419"/>
      <c r="AA937" s="492"/>
    </row>
    <row r="938" spans="1:27" s="128" customFormat="1" ht="18" customHeight="1">
      <c r="A938" s="405">
        <v>16</v>
      </c>
      <c r="B938" s="407" t="s">
        <v>898</v>
      </c>
      <c r="C938" s="406" t="s">
        <v>80</v>
      </c>
      <c r="D938" s="407" t="s">
        <v>899</v>
      </c>
      <c r="E938" s="408">
        <v>1</v>
      </c>
      <c r="F938" s="409"/>
      <c r="G938" s="410">
        <f t="shared" si="38"/>
        <v>0</v>
      </c>
      <c r="H938" s="411"/>
      <c r="I938" s="407"/>
      <c r="J938" s="411"/>
      <c r="K938" s="407" t="s">
        <v>2013</v>
      </c>
      <c r="L938" s="412" t="s">
        <v>2014</v>
      </c>
      <c r="M938" s="407" t="s">
        <v>2025</v>
      </c>
      <c r="N938" s="412"/>
      <c r="O938" s="412"/>
      <c r="P938" s="412" t="s">
        <v>711</v>
      </c>
      <c r="Q938" s="413" t="s">
        <v>726</v>
      </c>
      <c r="R938" s="413" t="s">
        <v>297</v>
      </c>
      <c r="S938" s="414" t="s">
        <v>727</v>
      </c>
      <c r="T938" s="414"/>
      <c r="U938" s="415"/>
      <c r="V938" s="416"/>
      <c r="W938" s="417"/>
      <c r="X938" s="417"/>
      <c r="Y938" s="418" t="s">
        <v>377</v>
      </c>
      <c r="Z938" s="419"/>
      <c r="AA938" s="492"/>
    </row>
    <row r="939" spans="1:27" s="128" customFormat="1" ht="18" customHeight="1">
      <c r="A939" s="443">
        <v>17</v>
      </c>
      <c r="B939" s="444" t="s">
        <v>2030</v>
      </c>
      <c r="C939" s="445" t="s">
        <v>80</v>
      </c>
      <c r="D939" s="444" t="s">
        <v>2031</v>
      </c>
      <c r="E939" s="446">
        <v>1</v>
      </c>
      <c r="F939" s="447"/>
      <c r="G939" s="448">
        <f t="shared" ref="G939:G970" si="39">E939*F939</f>
        <v>0</v>
      </c>
      <c r="H939" s="449"/>
      <c r="I939" s="444"/>
      <c r="J939" s="449"/>
      <c r="K939" s="444" t="s">
        <v>2013</v>
      </c>
      <c r="L939" s="450" t="s">
        <v>2014</v>
      </c>
      <c r="M939" s="444" t="s">
        <v>2032</v>
      </c>
      <c r="N939" s="450"/>
      <c r="O939" s="450"/>
      <c r="P939" s="450" t="s">
        <v>1934</v>
      </c>
      <c r="Q939" s="451" t="s">
        <v>374</v>
      </c>
      <c r="R939" s="451" t="s">
        <v>251</v>
      </c>
      <c r="S939" s="452" t="s">
        <v>797</v>
      </c>
      <c r="T939" s="452"/>
      <c r="U939" s="453"/>
      <c r="V939" s="454"/>
      <c r="W939" s="455" t="s">
        <v>406</v>
      </c>
      <c r="X939" s="455">
        <v>45610</v>
      </c>
      <c r="Y939" s="456" t="s">
        <v>377</v>
      </c>
      <c r="Z939" s="457"/>
      <c r="AA939" s="494"/>
    </row>
    <row r="940" spans="1:27" s="128" customFormat="1" ht="18" customHeight="1">
      <c r="A940" s="443">
        <v>18</v>
      </c>
      <c r="B940" s="444" t="s">
        <v>2033</v>
      </c>
      <c r="C940" s="445" t="s">
        <v>80</v>
      </c>
      <c r="D940" s="444" t="s">
        <v>2034</v>
      </c>
      <c r="E940" s="446">
        <v>16</v>
      </c>
      <c r="F940" s="447"/>
      <c r="G940" s="448">
        <f t="shared" si="39"/>
        <v>0</v>
      </c>
      <c r="H940" s="449"/>
      <c r="I940" s="444"/>
      <c r="J940" s="449"/>
      <c r="K940" s="444" t="s">
        <v>2013</v>
      </c>
      <c r="L940" s="450" t="s">
        <v>2014</v>
      </c>
      <c r="M940" s="444" t="s">
        <v>2032</v>
      </c>
      <c r="N940" s="450"/>
      <c r="O940" s="450"/>
      <c r="P940" s="450" t="s">
        <v>1934</v>
      </c>
      <c r="Q940" s="451" t="s">
        <v>374</v>
      </c>
      <c r="R940" s="451" t="s">
        <v>251</v>
      </c>
      <c r="S940" s="452" t="s">
        <v>797</v>
      </c>
      <c r="T940" s="452"/>
      <c r="U940" s="453"/>
      <c r="V940" s="454"/>
      <c r="W940" s="455" t="s">
        <v>406</v>
      </c>
      <c r="X940" s="455">
        <v>45610</v>
      </c>
      <c r="Y940" s="456" t="s">
        <v>377</v>
      </c>
      <c r="Z940" s="457"/>
      <c r="AA940" s="494"/>
    </row>
    <row r="941" spans="1:27" s="128" customFormat="1" ht="18" customHeight="1">
      <c r="A941" s="443">
        <v>19</v>
      </c>
      <c r="B941" s="444" t="s">
        <v>1517</v>
      </c>
      <c r="C941" s="445" t="s">
        <v>80</v>
      </c>
      <c r="D941" s="444" t="s">
        <v>1518</v>
      </c>
      <c r="E941" s="446">
        <v>1</v>
      </c>
      <c r="F941" s="447"/>
      <c r="G941" s="448">
        <f t="shared" si="39"/>
        <v>0</v>
      </c>
      <c r="H941" s="449"/>
      <c r="I941" s="444"/>
      <c r="J941" s="449"/>
      <c r="K941" s="444"/>
      <c r="L941" s="450"/>
      <c r="M941" s="444"/>
      <c r="N941" s="450"/>
      <c r="O941" s="450"/>
      <c r="P941" s="450"/>
      <c r="Q941" s="451" t="s">
        <v>374</v>
      </c>
      <c r="R941" s="451"/>
      <c r="S941" s="452"/>
      <c r="T941" s="452" t="s">
        <v>481</v>
      </c>
      <c r="U941" s="453"/>
      <c r="V941" s="454"/>
      <c r="W941" s="455" t="s">
        <v>406</v>
      </c>
      <c r="X941" s="455">
        <v>45601</v>
      </c>
      <c r="Y941" s="456" t="s">
        <v>377</v>
      </c>
      <c r="Z941" s="457"/>
      <c r="AA941" s="494"/>
    </row>
    <row r="942" spans="1:27" s="128" customFormat="1" ht="18" customHeight="1">
      <c r="A942" s="405">
        <v>20</v>
      </c>
      <c r="B942" s="407" t="s">
        <v>2035</v>
      </c>
      <c r="C942" s="406" t="s">
        <v>80</v>
      </c>
      <c r="D942" s="407" t="s">
        <v>2036</v>
      </c>
      <c r="E942" s="408">
        <v>1</v>
      </c>
      <c r="F942" s="409"/>
      <c r="G942" s="410">
        <f t="shared" si="39"/>
        <v>0</v>
      </c>
      <c r="H942" s="411"/>
      <c r="I942" s="407"/>
      <c r="J942" s="411"/>
      <c r="K942" s="407" t="s">
        <v>2013</v>
      </c>
      <c r="L942" s="412" t="s">
        <v>2014</v>
      </c>
      <c r="M942" s="407" t="s">
        <v>2018</v>
      </c>
      <c r="N942" s="412"/>
      <c r="O942" s="412"/>
      <c r="P942" s="412" t="s">
        <v>711</v>
      </c>
      <c r="Q942" s="413" t="s">
        <v>726</v>
      </c>
      <c r="R942" s="413" t="s">
        <v>249</v>
      </c>
      <c r="S942" s="414" t="s">
        <v>800</v>
      </c>
      <c r="T942" s="414"/>
      <c r="U942" s="415"/>
      <c r="V942" s="416"/>
      <c r="W942" s="417"/>
      <c r="X942" s="417"/>
      <c r="Y942" s="418" t="s">
        <v>377</v>
      </c>
      <c r="Z942" s="419"/>
      <c r="AA942" s="492"/>
    </row>
    <row r="943" spans="1:27" s="128" customFormat="1" ht="18" customHeight="1">
      <c r="A943" s="405">
        <v>21</v>
      </c>
      <c r="B943" s="407" t="s">
        <v>2037</v>
      </c>
      <c r="C943" s="406" t="s">
        <v>80</v>
      </c>
      <c r="D943" s="407" t="s">
        <v>2038</v>
      </c>
      <c r="E943" s="408">
        <v>4</v>
      </c>
      <c r="F943" s="409"/>
      <c r="G943" s="410">
        <f t="shared" si="39"/>
        <v>0</v>
      </c>
      <c r="H943" s="411"/>
      <c r="I943" s="407"/>
      <c r="J943" s="411"/>
      <c r="K943" s="407" t="s">
        <v>2013</v>
      </c>
      <c r="L943" s="412" t="s">
        <v>2014</v>
      </c>
      <c r="M943" s="407" t="s">
        <v>2018</v>
      </c>
      <c r="N943" s="412"/>
      <c r="O943" s="412"/>
      <c r="P943" s="412" t="s">
        <v>711</v>
      </c>
      <c r="Q943" s="413" t="s">
        <v>726</v>
      </c>
      <c r="R943" s="413" t="s">
        <v>249</v>
      </c>
      <c r="S943" s="414" t="s">
        <v>800</v>
      </c>
      <c r="T943" s="414"/>
      <c r="U943" s="415"/>
      <c r="V943" s="416"/>
      <c r="W943" s="417"/>
      <c r="X943" s="417"/>
      <c r="Y943" s="418" t="s">
        <v>377</v>
      </c>
      <c r="Z943" s="419"/>
      <c r="AA943" s="492"/>
    </row>
    <row r="944" spans="1:27" s="128" customFormat="1" ht="18" customHeight="1">
      <c r="A944" s="405">
        <v>22</v>
      </c>
      <c r="B944" s="407" t="s">
        <v>2039</v>
      </c>
      <c r="C944" s="406" t="s">
        <v>80</v>
      </c>
      <c r="D944" s="407" t="s">
        <v>2040</v>
      </c>
      <c r="E944" s="408">
        <v>4</v>
      </c>
      <c r="F944" s="409"/>
      <c r="G944" s="410">
        <f t="shared" si="39"/>
        <v>0</v>
      </c>
      <c r="H944" s="411"/>
      <c r="I944" s="407"/>
      <c r="J944" s="411"/>
      <c r="K944" s="407" t="s">
        <v>2013</v>
      </c>
      <c r="L944" s="412" t="s">
        <v>2014</v>
      </c>
      <c r="M944" s="407" t="s">
        <v>2018</v>
      </c>
      <c r="N944" s="412"/>
      <c r="O944" s="412"/>
      <c r="P944" s="412" t="s">
        <v>711</v>
      </c>
      <c r="Q944" s="413" t="s">
        <v>726</v>
      </c>
      <c r="R944" s="413" t="s">
        <v>249</v>
      </c>
      <c r="S944" s="414" t="s">
        <v>800</v>
      </c>
      <c r="T944" s="414"/>
      <c r="U944" s="415"/>
      <c r="V944" s="416"/>
      <c r="W944" s="417"/>
      <c r="X944" s="417"/>
      <c r="Y944" s="418" t="s">
        <v>377</v>
      </c>
      <c r="Z944" s="419"/>
      <c r="AA944" s="492"/>
    </row>
    <row r="945" spans="1:27" s="128" customFormat="1" ht="18" customHeight="1">
      <c r="A945" s="405">
        <v>23</v>
      </c>
      <c r="B945" s="407" t="s">
        <v>2041</v>
      </c>
      <c r="C945" s="406" t="s">
        <v>80</v>
      </c>
      <c r="D945" s="407" t="s">
        <v>2042</v>
      </c>
      <c r="E945" s="408">
        <v>1</v>
      </c>
      <c r="F945" s="409"/>
      <c r="G945" s="410">
        <f t="shared" si="39"/>
        <v>0</v>
      </c>
      <c r="H945" s="411"/>
      <c r="I945" s="407"/>
      <c r="J945" s="411"/>
      <c r="K945" s="407" t="s">
        <v>2013</v>
      </c>
      <c r="L945" s="412" t="s">
        <v>2014</v>
      </c>
      <c r="M945" s="407" t="s">
        <v>2018</v>
      </c>
      <c r="N945" s="412"/>
      <c r="O945" s="412"/>
      <c r="P945" s="412" t="s">
        <v>711</v>
      </c>
      <c r="Q945" s="413" t="s">
        <v>726</v>
      </c>
      <c r="R945" s="413" t="s">
        <v>249</v>
      </c>
      <c r="S945" s="414" t="s">
        <v>800</v>
      </c>
      <c r="T945" s="414"/>
      <c r="U945" s="415"/>
      <c r="V945" s="416"/>
      <c r="W945" s="417"/>
      <c r="X945" s="417"/>
      <c r="Y945" s="418" t="s">
        <v>377</v>
      </c>
      <c r="Z945" s="419"/>
      <c r="AA945" s="492"/>
    </row>
    <row r="946" spans="1:27" s="128" customFormat="1" ht="18" customHeight="1">
      <c r="A946" s="405">
        <v>24</v>
      </c>
      <c r="B946" s="407" t="s">
        <v>479</v>
      </c>
      <c r="C946" s="406" t="s">
        <v>80</v>
      </c>
      <c r="D946" s="407" t="s">
        <v>480</v>
      </c>
      <c r="E946" s="408">
        <v>1</v>
      </c>
      <c r="F946" s="409"/>
      <c r="G946" s="410">
        <f t="shared" si="39"/>
        <v>0</v>
      </c>
      <c r="H946" s="411"/>
      <c r="I946" s="407"/>
      <c r="J946" s="411"/>
      <c r="K946" s="407" t="s">
        <v>2013</v>
      </c>
      <c r="L946" s="412" t="s">
        <v>2014</v>
      </c>
      <c r="M946" s="407" t="s">
        <v>2016</v>
      </c>
      <c r="N946" s="412"/>
      <c r="O946" s="412"/>
      <c r="P946" s="412" t="s">
        <v>1934</v>
      </c>
      <c r="Q946" s="413" t="s">
        <v>726</v>
      </c>
      <c r="R946" s="413" t="s">
        <v>404</v>
      </c>
      <c r="S946" s="414" t="s">
        <v>1446</v>
      </c>
      <c r="T946" s="414">
        <v>45622</v>
      </c>
      <c r="U946" s="415"/>
      <c r="V946" s="416"/>
      <c r="W946" s="417"/>
      <c r="X946" s="417"/>
      <c r="Y946" s="418" t="s">
        <v>377</v>
      </c>
      <c r="Z946" s="419"/>
      <c r="AA946" s="492">
        <v>1</v>
      </c>
    </row>
    <row r="947" spans="1:27" s="128" customFormat="1" ht="18" customHeight="1">
      <c r="A947" s="405">
        <v>25</v>
      </c>
      <c r="B947" s="407" t="s">
        <v>2043</v>
      </c>
      <c r="C947" s="406" t="s">
        <v>80</v>
      </c>
      <c r="D947" s="407" t="s">
        <v>2044</v>
      </c>
      <c r="E947" s="408">
        <v>1</v>
      </c>
      <c r="F947" s="409"/>
      <c r="G947" s="410">
        <f t="shared" si="39"/>
        <v>0</v>
      </c>
      <c r="H947" s="411"/>
      <c r="I947" s="407"/>
      <c r="J947" s="411"/>
      <c r="K947" s="407" t="s">
        <v>2013</v>
      </c>
      <c r="L947" s="412" t="s">
        <v>2014</v>
      </c>
      <c r="M947" s="407" t="s">
        <v>2018</v>
      </c>
      <c r="N947" s="412"/>
      <c r="O947" s="412"/>
      <c r="P947" s="412" t="s">
        <v>711</v>
      </c>
      <c r="Q947" s="413" t="s">
        <v>726</v>
      </c>
      <c r="R947" s="413" t="s">
        <v>249</v>
      </c>
      <c r="S947" s="414" t="s">
        <v>800</v>
      </c>
      <c r="T947" s="414"/>
      <c r="U947" s="415"/>
      <c r="V947" s="416"/>
      <c r="W947" s="417"/>
      <c r="X947" s="417"/>
      <c r="Y947" s="418" t="s">
        <v>377</v>
      </c>
      <c r="Z947" s="419"/>
      <c r="AA947" s="492"/>
    </row>
    <row r="948" spans="1:27" s="128" customFormat="1" ht="18" customHeight="1">
      <c r="A948" s="443">
        <v>26</v>
      </c>
      <c r="B948" s="444" t="s">
        <v>2045</v>
      </c>
      <c r="C948" s="445" t="s">
        <v>80</v>
      </c>
      <c r="D948" s="444" t="s">
        <v>2046</v>
      </c>
      <c r="E948" s="446">
        <v>1</v>
      </c>
      <c r="F948" s="447"/>
      <c r="G948" s="448">
        <f t="shared" si="39"/>
        <v>0</v>
      </c>
      <c r="H948" s="449"/>
      <c r="I948" s="444"/>
      <c r="J948" s="449"/>
      <c r="K948" s="444"/>
      <c r="L948" s="450"/>
      <c r="M948" s="444"/>
      <c r="N948" s="450"/>
      <c r="O948" s="450"/>
      <c r="P948" s="450"/>
      <c r="Q948" s="451" t="s">
        <v>374</v>
      </c>
      <c r="R948" s="451"/>
      <c r="S948" s="452"/>
      <c r="T948" s="452" t="s">
        <v>481</v>
      </c>
      <c r="U948" s="453"/>
      <c r="V948" s="454"/>
      <c r="W948" s="455" t="s">
        <v>406</v>
      </c>
      <c r="X948" s="455">
        <v>45601</v>
      </c>
      <c r="Y948" s="456" t="s">
        <v>377</v>
      </c>
      <c r="Z948" s="457"/>
      <c r="AA948" s="494"/>
    </row>
    <row r="949" spans="1:27" s="128" customFormat="1" ht="18" customHeight="1">
      <c r="A949" s="405">
        <v>27</v>
      </c>
      <c r="B949" s="407" t="s">
        <v>2047</v>
      </c>
      <c r="C949" s="406" t="s">
        <v>80</v>
      </c>
      <c r="D949" s="407" t="s">
        <v>2048</v>
      </c>
      <c r="E949" s="408">
        <v>1</v>
      </c>
      <c r="F949" s="409"/>
      <c r="G949" s="410">
        <f t="shared" si="39"/>
        <v>0</v>
      </c>
      <c r="H949" s="411"/>
      <c r="I949" s="407"/>
      <c r="J949" s="411"/>
      <c r="K949" s="407" t="s">
        <v>2013</v>
      </c>
      <c r="L949" s="412" t="s">
        <v>2014</v>
      </c>
      <c r="M949" s="407" t="s">
        <v>2049</v>
      </c>
      <c r="N949" s="412"/>
      <c r="O949" s="412"/>
      <c r="P949" s="412" t="s">
        <v>1934</v>
      </c>
      <c r="Q949" s="413" t="s">
        <v>726</v>
      </c>
      <c r="R949" s="413" t="s">
        <v>263</v>
      </c>
      <c r="S949" s="414" t="s">
        <v>800</v>
      </c>
      <c r="T949" s="414"/>
      <c r="U949" s="415"/>
      <c r="V949" s="416"/>
      <c r="W949" s="417"/>
      <c r="X949" s="417"/>
      <c r="Y949" s="418" t="s">
        <v>377</v>
      </c>
      <c r="Z949" s="419"/>
      <c r="AA949" s="492"/>
    </row>
    <row r="950" spans="1:27" s="128" customFormat="1" ht="18" customHeight="1">
      <c r="A950" s="405">
        <v>28</v>
      </c>
      <c r="B950" s="407" t="s">
        <v>2050</v>
      </c>
      <c r="C950" s="406" t="s">
        <v>80</v>
      </c>
      <c r="D950" s="407" t="s">
        <v>2051</v>
      </c>
      <c r="E950" s="408">
        <v>1</v>
      </c>
      <c r="F950" s="409"/>
      <c r="G950" s="410">
        <f t="shared" si="39"/>
        <v>0</v>
      </c>
      <c r="H950" s="411"/>
      <c r="I950" s="407"/>
      <c r="J950" s="411"/>
      <c r="K950" s="407" t="s">
        <v>2013</v>
      </c>
      <c r="L950" s="412" t="s">
        <v>2014</v>
      </c>
      <c r="M950" s="407" t="s">
        <v>2049</v>
      </c>
      <c r="N950" s="412"/>
      <c r="O950" s="412"/>
      <c r="P950" s="412" t="s">
        <v>1934</v>
      </c>
      <c r="Q950" s="413" t="s">
        <v>726</v>
      </c>
      <c r="R950" s="413" t="s">
        <v>263</v>
      </c>
      <c r="S950" s="414" t="s">
        <v>800</v>
      </c>
      <c r="T950" s="414"/>
      <c r="U950" s="415"/>
      <c r="V950" s="416"/>
      <c r="W950" s="417"/>
      <c r="X950" s="417"/>
      <c r="Y950" s="418" t="s">
        <v>377</v>
      </c>
      <c r="Z950" s="419"/>
      <c r="AA950" s="492"/>
    </row>
    <row r="951" spans="1:27" s="128" customFormat="1" ht="18" customHeight="1">
      <c r="A951" s="405">
        <v>29</v>
      </c>
      <c r="B951" s="407" t="s">
        <v>2052</v>
      </c>
      <c r="C951" s="406" t="s">
        <v>80</v>
      </c>
      <c r="D951" s="407" t="s">
        <v>2053</v>
      </c>
      <c r="E951" s="408">
        <v>1</v>
      </c>
      <c r="F951" s="409"/>
      <c r="G951" s="410">
        <f t="shared" si="39"/>
        <v>0</v>
      </c>
      <c r="H951" s="411"/>
      <c r="I951" s="407"/>
      <c r="J951" s="411"/>
      <c r="K951" s="407" t="s">
        <v>2013</v>
      </c>
      <c r="L951" s="412" t="s">
        <v>2014</v>
      </c>
      <c r="M951" s="407" t="s">
        <v>2049</v>
      </c>
      <c r="N951" s="412"/>
      <c r="O951" s="412"/>
      <c r="P951" s="412" t="s">
        <v>1934</v>
      </c>
      <c r="Q951" s="413" t="s">
        <v>726</v>
      </c>
      <c r="R951" s="413" t="s">
        <v>263</v>
      </c>
      <c r="S951" s="414" t="s">
        <v>800</v>
      </c>
      <c r="T951" s="414"/>
      <c r="U951" s="415"/>
      <c r="V951" s="416"/>
      <c r="W951" s="417"/>
      <c r="X951" s="417"/>
      <c r="Y951" s="418" t="s">
        <v>377</v>
      </c>
      <c r="Z951" s="419"/>
      <c r="AA951" s="492"/>
    </row>
    <row r="952" spans="1:27" s="128" customFormat="1" ht="18" customHeight="1">
      <c r="A952" s="405">
        <v>30</v>
      </c>
      <c r="B952" s="407" t="s">
        <v>392</v>
      </c>
      <c r="C952" s="406" t="s">
        <v>80</v>
      </c>
      <c r="D952" s="407" t="s">
        <v>393</v>
      </c>
      <c r="E952" s="408">
        <v>1</v>
      </c>
      <c r="F952" s="409"/>
      <c r="G952" s="410">
        <f t="shared" si="39"/>
        <v>0</v>
      </c>
      <c r="H952" s="411"/>
      <c r="I952" s="407"/>
      <c r="J952" s="411"/>
      <c r="K952" s="407" t="s">
        <v>2013</v>
      </c>
      <c r="L952" s="412" t="s">
        <v>2014</v>
      </c>
      <c r="M952" s="407" t="s">
        <v>2049</v>
      </c>
      <c r="N952" s="412"/>
      <c r="O952" s="412"/>
      <c r="P952" s="412" t="s">
        <v>1934</v>
      </c>
      <c r="Q952" s="413" t="s">
        <v>726</v>
      </c>
      <c r="R952" s="413" t="s">
        <v>263</v>
      </c>
      <c r="S952" s="414" t="s">
        <v>800</v>
      </c>
      <c r="T952" s="414"/>
      <c r="U952" s="415"/>
      <c r="V952" s="416"/>
      <c r="W952" s="417"/>
      <c r="X952" s="417"/>
      <c r="Y952" s="418" t="s">
        <v>377</v>
      </c>
      <c r="Z952" s="419"/>
      <c r="AA952" s="492"/>
    </row>
    <row r="953" spans="1:27" s="128" customFormat="1" ht="18" customHeight="1">
      <c r="A953" s="405">
        <v>31</v>
      </c>
      <c r="B953" s="407" t="s">
        <v>394</v>
      </c>
      <c r="C953" s="406" t="s">
        <v>80</v>
      </c>
      <c r="D953" s="407" t="s">
        <v>395</v>
      </c>
      <c r="E953" s="408">
        <v>1</v>
      </c>
      <c r="F953" s="409"/>
      <c r="G953" s="410">
        <f t="shared" si="39"/>
        <v>0</v>
      </c>
      <c r="H953" s="411"/>
      <c r="I953" s="407"/>
      <c r="J953" s="411"/>
      <c r="K953" s="407" t="s">
        <v>2013</v>
      </c>
      <c r="L953" s="412" t="s">
        <v>2014</v>
      </c>
      <c r="M953" s="407" t="s">
        <v>2049</v>
      </c>
      <c r="N953" s="412"/>
      <c r="O953" s="412"/>
      <c r="P953" s="412" t="s">
        <v>1934</v>
      </c>
      <c r="Q953" s="413" t="s">
        <v>726</v>
      </c>
      <c r="R953" s="413" t="s">
        <v>263</v>
      </c>
      <c r="S953" s="414" t="s">
        <v>800</v>
      </c>
      <c r="T953" s="414"/>
      <c r="U953" s="415"/>
      <c r="V953" s="416"/>
      <c r="W953" s="417"/>
      <c r="X953" s="417"/>
      <c r="Y953" s="418" t="s">
        <v>377</v>
      </c>
      <c r="Z953" s="419"/>
      <c r="AA953" s="492"/>
    </row>
    <row r="954" spans="1:27" s="128" customFormat="1" ht="18" customHeight="1">
      <c r="A954" s="405">
        <v>32</v>
      </c>
      <c r="B954" s="407" t="s">
        <v>2054</v>
      </c>
      <c r="C954" s="406" t="s">
        <v>80</v>
      </c>
      <c r="D954" s="407" t="s">
        <v>1281</v>
      </c>
      <c r="E954" s="408">
        <v>1</v>
      </c>
      <c r="F954" s="409"/>
      <c r="G954" s="410">
        <f t="shared" si="39"/>
        <v>0</v>
      </c>
      <c r="H954" s="411"/>
      <c r="I954" s="407"/>
      <c r="J954" s="411"/>
      <c r="K954" s="407" t="s">
        <v>2055</v>
      </c>
      <c r="L954" s="412" t="s">
        <v>417</v>
      </c>
      <c r="M954" s="407" t="s">
        <v>2056</v>
      </c>
      <c r="N954" s="412"/>
      <c r="O954" s="412"/>
      <c r="P954" s="412" t="s">
        <v>2057</v>
      </c>
      <c r="Q954" s="413" t="s">
        <v>726</v>
      </c>
      <c r="R954" s="413" t="s">
        <v>263</v>
      </c>
      <c r="S954" s="414" t="s">
        <v>2058</v>
      </c>
      <c r="T954" s="414"/>
      <c r="U954" s="415"/>
      <c r="V954" s="416"/>
      <c r="W954" s="417"/>
      <c r="X954" s="417"/>
      <c r="Y954" s="418" t="s">
        <v>377</v>
      </c>
      <c r="Z954" s="496"/>
      <c r="AA954" s="492"/>
    </row>
    <row r="955" spans="1:27" s="128" customFormat="1" ht="18" customHeight="1">
      <c r="A955" s="405">
        <v>33</v>
      </c>
      <c r="B955" s="407" t="s">
        <v>2059</v>
      </c>
      <c r="C955" s="406" t="s">
        <v>80</v>
      </c>
      <c r="D955" s="407" t="s">
        <v>2060</v>
      </c>
      <c r="E955" s="408">
        <v>1</v>
      </c>
      <c r="F955" s="409"/>
      <c r="G955" s="410">
        <f t="shared" si="39"/>
        <v>0</v>
      </c>
      <c r="H955" s="411"/>
      <c r="I955" s="407"/>
      <c r="J955" s="411"/>
      <c r="K955" s="407" t="s">
        <v>2013</v>
      </c>
      <c r="L955" s="412" t="s">
        <v>2014</v>
      </c>
      <c r="M955" s="407" t="s">
        <v>2018</v>
      </c>
      <c r="N955" s="412"/>
      <c r="O955" s="412"/>
      <c r="P955" s="412" t="s">
        <v>711</v>
      </c>
      <c r="Q955" s="413" t="s">
        <v>726</v>
      </c>
      <c r="R955" s="413" t="s">
        <v>249</v>
      </c>
      <c r="S955" s="414" t="s">
        <v>800</v>
      </c>
      <c r="T955" s="414"/>
      <c r="U955" s="415"/>
      <c r="V955" s="416"/>
      <c r="W955" s="417"/>
      <c r="X955" s="417"/>
      <c r="Y955" s="418" t="s">
        <v>377</v>
      </c>
      <c r="Z955" s="419"/>
      <c r="AA955" s="492"/>
    </row>
    <row r="956" spans="1:27" s="128" customFormat="1" ht="18" customHeight="1">
      <c r="A956" s="405">
        <v>34</v>
      </c>
      <c r="B956" s="407" t="s">
        <v>2061</v>
      </c>
      <c r="C956" s="406" t="s">
        <v>80</v>
      </c>
      <c r="D956" s="407" t="s">
        <v>2062</v>
      </c>
      <c r="E956" s="408">
        <v>1</v>
      </c>
      <c r="F956" s="409"/>
      <c r="G956" s="410">
        <f t="shared" si="39"/>
        <v>0</v>
      </c>
      <c r="H956" s="411"/>
      <c r="I956" s="407"/>
      <c r="J956" s="411"/>
      <c r="K956" s="407" t="s">
        <v>2013</v>
      </c>
      <c r="L956" s="412" t="s">
        <v>2014</v>
      </c>
      <c r="M956" s="407" t="s">
        <v>2018</v>
      </c>
      <c r="N956" s="412"/>
      <c r="O956" s="412"/>
      <c r="P956" s="412" t="s">
        <v>711</v>
      </c>
      <c r="Q956" s="413" t="s">
        <v>726</v>
      </c>
      <c r="R956" s="413" t="s">
        <v>249</v>
      </c>
      <c r="S956" s="414" t="s">
        <v>800</v>
      </c>
      <c r="T956" s="414"/>
      <c r="U956" s="415"/>
      <c r="V956" s="416"/>
      <c r="W956" s="417"/>
      <c r="X956" s="417"/>
      <c r="Y956" s="418" t="s">
        <v>377</v>
      </c>
      <c r="Z956" s="419"/>
      <c r="AA956" s="492"/>
    </row>
    <row r="957" spans="1:27" s="128" customFormat="1" ht="18" customHeight="1">
      <c r="A957" s="405">
        <v>35</v>
      </c>
      <c r="B957" s="407" t="s">
        <v>2063</v>
      </c>
      <c r="C957" s="406" t="s">
        <v>80</v>
      </c>
      <c r="D957" s="407" t="s">
        <v>2064</v>
      </c>
      <c r="E957" s="408">
        <v>1</v>
      </c>
      <c r="F957" s="409"/>
      <c r="G957" s="410">
        <f t="shared" si="39"/>
        <v>0</v>
      </c>
      <c r="H957" s="411"/>
      <c r="I957" s="407"/>
      <c r="J957" s="411"/>
      <c r="K957" s="407" t="s">
        <v>2013</v>
      </c>
      <c r="L957" s="412" t="s">
        <v>2014</v>
      </c>
      <c r="M957" s="407" t="s">
        <v>2018</v>
      </c>
      <c r="N957" s="412"/>
      <c r="O957" s="412"/>
      <c r="P957" s="412" t="s">
        <v>711</v>
      </c>
      <c r="Q957" s="413" t="s">
        <v>726</v>
      </c>
      <c r="R957" s="413" t="s">
        <v>249</v>
      </c>
      <c r="S957" s="414" t="s">
        <v>800</v>
      </c>
      <c r="T957" s="414"/>
      <c r="U957" s="415"/>
      <c r="V957" s="416"/>
      <c r="W957" s="417"/>
      <c r="X957" s="417"/>
      <c r="Y957" s="418" t="s">
        <v>377</v>
      </c>
      <c r="Z957" s="419"/>
      <c r="AA957" s="492"/>
    </row>
    <row r="958" spans="1:27" s="441" customFormat="1" ht="18" customHeight="1">
      <c r="A958" s="427">
        <v>36</v>
      </c>
      <c r="B958" s="428" t="s">
        <v>2065</v>
      </c>
      <c r="C958" s="429" t="s">
        <v>80</v>
      </c>
      <c r="D958" s="428" t="s">
        <v>2066</v>
      </c>
      <c r="E958" s="430">
        <v>1</v>
      </c>
      <c r="F958" s="431"/>
      <c r="G958" s="432">
        <f t="shared" si="39"/>
        <v>0</v>
      </c>
      <c r="H958" s="442"/>
      <c r="I958" s="428"/>
      <c r="J958" s="442"/>
      <c r="K958" s="428" t="s">
        <v>2013</v>
      </c>
      <c r="L958" s="433" t="s">
        <v>444</v>
      </c>
      <c r="M958" s="428" t="s">
        <v>444</v>
      </c>
      <c r="N958" s="433"/>
      <c r="O958" s="433"/>
      <c r="P958" s="433" t="s">
        <v>444</v>
      </c>
      <c r="Q958" s="434" t="s">
        <v>1514</v>
      </c>
      <c r="R958" s="434"/>
      <c r="S958" s="435" t="s">
        <v>444</v>
      </c>
      <c r="T958" s="435"/>
      <c r="U958" s="436"/>
      <c r="V958" s="437"/>
      <c r="W958" s="438"/>
      <c r="X958" s="438"/>
      <c r="Y958" s="439" t="s">
        <v>592</v>
      </c>
      <c r="Z958" s="440"/>
      <c r="AA958" s="495"/>
    </row>
    <row r="959" spans="1:27" s="128" customFormat="1" ht="18" customHeight="1">
      <c r="A959" s="405">
        <v>37</v>
      </c>
      <c r="B959" s="407" t="s">
        <v>2067</v>
      </c>
      <c r="C959" s="406" t="s">
        <v>80</v>
      </c>
      <c r="D959" s="407" t="s">
        <v>2068</v>
      </c>
      <c r="E959" s="408">
        <v>1</v>
      </c>
      <c r="F959" s="409"/>
      <c r="G959" s="410">
        <f t="shared" si="39"/>
        <v>0</v>
      </c>
      <c r="H959" s="411"/>
      <c r="I959" s="407"/>
      <c r="J959" s="411"/>
      <c r="K959" s="407" t="s">
        <v>2013</v>
      </c>
      <c r="L959" s="412" t="s">
        <v>2014</v>
      </c>
      <c r="M959" s="407" t="s">
        <v>2018</v>
      </c>
      <c r="N959" s="412"/>
      <c r="O959" s="412"/>
      <c r="P959" s="412" t="s">
        <v>711</v>
      </c>
      <c r="Q959" s="413" t="s">
        <v>726</v>
      </c>
      <c r="R959" s="413" t="s">
        <v>249</v>
      </c>
      <c r="S959" s="414" t="s">
        <v>800</v>
      </c>
      <c r="T959" s="414"/>
      <c r="U959" s="415"/>
      <c r="V959" s="416"/>
      <c r="W959" s="417"/>
      <c r="X959" s="417"/>
      <c r="Y959" s="418" t="s">
        <v>377</v>
      </c>
      <c r="Z959" s="419"/>
      <c r="AA959" s="492"/>
    </row>
    <row r="960" spans="1:27" s="128" customFormat="1" ht="18" customHeight="1">
      <c r="A960" s="405">
        <v>38</v>
      </c>
      <c r="B960" s="407" t="s">
        <v>2069</v>
      </c>
      <c r="C960" s="406" t="s">
        <v>80</v>
      </c>
      <c r="D960" s="407" t="s">
        <v>2070</v>
      </c>
      <c r="E960" s="408">
        <v>1</v>
      </c>
      <c r="F960" s="409"/>
      <c r="G960" s="410">
        <f t="shared" si="39"/>
        <v>0</v>
      </c>
      <c r="H960" s="411"/>
      <c r="I960" s="407"/>
      <c r="J960" s="411"/>
      <c r="K960" s="407" t="s">
        <v>2013</v>
      </c>
      <c r="L960" s="412" t="s">
        <v>2014</v>
      </c>
      <c r="M960" s="407" t="s">
        <v>2018</v>
      </c>
      <c r="N960" s="412"/>
      <c r="O960" s="412"/>
      <c r="P960" s="412" t="s">
        <v>711</v>
      </c>
      <c r="Q960" s="413" t="s">
        <v>726</v>
      </c>
      <c r="R960" s="413" t="s">
        <v>249</v>
      </c>
      <c r="S960" s="414" t="s">
        <v>800</v>
      </c>
      <c r="T960" s="414"/>
      <c r="U960" s="415"/>
      <c r="V960" s="416"/>
      <c r="W960" s="417"/>
      <c r="X960" s="417"/>
      <c r="Y960" s="418" t="s">
        <v>377</v>
      </c>
      <c r="Z960" s="419"/>
      <c r="AA960" s="492"/>
    </row>
    <row r="961" spans="1:27" s="128" customFormat="1" ht="18" customHeight="1">
      <c r="A961" s="405">
        <v>39</v>
      </c>
      <c r="B961" s="407" t="s">
        <v>2071</v>
      </c>
      <c r="C961" s="406" t="s">
        <v>80</v>
      </c>
      <c r="D961" s="407" t="s">
        <v>2072</v>
      </c>
      <c r="E961" s="408">
        <v>1</v>
      </c>
      <c r="F961" s="409"/>
      <c r="G961" s="410">
        <f t="shared" si="39"/>
        <v>0</v>
      </c>
      <c r="H961" s="411"/>
      <c r="I961" s="407"/>
      <c r="J961" s="411"/>
      <c r="K961" s="407" t="s">
        <v>2013</v>
      </c>
      <c r="L961" s="412" t="s">
        <v>2014</v>
      </c>
      <c r="M961" s="407" t="s">
        <v>2018</v>
      </c>
      <c r="N961" s="412"/>
      <c r="O961" s="412"/>
      <c r="P961" s="412" t="s">
        <v>711</v>
      </c>
      <c r="Q961" s="413" t="s">
        <v>726</v>
      </c>
      <c r="R961" s="413" t="s">
        <v>249</v>
      </c>
      <c r="S961" s="414" t="s">
        <v>800</v>
      </c>
      <c r="T961" s="414"/>
      <c r="U961" s="415"/>
      <c r="V961" s="416"/>
      <c r="W961" s="417"/>
      <c r="X961" s="417"/>
      <c r="Y961" s="418" t="s">
        <v>377</v>
      </c>
      <c r="Z961" s="419"/>
      <c r="AA961" s="492"/>
    </row>
    <row r="962" spans="1:27" s="128" customFormat="1" ht="18" customHeight="1">
      <c r="A962" s="443">
        <v>40</v>
      </c>
      <c r="B962" s="444" t="s">
        <v>407</v>
      </c>
      <c r="C962" s="445" t="s">
        <v>80</v>
      </c>
      <c r="D962" s="444" t="s">
        <v>408</v>
      </c>
      <c r="E962" s="446">
        <v>1</v>
      </c>
      <c r="F962" s="447"/>
      <c r="G962" s="448">
        <f t="shared" si="39"/>
        <v>0</v>
      </c>
      <c r="H962" s="449"/>
      <c r="I962" s="444"/>
      <c r="J962" s="449"/>
      <c r="K962" s="444" t="s">
        <v>2013</v>
      </c>
      <c r="L962" s="450" t="s">
        <v>2014</v>
      </c>
      <c r="M962" s="444" t="s">
        <v>2016</v>
      </c>
      <c r="N962" s="450"/>
      <c r="O962" s="450"/>
      <c r="P962" s="450" t="s">
        <v>1934</v>
      </c>
      <c r="Q962" s="451" t="s">
        <v>374</v>
      </c>
      <c r="R962" s="451" t="s">
        <v>404</v>
      </c>
      <c r="S962" s="452" t="s">
        <v>1446</v>
      </c>
      <c r="T962" s="452" t="s">
        <v>1358</v>
      </c>
      <c r="U962" s="453"/>
      <c r="V962" s="454"/>
      <c r="W962" s="455" t="s">
        <v>406</v>
      </c>
      <c r="X962" s="455">
        <v>45600</v>
      </c>
      <c r="Y962" s="456" t="s">
        <v>377</v>
      </c>
      <c r="Z962" s="457"/>
      <c r="AA962" s="494">
        <v>1</v>
      </c>
    </row>
    <row r="963" spans="1:27" s="128" customFormat="1" ht="18" customHeight="1">
      <c r="A963" s="405">
        <v>41</v>
      </c>
      <c r="B963" s="407" t="s">
        <v>2073</v>
      </c>
      <c r="C963" s="406" t="s">
        <v>80</v>
      </c>
      <c r="D963" s="407" t="s">
        <v>2074</v>
      </c>
      <c r="E963" s="408">
        <v>8</v>
      </c>
      <c r="F963" s="409"/>
      <c r="G963" s="410">
        <f t="shared" si="39"/>
        <v>0</v>
      </c>
      <c r="H963" s="411"/>
      <c r="I963" s="407"/>
      <c r="J963" s="411"/>
      <c r="K963" s="407" t="s">
        <v>2013</v>
      </c>
      <c r="L963" s="412" t="s">
        <v>2014</v>
      </c>
      <c r="M963" s="407" t="s">
        <v>2018</v>
      </c>
      <c r="N963" s="412"/>
      <c r="O963" s="412"/>
      <c r="P963" s="412" t="s">
        <v>711</v>
      </c>
      <c r="Q963" s="413" t="s">
        <v>726</v>
      </c>
      <c r="R963" s="413" t="s">
        <v>249</v>
      </c>
      <c r="S963" s="414" t="s">
        <v>800</v>
      </c>
      <c r="T963" s="414"/>
      <c r="U963" s="415"/>
      <c r="V963" s="416"/>
      <c r="W963" s="417"/>
      <c r="X963" s="417"/>
      <c r="Y963" s="418" t="s">
        <v>377</v>
      </c>
      <c r="Z963" s="419"/>
      <c r="AA963" s="492"/>
    </row>
    <row r="964" spans="1:27" s="128" customFormat="1" ht="18" customHeight="1">
      <c r="A964" s="405">
        <v>42</v>
      </c>
      <c r="B964" s="407" t="s">
        <v>2075</v>
      </c>
      <c r="C964" s="406" t="s">
        <v>80</v>
      </c>
      <c r="D964" s="407" t="s">
        <v>2076</v>
      </c>
      <c r="E964" s="408">
        <v>4</v>
      </c>
      <c r="F964" s="409"/>
      <c r="G964" s="410">
        <f t="shared" si="39"/>
        <v>0</v>
      </c>
      <c r="H964" s="411"/>
      <c r="I964" s="407"/>
      <c r="J964" s="411"/>
      <c r="K964" s="407" t="s">
        <v>2013</v>
      </c>
      <c r="L964" s="412" t="s">
        <v>2014</v>
      </c>
      <c r="M964" s="407" t="s">
        <v>2018</v>
      </c>
      <c r="N964" s="412"/>
      <c r="O964" s="412"/>
      <c r="P964" s="412" t="s">
        <v>711</v>
      </c>
      <c r="Q964" s="413" t="s">
        <v>726</v>
      </c>
      <c r="R964" s="413" t="s">
        <v>249</v>
      </c>
      <c r="S964" s="414" t="s">
        <v>800</v>
      </c>
      <c r="T964" s="414"/>
      <c r="U964" s="415"/>
      <c r="V964" s="416"/>
      <c r="W964" s="417"/>
      <c r="X964" s="417"/>
      <c r="Y964" s="418" t="s">
        <v>377</v>
      </c>
      <c r="Z964" s="419"/>
      <c r="AA964" s="492"/>
    </row>
    <row r="965" spans="1:27" s="128" customFormat="1" ht="18" customHeight="1">
      <c r="A965" s="405">
        <v>43</v>
      </c>
      <c r="B965" s="407" t="s">
        <v>2077</v>
      </c>
      <c r="C965" s="406" t="s">
        <v>80</v>
      </c>
      <c r="D965" s="407" t="s">
        <v>2078</v>
      </c>
      <c r="E965" s="408">
        <v>4</v>
      </c>
      <c r="F965" s="409"/>
      <c r="G965" s="410">
        <f t="shared" si="39"/>
        <v>0</v>
      </c>
      <c r="H965" s="411"/>
      <c r="I965" s="407"/>
      <c r="J965" s="411"/>
      <c r="K965" s="407" t="s">
        <v>2013</v>
      </c>
      <c r="L965" s="412" t="s">
        <v>2014</v>
      </c>
      <c r="M965" s="407" t="s">
        <v>2018</v>
      </c>
      <c r="N965" s="412"/>
      <c r="O965" s="412"/>
      <c r="P965" s="412" t="s">
        <v>711</v>
      </c>
      <c r="Q965" s="413" t="s">
        <v>726</v>
      </c>
      <c r="R965" s="413" t="s">
        <v>249</v>
      </c>
      <c r="S965" s="414" t="s">
        <v>800</v>
      </c>
      <c r="T965" s="414"/>
      <c r="U965" s="415"/>
      <c r="V965" s="416"/>
      <c r="W965" s="417"/>
      <c r="X965" s="417"/>
      <c r="Y965" s="418" t="s">
        <v>377</v>
      </c>
      <c r="Z965" s="419"/>
      <c r="AA965" s="492"/>
    </row>
    <row r="966" spans="1:27" s="128" customFormat="1" ht="18" customHeight="1">
      <c r="A966" s="405">
        <v>44</v>
      </c>
      <c r="B966" s="407" t="s">
        <v>479</v>
      </c>
      <c r="C966" s="406" t="s">
        <v>80</v>
      </c>
      <c r="D966" s="407" t="s">
        <v>480</v>
      </c>
      <c r="E966" s="408">
        <v>4</v>
      </c>
      <c r="F966" s="409"/>
      <c r="G966" s="410">
        <f t="shared" si="39"/>
        <v>0</v>
      </c>
      <c r="H966" s="411"/>
      <c r="I966" s="407"/>
      <c r="J966" s="411"/>
      <c r="K966" s="407" t="s">
        <v>2013</v>
      </c>
      <c r="L966" s="412" t="s">
        <v>2014</v>
      </c>
      <c r="M966" s="407" t="s">
        <v>2016</v>
      </c>
      <c r="N966" s="412"/>
      <c r="O966" s="412"/>
      <c r="P966" s="412" t="s">
        <v>1934</v>
      </c>
      <c r="Q966" s="413" t="s">
        <v>726</v>
      </c>
      <c r="R966" s="413" t="s">
        <v>404</v>
      </c>
      <c r="S966" s="414" t="s">
        <v>1446</v>
      </c>
      <c r="T966" s="414">
        <v>45622</v>
      </c>
      <c r="U966" s="415"/>
      <c r="V966" s="416"/>
      <c r="W966" s="417"/>
      <c r="X966" s="417"/>
      <c r="Y966" s="418" t="s">
        <v>377</v>
      </c>
      <c r="Z966" s="419"/>
      <c r="AA966" s="492">
        <v>1</v>
      </c>
    </row>
    <row r="967" spans="1:27" s="441" customFormat="1" ht="18" customHeight="1">
      <c r="A967" s="427">
        <v>45</v>
      </c>
      <c r="B967" s="428" t="s">
        <v>2079</v>
      </c>
      <c r="C967" s="429" t="s">
        <v>80</v>
      </c>
      <c r="D967" s="428" t="s">
        <v>2080</v>
      </c>
      <c r="E967" s="430">
        <v>9</v>
      </c>
      <c r="F967" s="431"/>
      <c r="G967" s="432">
        <f t="shared" si="39"/>
        <v>0</v>
      </c>
      <c r="H967" s="442"/>
      <c r="I967" s="428"/>
      <c r="J967" s="442"/>
      <c r="K967" s="428" t="s">
        <v>2013</v>
      </c>
      <c r="L967" s="433" t="s">
        <v>2014</v>
      </c>
      <c r="M967" s="428" t="s">
        <v>2018</v>
      </c>
      <c r="N967" s="433"/>
      <c r="O967" s="433"/>
      <c r="P967" s="433" t="s">
        <v>444</v>
      </c>
      <c r="Q967" s="434" t="s">
        <v>591</v>
      </c>
      <c r="R967" s="434" t="s">
        <v>249</v>
      </c>
      <c r="S967" s="435" t="s">
        <v>800</v>
      </c>
      <c r="T967" s="435"/>
      <c r="U967" s="436"/>
      <c r="V967" s="437"/>
      <c r="W967" s="438"/>
      <c r="X967" s="438"/>
      <c r="Y967" s="439" t="s">
        <v>592</v>
      </c>
      <c r="Z967" s="440"/>
      <c r="AA967" s="495"/>
    </row>
    <row r="968" spans="1:27" s="128" customFormat="1" ht="18" customHeight="1">
      <c r="A968" s="405">
        <v>46</v>
      </c>
      <c r="B968" s="407" t="s">
        <v>2081</v>
      </c>
      <c r="C968" s="406" t="s">
        <v>80</v>
      </c>
      <c r="D968" s="407" t="s">
        <v>2082</v>
      </c>
      <c r="E968" s="408">
        <v>2</v>
      </c>
      <c r="F968" s="409"/>
      <c r="G968" s="410">
        <f t="shared" si="39"/>
        <v>0</v>
      </c>
      <c r="H968" s="411"/>
      <c r="I968" s="407"/>
      <c r="J968" s="411"/>
      <c r="K968" s="407" t="s">
        <v>2013</v>
      </c>
      <c r="L968" s="412" t="s">
        <v>2014</v>
      </c>
      <c r="M968" s="407" t="s">
        <v>2018</v>
      </c>
      <c r="N968" s="412"/>
      <c r="O968" s="412"/>
      <c r="P968" s="412" t="s">
        <v>711</v>
      </c>
      <c r="Q968" s="413" t="s">
        <v>726</v>
      </c>
      <c r="R968" s="413" t="s">
        <v>249</v>
      </c>
      <c r="S968" s="414" t="s">
        <v>800</v>
      </c>
      <c r="T968" s="414"/>
      <c r="U968" s="415"/>
      <c r="V968" s="416"/>
      <c r="W968" s="417"/>
      <c r="X968" s="417"/>
      <c r="Y968" s="418" t="s">
        <v>377</v>
      </c>
      <c r="Z968" s="419"/>
      <c r="AA968" s="492"/>
    </row>
    <row r="969" spans="1:27" s="128" customFormat="1" ht="18" customHeight="1">
      <c r="A969" s="405">
        <v>47</v>
      </c>
      <c r="B969" s="407" t="s">
        <v>2083</v>
      </c>
      <c r="C969" s="406" t="s">
        <v>80</v>
      </c>
      <c r="D969" s="407" t="s">
        <v>2084</v>
      </c>
      <c r="E969" s="408">
        <v>2</v>
      </c>
      <c r="F969" s="409"/>
      <c r="G969" s="410">
        <f t="shared" si="39"/>
        <v>0</v>
      </c>
      <c r="H969" s="411"/>
      <c r="I969" s="407"/>
      <c r="J969" s="411"/>
      <c r="K969" s="407" t="s">
        <v>2013</v>
      </c>
      <c r="L969" s="412" t="s">
        <v>2014</v>
      </c>
      <c r="M969" s="407" t="s">
        <v>2018</v>
      </c>
      <c r="N969" s="412"/>
      <c r="O969" s="412"/>
      <c r="P969" s="412" t="s">
        <v>711</v>
      </c>
      <c r="Q969" s="413" t="s">
        <v>726</v>
      </c>
      <c r="R969" s="413" t="s">
        <v>249</v>
      </c>
      <c r="S969" s="414" t="s">
        <v>800</v>
      </c>
      <c r="T969" s="414"/>
      <c r="U969" s="415"/>
      <c r="V969" s="416"/>
      <c r="W969" s="417"/>
      <c r="X969" s="417"/>
      <c r="Y969" s="418" t="s">
        <v>377</v>
      </c>
      <c r="Z969" s="419"/>
      <c r="AA969" s="492"/>
    </row>
    <row r="970" spans="1:27" s="128" customFormat="1" ht="18" customHeight="1">
      <c r="A970" s="405">
        <v>48</v>
      </c>
      <c r="B970" s="407" t="s">
        <v>2085</v>
      </c>
      <c r="C970" s="406" t="s">
        <v>80</v>
      </c>
      <c r="D970" s="407" t="s">
        <v>2086</v>
      </c>
      <c r="E970" s="408">
        <v>11</v>
      </c>
      <c r="F970" s="409"/>
      <c r="G970" s="410">
        <f t="shared" si="39"/>
        <v>0</v>
      </c>
      <c r="H970" s="411"/>
      <c r="I970" s="407"/>
      <c r="J970" s="411"/>
      <c r="K970" s="407" t="s">
        <v>2013</v>
      </c>
      <c r="L970" s="412" t="s">
        <v>2014</v>
      </c>
      <c r="M970" s="407" t="s">
        <v>2018</v>
      </c>
      <c r="N970" s="412"/>
      <c r="O970" s="412"/>
      <c r="P970" s="412" t="s">
        <v>711</v>
      </c>
      <c r="Q970" s="413" t="s">
        <v>726</v>
      </c>
      <c r="R970" s="413" t="s">
        <v>249</v>
      </c>
      <c r="S970" s="414" t="s">
        <v>800</v>
      </c>
      <c r="T970" s="414"/>
      <c r="U970" s="415"/>
      <c r="V970" s="416"/>
      <c r="W970" s="417"/>
      <c r="X970" s="417"/>
      <c r="Y970" s="418" t="s">
        <v>377</v>
      </c>
      <c r="Z970" s="419"/>
      <c r="AA970" s="492"/>
    </row>
    <row r="971" spans="1:27" s="128" customFormat="1" ht="18" customHeight="1">
      <c r="A971" s="405">
        <v>49</v>
      </c>
      <c r="B971" s="407" t="s">
        <v>2087</v>
      </c>
      <c r="C971" s="406" t="s">
        <v>80</v>
      </c>
      <c r="D971" s="407" t="s">
        <v>2088</v>
      </c>
      <c r="E971" s="408">
        <v>11</v>
      </c>
      <c r="F971" s="409"/>
      <c r="G971" s="410">
        <f t="shared" ref="G971:G999" si="40">E971*F971</f>
        <v>0</v>
      </c>
      <c r="H971" s="411"/>
      <c r="I971" s="407"/>
      <c r="J971" s="411"/>
      <c r="K971" s="407" t="s">
        <v>2013</v>
      </c>
      <c r="L971" s="412" t="s">
        <v>2014</v>
      </c>
      <c r="M971" s="407" t="s">
        <v>2018</v>
      </c>
      <c r="N971" s="412"/>
      <c r="O971" s="412"/>
      <c r="P971" s="412" t="s">
        <v>711</v>
      </c>
      <c r="Q971" s="413" t="s">
        <v>726</v>
      </c>
      <c r="R971" s="413" t="s">
        <v>249</v>
      </c>
      <c r="S971" s="414" t="s">
        <v>800</v>
      </c>
      <c r="T971" s="414"/>
      <c r="U971" s="415"/>
      <c r="V971" s="416"/>
      <c r="W971" s="417"/>
      <c r="X971" s="417"/>
      <c r="Y971" s="418" t="s">
        <v>377</v>
      </c>
      <c r="Z971" s="419"/>
      <c r="AA971" s="492"/>
    </row>
    <row r="972" spans="1:27" s="128" customFormat="1" ht="18" customHeight="1">
      <c r="A972" s="405">
        <v>50</v>
      </c>
      <c r="B972" s="407" t="s">
        <v>2089</v>
      </c>
      <c r="C972" s="406" t="s">
        <v>80</v>
      </c>
      <c r="D972" s="407" t="s">
        <v>2090</v>
      </c>
      <c r="E972" s="408">
        <v>6</v>
      </c>
      <c r="F972" s="409"/>
      <c r="G972" s="410">
        <f t="shared" si="40"/>
        <v>0</v>
      </c>
      <c r="H972" s="411"/>
      <c r="I972" s="407"/>
      <c r="J972" s="411"/>
      <c r="K972" s="407" t="s">
        <v>2013</v>
      </c>
      <c r="L972" s="412" t="s">
        <v>2014</v>
      </c>
      <c r="M972" s="407" t="s">
        <v>2018</v>
      </c>
      <c r="N972" s="412"/>
      <c r="O972" s="412"/>
      <c r="P972" s="412" t="s">
        <v>711</v>
      </c>
      <c r="Q972" s="413" t="s">
        <v>726</v>
      </c>
      <c r="R972" s="413" t="s">
        <v>249</v>
      </c>
      <c r="S972" s="414" t="s">
        <v>800</v>
      </c>
      <c r="T972" s="414"/>
      <c r="U972" s="415"/>
      <c r="V972" s="416"/>
      <c r="W972" s="417"/>
      <c r="X972" s="417"/>
      <c r="Y972" s="418" t="s">
        <v>377</v>
      </c>
      <c r="Z972" s="419"/>
      <c r="AA972" s="492"/>
    </row>
    <row r="973" spans="1:27" s="128" customFormat="1" ht="18" customHeight="1">
      <c r="A973" s="405">
        <v>51</v>
      </c>
      <c r="B973" s="407" t="s">
        <v>2091</v>
      </c>
      <c r="C973" s="406" t="s">
        <v>80</v>
      </c>
      <c r="D973" s="407" t="s">
        <v>2092</v>
      </c>
      <c r="E973" s="408">
        <v>8</v>
      </c>
      <c r="F973" s="409"/>
      <c r="G973" s="410">
        <f t="shared" si="40"/>
        <v>0</v>
      </c>
      <c r="H973" s="411"/>
      <c r="I973" s="407"/>
      <c r="J973" s="411"/>
      <c r="K973" s="407" t="s">
        <v>2013</v>
      </c>
      <c r="L973" s="412" t="s">
        <v>2014</v>
      </c>
      <c r="M973" s="407" t="s">
        <v>2018</v>
      </c>
      <c r="N973" s="412"/>
      <c r="O973" s="412"/>
      <c r="P973" s="412" t="s">
        <v>711</v>
      </c>
      <c r="Q973" s="413" t="s">
        <v>726</v>
      </c>
      <c r="R973" s="413" t="s">
        <v>249</v>
      </c>
      <c r="S973" s="414" t="s">
        <v>800</v>
      </c>
      <c r="T973" s="414"/>
      <c r="U973" s="415"/>
      <c r="V973" s="416"/>
      <c r="W973" s="417"/>
      <c r="X973" s="417"/>
      <c r="Y973" s="418" t="s">
        <v>377</v>
      </c>
      <c r="Z973" s="419"/>
      <c r="AA973" s="492"/>
    </row>
    <row r="974" spans="1:27" s="128" customFormat="1" ht="18" customHeight="1">
      <c r="A974" s="405">
        <v>52</v>
      </c>
      <c r="B974" s="407" t="s">
        <v>2093</v>
      </c>
      <c r="C974" s="406" t="s">
        <v>80</v>
      </c>
      <c r="D974" s="407" t="s">
        <v>2094</v>
      </c>
      <c r="E974" s="408">
        <v>1</v>
      </c>
      <c r="F974" s="409"/>
      <c r="G974" s="410">
        <f t="shared" si="40"/>
        <v>0</v>
      </c>
      <c r="H974" s="411"/>
      <c r="I974" s="407"/>
      <c r="J974" s="411"/>
      <c r="K974" s="407" t="s">
        <v>2013</v>
      </c>
      <c r="L974" s="412" t="s">
        <v>2014</v>
      </c>
      <c r="M974" s="407" t="s">
        <v>2018</v>
      </c>
      <c r="N974" s="412"/>
      <c r="O974" s="412"/>
      <c r="P974" s="412" t="s">
        <v>711</v>
      </c>
      <c r="Q974" s="413" t="s">
        <v>726</v>
      </c>
      <c r="R974" s="413" t="s">
        <v>249</v>
      </c>
      <c r="S974" s="414" t="s">
        <v>800</v>
      </c>
      <c r="T974" s="414"/>
      <c r="U974" s="415"/>
      <c r="V974" s="416"/>
      <c r="W974" s="417"/>
      <c r="X974" s="417"/>
      <c r="Y974" s="418" t="s">
        <v>377</v>
      </c>
      <c r="Z974" s="419"/>
      <c r="AA974" s="492"/>
    </row>
    <row r="975" spans="1:27" s="128" customFormat="1" ht="18" customHeight="1">
      <c r="A975" s="405">
        <v>53</v>
      </c>
      <c r="B975" s="407" t="s">
        <v>2095</v>
      </c>
      <c r="C975" s="406" t="s">
        <v>80</v>
      </c>
      <c r="D975" s="407" t="s">
        <v>2096</v>
      </c>
      <c r="E975" s="408">
        <v>6</v>
      </c>
      <c r="F975" s="409"/>
      <c r="G975" s="410">
        <f t="shared" si="40"/>
        <v>0</v>
      </c>
      <c r="H975" s="411"/>
      <c r="I975" s="407"/>
      <c r="J975" s="411"/>
      <c r="K975" s="407" t="s">
        <v>2013</v>
      </c>
      <c r="L975" s="412" t="s">
        <v>2014</v>
      </c>
      <c r="M975" s="407" t="s">
        <v>2018</v>
      </c>
      <c r="N975" s="412"/>
      <c r="O975" s="412"/>
      <c r="P975" s="412" t="s">
        <v>711</v>
      </c>
      <c r="Q975" s="413" t="s">
        <v>726</v>
      </c>
      <c r="R975" s="413" t="s">
        <v>249</v>
      </c>
      <c r="S975" s="414" t="s">
        <v>800</v>
      </c>
      <c r="T975" s="414"/>
      <c r="U975" s="415"/>
      <c r="V975" s="416"/>
      <c r="W975" s="417"/>
      <c r="X975" s="417"/>
      <c r="Y975" s="418" t="s">
        <v>377</v>
      </c>
      <c r="Z975" s="419"/>
      <c r="AA975" s="492"/>
    </row>
    <row r="976" spans="1:27" s="128" customFormat="1" ht="18" customHeight="1">
      <c r="A976" s="405">
        <v>54</v>
      </c>
      <c r="B976" s="407" t="s">
        <v>2097</v>
      </c>
      <c r="C976" s="406" t="s">
        <v>80</v>
      </c>
      <c r="D976" s="407" t="s">
        <v>2098</v>
      </c>
      <c r="E976" s="408">
        <v>6</v>
      </c>
      <c r="F976" s="409"/>
      <c r="G976" s="410">
        <f t="shared" si="40"/>
        <v>0</v>
      </c>
      <c r="H976" s="411"/>
      <c r="I976" s="407"/>
      <c r="J976" s="411"/>
      <c r="K976" s="407" t="s">
        <v>2013</v>
      </c>
      <c r="L976" s="412" t="s">
        <v>2014</v>
      </c>
      <c r="M976" s="407" t="s">
        <v>2018</v>
      </c>
      <c r="N976" s="412"/>
      <c r="O976" s="412"/>
      <c r="P976" s="412" t="s">
        <v>711</v>
      </c>
      <c r="Q976" s="413" t="s">
        <v>726</v>
      </c>
      <c r="R976" s="413" t="s">
        <v>249</v>
      </c>
      <c r="S976" s="414" t="s">
        <v>800</v>
      </c>
      <c r="T976" s="414"/>
      <c r="U976" s="415"/>
      <c r="V976" s="416"/>
      <c r="W976" s="417"/>
      <c r="X976" s="417"/>
      <c r="Y976" s="418" t="s">
        <v>377</v>
      </c>
      <c r="Z976" s="419"/>
      <c r="AA976" s="492"/>
    </row>
    <row r="977" spans="1:27" s="128" customFormat="1" ht="18" customHeight="1">
      <c r="A977" s="405">
        <v>55</v>
      </c>
      <c r="B977" s="407" t="s">
        <v>2099</v>
      </c>
      <c r="C977" s="406" t="s">
        <v>80</v>
      </c>
      <c r="D977" s="407" t="s">
        <v>2100</v>
      </c>
      <c r="E977" s="408">
        <v>4</v>
      </c>
      <c r="F977" s="409"/>
      <c r="G977" s="410">
        <f t="shared" si="40"/>
        <v>0</v>
      </c>
      <c r="H977" s="411"/>
      <c r="I977" s="407"/>
      <c r="J977" s="411"/>
      <c r="K977" s="407" t="s">
        <v>2013</v>
      </c>
      <c r="L977" s="412" t="s">
        <v>2014</v>
      </c>
      <c r="M977" s="407" t="s">
        <v>2049</v>
      </c>
      <c r="N977" s="412"/>
      <c r="O977" s="412"/>
      <c r="P977" s="412" t="s">
        <v>1934</v>
      </c>
      <c r="Q977" s="413" t="s">
        <v>726</v>
      </c>
      <c r="R977" s="413" t="s">
        <v>263</v>
      </c>
      <c r="S977" s="414" t="s">
        <v>800</v>
      </c>
      <c r="T977" s="414"/>
      <c r="U977" s="415"/>
      <c r="V977" s="416"/>
      <c r="W977" s="417"/>
      <c r="X977" s="417"/>
      <c r="Y977" s="418" t="s">
        <v>377</v>
      </c>
      <c r="Z977" s="419"/>
      <c r="AA977" s="492"/>
    </row>
    <row r="978" spans="1:27" s="128" customFormat="1" ht="18" customHeight="1">
      <c r="A978" s="405">
        <v>56</v>
      </c>
      <c r="B978" s="407" t="s">
        <v>2101</v>
      </c>
      <c r="C978" s="406" t="s">
        <v>80</v>
      </c>
      <c r="D978" s="407" t="s">
        <v>2102</v>
      </c>
      <c r="E978" s="408">
        <v>4</v>
      </c>
      <c r="F978" s="409"/>
      <c r="G978" s="410">
        <f t="shared" si="40"/>
        <v>0</v>
      </c>
      <c r="H978" s="411"/>
      <c r="I978" s="407"/>
      <c r="J978" s="411"/>
      <c r="K978" s="407" t="s">
        <v>2013</v>
      </c>
      <c r="L978" s="412" t="s">
        <v>2014</v>
      </c>
      <c r="M978" s="407" t="s">
        <v>2103</v>
      </c>
      <c r="N978" s="412"/>
      <c r="O978" s="412"/>
      <c r="P978" s="412" t="s">
        <v>1934</v>
      </c>
      <c r="Q978" s="413" t="s">
        <v>726</v>
      </c>
      <c r="R978" s="413" t="s">
        <v>470</v>
      </c>
      <c r="S978" s="414" t="s">
        <v>2104</v>
      </c>
      <c r="T978" s="414" t="s">
        <v>2105</v>
      </c>
      <c r="U978" s="415"/>
      <c r="V978" s="416"/>
      <c r="W978" s="417"/>
      <c r="X978" s="417"/>
      <c r="Y978" s="418" t="s">
        <v>377</v>
      </c>
      <c r="Z978" s="419"/>
      <c r="AA978" s="492"/>
    </row>
    <row r="979" spans="1:27" s="128" customFormat="1" ht="18" customHeight="1">
      <c r="A979" s="405">
        <v>57</v>
      </c>
      <c r="B979" s="407" t="s">
        <v>2106</v>
      </c>
      <c r="C979" s="406" t="s">
        <v>80</v>
      </c>
      <c r="D979" s="407" t="s">
        <v>2107</v>
      </c>
      <c r="E979" s="408">
        <v>4</v>
      </c>
      <c r="F979" s="409"/>
      <c r="G979" s="410">
        <f t="shared" si="40"/>
        <v>0</v>
      </c>
      <c r="H979" s="411"/>
      <c r="I979" s="407"/>
      <c r="J979" s="411"/>
      <c r="K979" s="407" t="s">
        <v>2013</v>
      </c>
      <c r="L979" s="412" t="s">
        <v>2014</v>
      </c>
      <c r="M979" s="407" t="s">
        <v>2018</v>
      </c>
      <c r="N979" s="412"/>
      <c r="O979" s="412"/>
      <c r="P979" s="412" t="s">
        <v>711</v>
      </c>
      <c r="Q979" s="413" t="s">
        <v>726</v>
      </c>
      <c r="R979" s="413" t="s">
        <v>249</v>
      </c>
      <c r="S979" s="414" t="s">
        <v>800</v>
      </c>
      <c r="T979" s="414"/>
      <c r="U979" s="415"/>
      <c r="V979" s="416"/>
      <c r="W979" s="417"/>
      <c r="X979" s="417"/>
      <c r="Y979" s="418" t="s">
        <v>377</v>
      </c>
      <c r="Z979" s="419"/>
      <c r="AA979" s="492"/>
    </row>
    <row r="980" spans="1:27" s="128" customFormat="1" ht="18" customHeight="1">
      <c r="A980" s="405">
        <v>58</v>
      </c>
      <c r="B980" s="407" t="s">
        <v>2108</v>
      </c>
      <c r="C980" s="406" t="s">
        <v>80</v>
      </c>
      <c r="D980" s="407" t="s">
        <v>2109</v>
      </c>
      <c r="E980" s="408">
        <v>4</v>
      </c>
      <c r="F980" s="409"/>
      <c r="G980" s="410">
        <f t="shared" si="40"/>
        <v>0</v>
      </c>
      <c r="H980" s="411"/>
      <c r="I980" s="407"/>
      <c r="J980" s="411"/>
      <c r="K980" s="407" t="s">
        <v>2013</v>
      </c>
      <c r="L980" s="412" t="s">
        <v>2014</v>
      </c>
      <c r="M980" s="407" t="s">
        <v>2018</v>
      </c>
      <c r="N980" s="412"/>
      <c r="O980" s="412"/>
      <c r="P980" s="412" t="s">
        <v>711</v>
      </c>
      <c r="Q980" s="413" t="s">
        <v>726</v>
      </c>
      <c r="R980" s="413" t="s">
        <v>249</v>
      </c>
      <c r="S980" s="414" t="s">
        <v>800</v>
      </c>
      <c r="T980" s="414"/>
      <c r="U980" s="415"/>
      <c r="V980" s="416"/>
      <c r="W980" s="417"/>
      <c r="X980" s="417"/>
      <c r="Y980" s="418" t="s">
        <v>377</v>
      </c>
      <c r="Z980" s="419"/>
      <c r="AA980" s="492"/>
    </row>
    <row r="981" spans="1:27" s="128" customFormat="1" ht="18" customHeight="1">
      <c r="A981" s="405">
        <v>59</v>
      </c>
      <c r="B981" s="407" t="s">
        <v>2110</v>
      </c>
      <c r="C981" s="406" t="s">
        <v>80</v>
      </c>
      <c r="D981" s="407" t="s">
        <v>1122</v>
      </c>
      <c r="E981" s="408">
        <v>4</v>
      </c>
      <c r="F981" s="409"/>
      <c r="G981" s="410">
        <f t="shared" si="40"/>
        <v>0</v>
      </c>
      <c r="H981" s="411"/>
      <c r="I981" s="407"/>
      <c r="J981" s="411"/>
      <c r="K981" s="407" t="s">
        <v>2013</v>
      </c>
      <c r="L981" s="412" t="s">
        <v>2014</v>
      </c>
      <c r="M981" s="407" t="s">
        <v>2049</v>
      </c>
      <c r="N981" s="412"/>
      <c r="O981" s="412"/>
      <c r="P981" s="412" t="s">
        <v>1934</v>
      </c>
      <c r="Q981" s="413" t="s">
        <v>726</v>
      </c>
      <c r="R981" s="413" t="s">
        <v>263</v>
      </c>
      <c r="S981" s="414" t="s">
        <v>800</v>
      </c>
      <c r="T981" s="414"/>
      <c r="U981" s="415"/>
      <c r="V981" s="416"/>
      <c r="W981" s="417"/>
      <c r="X981" s="417"/>
      <c r="Y981" s="418" t="s">
        <v>377</v>
      </c>
      <c r="Z981" s="419"/>
      <c r="AA981" s="492"/>
    </row>
    <row r="982" spans="1:27" s="128" customFormat="1" ht="18" customHeight="1">
      <c r="A982" s="443">
        <v>60</v>
      </c>
      <c r="B982" s="444" t="s">
        <v>2111</v>
      </c>
      <c r="C982" s="445" t="s">
        <v>80</v>
      </c>
      <c r="D982" s="444" t="s">
        <v>2112</v>
      </c>
      <c r="E982" s="446">
        <v>4</v>
      </c>
      <c r="F982" s="447"/>
      <c r="G982" s="448">
        <f t="shared" si="40"/>
        <v>0</v>
      </c>
      <c r="H982" s="449"/>
      <c r="I982" s="444"/>
      <c r="J982" s="449"/>
      <c r="K982" s="444" t="s">
        <v>2013</v>
      </c>
      <c r="L982" s="450" t="s">
        <v>2014</v>
      </c>
      <c r="M982" s="444" t="s">
        <v>2018</v>
      </c>
      <c r="N982" s="450"/>
      <c r="O982" s="450"/>
      <c r="P982" s="450" t="s">
        <v>711</v>
      </c>
      <c r="Q982" s="451" t="s">
        <v>1176</v>
      </c>
      <c r="R982" s="451" t="s">
        <v>249</v>
      </c>
      <c r="S982" s="452" t="s">
        <v>800</v>
      </c>
      <c r="T982" s="452" t="s">
        <v>2113</v>
      </c>
      <c r="U982" s="453"/>
      <c r="V982" s="454"/>
      <c r="W982" s="455" t="s">
        <v>406</v>
      </c>
      <c r="X982" s="455">
        <v>45601</v>
      </c>
      <c r="Y982" s="456" t="s">
        <v>377</v>
      </c>
      <c r="Z982" s="457"/>
      <c r="AA982" s="494"/>
    </row>
    <row r="983" spans="1:27" s="128" customFormat="1" ht="18" customHeight="1">
      <c r="A983" s="405">
        <v>61</v>
      </c>
      <c r="B983" s="407" t="s">
        <v>2114</v>
      </c>
      <c r="C983" s="406" t="s">
        <v>80</v>
      </c>
      <c r="D983" s="407" t="s">
        <v>2115</v>
      </c>
      <c r="E983" s="408">
        <v>12</v>
      </c>
      <c r="F983" s="409"/>
      <c r="G983" s="410">
        <f t="shared" si="40"/>
        <v>0</v>
      </c>
      <c r="H983" s="411"/>
      <c r="I983" s="407"/>
      <c r="J983" s="411"/>
      <c r="K983" s="407" t="s">
        <v>2013</v>
      </c>
      <c r="L983" s="412" t="s">
        <v>2014</v>
      </c>
      <c r="M983" s="407" t="s">
        <v>2018</v>
      </c>
      <c r="N983" s="412"/>
      <c r="O983" s="412"/>
      <c r="P983" s="412" t="s">
        <v>711</v>
      </c>
      <c r="Q983" s="413" t="s">
        <v>726</v>
      </c>
      <c r="R983" s="413" t="s">
        <v>249</v>
      </c>
      <c r="S983" s="414" t="s">
        <v>800</v>
      </c>
      <c r="T983" s="414"/>
      <c r="U983" s="415"/>
      <c r="V983" s="416"/>
      <c r="W983" s="417"/>
      <c r="X983" s="417"/>
      <c r="Y983" s="418" t="s">
        <v>377</v>
      </c>
      <c r="Z983" s="419"/>
      <c r="AA983" s="492"/>
    </row>
    <row r="984" spans="1:27" s="441" customFormat="1" ht="18" customHeight="1">
      <c r="A984" s="427">
        <v>62</v>
      </c>
      <c r="B984" s="428" t="s">
        <v>2116</v>
      </c>
      <c r="C984" s="429" t="s">
        <v>80</v>
      </c>
      <c r="D984" s="428" t="s">
        <v>2117</v>
      </c>
      <c r="E984" s="430">
        <v>12</v>
      </c>
      <c r="F984" s="431"/>
      <c r="G984" s="432">
        <f t="shared" si="40"/>
        <v>0</v>
      </c>
      <c r="H984" s="442"/>
      <c r="I984" s="428"/>
      <c r="J984" s="442"/>
      <c r="K984" s="428" t="s">
        <v>2013</v>
      </c>
      <c r="L984" s="433" t="s">
        <v>2014</v>
      </c>
      <c r="M984" s="428" t="s">
        <v>2018</v>
      </c>
      <c r="N984" s="433"/>
      <c r="O984" s="433"/>
      <c r="P984" s="433" t="s">
        <v>444</v>
      </c>
      <c r="Q984" s="434" t="s">
        <v>591</v>
      </c>
      <c r="R984" s="434" t="s">
        <v>249</v>
      </c>
      <c r="S984" s="435" t="s">
        <v>800</v>
      </c>
      <c r="T984" s="435"/>
      <c r="U984" s="436"/>
      <c r="V984" s="437"/>
      <c r="W984" s="438"/>
      <c r="X984" s="438"/>
      <c r="Y984" s="439" t="s">
        <v>592</v>
      </c>
      <c r="Z984" s="440"/>
      <c r="AA984" s="495"/>
    </row>
    <row r="985" spans="1:27" s="441" customFormat="1" ht="18" customHeight="1">
      <c r="A985" s="427">
        <v>63</v>
      </c>
      <c r="B985" s="428" t="s">
        <v>2118</v>
      </c>
      <c r="C985" s="429" t="s">
        <v>80</v>
      </c>
      <c r="D985" s="428" t="s">
        <v>2119</v>
      </c>
      <c r="E985" s="430">
        <v>24</v>
      </c>
      <c r="F985" s="431"/>
      <c r="G985" s="432">
        <f t="shared" si="40"/>
        <v>0</v>
      </c>
      <c r="H985" s="442"/>
      <c r="I985" s="428"/>
      <c r="J985" s="442"/>
      <c r="K985" s="428" t="s">
        <v>2013</v>
      </c>
      <c r="L985" s="433" t="s">
        <v>2014</v>
      </c>
      <c r="M985" s="428" t="s">
        <v>2018</v>
      </c>
      <c r="N985" s="433"/>
      <c r="O985" s="433"/>
      <c r="P985" s="433" t="s">
        <v>444</v>
      </c>
      <c r="Q985" s="434" t="s">
        <v>591</v>
      </c>
      <c r="R985" s="434" t="s">
        <v>249</v>
      </c>
      <c r="S985" s="435" t="s">
        <v>800</v>
      </c>
      <c r="T985" s="435"/>
      <c r="U985" s="436"/>
      <c r="V985" s="437"/>
      <c r="W985" s="438"/>
      <c r="X985" s="438"/>
      <c r="Y985" s="439" t="s">
        <v>592</v>
      </c>
      <c r="Z985" s="440"/>
      <c r="AA985" s="495"/>
    </row>
    <row r="986" spans="1:27" s="128" customFormat="1" ht="18" customHeight="1">
      <c r="A986" s="405">
        <v>64</v>
      </c>
      <c r="B986" s="407" t="s">
        <v>2120</v>
      </c>
      <c r="C986" s="406" t="s">
        <v>80</v>
      </c>
      <c r="D986" s="407" t="s">
        <v>2121</v>
      </c>
      <c r="E986" s="408">
        <v>12</v>
      </c>
      <c r="F986" s="409"/>
      <c r="G986" s="410">
        <f t="shared" si="40"/>
        <v>0</v>
      </c>
      <c r="H986" s="411"/>
      <c r="I986" s="407"/>
      <c r="J986" s="411"/>
      <c r="K986" s="407" t="s">
        <v>2013</v>
      </c>
      <c r="L986" s="412" t="s">
        <v>2014</v>
      </c>
      <c r="M986" s="407" t="s">
        <v>2018</v>
      </c>
      <c r="N986" s="412"/>
      <c r="O986" s="412"/>
      <c r="P986" s="412" t="s">
        <v>711</v>
      </c>
      <c r="Q986" s="413" t="s">
        <v>726</v>
      </c>
      <c r="R986" s="413" t="s">
        <v>249</v>
      </c>
      <c r="S986" s="414" t="s">
        <v>800</v>
      </c>
      <c r="T986" s="414"/>
      <c r="U986" s="415"/>
      <c r="V986" s="416"/>
      <c r="W986" s="417"/>
      <c r="X986" s="417"/>
      <c r="Y986" s="418" t="s">
        <v>377</v>
      </c>
      <c r="Z986" s="419"/>
      <c r="AA986" s="492"/>
    </row>
    <row r="987" spans="1:27" s="128" customFormat="1" ht="18" customHeight="1">
      <c r="A987" s="405">
        <v>65</v>
      </c>
      <c r="B987" s="407" t="s">
        <v>2122</v>
      </c>
      <c r="C987" s="406" t="s">
        <v>80</v>
      </c>
      <c r="D987" s="407" t="s">
        <v>2123</v>
      </c>
      <c r="E987" s="408">
        <v>8</v>
      </c>
      <c r="F987" s="409"/>
      <c r="G987" s="410">
        <f t="shared" si="40"/>
        <v>0</v>
      </c>
      <c r="H987" s="411"/>
      <c r="I987" s="407"/>
      <c r="J987" s="411"/>
      <c r="K987" s="407" t="s">
        <v>2013</v>
      </c>
      <c r="L987" s="412" t="s">
        <v>2014</v>
      </c>
      <c r="M987" s="407" t="s">
        <v>2018</v>
      </c>
      <c r="N987" s="412"/>
      <c r="O987" s="412"/>
      <c r="P987" s="412" t="s">
        <v>711</v>
      </c>
      <c r="Q987" s="413" t="s">
        <v>726</v>
      </c>
      <c r="R987" s="413" t="s">
        <v>249</v>
      </c>
      <c r="S987" s="414" t="s">
        <v>800</v>
      </c>
      <c r="T987" s="414"/>
      <c r="U987" s="415"/>
      <c r="V987" s="416"/>
      <c r="W987" s="417"/>
      <c r="X987" s="417"/>
      <c r="Y987" s="418" t="s">
        <v>377</v>
      </c>
      <c r="Z987" s="419"/>
      <c r="AA987" s="492"/>
    </row>
    <row r="988" spans="1:27" s="128" customFormat="1" ht="18" customHeight="1">
      <c r="A988" s="405">
        <v>66</v>
      </c>
      <c r="B988" s="407" t="s">
        <v>2124</v>
      </c>
      <c r="C988" s="406" t="s">
        <v>80</v>
      </c>
      <c r="D988" s="407" t="s">
        <v>2125</v>
      </c>
      <c r="E988" s="408">
        <v>8</v>
      </c>
      <c r="F988" s="409"/>
      <c r="G988" s="410">
        <f t="shared" si="40"/>
        <v>0</v>
      </c>
      <c r="H988" s="411"/>
      <c r="I988" s="407"/>
      <c r="J988" s="411"/>
      <c r="K988" s="407" t="s">
        <v>2013</v>
      </c>
      <c r="L988" s="412" t="s">
        <v>2014</v>
      </c>
      <c r="M988" s="407" t="s">
        <v>2018</v>
      </c>
      <c r="N988" s="412"/>
      <c r="O988" s="412"/>
      <c r="P988" s="412" t="s">
        <v>711</v>
      </c>
      <c r="Q988" s="413" t="s">
        <v>726</v>
      </c>
      <c r="R988" s="413" t="s">
        <v>249</v>
      </c>
      <c r="S988" s="414" t="s">
        <v>800</v>
      </c>
      <c r="T988" s="414"/>
      <c r="U988" s="415"/>
      <c r="V988" s="416"/>
      <c r="W988" s="417"/>
      <c r="X988" s="417"/>
      <c r="Y988" s="418" t="s">
        <v>377</v>
      </c>
      <c r="Z988" s="419"/>
      <c r="AA988" s="492"/>
    </row>
    <row r="989" spans="1:27" s="128" customFormat="1" ht="18" customHeight="1">
      <c r="A989" s="405">
        <v>67</v>
      </c>
      <c r="B989" s="407" t="s">
        <v>2126</v>
      </c>
      <c r="C989" s="406" t="s">
        <v>80</v>
      </c>
      <c r="D989" s="407" t="s">
        <v>2127</v>
      </c>
      <c r="E989" s="408">
        <v>4</v>
      </c>
      <c r="F989" s="409"/>
      <c r="G989" s="410">
        <f t="shared" si="40"/>
        <v>0</v>
      </c>
      <c r="H989" s="411"/>
      <c r="I989" s="407"/>
      <c r="J989" s="411"/>
      <c r="K989" s="407" t="s">
        <v>2013</v>
      </c>
      <c r="L989" s="412" t="s">
        <v>2014</v>
      </c>
      <c r="M989" s="407" t="s">
        <v>2018</v>
      </c>
      <c r="N989" s="412"/>
      <c r="O989" s="412"/>
      <c r="P989" s="412" t="s">
        <v>711</v>
      </c>
      <c r="Q989" s="413" t="s">
        <v>726</v>
      </c>
      <c r="R989" s="413" t="s">
        <v>249</v>
      </c>
      <c r="S989" s="414" t="s">
        <v>800</v>
      </c>
      <c r="T989" s="414"/>
      <c r="U989" s="415"/>
      <c r="V989" s="416"/>
      <c r="W989" s="417"/>
      <c r="X989" s="417"/>
      <c r="Y989" s="418" t="s">
        <v>377</v>
      </c>
      <c r="Z989" s="419"/>
      <c r="AA989" s="492"/>
    </row>
    <row r="990" spans="1:27" s="128" customFormat="1" ht="18" customHeight="1">
      <c r="A990" s="443">
        <v>68</v>
      </c>
      <c r="B990" s="444" t="s">
        <v>2128</v>
      </c>
      <c r="C990" s="445" t="s">
        <v>80</v>
      </c>
      <c r="D990" s="444" t="s">
        <v>2129</v>
      </c>
      <c r="E990" s="446">
        <v>4</v>
      </c>
      <c r="F990" s="447"/>
      <c r="G990" s="448">
        <f t="shared" si="40"/>
        <v>0</v>
      </c>
      <c r="H990" s="449"/>
      <c r="I990" s="444"/>
      <c r="J990" s="449"/>
      <c r="K990" s="444" t="s">
        <v>2013</v>
      </c>
      <c r="L990" s="450" t="s">
        <v>2014</v>
      </c>
      <c r="M990" s="444" t="s">
        <v>2018</v>
      </c>
      <c r="N990" s="450"/>
      <c r="O990" s="450"/>
      <c r="P990" s="450" t="s">
        <v>711</v>
      </c>
      <c r="Q990" s="451" t="s">
        <v>1176</v>
      </c>
      <c r="R990" s="451" t="s">
        <v>249</v>
      </c>
      <c r="S990" s="452" t="s">
        <v>800</v>
      </c>
      <c r="T990" s="452" t="s">
        <v>2113</v>
      </c>
      <c r="U990" s="453"/>
      <c r="V990" s="454"/>
      <c r="W990" s="455" t="s">
        <v>406</v>
      </c>
      <c r="X990" s="455">
        <v>45601</v>
      </c>
      <c r="Y990" s="456" t="s">
        <v>377</v>
      </c>
      <c r="Z990" s="457"/>
      <c r="AA990" s="494"/>
    </row>
    <row r="991" spans="1:27" s="128" customFormat="1" ht="18" customHeight="1">
      <c r="A991" s="405">
        <v>69</v>
      </c>
      <c r="B991" s="407" t="s">
        <v>2130</v>
      </c>
      <c r="C991" s="406" t="s">
        <v>80</v>
      </c>
      <c r="D991" s="407" t="s">
        <v>2131</v>
      </c>
      <c r="E991" s="408">
        <v>4</v>
      </c>
      <c r="F991" s="409"/>
      <c r="G991" s="410">
        <f t="shared" si="40"/>
        <v>0</v>
      </c>
      <c r="H991" s="411"/>
      <c r="I991" s="407"/>
      <c r="J991" s="411"/>
      <c r="K991" s="407" t="s">
        <v>2013</v>
      </c>
      <c r="L991" s="412" t="s">
        <v>2014</v>
      </c>
      <c r="M991" s="407" t="s">
        <v>2018</v>
      </c>
      <c r="N991" s="412"/>
      <c r="O991" s="412"/>
      <c r="P991" s="412" t="s">
        <v>711</v>
      </c>
      <c r="Q991" s="413" t="s">
        <v>726</v>
      </c>
      <c r="R991" s="413" t="s">
        <v>249</v>
      </c>
      <c r="S991" s="414" t="s">
        <v>800</v>
      </c>
      <c r="T991" s="414"/>
      <c r="U991" s="415"/>
      <c r="V991" s="416"/>
      <c r="W991" s="417"/>
      <c r="X991" s="417"/>
      <c r="Y991" s="418" t="s">
        <v>377</v>
      </c>
      <c r="Z991" s="419"/>
      <c r="AA991" s="492"/>
    </row>
    <row r="992" spans="1:27" s="128" customFormat="1" ht="18" customHeight="1">
      <c r="A992" s="405">
        <v>70</v>
      </c>
      <c r="B992" s="407" t="s">
        <v>2132</v>
      </c>
      <c r="C992" s="406" t="s">
        <v>80</v>
      </c>
      <c r="D992" s="407" t="s">
        <v>2133</v>
      </c>
      <c r="E992" s="408">
        <v>4</v>
      </c>
      <c r="F992" s="409"/>
      <c r="G992" s="410">
        <f t="shared" si="40"/>
        <v>0</v>
      </c>
      <c r="H992" s="411"/>
      <c r="I992" s="407"/>
      <c r="J992" s="411"/>
      <c r="K992" s="407" t="s">
        <v>2013</v>
      </c>
      <c r="L992" s="412" t="s">
        <v>2014</v>
      </c>
      <c r="M992" s="407" t="s">
        <v>2018</v>
      </c>
      <c r="N992" s="412"/>
      <c r="O992" s="412"/>
      <c r="P992" s="412" t="s">
        <v>711</v>
      </c>
      <c r="Q992" s="413" t="s">
        <v>726</v>
      </c>
      <c r="R992" s="413" t="s">
        <v>249</v>
      </c>
      <c r="S992" s="414" t="s">
        <v>800</v>
      </c>
      <c r="T992" s="414"/>
      <c r="U992" s="415"/>
      <c r="V992" s="416"/>
      <c r="W992" s="417"/>
      <c r="X992" s="417"/>
      <c r="Y992" s="418" t="s">
        <v>377</v>
      </c>
      <c r="Z992" s="419"/>
      <c r="AA992" s="492"/>
    </row>
    <row r="993" spans="1:27" s="128" customFormat="1" ht="18" customHeight="1">
      <c r="A993" s="405">
        <v>71</v>
      </c>
      <c r="B993" s="407" t="s">
        <v>2134</v>
      </c>
      <c r="C993" s="406" t="s">
        <v>80</v>
      </c>
      <c r="D993" s="407" t="s">
        <v>2135</v>
      </c>
      <c r="E993" s="408">
        <v>4</v>
      </c>
      <c r="F993" s="409"/>
      <c r="G993" s="410">
        <f t="shared" si="40"/>
        <v>0</v>
      </c>
      <c r="H993" s="411"/>
      <c r="I993" s="407"/>
      <c r="J993" s="411"/>
      <c r="K993" s="407" t="s">
        <v>2013</v>
      </c>
      <c r="L993" s="412" t="s">
        <v>2014</v>
      </c>
      <c r="M993" s="407" t="s">
        <v>2018</v>
      </c>
      <c r="N993" s="412"/>
      <c r="O993" s="412"/>
      <c r="P993" s="412" t="s">
        <v>711</v>
      </c>
      <c r="Q993" s="413" t="s">
        <v>726</v>
      </c>
      <c r="R993" s="413" t="s">
        <v>249</v>
      </c>
      <c r="S993" s="414" t="s">
        <v>800</v>
      </c>
      <c r="T993" s="414"/>
      <c r="U993" s="415"/>
      <c r="V993" s="416"/>
      <c r="W993" s="417"/>
      <c r="X993" s="417"/>
      <c r="Y993" s="418" t="s">
        <v>377</v>
      </c>
      <c r="Z993" s="419"/>
      <c r="AA993" s="492"/>
    </row>
    <row r="994" spans="1:27" s="128" customFormat="1" ht="18" customHeight="1">
      <c r="A994" s="405">
        <v>72</v>
      </c>
      <c r="B994" s="407" t="s">
        <v>932</v>
      </c>
      <c r="C994" s="406" t="s">
        <v>80</v>
      </c>
      <c r="D994" s="407" t="s">
        <v>933</v>
      </c>
      <c r="E994" s="408">
        <v>4</v>
      </c>
      <c r="F994" s="409"/>
      <c r="G994" s="410">
        <f t="shared" si="40"/>
        <v>0</v>
      </c>
      <c r="H994" s="411"/>
      <c r="I994" s="407"/>
      <c r="J994" s="411"/>
      <c r="K994" s="407" t="s">
        <v>2013</v>
      </c>
      <c r="L994" s="412" t="s">
        <v>2014</v>
      </c>
      <c r="M994" s="407" t="s">
        <v>2018</v>
      </c>
      <c r="N994" s="412"/>
      <c r="O994" s="412"/>
      <c r="P994" s="412" t="s">
        <v>711</v>
      </c>
      <c r="Q994" s="413" t="s">
        <v>726</v>
      </c>
      <c r="R994" s="413" t="s">
        <v>249</v>
      </c>
      <c r="S994" s="414" t="s">
        <v>800</v>
      </c>
      <c r="T994" s="414"/>
      <c r="U994" s="415"/>
      <c r="V994" s="416"/>
      <c r="W994" s="417"/>
      <c r="X994" s="417"/>
      <c r="Y994" s="418" t="s">
        <v>377</v>
      </c>
      <c r="Z994" s="419"/>
      <c r="AA994" s="492"/>
    </row>
    <row r="995" spans="1:27" s="128" customFormat="1" ht="18" customHeight="1">
      <c r="A995" s="405">
        <v>73</v>
      </c>
      <c r="B995" s="407" t="s">
        <v>2136</v>
      </c>
      <c r="C995" s="406" t="s">
        <v>80</v>
      </c>
      <c r="D995" s="407" t="s">
        <v>2137</v>
      </c>
      <c r="E995" s="408">
        <v>4</v>
      </c>
      <c r="F995" s="409"/>
      <c r="G995" s="410">
        <f t="shared" si="40"/>
        <v>0</v>
      </c>
      <c r="H995" s="411"/>
      <c r="I995" s="407"/>
      <c r="J995" s="411"/>
      <c r="K995" s="407" t="s">
        <v>2013</v>
      </c>
      <c r="L995" s="412" t="s">
        <v>2014</v>
      </c>
      <c r="M995" s="407" t="s">
        <v>2018</v>
      </c>
      <c r="N995" s="412"/>
      <c r="O995" s="412"/>
      <c r="P995" s="412" t="s">
        <v>711</v>
      </c>
      <c r="Q995" s="413" t="s">
        <v>726</v>
      </c>
      <c r="R995" s="413" t="s">
        <v>249</v>
      </c>
      <c r="S995" s="414" t="s">
        <v>800</v>
      </c>
      <c r="T995" s="414"/>
      <c r="U995" s="415"/>
      <c r="V995" s="416"/>
      <c r="W995" s="417"/>
      <c r="X995" s="417"/>
      <c r="Y995" s="418" t="s">
        <v>377</v>
      </c>
      <c r="Z995" s="419"/>
      <c r="AA995" s="492"/>
    </row>
    <row r="996" spans="1:27" s="441" customFormat="1" ht="18" customHeight="1">
      <c r="A996" s="427">
        <v>74</v>
      </c>
      <c r="B996" s="428" t="s">
        <v>2138</v>
      </c>
      <c r="C996" s="429" t="s">
        <v>80</v>
      </c>
      <c r="D996" s="428" t="s">
        <v>2139</v>
      </c>
      <c r="E996" s="430">
        <v>1</v>
      </c>
      <c r="F996" s="431"/>
      <c r="G996" s="432">
        <f t="shared" si="40"/>
        <v>0</v>
      </c>
      <c r="H996" s="442"/>
      <c r="I996" s="428"/>
      <c r="J996" s="442"/>
      <c r="K996" s="428" t="s">
        <v>2013</v>
      </c>
      <c r="L996" s="433" t="s">
        <v>2014</v>
      </c>
      <c r="M996" s="428" t="s">
        <v>2018</v>
      </c>
      <c r="N996" s="433"/>
      <c r="O996" s="433"/>
      <c r="P996" s="433" t="s">
        <v>711</v>
      </c>
      <c r="Q996" s="434" t="s">
        <v>726</v>
      </c>
      <c r="R996" s="434" t="s">
        <v>249</v>
      </c>
      <c r="S996" s="435" t="s">
        <v>800</v>
      </c>
      <c r="T996" s="435"/>
      <c r="U996" s="436"/>
      <c r="V996" s="437"/>
      <c r="W996" s="438"/>
      <c r="X996" s="438"/>
      <c r="Y996" s="439" t="s">
        <v>592</v>
      </c>
      <c r="Z996" s="440"/>
      <c r="AA996" s="495"/>
    </row>
    <row r="997" spans="1:27" s="128" customFormat="1" ht="18" customHeight="1">
      <c r="A997" s="405">
        <v>75</v>
      </c>
      <c r="B997" s="407" t="s">
        <v>1117</v>
      </c>
      <c r="C997" s="406" t="s">
        <v>80</v>
      </c>
      <c r="D997" s="407" t="s">
        <v>1118</v>
      </c>
      <c r="E997" s="408">
        <v>1</v>
      </c>
      <c r="F997" s="409"/>
      <c r="G997" s="410">
        <f t="shared" si="40"/>
        <v>0</v>
      </c>
      <c r="H997" s="411"/>
      <c r="I997" s="407"/>
      <c r="J997" s="411"/>
      <c r="K997" s="407" t="s">
        <v>2013</v>
      </c>
      <c r="L997" s="412" t="s">
        <v>2014</v>
      </c>
      <c r="M997" s="407" t="s">
        <v>2049</v>
      </c>
      <c r="N997" s="412"/>
      <c r="O997" s="412"/>
      <c r="P997" s="412" t="s">
        <v>1934</v>
      </c>
      <c r="Q997" s="413" t="s">
        <v>726</v>
      </c>
      <c r="R997" s="413" t="s">
        <v>263</v>
      </c>
      <c r="S997" s="414" t="s">
        <v>800</v>
      </c>
      <c r="T997" s="414"/>
      <c r="U997" s="415"/>
      <c r="V997" s="416"/>
      <c r="W997" s="417"/>
      <c r="X997" s="417"/>
      <c r="Y997" s="418" t="s">
        <v>377</v>
      </c>
      <c r="Z997" s="419"/>
      <c r="AA997" s="492"/>
    </row>
    <row r="998" spans="1:27" s="128" customFormat="1" ht="18" customHeight="1">
      <c r="A998" s="405">
        <v>76</v>
      </c>
      <c r="B998" s="407" t="s">
        <v>697</v>
      </c>
      <c r="C998" s="406" t="s">
        <v>80</v>
      </c>
      <c r="D998" s="407" t="s">
        <v>698</v>
      </c>
      <c r="E998" s="408">
        <v>2</v>
      </c>
      <c r="F998" s="409"/>
      <c r="G998" s="410">
        <f t="shared" si="40"/>
        <v>0</v>
      </c>
      <c r="H998" s="411"/>
      <c r="I998" s="407"/>
      <c r="J998" s="411"/>
      <c r="K998" s="407" t="s">
        <v>2013</v>
      </c>
      <c r="L998" s="412" t="s">
        <v>2014</v>
      </c>
      <c r="M998" s="407" t="s">
        <v>2049</v>
      </c>
      <c r="N998" s="412"/>
      <c r="O998" s="412"/>
      <c r="P998" s="412" t="s">
        <v>1934</v>
      </c>
      <c r="Q998" s="413" t="s">
        <v>726</v>
      </c>
      <c r="R998" s="413" t="s">
        <v>263</v>
      </c>
      <c r="S998" s="414" t="s">
        <v>800</v>
      </c>
      <c r="T998" s="414"/>
      <c r="U998" s="415"/>
      <c r="V998" s="416"/>
      <c r="W998" s="417"/>
      <c r="X998" s="417"/>
      <c r="Y998" s="418" t="s">
        <v>377</v>
      </c>
      <c r="Z998" s="419"/>
      <c r="AA998" s="492"/>
    </row>
    <row r="999" spans="1:27" s="128" customFormat="1" ht="18" customHeight="1">
      <c r="A999" s="443">
        <v>77</v>
      </c>
      <c r="B999" s="444" t="s">
        <v>1211</v>
      </c>
      <c r="C999" s="445" t="s">
        <v>80</v>
      </c>
      <c r="D999" s="444" t="s">
        <v>1212</v>
      </c>
      <c r="E999" s="446">
        <v>2</v>
      </c>
      <c r="F999" s="447"/>
      <c r="G999" s="448">
        <f t="shared" si="40"/>
        <v>0</v>
      </c>
      <c r="H999" s="449"/>
      <c r="I999" s="444"/>
      <c r="J999" s="449"/>
      <c r="K999" s="444"/>
      <c r="L999" s="450"/>
      <c r="M999" s="444"/>
      <c r="N999" s="450"/>
      <c r="O999" s="450"/>
      <c r="P999" s="450"/>
      <c r="Q999" s="451" t="s">
        <v>374</v>
      </c>
      <c r="R999" s="451"/>
      <c r="S999" s="452"/>
      <c r="T999" s="452" t="s">
        <v>481</v>
      </c>
      <c r="U999" s="453"/>
      <c r="V999" s="454"/>
      <c r="W999" s="455" t="s">
        <v>406</v>
      </c>
      <c r="X999" s="455">
        <v>45601</v>
      </c>
      <c r="Y999" s="456" t="s">
        <v>377</v>
      </c>
      <c r="Z999" s="457"/>
      <c r="AA999" s="494"/>
    </row>
    <row r="1000" spans="1:27" s="128" customFormat="1" ht="18" customHeight="1">
      <c r="A1000" s="405">
        <v>78</v>
      </c>
      <c r="B1000" s="407" t="s">
        <v>2140</v>
      </c>
      <c r="C1000" s="406" t="s">
        <v>80</v>
      </c>
      <c r="D1000" s="407" t="s">
        <v>2141</v>
      </c>
      <c r="E1000" s="408">
        <v>1</v>
      </c>
      <c r="F1000" s="409"/>
      <c r="G1000" s="410">
        <f t="shared" ref="G1000:G1010" si="41">E1000*F1000</f>
        <v>0</v>
      </c>
      <c r="H1000" s="411"/>
      <c r="I1000" s="407"/>
      <c r="J1000" s="411"/>
      <c r="K1000" s="407" t="s">
        <v>2055</v>
      </c>
      <c r="L1000" s="412" t="s">
        <v>417</v>
      </c>
      <c r="M1000" s="407" t="s">
        <v>2142</v>
      </c>
      <c r="N1000" s="412"/>
      <c r="O1000" s="412"/>
      <c r="P1000" s="412" t="s">
        <v>2143</v>
      </c>
      <c r="Q1000" s="413" t="s">
        <v>726</v>
      </c>
      <c r="R1000" s="413" t="s">
        <v>291</v>
      </c>
      <c r="S1000" s="414" t="s">
        <v>800</v>
      </c>
      <c r="T1000" s="414"/>
      <c r="U1000" s="415"/>
      <c r="V1000" s="416"/>
      <c r="W1000" s="417"/>
      <c r="X1000" s="417"/>
      <c r="Y1000" s="418" t="s">
        <v>377</v>
      </c>
      <c r="Z1000" s="496"/>
      <c r="AA1000" s="492"/>
    </row>
    <row r="1001" spans="1:27" s="128" customFormat="1" ht="18" customHeight="1">
      <c r="A1001" s="405">
        <v>79</v>
      </c>
      <c r="B1001" s="407" t="s">
        <v>2118</v>
      </c>
      <c r="C1001" s="406" t="s">
        <v>80</v>
      </c>
      <c r="D1001" s="407" t="s">
        <v>2119</v>
      </c>
      <c r="E1001" s="408">
        <v>12</v>
      </c>
      <c r="F1001" s="409"/>
      <c r="G1001" s="410">
        <f t="shared" si="41"/>
        <v>0</v>
      </c>
      <c r="H1001" s="411"/>
      <c r="I1001" s="407"/>
      <c r="J1001" s="411"/>
      <c r="K1001" s="407" t="s">
        <v>2013</v>
      </c>
      <c r="L1001" s="412" t="s">
        <v>2014</v>
      </c>
      <c r="M1001" s="407" t="s">
        <v>444</v>
      </c>
      <c r="N1001" s="412"/>
      <c r="O1001" s="412"/>
      <c r="P1001" s="412" t="s">
        <v>444</v>
      </c>
      <c r="Q1001" s="413" t="s">
        <v>591</v>
      </c>
      <c r="R1001" s="413" t="s">
        <v>444</v>
      </c>
      <c r="S1001" s="414" t="s">
        <v>444</v>
      </c>
      <c r="T1001" s="414">
        <v>45618</v>
      </c>
      <c r="U1001" s="415"/>
      <c r="V1001" s="416"/>
      <c r="W1001" s="417"/>
      <c r="X1001" s="417"/>
      <c r="Y1001" s="418" t="s">
        <v>377</v>
      </c>
      <c r="Z1001" s="496" t="s">
        <v>2018</v>
      </c>
      <c r="AA1001" s="492"/>
    </row>
    <row r="1002" spans="1:27" s="128" customFormat="1" ht="18" customHeight="1">
      <c r="A1002" s="405">
        <v>80</v>
      </c>
      <c r="B1002" s="407" t="s">
        <v>2144</v>
      </c>
      <c r="C1002" s="406" t="s">
        <v>80</v>
      </c>
      <c r="D1002" s="407" t="s">
        <v>2145</v>
      </c>
      <c r="E1002" s="408">
        <v>1</v>
      </c>
      <c r="F1002" s="409"/>
      <c r="G1002" s="410">
        <f t="shared" si="41"/>
        <v>0</v>
      </c>
      <c r="H1002" s="411"/>
      <c r="I1002" s="407"/>
      <c r="J1002" s="411"/>
      <c r="K1002" s="407"/>
      <c r="L1002" s="412"/>
      <c r="M1002" s="407"/>
      <c r="N1002" s="412"/>
      <c r="O1002" s="412"/>
      <c r="P1002" s="412"/>
      <c r="Q1002" s="413"/>
      <c r="R1002" s="413"/>
      <c r="S1002" s="414"/>
      <c r="T1002" s="414" t="s">
        <v>1812</v>
      </c>
      <c r="U1002" s="415"/>
      <c r="V1002" s="416"/>
      <c r="W1002" s="417"/>
      <c r="X1002" s="417"/>
      <c r="Y1002" s="418" t="s">
        <v>377</v>
      </c>
      <c r="Z1002" s="496"/>
      <c r="AA1002" s="492"/>
    </row>
    <row r="1003" spans="1:27" s="128" customFormat="1" ht="18" customHeight="1">
      <c r="A1003" s="405">
        <v>81</v>
      </c>
      <c r="B1003" s="407" t="s">
        <v>2146</v>
      </c>
      <c r="C1003" s="406" t="s">
        <v>80</v>
      </c>
      <c r="D1003" s="407" t="s">
        <v>2147</v>
      </c>
      <c r="E1003" s="408">
        <v>4</v>
      </c>
      <c r="F1003" s="409"/>
      <c r="G1003" s="410">
        <f t="shared" si="41"/>
        <v>0</v>
      </c>
      <c r="H1003" s="411"/>
      <c r="I1003" s="407"/>
      <c r="J1003" s="411"/>
      <c r="K1003" s="407"/>
      <c r="L1003" s="412"/>
      <c r="M1003" s="407"/>
      <c r="N1003" s="412"/>
      <c r="O1003" s="412"/>
      <c r="P1003" s="412"/>
      <c r="Q1003" s="413"/>
      <c r="R1003" s="413"/>
      <c r="S1003" s="414"/>
      <c r="T1003" s="414" t="s">
        <v>1812</v>
      </c>
      <c r="U1003" s="415"/>
      <c r="V1003" s="416"/>
      <c r="W1003" s="417"/>
      <c r="X1003" s="417"/>
      <c r="Y1003" s="418" t="s">
        <v>377</v>
      </c>
      <c r="Z1003" s="496"/>
      <c r="AA1003" s="492"/>
    </row>
    <row r="1004" spans="1:27" s="128" customFormat="1" ht="18" customHeight="1">
      <c r="A1004" s="405">
        <v>82</v>
      </c>
      <c r="B1004" s="407" t="s">
        <v>2148</v>
      </c>
      <c r="C1004" s="406" t="s">
        <v>80</v>
      </c>
      <c r="D1004" s="407" t="s">
        <v>2149</v>
      </c>
      <c r="E1004" s="408">
        <v>4</v>
      </c>
      <c r="F1004" s="409"/>
      <c r="G1004" s="410">
        <f t="shared" si="41"/>
        <v>0</v>
      </c>
      <c r="H1004" s="411"/>
      <c r="I1004" s="407"/>
      <c r="J1004" s="411"/>
      <c r="K1004" s="407"/>
      <c r="L1004" s="412"/>
      <c r="M1004" s="407"/>
      <c r="N1004" s="412"/>
      <c r="O1004" s="412"/>
      <c r="P1004" s="412"/>
      <c r="Q1004" s="413"/>
      <c r="R1004" s="413"/>
      <c r="S1004" s="414"/>
      <c r="T1004" s="414" t="s">
        <v>1812</v>
      </c>
      <c r="U1004" s="415"/>
      <c r="V1004" s="416"/>
      <c r="W1004" s="417"/>
      <c r="X1004" s="417"/>
      <c r="Y1004" s="418" t="s">
        <v>377</v>
      </c>
      <c r="Z1004" s="496"/>
      <c r="AA1004" s="492"/>
    </row>
    <row r="1005" spans="1:27" s="128" customFormat="1" ht="18" customHeight="1">
      <c r="A1005" s="405">
        <v>83</v>
      </c>
      <c r="B1005" s="407" t="s">
        <v>2150</v>
      </c>
      <c r="C1005" s="406" t="s">
        <v>80</v>
      </c>
      <c r="D1005" s="407" t="s">
        <v>2151</v>
      </c>
      <c r="E1005" s="408">
        <v>12</v>
      </c>
      <c r="F1005" s="409"/>
      <c r="G1005" s="410">
        <f t="shared" si="41"/>
        <v>0</v>
      </c>
      <c r="H1005" s="411"/>
      <c r="I1005" s="407"/>
      <c r="J1005" s="411"/>
      <c r="K1005" s="407"/>
      <c r="L1005" s="412"/>
      <c r="M1005" s="407"/>
      <c r="N1005" s="412"/>
      <c r="O1005" s="412"/>
      <c r="P1005" s="412"/>
      <c r="Q1005" s="413"/>
      <c r="R1005" s="413"/>
      <c r="S1005" s="414"/>
      <c r="T1005" s="414" t="s">
        <v>1812</v>
      </c>
      <c r="U1005" s="415"/>
      <c r="V1005" s="416"/>
      <c r="W1005" s="417"/>
      <c r="X1005" s="417"/>
      <c r="Y1005" s="418" t="s">
        <v>377</v>
      </c>
      <c r="Z1005" s="496"/>
      <c r="AA1005" s="492"/>
    </row>
    <row r="1006" spans="1:27" s="128" customFormat="1" ht="18" customHeight="1">
      <c r="A1006" s="405">
        <v>84</v>
      </c>
      <c r="B1006" s="407" t="s">
        <v>2152</v>
      </c>
      <c r="C1006" s="406" t="s">
        <v>80</v>
      </c>
      <c r="D1006" s="407" t="s">
        <v>2153</v>
      </c>
      <c r="E1006" s="408">
        <v>12</v>
      </c>
      <c r="F1006" s="409"/>
      <c r="G1006" s="410">
        <f t="shared" si="41"/>
        <v>0</v>
      </c>
      <c r="H1006" s="411"/>
      <c r="I1006" s="407"/>
      <c r="J1006" s="411"/>
      <c r="K1006" s="407"/>
      <c r="L1006" s="412"/>
      <c r="M1006" s="407"/>
      <c r="N1006" s="412"/>
      <c r="O1006" s="412"/>
      <c r="P1006" s="412"/>
      <c r="Q1006" s="413"/>
      <c r="R1006" s="413"/>
      <c r="S1006" s="414"/>
      <c r="T1006" s="414" t="s">
        <v>1812</v>
      </c>
      <c r="U1006" s="415"/>
      <c r="V1006" s="416"/>
      <c r="W1006" s="417"/>
      <c r="X1006" s="417"/>
      <c r="Y1006" s="418" t="s">
        <v>377</v>
      </c>
      <c r="Z1006" s="496"/>
      <c r="AA1006" s="492"/>
    </row>
    <row r="1007" spans="1:27" s="128" customFormat="1" ht="18" customHeight="1">
      <c r="A1007" s="405">
        <v>85</v>
      </c>
      <c r="B1007" s="407" t="s">
        <v>2154</v>
      </c>
      <c r="C1007" s="406" t="s">
        <v>80</v>
      </c>
      <c r="D1007" s="407" t="s">
        <v>2155</v>
      </c>
      <c r="E1007" s="408">
        <v>13</v>
      </c>
      <c r="F1007" s="409"/>
      <c r="G1007" s="410">
        <f t="shared" si="41"/>
        <v>0</v>
      </c>
      <c r="H1007" s="411"/>
      <c r="I1007" s="407"/>
      <c r="J1007" s="411"/>
      <c r="K1007" s="407"/>
      <c r="L1007" s="412"/>
      <c r="M1007" s="407"/>
      <c r="N1007" s="412"/>
      <c r="O1007" s="412"/>
      <c r="P1007" s="412"/>
      <c r="Q1007" s="413"/>
      <c r="R1007" s="413"/>
      <c r="S1007" s="414"/>
      <c r="T1007" s="414" t="s">
        <v>1812</v>
      </c>
      <c r="U1007" s="415"/>
      <c r="V1007" s="416"/>
      <c r="W1007" s="417"/>
      <c r="X1007" s="417"/>
      <c r="Y1007" s="418" t="s">
        <v>377</v>
      </c>
      <c r="Z1007" s="496"/>
      <c r="AA1007" s="492"/>
    </row>
    <row r="1008" spans="1:27" s="128" customFormat="1" ht="18" customHeight="1">
      <c r="A1008" s="405">
        <v>86</v>
      </c>
      <c r="B1008" s="407" t="s">
        <v>2156</v>
      </c>
      <c r="C1008" s="406" t="s">
        <v>80</v>
      </c>
      <c r="D1008" s="407" t="s">
        <v>2157</v>
      </c>
      <c r="E1008" s="408">
        <v>1</v>
      </c>
      <c r="F1008" s="409"/>
      <c r="G1008" s="410">
        <f t="shared" si="41"/>
        <v>0</v>
      </c>
      <c r="H1008" s="411"/>
      <c r="I1008" s="407"/>
      <c r="J1008" s="411"/>
      <c r="K1008" s="407"/>
      <c r="L1008" s="412"/>
      <c r="M1008" s="407"/>
      <c r="N1008" s="412"/>
      <c r="O1008" s="412"/>
      <c r="P1008" s="412"/>
      <c r="Q1008" s="413"/>
      <c r="R1008" s="413"/>
      <c r="S1008" s="414"/>
      <c r="T1008" s="414" t="s">
        <v>1812</v>
      </c>
      <c r="U1008" s="415"/>
      <c r="V1008" s="416"/>
      <c r="W1008" s="417"/>
      <c r="X1008" s="417"/>
      <c r="Y1008" s="418" t="s">
        <v>377</v>
      </c>
      <c r="Z1008" s="496"/>
      <c r="AA1008" s="492"/>
    </row>
    <row r="1009" spans="1:27" s="128" customFormat="1" ht="18" customHeight="1">
      <c r="A1009" s="405">
        <v>87</v>
      </c>
      <c r="B1009" s="407" t="s">
        <v>2158</v>
      </c>
      <c r="C1009" s="406" t="s">
        <v>80</v>
      </c>
      <c r="D1009" s="407" t="s">
        <v>2159</v>
      </c>
      <c r="E1009" s="408">
        <v>4</v>
      </c>
      <c r="F1009" s="409"/>
      <c r="G1009" s="410">
        <f t="shared" si="41"/>
        <v>0</v>
      </c>
      <c r="H1009" s="411"/>
      <c r="I1009" s="407"/>
      <c r="J1009" s="411"/>
      <c r="K1009" s="407"/>
      <c r="L1009" s="412"/>
      <c r="M1009" s="407"/>
      <c r="N1009" s="412"/>
      <c r="O1009" s="412"/>
      <c r="P1009" s="412"/>
      <c r="Q1009" s="413"/>
      <c r="R1009" s="413"/>
      <c r="S1009" s="414"/>
      <c r="T1009" s="414" t="s">
        <v>1812</v>
      </c>
      <c r="U1009" s="415"/>
      <c r="V1009" s="416"/>
      <c r="W1009" s="417"/>
      <c r="X1009" s="417"/>
      <c r="Y1009" s="418" t="s">
        <v>377</v>
      </c>
      <c r="Z1009" s="496"/>
      <c r="AA1009" s="492"/>
    </row>
    <row r="1010" spans="1:27" s="128" customFormat="1" ht="18" customHeight="1">
      <c r="A1010" s="405">
        <v>88</v>
      </c>
      <c r="B1010" s="407" t="s">
        <v>2160</v>
      </c>
      <c r="C1010" s="406" t="s">
        <v>80</v>
      </c>
      <c r="D1010" s="407" t="s">
        <v>2161</v>
      </c>
      <c r="E1010" s="408">
        <v>4</v>
      </c>
      <c r="F1010" s="409"/>
      <c r="G1010" s="410">
        <f t="shared" si="41"/>
        <v>0</v>
      </c>
      <c r="H1010" s="411"/>
      <c r="I1010" s="407"/>
      <c r="J1010" s="411"/>
      <c r="K1010" s="407"/>
      <c r="L1010" s="412"/>
      <c r="M1010" s="407"/>
      <c r="N1010" s="412"/>
      <c r="O1010" s="412"/>
      <c r="P1010" s="412"/>
      <c r="Q1010" s="413"/>
      <c r="R1010" s="413"/>
      <c r="S1010" s="414"/>
      <c r="T1010" s="414" t="s">
        <v>1812</v>
      </c>
      <c r="U1010" s="415"/>
      <c r="V1010" s="416"/>
      <c r="W1010" s="417"/>
      <c r="X1010" s="417"/>
      <c r="Y1010" s="418" t="s">
        <v>377</v>
      </c>
      <c r="Z1010" s="496"/>
      <c r="AA1010" s="492"/>
    </row>
    <row r="1011" spans="1:27" ht="18" customHeight="1">
      <c r="A1011" s="389"/>
      <c r="B1011" s="390" t="s">
        <v>2162</v>
      </c>
      <c r="C1011" s="391"/>
      <c r="D1011" s="392"/>
      <c r="E1011" s="393"/>
      <c r="F1011" s="394"/>
      <c r="G1011" s="395">
        <f t="shared" si="28"/>
        <v>0</v>
      </c>
      <c r="H1011" s="396"/>
      <c r="I1011" s="392"/>
      <c r="J1011" s="396"/>
      <c r="K1011" s="392"/>
      <c r="L1011" s="397"/>
      <c r="M1011" s="392"/>
      <c r="N1011" s="397"/>
      <c r="O1011" s="397"/>
      <c r="P1011" s="397"/>
      <c r="Q1011" s="398"/>
      <c r="R1011" s="398"/>
      <c r="S1011" s="399"/>
      <c r="T1011" s="399"/>
      <c r="U1011" s="400"/>
      <c r="V1011" s="401"/>
      <c r="W1011" s="402"/>
      <c r="X1011" s="402"/>
      <c r="Y1011" s="403"/>
      <c r="Z1011" s="404"/>
      <c r="AA1011" s="492"/>
    </row>
    <row r="1012" spans="1:27" s="128" customFormat="1" ht="18" customHeight="1">
      <c r="A1012" s="443">
        <v>1</v>
      </c>
      <c r="B1012" s="444" t="s">
        <v>2163</v>
      </c>
      <c r="C1012" s="445" t="s">
        <v>82</v>
      </c>
      <c r="D1012" s="444" t="s">
        <v>2164</v>
      </c>
      <c r="E1012" s="446">
        <v>1</v>
      </c>
      <c r="F1012" s="447"/>
      <c r="G1012" s="448">
        <f t="shared" ref="G1012:G1014" si="42">E1012*F1012</f>
        <v>0</v>
      </c>
      <c r="H1012" s="449"/>
      <c r="I1012" s="444"/>
      <c r="J1012" s="449"/>
      <c r="K1012" s="444" t="s">
        <v>2165</v>
      </c>
      <c r="L1012" s="450" t="s">
        <v>477</v>
      </c>
      <c r="M1012" s="444" t="s">
        <v>2166</v>
      </c>
      <c r="N1012" s="450"/>
      <c r="O1012" s="450"/>
      <c r="P1012" s="450" t="s">
        <v>2167</v>
      </c>
      <c r="Q1012" s="451" t="s">
        <v>374</v>
      </c>
      <c r="R1012" s="451" t="s">
        <v>249</v>
      </c>
      <c r="S1012" s="452" t="s">
        <v>2168</v>
      </c>
      <c r="T1012" s="452">
        <v>45567</v>
      </c>
      <c r="U1012" s="453"/>
      <c r="V1012" s="454"/>
      <c r="W1012" s="455" t="s">
        <v>406</v>
      </c>
      <c r="X1012" s="455">
        <v>45566</v>
      </c>
      <c r="Y1012" s="456" t="s">
        <v>377</v>
      </c>
      <c r="Z1012" s="457"/>
      <c r="AA1012" s="494"/>
    </row>
    <row r="1013" spans="1:27" s="128" customFormat="1" ht="18" customHeight="1">
      <c r="A1013" s="443">
        <v>2</v>
      </c>
      <c r="B1013" s="444" t="s">
        <v>2169</v>
      </c>
      <c r="C1013" s="445" t="s">
        <v>82</v>
      </c>
      <c r="D1013" s="444" t="s">
        <v>2170</v>
      </c>
      <c r="E1013" s="446">
        <v>1</v>
      </c>
      <c r="F1013" s="447"/>
      <c r="G1013" s="448">
        <f t="shared" si="42"/>
        <v>0</v>
      </c>
      <c r="H1013" s="449"/>
      <c r="I1013" s="444"/>
      <c r="J1013" s="449"/>
      <c r="K1013" s="444" t="s">
        <v>2165</v>
      </c>
      <c r="L1013" s="450" t="s">
        <v>477</v>
      </c>
      <c r="M1013" s="444" t="s">
        <v>2166</v>
      </c>
      <c r="N1013" s="450"/>
      <c r="O1013" s="450"/>
      <c r="P1013" s="450" t="s">
        <v>2167</v>
      </c>
      <c r="Q1013" s="451" t="s">
        <v>374</v>
      </c>
      <c r="R1013" s="451" t="s">
        <v>249</v>
      </c>
      <c r="S1013" s="452" t="s">
        <v>2168</v>
      </c>
      <c r="T1013" s="452">
        <v>45567</v>
      </c>
      <c r="U1013" s="453"/>
      <c r="V1013" s="454"/>
      <c r="W1013" s="455" t="s">
        <v>406</v>
      </c>
      <c r="X1013" s="455">
        <v>45566</v>
      </c>
      <c r="Y1013" s="456" t="s">
        <v>377</v>
      </c>
      <c r="Z1013" s="457"/>
      <c r="AA1013" s="494"/>
    </row>
    <row r="1014" spans="1:27" s="128" customFormat="1" ht="18" customHeight="1">
      <c r="A1014" s="443">
        <v>3</v>
      </c>
      <c r="B1014" s="444" t="s">
        <v>2171</v>
      </c>
      <c r="C1014" s="445" t="s">
        <v>82</v>
      </c>
      <c r="D1014" s="444" t="s">
        <v>2172</v>
      </c>
      <c r="E1014" s="446">
        <v>1</v>
      </c>
      <c r="F1014" s="447"/>
      <c r="G1014" s="448">
        <f t="shared" si="42"/>
        <v>0</v>
      </c>
      <c r="H1014" s="449"/>
      <c r="I1014" s="444"/>
      <c r="J1014" s="449"/>
      <c r="K1014" s="444" t="s">
        <v>2165</v>
      </c>
      <c r="L1014" s="450" t="s">
        <v>477</v>
      </c>
      <c r="M1014" s="444" t="s">
        <v>2166</v>
      </c>
      <c r="N1014" s="450"/>
      <c r="O1014" s="450"/>
      <c r="P1014" s="450" t="s">
        <v>2167</v>
      </c>
      <c r="Q1014" s="451" t="s">
        <v>374</v>
      </c>
      <c r="R1014" s="451" t="s">
        <v>249</v>
      </c>
      <c r="S1014" s="452" t="s">
        <v>2168</v>
      </c>
      <c r="T1014" s="452">
        <v>45567</v>
      </c>
      <c r="U1014" s="453"/>
      <c r="V1014" s="454"/>
      <c r="W1014" s="455" t="s">
        <v>406</v>
      </c>
      <c r="X1014" s="455">
        <v>45566</v>
      </c>
      <c r="Y1014" s="456" t="s">
        <v>377</v>
      </c>
      <c r="Z1014" s="457"/>
      <c r="AA1014" s="494"/>
    </row>
    <row r="1015" spans="1:27" ht="18" customHeight="1">
      <c r="A1015" s="389"/>
      <c r="B1015" s="390" t="s">
        <v>2173</v>
      </c>
      <c r="C1015" s="391"/>
      <c r="D1015" s="392"/>
      <c r="E1015" s="393"/>
      <c r="F1015" s="394"/>
      <c r="G1015" s="395">
        <f t="shared" si="28"/>
        <v>0</v>
      </c>
      <c r="H1015" s="396"/>
      <c r="I1015" s="392"/>
      <c r="J1015" s="396"/>
      <c r="K1015" s="392"/>
      <c r="L1015" s="397"/>
      <c r="M1015" s="392"/>
      <c r="N1015" s="397"/>
      <c r="O1015" s="397"/>
      <c r="P1015" s="397"/>
      <c r="Q1015" s="398"/>
      <c r="R1015" s="398"/>
      <c r="S1015" s="399"/>
      <c r="T1015" s="399"/>
      <c r="U1015" s="400"/>
      <c r="V1015" s="401"/>
      <c r="W1015" s="402"/>
      <c r="X1015" s="402"/>
      <c r="Y1015" s="403"/>
      <c r="Z1015" s="404"/>
      <c r="AA1015" s="492"/>
    </row>
    <row r="1016" spans="1:27" s="128" customFormat="1" ht="36" customHeight="1">
      <c r="A1016" s="443">
        <v>1</v>
      </c>
      <c r="B1016" s="444" t="s">
        <v>1083</v>
      </c>
      <c r="C1016" s="445" t="s">
        <v>84</v>
      </c>
      <c r="D1016" s="444" t="s">
        <v>1084</v>
      </c>
      <c r="E1016" s="446">
        <v>1</v>
      </c>
      <c r="F1016" s="447"/>
      <c r="G1016" s="448">
        <f t="shared" ref="G1016:G1025" si="43">E1016*F1016</f>
        <v>0</v>
      </c>
      <c r="H1016" s="449"/>
      <c r="I1016" s="444"/>
      <c r="J1016" s="449"/>
      <c r="K1016" s="444" t="s">
        <v>2174</v>
      </c>
      <c r="L1016" s="450" t="s">
        <v>2175</v>
      </c>
      <c r="M1016" s="444" t="s">
        <v>2176</v>
      </c>
      <c r="N1016" s="450"/>
      <c r="O1016" s="450"/>
      <c r="P1016" s="450" t="s">
        <v>1091</v>
      </c>
      <c r="Q1016" s="451" t="s">
        <v>374</v>
      </c>
      <c r="R1016" s="451" t="s">
        <v>404</v>
      </c>
      <c r="S1016" s="452" t="s">
        <v>405</v>
      </c>
      <c r="T1016" s="452"/>
      <c r="U1016" s="453"/>
      <c r="V1016" s="454"/>
      <c r="W1016" s="455" t="s">
        <v>406</v>
      </c>
      <c r="X1016" s="455">
        <v>45607</v>
      </c>
      <c r="Y1016" s="456" t="s">
        <v>377</v>
      </c>
      <c r="Z1016" s="457"/>
      <c r="AA1016" s="494">
        <v>1</v>
      </c>
    </row>
    <row r="1017" spans="1:27" s="128" customFormat="1" ht="36" customHeight="1">
      <c r="A1017" s="443">
        <v>2</v>
      </c>
      <c r="B1017" s="444" t="s">
        <v>587</v>
      </c>
      <c r="C1017" s="445" t="s">
        <v>84</v>
      </c>
      <c r="D1017" s="444" t="s">
        <v>588</v>
      </c>
      <c r="E1017" s="446">
        <v>1</v>
      </c>
      <c r="F1017" s="447"/>
      <c r="G1017" s="448">
        <f t="shared" si="43"/>
        <v>0</v>
      </c>
      <c r="H1017" s="449"/>
      <c r="I1017" s="444"/>
      <c r="J1017" s="449"/>
      <c r="K1017" s="444" t="s">
        <v>2174</v>
      </c>
      <c r="L1017" s="450" t="s">
        <v>2175</v>
      </c>
      <c r="M1017" s="444" t="s">
        <v>2176</v>
      </c>
      <c r="N1017" s="450"/>
      <c r="O1017" s="450"/>
      <c r="P1017" s="450" t="s">
        <v>1091</v>
      </c>
      <c r="Q1017" s="451" t="s">
        <v>374</v>
      </c>
      <c r="R1017" s="451" t="s">
        <v>404</v>
      </c>
      <c r="S1017" s="452" t="s">
        <v>405</v>
      </c>
      <c r="T1017" s="452"/>
      <c r="U1017" s="453"/>
      <c r="V1017" s="454"/>
      <c r="W1017" s="455" t="s">
        <v>406</v>
      </c>
      <c r="X1017" s="455">
        <v>45607</v>
      </c>
      <c r="Y1017" s="456" t="s">
        <v>377</v>
      </c>
      <c r="Z1017" s="457"/>
      <c r="AA1017" s="494">
        <v>1</v>
      </c>
    </row>
    <row r="1018" spans="1:27" s="441" customFormat="1" ht="18" customHeight="1">
      <c r="A1018" s="427">
        <v>3</v>
      </c>
      <c r="B1018" s="428" t="s">
        <v>2177</v>
      </c>
      <c r="C1018" s="429" t="s">
        <v>84</v>
      </c>
      <c r="D1018" s="428" t="s">
        <v>2178</v>
      </c>
      <c r="E1018" s="430">
        <v>1</v>
      </c>
      <c r="F1018" s="431"/>
      <c r="G1018" s="432">
        <f t="shared" si="43"/>
        <v>0</v>
      </c>
      <c r="H1018" s="442"/>
      <c r="I1018" s="428"/>
      <c r="J1018" s="442"/>
      <c r="K1018" s="428" t="s">
        <v>2174</v>
      </c>
      <c r="L1018" s="433" t="s">
        <v>2175</v>
      </c>
      <c r="M1018" s="428" t="s">
        <v>444</v>
      </c>
      <c r="N1018" s="433"/>
      <c r="O1018" s="433"/>
      <c r="P1018" s="433" t="s">
        <v>444</v>
      </c>
      <c r="Q1018" s="434" t="s">
        <v>591</v>
      </c>
      <c r="R1018" s="434"/>
      <c r="S1018" s="435" t="s">
        <v>444</v>
      </c>
      <c r="T1018" s="435"/>
      <c r="U1018" s="436"/>
      <c r="V1018" s="437"/>
      <c r="W1018" s="438"/>
      <c r="X1018" s="438"/>
      <c r="Y1018" s="439" t="s">
        <v>592</v>
      </c>
      <c r="Z1018" s="440"/>
      <c r="AA1018" s="495"/>
    </row>
    <row r="1019" spans="1:27" s="441" customFormat="1" ht="18" customHeight="1">
      <c r="A1019" s="427">
        <v>4</v>
      </c>
      <c r="B1019" s="428" t="s">
        <v>2179</v>
      </c>
      <c r="C1019" s="429" t="s">
        <v>84</v>
      </c>
      <c r="D1019" s="428" t="s">
        <v>2180</v>
      </c>
      <c r="E1019" s="430">
        <v>1</v>
      </c>
      <c r="F1019" s="431"/>
      <c r="G1019" s="432">
        <f t="shared" si="43"/>
        <v>0</v>
      </c>
      <c r="H1019" s="442"/>
      <c r="I1019" s="428"/>
      <c r="J1019" s="442"/>
      <c r="K1019" s="428" t="s">
        <v>2174</v>
      </c>
      <c r="L1019" s="433" t="s">
        <v>2175</v>
      </c>
      <c r="M1019" s="428" t="s">
        <v>444</v>
      </c>
      <c r="N1019" s="433"/>
      <c r="O1019" s="433"/>
      <c r="P1019" s="433" t="s">
        <v>444</v>
      </c>
      <c r="Q1019" s="434" t="s">
        <v>591</v>
      </c>
      <c r="R1019" s="434"/>
      <c r="S1019" s="435" t="s">
        <v>444</v>
      </c>
      <c r="T1019" s="435"/>
      <c r="U1019" s="436"/>
      <c r="V1019" s="437"/>
      <c r="W1019" s="438"/>
      <c r="X1019" s="438"/>
      <c r="Y1019" s="439" t="s">
        <v>592</v>
      </c>
      <c r="Z1019" s="440"/>
      <c r="AA1019" s="495"/>
    </row>
    <row r="1020" spans="1:27" s="128" customFormat="1" ht="36" customHeight="1">
      <c r="A1020" s="443">
        <v>5</v>
      </c>
      <c r="B1020" s="444" t="s">
        <v>584</v>
      </c>
      <c r="C1020" s="445" t="s">
        <v>84</v>
      </c>
      <c r="D1020" s="444" t="s">
        <v>585</v>
      </c>
      <c r="E1020" s="446">
        <v>1</v>
      </c>
      <c r="F1020" s="447"/>
      <c r="G1020" s="448">
        <f t="shared" si="43"/>
        <v>0</v>
      </c>
      <c r="H1020" s="449"/>
      <c r="I1020" s="444"/>
      <c r="J1020" s="449"/>
      <c r="K1020" s="444" t="s">
        <v>2174</v>
      </c>
      <c r="L1020" s="450" t="s">
        <v>2175</v>
      </c>
      <c r="M1020" s="444" t="s">
        <v>2176</v>
      </c>
      <c r="N1020" s="450"/>
      <c r="O1020" s="450"/>
      <c r="P1020" s="450" t="s">
        <v>1091</v>
      </c>
      <c r="Q1020" s="451" t="s">
        <v>374</v>
      </c>
      <c r="R1020" s="451" t="s">
        <v>404</v>
      </c>
      <c r="S1020" s="452" t="s">
        <v>405</v>
      </c>
      <c r="T1020" s="452"/>
      <c r="U1020" s="453"/>
      <c r="V1020" s="454"/>
      <c r="W1020" s="455" t="s">
        <v>406</v>
      </c>
      <c r="X1020" s="455">
        <v>45607</v>
      </c>
      <c r="Y1020" s="456" t="s">
        <v>377</v>
      </c>
      <c r="Z1020" s="457"/>
      <c r="AA1020" s="494">
        <v>1</v>
      </c>
    </row>
    <row r="1021" spans="1:27" s="128" customFormat="1" ht="36" customHeight="1">
      <c r="A1021" s="405">
        <v>6</v>
      </c>
      <c r="B1021" s="407" t="s">
        <v>587</v>
      </c>
      <c r="C1021" s="406" t="s">
        <v>84</v>
      </c>
      <c r="D1021" s="407" t="s">
        <v>588</v>
      </c>
      <c r="E1021" s="408">
        <v>1</v>
      </c>
      <c r="F1021" s="409"/>
      <c r="G1021" s="410">
        <f t="shared" si="43"/>
        <v>0</v>
      </c>
      <c r="H1021" s="411"/>
      <c r="I1021" s="407"/>
      <c r="J1021" s="411"/>
      <c r="K1021" s="407" t="s">
        <v>2174</v>
      </c>
      <c r="L1021" s="412" t="s">
        <v>2175</v>
      </c>
      <c r="M1021" s="407" t="s">
        <v>2176</v>
      </c>
      <c r="N1021" s="412"/>
      <c r="O1021" s="412"/>
      <c r="P1021" s="412" t="s">
        <v>1091</v>
      </c>
      <c r="Q1021" s="413" t="s">
        <v>374</v>
      </c>
      <c r="R1021" s="413" t="s">
        <v>404</v>
      </c>
      <c r="S1021" s="414" t="s">
        <v>405</v>
      </c>
      <c r="T1021" s="414" t="s">
        <v>481</v>
      </c>
      <c r="U1021" s="415"/>
      <c r="V1021" s="416"/>
      <c r="W1021" s="417"/>
      <c r="X1021" s="417"/>
      <c r="Y1021" s="418" t="s">
        <v>377</v>
      </c>
      <c r="Z1021" s="419"/>
      <c r="AA1021" s="492">
        <v>1</v>
      </c>
    </row>
    <row r="1022" spans="1:27" s="441" customFormat="1" ht="18" customHeight="1">
      <c r="A1022" s="427">
        <v>7</v>
      </c>
      <c r="B1022" s="428" t="s">
        <v>2177</v>
      </c>
      <c r="C1022" s="429" t="s">
        <v>84</v>
      </c>
      <c r="D1022" s="428" t="s">
        <v>2178</v>
      </c>
      <c r="E1022" s="430">
        <v>1</v>
      </c>
      <c r="F1022" s="431"/>
      <c r="G1022" s="432">
        <f t="shared" si="43"/>
        <v>0</v>
      </c>
      <c r="H1022" s="442"/>
      <c r="I1022" s="428"/>
      <c r="J1022" s="442"/>
      <c r="K1022" s="428"/>
      <c r="L1022" s="433"/>
      <c r="M1022" s="428"/>
      <c r="N1022" s="433"/>
      <c r="O1022" s="433"/>
      <c r="P1022" s="433"/>
      <c r="Q1022" s="434"/>
      <c r="R1022" s="434"/>
      <c r="S1022" s="435"/>
      <c r="T1022" s="435"/>
      <c r="U1022" s="436"/>
      <c r="V1022" s="437"/>
      <c r="W1022" s="438"/>
      <c r="X1022" s="438"/>
      <c r="Y1022" s="439" t="s">
        <v>592</v>
      </c>
      <c r="Z1022" s="440"/>
      <c r="AA1022" s="495"/>
    </row>
    <row r="1023" spans="1:27" s="441" customFormat="1" ht="18" customHeight="1">
      <c r="A1023" s="427">
        <v>8</v>
      </c>
      <c r="B1023" s="428" t="s">
        <v>2179</v>
      </c>
      <c r="C1023" s="429" t="s">
        <v>84</v>
      </c>
      <c r="D1023" s="428" t="s">
        <v>2180</v>
      </c>
      <c r="E1023" s="430">
        <v>1</v>
      </c>
      <c r="F1023" s="431"/>
      <c r="G1023" s="432">
        <f t="shared" si="43"/>
        <v>0</v>
      </c>
      <c r="H1023" s="442"/>
      <c r="I1023" s="428"/>
      <c r="J1023" s="442"/>
      <c r="K1023" s="428"/>
      <c r="L1023" s="433"/>
      <c r="M1023" s="428"/>
      <c r="N1023" s="433"/>
      <c r="O1023" s="433"/>
      <c r="P1023" s="433"/>
      <c r="Q1023" s="434"/>
      <c r="R1023" s="434"/>
      <c r="S1023" s="435"/>
      <c r="T1023" s="435"/>
      <c r="U1023" s="436"/>
      <c r="V1023" s="437"/>
      <c r="W1023" s="438"/>
      <c r="X1023" s="438"/>
      <c r="Y1023" s="439" t="s">
        <v>592</v>
      </c>
      <c r="Z1023" s="440"/>
      <c r="AA1023" s="495"/>
    </row>
    <row r="1024" spans="1:27" s="441" customFormat="1" ht="18" customHeight="1">
      <c r="A1024" s="427">
        <v>9</v>
      </c>
      <c r="B1024" s="428" t="s">
        <v>2181</v>
      </c>
      <c r="C1024" s="429" t="s">
        <v>84</v>
      </c>
      <c r="D1024" s="428" t="s">
        <v>2182</v>
      </c>
      <c r="E1024" s="430">
        <v>1</v>
      </c>
      <c r="F1024" s="431"/>
      <c r="G1024" s="432">
        <f t="shared" si="43"/>
        <v>0</v>
      </c>
      <c r="H1024" s="442"/>
      <c r="I1024" s="428"/>
      <c r="J1024" s="442"/>
      <c r="K1024" s="428" t="s">
        <v>2174</v>
      </c>
      <c r="L1024" s="433" t="s">
        <v>2175</v>
      </c>
      <c r="M1024" s="428" t="s">
        <v>444</v>
      </c>
      <c r="N1024" s="433"/>
      <c r="O1024" s="433"/>
      <c r="P1024" s="433" t="s">
        <v>444</v>
      </c>
      <c r="Q1024" s="434" t="s">
        <v>591</v>
      </c>
      <c r="R1024" s="434"/>
      <c r="S1024" s="435" t="s">
        <v>444</v>
      </c>
      <c r="T1024" s="435"/>
      <c r="U1024" s="436"/>
      <c r="V1024" s="437"/>
      <c r="W1024" s="438"/>
      <c r="X1024" s="438"/>
      <c r="Y1024" s="439" t="s">
        <v>592</v>
      </c>
      <c r="Z1024" s="440"/>
      <c r="AA1024" s="495"/>
    </row>
    <row r="1025" spans="1:27" s="128" customFormat="1" ht="36" customHeight="1">
      <c r="A1025" s="443">
        <v>10</v>
      </c>
      <c r="B1025" s="444" t="s">
        <v>1089</v>
      </c>
      <c r="C1025" s="445" t="s">
        <v>84</v>
      </c>
      <c r="D1025" s="444" t="s">
        <v>960</v>
      </c>
      <c r="E1025" s="446">
        <v>2</v>
      </c>
      <c r="F1025" s="447"/>
      <c r="G1025" s="448">
        <f t="shared" si="43"/>
        <v>0</v>
      </c>
      <c r="H1025" s="449"/>
      <c r="I1025" s="444"/>
      <c r="J1025" s="449"/>
      <c r="K1025" s="444" t="s">
        <v>2174</v>
      </c>
      <c r="L1025" s="450" t="s">
        <v>2175</v>
      </c>
      <c r="M1025" s="444" t="s">
        <v>2176</v>
      </c>
      <c r="N1025" s="450"/>
      <c r="O1025" s="450"/>
      <c r="P1025" s="450" t="s">
        <v>1091</v>
      </c>
      <c r="Q1025" s="451" t="s">
        <v>374</v>
      </c>
      <c r="R1025" s="451" t="s">
        <v>404</v>
      </c>
      <c r="S1025" s="452" t="s">
        <v>405</v>
      </c>
      <c r="T1025" s="452"/>
      <c r="U1025" s="453"/>
      <c r="V1025" s="454"/>
      <c r="W1025" s="455" t="s">
        <v>406</v>
      </c>
      <c r="X1025" s="455">
        <v>45607</v>
      </c>
      <c r="Y1025" s="456" t="s">
        <v>377</v>
      </c>
      <c r="Z1025" s="457"/>
      <c r="AA1025" s="494">
        <v>1</v>
      </c>
    </row>
    <row r="1026" spans="1:27" s="128" customFormat="1" ht="18" customHeight="1">
      <c r="A1026" s="443">
        <v>11</v>
      </c>
      <c r="B1026" s="444" t="s">
        <v>2183</v>
      </c>
      <c r="C1026" s="445" t="s">
        <v>84</v>
      </c>
      <c r="D1026" s="444" t="s">
        <v>2184</v>
      </c>
      <c r="E1026" s="446">
        <v>4</v>
      </c>
      <c r="F1026" s="447"/>
      <c r="G1026" s="448">
        <f t="shared" ref="G1026:G1057" si="44">E1026*F1026</f>
        <v>0</v>
      </c>
      <c r="H1026" s="449"/>
      <c r="I1026" s="444"/>
      <c r="J1026" s="449"/>
      <c r="K1026" s="444" t="s">
        <v>2174</v>
      </c>
      <c r="L1026" s="450" t="s">
        <v>2175</v>
      </c>
      <c r="M1026" s="444" t="s">
        <v>2185</v>
      </c>
      <c r="N1026" s="450"/>
      <c r="O1026" s="450"/>
      <c r="P1026" s="450" t="s">
        <v>1091</v>
      </c>
      <c r="Q1026" s="451" t="s">
        <v>374</v>
      </c>
      <c r="R1026" s="451" t="s">
        <v>2186</v>
      </c>
      <c r="S1026" s="452" t="s">
        <v>1577</v>
      </c>
      <c r="T1026" s="452" t="s">
        <v>2187</v>
      </c>
      <c r="U1026" s="453"/>
      <c r="V1026" s="454"/>
      <c r="W1026" s="455" t="s">
        <v>406</v>
      </c>
      <c r="X1026" s="455">
        <v>45574</v>
      </c>
      <c r="Y1026" s="456" t="s">
        <v>377</v>
      </c>
      <c r="Z1026" s="457"/>
      <c r="AA1026" s="494"/>
    </row>
    <row r="1027" spans="1:27" s="128" customFormat="1" ht="18" customHeight="1">
      <c r="A1027" s="443">
        <v>12</v>
      </c>
      <c r="B1027" s="444" t="s">
        <v>2188</v>
      </c>
      <c r="C1027" s="445" t="s">
        <v>84</v>
      </c>
      <c r="D1027" s="444" t="s">
        <v>2189</v>
      </c>
      <c r="E1027" s="446">
        <v>4</v>
      </c>
      <c r="F1027" s="447"/>
      <c r="G1027" s="448">
        <f t="shared" si="44"/>
        <v>0</v>
      </c>
      <c r="H1027" s="449"/>
      <c r="I1027" s="444"/>
      <c r="J1027" s="449"/>
      <c r="K1027" s="444" t="s">
        <v>2174</v>
      </c>
      <c r="L1027" s="450" t="s">
        <v>2175</v>
      </c>
      <c r="M1027" s="444" t="s">
        <v>2190</v>
      </c>
      <c r="N1027" s="450"/>
      <c r="O1027" s="450"/>
      <c r="P1027" s="450" t="s">
        <v>1017</v>
      </c>
      <c r="Q1027" s="451" t="s">
        <v>374</v>
      </c>
      <c r="R1027" s="451" t="s">
        <v>249</v>
      </c>
      <c r="S1027" s="452" t="s">
        <v>681</v>
      </c>
      <c r="T1027" s="452">
        <v>45553</v>
      </c>
      <c r="U1027" s="453"/>
      <c r="V1027" s="454"/>
      <c r="W1027" s="455" t="s">
        <v>376</v>
      </c>
      <c r="X1027" s="455">
        <v>45558</v>
      </c>
      <c r="Y1027" s="456" t="s">
        <v>377</v>
      </c>
      <c r="Z1027" s="457"/>
      <c r="AA1027" s="494"/>
    </row>
    <row r="1028" spans="1:27" s="128" customFormat="1" ht="18" customHeight="1">
      <c r="A1028" s="443">
        <v>13</v>
      </c>
      <c r="B1028" s="444" t="s">
        <v>2191</v>
      </c>
      <c r="C1028" s="445" t="s">
        <v>84</v>
      </c>
      <c r="D1028" s="444" t="s">
        <v>2192</v>
      </c>
      <c r="E1028" s="446">
        <v>4</v>
      </c>
      <c r="F1028" s="447"/>
      <c r="G1028" s="448">
        <f t="shared" si="44"/>
        <v>0</v>
      </c>
      <c r="H1028" s="449"/>
      <c r="I1028" s="444"/>
      <c r="J1028" s="449"/>
      <c r="K1028" s="444" t="s">
        <v>2174</v>
      </c>
      <c r="L1028" s="450" t="s">
        <v>2175</v>
      </c>
      <c r="M1028" s="444" t="s">
        <v>2190</v>
      </c>
      <c r="N1028" s="450"/>
      <c r="O1028" s="450"/>
      <c r="P1028" s="450" t="s">
        <v>1017</v>
      </c>
      <c r="Q1028" s="451" t="s">
        <v>374</v>
      </c>
      <c r="R1028" s="451" t="s">
        <v>249</v>
      </c>
      <c r="S1028" s="452" t="s">
        <v>681</v>
      </c>
      <c r="T1028" s="452">
        <v>45553</v>
      </c>
      <c r="U1028" s="453"/>
      <c r="V1028" s="454"/>
      <c r="W1028" s="455" t="s">
        <v>376</v>
      </c>
      <c r="X1028" s="455">
        <v>45558</v>
      </c>
      <c r="Y1028" s="456" t="s">
        <v>377</v>
      </c>
      <c r="Z1028" s="457"/>
      <c r="AA1028" s="494"/>
    </row>
    <row r="1029" spans="1:27" s="128" customFormat="1" ht="18" customHeight="1">
      <c r="A1029" s="443">
        <v>14</v>
      </c>
      <c r="B1029" s="444" t="s">
        <v>2193</v>
      </c>
      <c r="C1029" s="445" t="s">
        <v>84</v>
      </c>
      <c r="D1029" s="444" t="s">
        <v>2194</v>
      </c>
      <c r="E1029" s="446">
        <v>2</v>
      </c>
      <c r="F1029" s="447"/>
      <c r="G1029" s="448">
        <f t="shared" si="44"/>
        <v>0</v>
      </c>
      <c r="H1029" s="449"/>
      <c r="I1029" s="444"/>
      <c r="J1029" s="449"/>
      <c r="K1029" s="444" t="s">
        <v>2174</v>
      </c>
      <c r="L1029" s="450" t="s">
        <v>2175</v>
      </c>
      <c r="M1029" s="444" t="s">
        <v>2190</v>
      </c>
      <c r="N1029" s="450"/>
      <c r="O1029" s="450"/>
      <c r="P1029" s="450" t="s">
        <v>1017</v>
      </c>
      <c r="Q1029" s="451" t="s">
        <v>374</v>
      </c>
      <c r="R1029" s="451" t="s">
        <v>249</v>
      </c>
      <c r="S1029" s="452" t="s">
        <v>763</v>
      </c>
      <c r="T1029" s="452">
        <v>45560</v>
      </c>
      <c r="U1029" s="453"/>
      <c r="V1029" s="454"/>
      <c r="W1029" s="455" t="s">
        <v>406</v>
      </c>
      <c r="X1029" s="455">
        <v>45565</v>
      </c>
      <c r="Y1029" s="456" t="s">
        <v>377</v>
      </c>
      <c r="Z1029" s="457"/>
      <c r="AA1029" s="494"/>
    </row>
    <row r="1030" spans="1:27" s="128" customFormat="1" ht="18" customHeight="1">
      <c r="A1030" s="443">
        <v>15</v>
      </c>
      <c r="B1030" s="444" t="s">
        <v>2195</v>
      </c>
      <c r="C1030" s="445" t="s">
        <v>84</v>
      </c>
      <c r="D1030" s="444" t="s">
        <v>2196</v>
      </c>
      <c r="E1030" s="446">
        <v>4</v>
      </c>
      <c r="F1030" s="447"/>
      <c r="G1030" s="448">
        <f t="shared" si="44"/>
        <v>0</v>
      </c>
      <c r="H1030" s="449"/>
      <c r="I1030" s="444"/>
      <c r="J1030" s="449"/>
      <c r="K1030" s="444" t="s">
        <v>2174</v>
      </c>
      <c r="L1030" s="450" t="s">
        <v>2175</v>
      </c>
      <c r="M1030" s="444" t="s">
        <v>2190</v>
      </c>
      <c r="N1030" s="450"/>
      <c r="O1030" s="450"/>
      <c r="P1030" s="450" t="s">
        <v>1017</v>
      </c>
      <c r="Q1030" s="451" t="s">
        <v>374</v>
      </c>
      <c r="R1030" s="451" t="s">
        <v>249</v>
      </c>
      <c r="S1030" s="452" t="s">
        <v>681</v>
      </c>
      <c r="T1030" s="452">
        <v>45553</v>
      </c>
      <c r="U1030" s="453"/>
      <c r="V1030" s="454"/>
      <c r="W1030" s="455" t="s">
        <v>376</v>
      </c>
      <c r="X1030" s="455">
        <v>45558</v>
      </c>
      <c r="Y1030" s="456" t="s">
        <v>377</v>
      </c>
      <c r="Z1030" s="457"/>
      <c r="AA1030" s="494"/>
    </row>
    <row r="1031" spans="1:27" s="128" customFormat="1" ht="18" customHeight="1">
      <c r="A1031" s="443">
        <v>16</v>
      </c>
      <c r="B1031" s="444" t="s">
        <v>2197</v>
      </c>
      <c r="C1031" s="445" t="s">
        <v>84</v>
      </c>
      <c r="D1031" s="444" t="s">
        <v>2198</v>
      </c>
      <c r="E1031" s="446">
        <v>4</v>
      </c>
      <c r="F1031" s="447"/>
      <c r="G1031" s="448">
        <f t="shared" si="44"/>
        <v>0</v>
      </c>
      <c r="H1031" s="449"/>
      <c r="I1031" s="444"/>
      <c r="J1031" s="449"/>
      <c r="K1031" s="444" t="s">
        <v>2174</v>
      </c>
      <c r="L1031" s="450" t="s">
        <v>2175</v>
      </c>
      <c r="M1031" s="444" t="s">
        <v>2190</v>
      </c>
      <c r="N1031" s="450"/>
      <c r="O1031" s="450"/>
      <c r="P1031" s="450" t="s">
        <v>1017</v>
      </c>
      <c r="Q1031" s="451" t="s">
        <v>374</v>
      </c>
      <c r="R1031" s="451" t="s">
        <v>249</v>
      </c>
      <c r="S1031" s="452" t="s">
        <v>681</v>
      </c>
      <c r="T1031" s="452">
        <v>45553</v>
      </c>
      <c r="U1031" s="453"/>
      <c r="V1031" s="454"/>
      <c r="W1031" s="455" t="s">
        <v>376</v>
      </c>
      <c r="X1031" s="455">
        <v>45558</v>
      </c>
      <c r="Y1031" s="456" t="s">
        <v>377</v>
      </c>
      <c r="Z1031" s="457"/>
      <c r="AA1031" s="494"/>
    </row>
    <row r="1032" spans="1:27" s="128" customFormat="1" ht="18" customHeight="1">
      <c r="A1032" s="443">
        <v>17</v>
      </c>
      <c r="B1032" s="444" t="s">
        <v>2199</v>
      </c>
      <c r="C1032" s="445" t="s">
        <v>84</v>
      </c>
      <c r="D1032" s="444" t="s">
        <v>2200</v>
      </c>
      <c r="E1032" s="446">
        <v>4</v>
      </c>
      <c r="F1032" s="447"/>
      <c r="G1032" s="448">
        <f t="shared" si="44"/>
        <v>0</v>
      </c>
      <c r="H1032" s="449"/>
      <c r="I1032" s="444"/>
      <c r="J1032" s="449"/>
      <c r="K1032" s="444" t="s">
        <v>2174</v>
      </c>
      <c r="L1032" s="450" t="s">
        <v>2175</v>
      </c>
      <c r="M1032" s="444" t="s">
        <v>2190</v>
      </c>
      <c r="N1032" s="450"/>
      <c r="O1032" s="450"/>
      <c r="P1032" s="450" t="s">
        <v>1017</v>
      </c>
      <c r="Q1032" s="451" t="s">
        <v>374</v>
      </c>
      <c r="R1032" s="451" t="s">
        <v>249</v>
      </c>
      <c r="S1032" s="452" t="s">
        <v>763</v>
      </c>
      <c r="T1032" s="452">
        <v>45561</v>
      </c>
      <c r="U1032" s="453"/>
      <c r="V1032" s="454"/>
      <c r="W1032" s="455" t="s">
        <v>406</v>
      </c>
      <c r="X1032" s="455">
        <v>45565</v>
      </c>
      <c r="Y1032" s="456" t="s">
        <v>377</v>
      </c>
      <c r="Z1032" s="457"/>
      <c r="AA1032" s="494"/>
    </row>
    <row r="1033" spans="1:27" s="128" customFormat="1" ht="18" customHeight="1">
      <c r="A1033" s="443">
        <v>18</v>
      </c>
      <c r="B1033" s="444" t="s">
        <v>2201</v>
      </c>
      <c r="C1033" s="445" t="s">
        <v>84</v>
      </c>
      <c r="D1033" s="444" t="s">
        <v>2202</v>
      </c>
      <c r="E1033" s="446">
        <v>4</v>
      </c>
      <c r="F1033" s="447"/>
      <c r="G1033" s="448">
        <f t="shared" si="44"/>
        <v>0</v>
      </c>
      <c r="H1033" s="449"/>
      <c r="I1033" s="444"/>
      <c r="J1033" s="449"/>
      <c r="K1033" s="444" t="s">
        <v>2174</v>
      </c>
      <c r="L1033" s="450" t="s">
        <v>2175</v>
      </c>
      <c r="M1033" s="444" t="s">
        <v>2190</v>
      </c>
      <c r="N1033" s="450"/>
      <c r="O1033" s="450"/>
      <c r="P1033" s="450" t="s">
        <v>1017</v>
      </c>
      <c r="Q1033" s="451" t="s">
        <v>374</v>
      </c>
      <c r="R1033" s="451" t="s">
        <v>249</v>
      </c>
      <c r="S1033" s="452" t="s">
        <v>763</v>
      </c>
      <c r="T1033" s="452">
        <v>45561</v>
      </c>
      <c r="U1033" s="453"/>
      <c r="V1033" s="454"/>
      <c r="W1033" s="455" t="s">
        <v>406</v>
      </c>
      <c r="X1033" s="455">
        <v>45565</v>
      </c>
      <c r="Y1033" s="456" t="s">
        <v>377</v>
      </c>
      <c r="Z1033" s="457"/>
      <c r="AA1033" s="494"/>
    </row>
    <row r="1034" spans="1:27" s="128" customFormat="1" ht="18" customHeight="1">
      <c r="A1034" s="443">
        <v>19</v>
      </c>
      <c r="B1034" s="444" t="s">
        <v>2203</v>
      </c>
      <c r="C1034" s="445" t="s">
        <v>84</v>
      </c>
      <c r="D1034" s="444" t="s">
        <v>2204</v>
      </c>
      <c r="E1034" s="446">
        <v>5</v>
      </c>
      <c r="F1034" s="447"/>
      <c r="G1034" s="448">
        <f t="shared" si="44"/>
        <v>0</v>
      </c>
      <c r="H1034" s="449"/>
      <c r="I1034" s="444"/>
      <c r="J1034" s="449"/>
      <c r="K1034" s="444" t="s">
        <v>2174</v>
      </c>
      <c r="L1034" s="450" t="s">
        <v>2175</v>
      </c>
      <c r="M1034" s="444" t="s">
        <v>2190</v>
      </c>
      <c r="N1034" s="450"/>
      <c r="O1034" s="450"/>
      <c r="P1034" s="450" t="s">
        <v>1017</v>
      </c>
      <c r="Q1034" s="451" t="s">
        <v>374</v>
      </c>
      <c r="R1034" s="451" t="s">
        <v>249</v>
      </c>
      <c r="S1034" s="452" t="s">
        <v>681</v>
      </c>
      <c r="T1034" s="452">
        <v>45553</v>
      </c>
      <c r="U1034" s="453"/>
      <c r="V1034" s="454"/>
      <c r="W1034" s="455" t="s">
        <v>376</v>
      </c>
      <c r="X1034" s="455">
        <v>45558</v>
      </c>
      <c r="Y1034" s="456" t="s">
        <v>377</v>
      </c>
      <c r="Z1034" s="457"/>
      <c r="AA1034" s="494"/>
    </row>
    <row r="1035" spans="1:27" s="128" customFormat="1" ht="18" customHeight="1">
      <c r="A1035" s="443">
        <v>20</v>
      </c>
      <c r="B1035" s="444" t="s">
        <v>2205</v>
      </c>
      <c r="C1035" s="445" t="s">
        <v>84</v>
      </c>
      <c r="D1035" s="444" t="s">
        <v>2206</v>
      </c>
      <c r="E1035" s="446">
        <v>4</v>
      </c>
      <c r="F1035" s="447"/>
      <c r="G1035" s="448">
        <f t="shared" si="44"/>
        <v>0</v>
      </c>
      <c r="H1035" s="449"/>
      <c r="I1035" s="444"/>
      <c r="J1035" s="449"/>
      <c r="K1035" s="444" t="s">
        <v>2174</v>
      </c>
      <c r="L1035" s="450" t="s">
        <v>2175</v>
      </c>
      <c r="M1035" s="444" t="s">
        <v>2190</v>
      </c>
      <c r="N1035" s="450"/>
      <c r="O1035" s="450"/>
      <c r="P1035" s="450" t="s">
        <v>1017</v>
      </c>
      <c r="Q1035" s="451" t="s">
        <v>374</v>
      </c>
      <c r="R1035" s="451" t="s">
        <v>249</v>
      </c>
      <c r="S1035" s="452" t="s">
        <v>681</v>
      </c>
      <c r="T1035" s="452">
        <v>45553</v>
      </c>
      <c r="U1035" s="453"/>
      <c r="V1035" s="454"/>
      <c r="W1035" s="455" t="s">
        <v>376</v>
      </c>
      <c r="X1035" s="455">
        <v>45558</v>
      </c>
      <c r="Y1035" s="456" t="s">
        <v>377</v>
      </c>
      <c r="Z1035" s="457"/>
      <c r="AA1035" s="494"/>
    </row>
    <row r="1036" spans="1:27" s="128" customFormat="1" ht="18" customHeight="1">
      <c r="A1036" s="443">
        <v>21</v>
      </c>
      <c r="B1036" s="444" t="s">
        <v>2207</v>
      </c>
      <c r="C1036" s="445" t="s">
        <v>84</v>
      </c>
      <c r="D1036" s="444" t="s">
        <v>2208</v>
      </c>
      <c r="E1036" s="446">
        <v>12</v>
      </c>
      <c r="F1036" s="447"/>
      <c r="G1036" s="448">
        <f t="shared" si="44"/>
        <v>0</v>
      </c>
      <c r="H1036" s="449"/>
      <c r="I1036" s="444"/>
      <c r="J1036" s="449"/>
      <c r="K1036" s="444" t="s">
        <v>2174</v>
      </c>
      <c r="L1036" s="450" t="s">
        <v>2175</v>
      </c>
      <c r="M1036" s="444" t="s">
        <v>2190</v>
      </c>
      <c r="N1036" s="450"/>
      <c r="O1036" s="450"/>
      <c r="P1036" s="450" t="s">
        <v>1017</v>
      </c>
      <c r="Q1036" s="451" t="s">
        <v>374</v>
      </c>
      <c r="R1036" s="451" t="s">
        <v>249</v>
      </c>
      <c r="S1036" s="452" t="s">
        <v>763</v>
      </c>
      <c r="T1036" s="452">
        <v>45560</v>
      </c>
      <c r="U1036" s="453"/>
      <c r="V1036" s="454"/>
      <c r="W1036" s="455" t="s">
        <v>406</v>
      </c>
      <c r="X1036" s="455">
        <v>45565</v>
      </c>
      <c r="Y1036" s="456" t="s">
        <v>377</v>
      </c>
      <c r="Z1036" s="457"/>
      <c r="AA1036" s="494"/>
    </row>
    <row r="1037" spans="1:27" s="128" customFormat="1" ht="18" customHeight="1">
      <c r="A1037" s="443">
        <v>22</v>
      </c>
      <c r="B1037" s="444" t="s">
        <v>2209</v>
      </c>
      <c r="C1037" s="445" t="s">
        <v>84</v>
      </c>
      <c r="D1037" s="444" t="s">
        <v>2210</v>
      </c>
      <c r="E1037" s="446">
        <v>1</v>
      </c>
      <c r="F1037" s="447"/>
      <c r="G1037" s="448">
        <f t="shared" si="44"/>
        <v>0</v>
      </c>
      <c r="H1037" s="449"/>
      <c r="I1037" s="444"/>
      <c r="J1037" s="449"/>
      <c r="K1037" s="444" t="s">
        <v>2174</v>
      </c>
      <c r="L1037" s="450" t="s">
        <v>2175</v>
      </c>
      <c r="M1037" s="444" t="s">
        <v>2190</v>
      </c>
      <c r="N1037" s="450"/>
      <c r="O1037" s="450"/>
      <c r="P1037" s="450" t="s">
        <v>1017</v>
      </c>
      <c r="Q1037" s="451" t="s">
        <v>374</v>
      </c>
      <c r="R1037" s="451" t="s">
        <v>249</v>
      </c>
      <c r="S1037" s="452" t="s">
        <v>763</v>
      </c>
      <c r="T1037" s="452">
        <v>45561</v>
      </c>
      <c r="U1037" s="453"/>
      <c r="V1037" s="454"/>
      <c r="W1037" s="455" t="s">
        <v>406</v>
      </c>
      <c r="X1037" s="455">
        <v>45565</v>
      </c>
      <c r="Y1037" s="456" t="s">
        <v>377</v>
      </c>
      <c r="Z1037" s="457"/>
      <c r="AA1037" s="494"/>
    </row>
    <row r="1038" spans="1:27" s="128" customFormat="1" ht="18" customHeight="1">
      <c r="A1038" s="443">
        <v>23</v>
      </c>
      <c r="B1038" s="444" t="s">
        <v>457</v>
      </c>
      <c r="C1038" s="445" t="s">
        <v>84</v>
      </c>
      <c r="D1038" s="444" t="s">
        <v>458</v>
      </c>
      <c r="E1038" s="446">
        <v>1</v>
      </c>
      <c r="F1038" s="447"/>
      <c r="G1038" s="448">
        <f t="shared" si="44"/>
        <v>0</v>
      </c>
      <c r="H1038" s="449"/>
      <c r="I1038" s="444"/>
      <c r="J1038" s="449"/>
      <c r="K1038" s="444" t="s">
        <v>2174</v>
      </c>
      <c r="L1038" s="450" t="s">
        <v>2175</v>
      </c>
      <c r="M1038" s="444" t="s">
        <v>2190</v>
      </c>
      <c r="N1038" s="450"/>
      <c r="O1038" s="450"/>
      <c r="P1038" s="450" t="s">
        <v>1017</v>
      </c>
      <c r="Q1038" s="451" t="s">
        <v>374</v>
      </c>
      <c r="R1038" s="451" t="s">
        <v>249</v>
      </c>
      <c r="S1038" s="452" t="s">
        <v>1175</v>
      </c>
      <c r="T1038" s="452">
        <v>45560</v>
      </c>
      <c r="U1038" s="453"/>
      <c r="V1038" s="454"/>
      <c r="W1038" s="455" t="s">
        <v>376</v>
      </c>
      <c r="X1038" s="455">
        <v>45558</v>
      </c>
      <c r="Y1038" s="456" t="s">
        <v>377</v>
      </c>
      <c r="Z1038" s="457"/>
      <c r="AA1038" s="494"/>
    </row>
    <row r="1039" spans="1:27" s="128" customFormat="1" ht="18" customHeight="1">
      <c r="A1039" s="443">
        <v>24</v>
      </c>
      <c r="B1039" s="444" t="s">
        <v>965</v>
      </c>
      <c r="C1039" s="445" t="s">
        <v>84</v>
      </c>
      <c r="D1039" s="444" t="s">
        <v>966</v>
      </c>
      <c r="E1039" s="446">
        <v>1</v>
      </c>
      <c r="F1039" s="447"/>
      <c r="G1039" s="448">
        <f t="shared" si="44"/>
        <v>0</v>
      </c>
      <c r="H1039" s="449"/>
      <c r="I1039" s="444"/>
      <c r="J1039" s="449"/>
      <c r="K1039" s="444"/>
      <c r="L1039" s="450"/>
      <c r="M1039" s="444"/>
      <c r="N1039" s="450"/>
      <c r="O1039" s="450"/>
      <c r="P1039" s="450"/>
      <c r="Q1039" s="451" t="s">
        <v>374</v>
      </c>
      <c r="R1039" s="451"/>
      <c r="S1039" s="452"/>
      <c r="T1039" s="452"/>
      <c r="U1039" s="453"/>
      <c r="V1039" s="454"/>
      <c r="W1039" s="455" t="s">
        <v>406</v>
      </c>
      <c r="X1039" s="455">
        <v>45552</v>
      </c>
      <c r="Y1039" s="456" t="s">
        <v>377</v>
      </c>
      <c r="Z1039" s="457"/>
      <c r="AA1039" s="494"/>
    </row>
    <row r="1040" spans="1:27" s="128" customFormat="1" ht="18" customHeight="1">
      <c r="A1040" s="443">
        <v>25</v>
      </c>
      <c r="B1040" s="444" t="s">
        <v>2211</v>
      </c>
      <c r="C1040" s="445" t="s">
        <v>84</v>
      </c>
      <c r="D1040" s="444" t="s">
        <v>2212</v>
      </c>
      <c r="E1040" s="446">
        <v>4</v>
      </c>
      <c r="F1040" s="447"/>
      <c r="G1040" s="448">
        <f t="shared" si="44"/>
        <v>0</v>
      </c>
      <c r="H1040" s="449"/>
      <c r="I1040" s="444"/>
      <c r="J1040" s="449"/>
      <c r="K1040" s="444" t="s">
        <v>2174</v>
      </c>
      <c r="L1040" s="450" t="s">
        <v>2175</v>
      </c>
      <c r="M1040" s="444" t="s">
        <v>2190</v>
      </c>
      <c r="N1040" s="450"/>
      <c r="O1040" s="450"/>
      <c r="P1040" s="450" t="s">
        <v>1017</v>
      </c>
      <c r="Q1040" s="451" t="s">
        <v>374</v>
      </c>
      <c r="R1040" s="451" t="s">
        <v>249</v>
      </c>
      <c r="S1040" s="452" t="s">
        <v>763</v>
      </c>
      <c r="T1040" s="452">
        <v>45560</v>
      </c>
      <c r="U1040" s="453"/>
      <c r="V1040" s="454"/>
      <c r="W1040" s="455" t="s">
        <v>406</v>
      </c>
      <c r="X1040" s="455">
        <v>45565</v>
      </c>
      <c r="Y1040" s="456" t="s">
        <v>377</v>
      </c>
      <c r="Z1040" s="457"/>
      <c r="AA1040" s="494"/>
    </row>
    <row r="1041" spans="1:27" s="128" customFormat="1" ht="18" customHeight="1">
      <c r="A1041" s="443">
        <v>26</v>
      </c>
      <c r="B1041" s="444" t="s">
        <v>2213</v>
      </c>
      <c r="C1041" s="445" t="s">
        <v>84</v>
      </c>
      <c r="D1041" s="444" t="s">
        <v>2214</v>
      </c>
      <c r="E1041" s="446">
        <v>1</v>
      </c>
      <c r="F1041" s="447"/>
      <c r="G1041" s="448">
        <f t="shared" si="44"/>
        <v>0</v>
      </c>
      <c r="H1041" s="449"/>
      <c r="I1041" s="444"/>
      <c r="J1041" s="449"/>
      <c r="K1041" s="444" t="s">
        <v>2174</v>
      </c>
      <c r="L1041" s="450" t="s">
        <v>2175</v>
      </c>
      <c r="M1041" s="444" t="s">
        <v>2190</v>
      </c>
      <c r="N1041" s="450"/>
      <c r="O1041" s="450"/>
      <c r="P1041" s="450" t="s">
        <v>1017</v>
      </c>
      <c r="Q1041" s="451" t="s">
        <v>374</v>
      </c>
      <c r="R1041" s="451" t="s">
        <v>249</v>
      </c>
      <c r="S1041" s="452" t="s">
        <v>763</v>
      </c>
      <c r="T1041" s="452">
        <v>45560</v>
      </c>
      <c r="U1041" s="453"/>
      <c r="V1041" s="454"/>
      <c r="W1041" s="455" t="s">
        <v>406</v>
      </c>
      <c r="X1041" s="455">
        <v>45565</v>
      </c>
      <c r="Y1041" s="456" t="s">
        <v>377</v>
      </c>
      <c r="Z1041" s="457"/>
      <c r="AA1041" s="494"/>
    </row>
    <row r="1042" spans="1:27" s="128" customFormat="1" ht="18" customHeight="1">
      <c r="A1042" s="443">
        <v>27</v>
      </c>
      <c r="B1042" s="444" t="s">
        <v>2215</v>
      </c>
      <c r="C1042" s="445" t="s">
        <v>84</v>
      </c>
      <c r="D1042" s="444" t="s">
        <v>2216</v>
      </c>
      <c r="E1042" s="446">
        <v>4</v>
      </c>
      <c r="F1042" s="447"/>
      <c r="G1042" s="448">
        <f t="shared" si="44"/>
        <v>0</v>
      </c>
      <c r="H1042" s="449"/>
      <c r="I1042" s="444"/>
      <c r="J1042" s="449"/>
      <c r="K1042" s="444" t="s">
        <v>2174</v>
      </c>
      <c r="L1042" s="450" t="s">
        <v>2175</v>
      </c>
      <c r="M1042" s="444" t="s">
        <v>2190</v>
      </c>
      <c r="N1042" s="450"/>
      <c r="O1042" s="450"/>
      <c r="P1042" s="450" t="s">
        <v>1017</v>
      </c>
      <c r="Q1042" s="451" t="s">
        <v>374</v>
      </c>
      <c r="R1042" s="451" t="s">
        <v>249</v>
      </c>
      <c r="S1042" s="452" t="s">
        <v>859</v>
      </c>
      <c r="T1042" s="452"/>
      <c r="U1042" s="453"/>
      <c r="V1042" s="454"/>
      <c r="W1042" s="455" t="s">
        <v>406</v>
      </c>
      <c r="X1042" s="455">
        <v>45588</v>
      </c>
      <c r="Y1042" s="456" t="s">
        <v>377</v>
      </c>
      <c r="Z1042" s="457"/>
      <c r="AA1042" s="494"/>
    </row>
    <row r="1043" spans="1:27" s="128" customFormat="1" ht="18" customHeight="1">
      <c r="A1043" s="443">
        <v>28</v>
      </c>
      <c r="B1043" s="444" t="s">
        <v>2217</v>
      </c>
      <c r="C1043" s="445" t="s">
        <v>84</v>
      </c>
      <c r="D1043" s="444" t="s">
        <v>2218</v>
      </c>
      <c r="E1043" s="446">
        <v>2</v>
      </c>
      <c r="F1043" s="447"/>
      <c r="G1043" s="448">
        <f t="shared" si="44"/>
        <v>0</v>
      </c>
      <c r="H1043" s="449"/>
      <c r="I1043" s="444"/>
      <c r="J1043" s="449"/>
      <c r="K1043" s="444" t="s">
        <v>2174</v>
      </c>
      <c r="L1043" s="450" t="s">
        <v>2175</v>
      </c>
      <c r="M1043" s="444" t="s">
        <v>2219</v>
      </c>
      <c r="N1043" s="450"/>
      <c r="O1043" s="450"/>
      <c r="P1043" s="450" t="s">
        <v>1017</v>
      </c>
      <c r="Q1043" s="451" t="s">
        <v>374</v>
      </c>
      <c r="R1043" s="451" t="s">
        <v>237</v>
      </c>
      <c r="S1043" s="452" t="s">
        <v>681</v>
      </c>
      <c r="T1043" s="452"/>
      <c r="U1043" s="453"/>
      <c r="V1043" s="454"/>
      <c r="W1043" s="455" t="s">
        <v>406</v>
      </c>
      <c r="X1043" s="455">
        <v>45552</v>
      </c>
      <c r="Y1043" s="456" t="s">
        <v>377</v>
      </c>
      <c r="Z1043" s="457"/>
      <c r="AA1043" s="494"/>
    </row>
    <row r="1044" spans="1:27" s="128" customFormat="1" ht="18" customHeight="1">
      <c r="A1044" s="443">
        <v>29</v>
      </c>
      <c r="B1044" s="444" t="s">
        <v>2220</v>
      </c>
      <c r="C1044" s="445" t="s">
        <v>84</v>
      </c>
      <c r="D1044" s="444" t="s">
        <v>2221</v>
      </c>
      <c r="E1044" s="446">
        <v>2</v>
      </c>
      <c r="F1044" s="447"/>
      <c r="G1044" s="448">
        <f t="shared" si="44"/>
        <v>0</v>
      </c>
      <c r="H1044" s="449"/>
      <c r="I1044" s="444"/>
      <c r="J1044" s="449"/>
      <c r="K1044" s="444" t="s">
        <v>2174</v>
      </c>
      <c r="L1044" s="450" t="s">
        <v>2175</v>
      </c>
      <c r="M1044" s="444" t="s">
        <v>2219</v>
      </c>
      <c r="N1044" s="450"/>
      <c r="O1044" s="450"/>
      <c r="P1044" s="450" t="s">
        <v>1017</v>
      </c>
      <c r="Q1044" s="451" t="s">
        <v>374</v>
      </c>
      <c r="R1044" s="451" t="s">
        <v>237</v>
      </c>
      <c r="S1044" s="452" t="s">
        <v>681</v>
      </c>
      <c r="T1044" s="452"/>
      <c r="U1044" s="453"/>
      <c r="V1044" s="454"/>
      <c r="W1044" s="455" t="s">
        <v>406</v>
      </c>
      <c r="X1044" s="455">
        <v>45552</v>
      </c>
      <c r="Y1044" s="456" t="s">
        <v>377</v>
      </c>
      <c r="Z1044" s="457"/>
      <c r="AA1044" s="494"/>
    </row>
    <row r="1045" spans="1:27" s="128" customFormat="1" ht="18" customHeight="1">
      <c r="A1045" s="443">
        <v>30</v>
      </c>
      <c r="B1045" s="444" t="s">
        <v>633</v>
      </c>
      <c r="C1045" s="445" t="s">
        <v>84</v>
      </c>
      <c r="D1045" s="444" t="s">
        <v>2222</v>
      </c>
      <c r="E1045" s="446">
        <v>2</v>
      </c>
      <c r="F1045" s="447"/>
      <c r="G1045" s="448">
        <f t="shared" si="44"/>
        <v>0</v>
      </c>
      <c r="H1045" s="449"/>
      <c r="I1045" s="444"/>
      <c r="J1045" s="449"/>
      <c r="K1045" s="444" t="s">
        <v>2174</v>
      </c>
      <c r="L1045" s="450" t="s">
        <v>2175</v>
      </c>
      <c r="M1045" s="444" t="s">
        <v>2219</v>
      </c>
      <c r="N1045" s="450"/>
      <c r="O1045" s="450"/>
      <c r="P1045" s="450" t="s">
        <v>1017</v>
      </c>
      <c r="Q1045" s="451" t="s">
        <v>374</v>
      </c>
      <c r="R1045" s="451" t="s">
        <v>237</v>
      </c>
      <c r="S1045" s="452" t="s">
        <v>681</v>
      </c>
      <c r="T1045" s="452"/>
      <c r="U1045" s="453"/>
      <c r="V1045" s="454"/>
      <c r="W1045" s="455" t="s">
        <v>406</v>
      </c>
      <c r="X1045" s="455">
        <v>45552</v>
      </c>
      <c r="Y1045" s="456" t="s">
        <v>377</v>
      </c>
      <c r="Z1045" s="457"/>
      <c r="AA1045" s="494"/>
    </row>
    <row r="1046" spans="1:27" s="128" customFormat="1" ht="18" customHeight="1">
      <c r="A1046" s="443">
        <v>31</v>
      </c>
      <c r="B1046" s="444" t="s">
        <v>2223</v>
      </c>
      <c r="C1046" s="445" t="s">
        <v>84</v>
      </c>
      <c r="D1046" s="444" t="s">
        <v>2224</v>
      </c>
      <c r="E1046" s="446">
        <v>1</v>
      </c>
      <c r="F1046" s="447"/>
      <c r="G1046" s="448">
        <f t="shared" si="44"/>
        <v>0</v>
      </c>
      <c r="H1046" s="449"/>
      <c r="I1046" s="444"/>
      <c r="J1046" s="449"/>
      <c r="K1046" s="444" t="s">
        <v>2174</v>
      </c>
      <c r="L1046" s="450" t="s">
        <v>2175</v>
      </c>
      <c r="M1046" s="444" t="s">
        <v>2190</v>
      </c>
      <c r="N1046" s="450"/>
      <c r="O1046" s="450"/>
      <c r="P1046" s="450" t="s">
        <v>1017</v>
      </c>
      <c r="Q1046" s="451" t="s">
        <v>374</v>
      </c>
      <c r="R1046" s="451" t="s">
        <v>249</v>
      </c>
      <c r="S1046" s="452" t="s">
        <v>763</v>
      </c>
      <c r="T1046" s="452">
        <v>45560</v>
      </c>
      <c r="U1046" s="453"/>
      <c r="V1046" s="454"/>
      <c r="W1046" s="455" t="s">
        <v>406</v>
      </c>
      <c r="X1046" s="455">
        <v>45565</v>
      </c>
      <c r="Y1046" s="456" t="s">
        <v>377</v>
      </c>
      <c r="Z1046" s="457"/>
      <c r="AA1046" s="494"/>
    </row>
    <row r="1047" spans="1:27" s="128" customFormat="1" ht="18" customHeight="1">
      <c r="A1047" s="443">
        <v>32</v>
      </c>
      <c r="B1047" s="444" t="s">
        <v>2225</v>
      </c>
      <c r="C1047" s="445" t="s">
        <v>84</v>
      </c>
      <c r="D1047" s="444" t="s">
        <v>2226</v>
      </c>
      <c r="E1047" s="446">
        <v>1</v>
      </c>
      <c r="F1047" s="447"/>
      <c r="G1047" s="448">
        <f t="shared" si="44"/>
        <v>0</v>
      </c>
      <c r="H1047" s="449"/>
      <c r="I1047" s="444"/>
      <c r="J1047" s="449"/>
      <c r="K1047" s="444" t="s">
        <v>2174</v>
      </c>
      <c r="L1047" s="450" t="s">
        <v>2175</v>
      </c>
      <c r="M1047" s="444" t="s">
        <v>2190</v>
      </c>
      <c r="N1047" s="450"/>
      <c r="O1047" s="450"/>
      <c r="P1047" s="450" t="s">
        <v>1017</v>
      </c>
      <c r="Q1047" s="451" t="s">
        <v>374</v>
      </c>
      <c r="R1047" s="451" t="s">
        <v>249</v>
      </c>
      <c r="S1047" s="452" t="s">
        <v>763</v>
      </c>
      <c r="T1047" s="452">
        <v>45561</v>
      </c>
      <c r="U1047" s="453"/>
      <c r="V1047" s="454"/>
      <c r="W1047" s="455" t="s">
        <v>406</v>
      </c>
      <c r="X1047" s="455">
        <v>45565</v>
      </c>
      <c r="Y1047" s="456" t="s">
        <v>377</v>
      </c>
      <c r="Z1047" s="457"/>
      <c r="AA1047" s="494"/>
    </row>
    <row r="1048" spans="1:27" s="128" customFormat="1" ht="18" customHeight="1">
      <c r="A1048" s="443">
        <v>33</v>
      </c>
      <c r="B1048" s="444" t="s">
        <v>2227</v>
      </c>
      <c r="C1048" s="445" t="s">
        <v>84</v>
      </c>
      <c r="D1048" s="444" t="s">
        <v>2228</v>
      </c>
      <c r="E1048" s="446">
        <v>4</v>
      </c>
      <c r="F1048" s="447"/>
      <c r="G1048" s="448">
        <f t="shared" si="44"/>
        <v>0</v>
      </c>
      <c r="H1048" s="449"/>
      <c r="I1048" s="444"/>
      <c r="J1048" s="449"/>
      <c r="K1048" s="444" t="s">
        <v>2174</v>
      </c>
      <c r="L1048" s="450" t="s">
        <v>2175</v>
      </c>
      <c r="M1048" s="444" t="s">
        <v>2229</v>
      </c>
      <c r="N1048" s="450"/>
      <c r="O1048" s="450"/>
      <c r="P1048" s="450" t="s">
        <v>1017</v>
      </c>
      <c r="Q1048" s="451" t="s">
        <v>374</v>
      </c>
      <c r="R1048" s="451" t="s">
        <v>299</v>
      </c>
      <c r="S1048" s="452" t="s">
        <v>921</v>
      </c>
      <c r="T1048" s="452"/>
      <c r="U1048" s="453"/>
      <c r="V1048" s="454"/>
      <c r="W1048" s="455" t="s">
        <v>406</v>
      </c>
      <c r="X1048" s="455">
        <v>45552</v>
      </c>
      <c r="Y1048" s="456" t="s">
        <v>377</v>
      </c>
      <c r="Z1048" s="457"/>
      <c r="AA1048" s="494"/>
    </row>
    <row r="1049" spans="1:27" s="128" customFormat="1" ht="18" customHeight="1">
      <c r="A1049" s="443">
        <v>34</v>
      </c>
      <c r="B1049" s="444" t="s">
        <v>2230</v>
      </c>
      <c r="C1049" s="445" t="s">
        <v>84</v>
      </c>
      <c r="D1049" s="444" t="s">
        <v>2231</v>
      </c>
      <c r="E1049" s="446">
        <v>1</v>
      </c>
      <c r="F1049" s="447"/>
      <c r="G1049" s="448">
        <f t="shared" si="44"/>
        <v>0</v>
      </c>
      <c r="H1049" s="449"/>
      <c r="I1049" s="444"/>
      <c r="J1049" s="449"/>
      <c r="K1049" s="444" t="s">
        <v>2174</v>
      </c>
      <c r="L1049" s="450" t="s">
        <v>2175</v>
      </c>
      <c r="M1049" s="444" t="s">
        <v>2190</v>
      </c>
      <c r="N1049" s="450"/>
      <c r="O1049" s="450"/>
      <c r="P1049" s="450" t="s">
        <v>1017</v>
      </c>
      <c r="Q1049" s="451" t="s">
        <v>374</v>
      </c>
      <c r="R1049" s="451" t="s">
        <v>249</v>
      </c>
      <c r="S1049" s="452" t="s">
        <v>763</v>
      </c>
      <c r="T1049" s="452">
        <v>45560</v>
      </c>
      <c r="U1049" s="453"/>
      <c r="V1049" s="454"/>
      <c r="W1049" s="455" t="s">
        <v>406</v>
      </c>
      <c r="X1049" s="455">
        <v>45565</v>
      </c>
      <c r="Y1049" s="456" t="s">
        <v>377</v>
      </c>
      <c r="Z1049" s="457"/>
      <c r="AA1049" s="494"/>
    </row>
    <row r="1050" spans="1:27" s="128" customFormat="1" ht="18" customHeight="1">
      <c r="A1050" s="443">
        <v>35</v>
      </c>
      <c r="B1050" s="444" t="s">
        <v>2232</v>
      </c>
      <c r="C1050" s="445" t="s">
        <v>84</v>
      </c>
      <c r="D1050" s="444" t="s">
        <v>2233</v>
      </c>
      <c r="E1050" s="446">
        <v>1</v>
      </c>
      <c r="F1050" s="447"/>
      <c r="G1050" s="448">
        <f t="shared" si="44"/>
        <v>0</v>
      </c>
      <c r="H1050" s="449"/>
      <c r="I1050" s="444"/>
      <c r="J1050" s="449"/>
      <c r="K1050" s="444" t="s">
        <v>2174</v>
      </c>
      <c r="L1050" s="450" t="s">
        <v>2175</v>
      </c>
      <c r="M1050" s="444" t="s">
        <v>2190</v>
      </c>
      <c r="N1050" s="450"/>
      <c r="O1050" s="450"/>
      <c r="P1050" s="450" t="s">
        <v>1017</v>
      </c>
      <c r="Q1050" s="451" t="s">
        <v>374</v>
      </c>
      <c r="R1050" s="451" t="s">
        <v>249</v>
      </c>
      <c r="S1050" s="452" t="s">
        <v>471</v>
      </c>
      <c r="T1050" s="452">
        <v>45561</v>
      </c>
      <c r="U1050" s="453"/>
      <c r="V1050" s="454"/>
      <c r="W1050" s="455" t="s">
        <v>406</v>
      </c>
      <c r="X1050" s="455">
        <v>45569</v>
      </c>
      <c r="Y1050" s="456" t="s">
        <v>377</v>
      </c>
      <c r="Z1050" s="457"/>
      <c r="AA1050" s="494"/>
    </row>
    <row r="1051" spans="1:27" s="128" customFormat="1" ht="18" customHeight="1">
      <c r="A1051" s="443">
        <v>36</v>
      </c>
      <c r="B1051" s="444" t="s">
        <v>2234</v>
      </c>
      <c r="C1051" s="445" t="s">
        <v>84</v>
      </c>
      <c r="D1051" s="444" t="s">
        <v>2235</v>
      </c>
      <c r="E1051" s="446">
        <v>1</v>
      </c>
      <c r="F1051" s="447"/>
      <c r="G1051" s="448">
        <f t="shared" si="44"/>
        <v>0</v>
      </c>
      <c r="H1051" s="449"/>
      <c r="I1051" s="444"/>
      <c r="J1051" s="449"/>
      <c r="K1051" s="444"/>
      <c r="L1051" s="450"/>
      <c r="M1051" s="444"/>
      <c r="N1051" s="450"/>
      <c r="O1051" s="450"/>
      <c r="P1051" s="450"/>
      <c r="Q1051" s="451" t="s">
        <v>374</v>
      </c>
      <c r="R1051" s="451"/>
      <c r="S1051" s="452"/>
      <c r="T1051" s="452"/>
      <c r="U1051" s="453"/>
      <c r="V1051" s="454"/>
      <c r="W1051" s="455" t="s">
        <v>406</v>
      </c>
      <c r="X1051" s="455">
        <v>45552</v>
      </c>
      <c r="Y1051" s="456" t="s">
        <v>377</v>
      </c>
      <c r="Z1051" s="457"/>
      <c r="AA1051" s="494"/>
    </row>
    <row r="1052" spans="1:27" s="128" customFormat="1" ht="36" customHeight="1">
      <c r="A1052" s="443">
        <v>37</v>
      </c>
      <c r="B1052" s="444" t="s">
        <v>2236</v>
      </c>
      <c r="C1052" s="445" t="s">
        <v>84</v>
      </c>
      <c r="D1052" s="444" t="s">
        <v>2237</v>
      </c>
      <c r="E1052" s="446">
        <v>1</v>
      </c>
      <c r="F1052" s="447"/>
      <c r="G1052" s="448">
        <f t="shared" si="44"/>
        <v>0</v>
      </c>
      <c r="H1052" s="449"/>
      <c r="I1052" s="444"/>
      <c r="J1052" s="449"/>
      <c r="K1052" s="444" t="s">
        <v>2174</v>
      </c>
      <c r="L1052" s="450" t="s">
        <v>2175</v>
      </c>
      <c r="M1052" s="444" t="s">
        <v>2185</v>
      </c>
      <c r="N1052" s="450"/>
      <c r="O1052" s="450"/>
      <c r="P1052" s="450" t="s">
        <v>1091</v>
      </c>
      <c r="Q1052" s="451" t="s">
        <v>374</v>
      </c>
      <c r="R1052" s="451" t="s">
        <v>2186</v>
      </c>
      <c r="S1052" s="452" t="s">
        <v>1577</v>
      </c>
      <c r="T1052" s="452"/>
      <c r="U1052" s="453"/>
      <c r="V1052" s="454"/>
      <c r="W1052" s="455" t="s">
        <v>406</v>
      </c>
      <c r="X1052" s="455">
        <v>45574</v>
      </c>
      <c r="Y1052" s="456" t="s">
        <v>377</v>
      </c>
      <c r="Z1052" s="457"/>
      <c r="AA1052" s="494"/>
    </row>
    <row r="1053" spans="1:27" s="128" customFormat="1" ht="18" customHeight="1">
      <c r="A1053" s="443">
        <v>38</v>
      </c>
      <c r="B1053" s="444" t="s">
        <v>2238</v>
      </c>
      <c r="C1053" s="445" t="s">
        <v>84</v>
      </c>
      <c r="D1053" s="444" t="s">
        <v>2239</v>
      </c>
      <c r="E1053" s="446">
        <v>1</v>
      </c>
      <c r="F1053" s="447"/>
      <c r="G1053" s="448">
        <f t="shared" si="44"/>
        <v>0</v>
      </c>
      <c r="H1053" s="449"/>
      <c r="I1053" s="444"/>
      <c r="J1053" s="449"/>
      <c r="K1053" s="444" t="s">
        <v>2174</v>
      </c>
      <c r="L1053" s="450" t="s">
        <v>2175</v>
      </c>
      <c r="M1053" s="444" t="s">
        <v>2190</v>
      </c>
      <c r="N1053" s="450"/>
      <c r="O1053" s="450"/>
      <c r="P1053" s="450" t="s">
        <v>1017</v>
      </c>
      <c r="Q1053" s="451" t="s">
        <v>374</v>
      </c>
      <c r="R1053" s="451" t="s">
        <v>249</v>
      </c>
      <c r="S1053" s="452" t="s">
        <v>763</v>
      </c>
      <c r="T1053" s="452">
        <v>45561</v>
      </c>
      <c r="U1053" s="453"/>
      <c r="V1053" s="454"/>
      <c r="W1053" s="455" t="s">
        <v>406</v>
      </c>
      <c r="X1053" s="455">
        <v>45565</v>
      </c>
      <c r="Y1053" s="456" t="s">
        <v>377</v>
      </c>
      <c r="Z1053" s="457"/>
      <c r="AA1053" s="494"/>
    </row>
    <row r="1054" spans="1:27" s="128" customFormat="1" ht="18" customHeight="1">
      <c r="A1054" s="443">
        <v>39</v>
      </c>
      <c r="B1054" s="444" t="s">
        <v>2240</v>
      </c>
      <c r="C1054" s="445" t="s">
        <v>84</v>
      </c>
      <c r="D1054" s="444" t="s">
        <v>2241</v>
      </c>
      <c r="E1054" s="446">
        <v>1</v>
      </c>
      <c r="F1054" s="447"/>
      <c r="G1054" s="448">
        <f t="shared" si="44"/>
        <v>0</v>
      </c>
      <c r="H1054" s="449"/>
      <c r="I1054" s="444"/>
      <c r="J1054" s="449"/>
      <c r="K1054" s="444" t="s">
        <v>2174</v>
      </c>
      <c r="L1054" s="450" t="s">
        <v>2175</v>
      </c>
      <c r="M1054" s="444" t="s">
        <v>2190</v>
      </c>
      <c r="N1054" s="450"/>
      <c r="O1054" s="450"/>
      <c r="P1054" s="450" t="s">
        <v>1017</v>
      </c>
      <c r="Q1054" s="451" t="s">
        <v>374</v>
      </c>
      <c r="R1054" s="451" t="s">
        <v>249</v>
      </c>
      <c r="S1054" s="452" t="s">
        <v>681</v>
      </c>
      <c r="T1054" s="452">
        <v>45553</v>
      </c>
      <c r="U1054" s="453"/>
      <c r="V1054" s="454"/>
      <c r="W1054" s="455" t="s">
        <v>376</v>
      </c>
      <c r="X1054" s="455">
        <v>45558</v>
      </c>
      <c r="Y1054" s="456" t="s">
        <v>377</v>
      </c>
      <c r="Z1054" s="457"/>
      <c r="AA1054" s="494"/>
    </row>
    <row r="1055" spans="1:27" s="128" customFormat="1" ht="18" customHeight="1">
      <c r="A1055" s="443">
        <v>40</v>
      </c>
      <c r="B1055" s="444" t="s">
        <v>2242</v>
      </c>
      <c r="C1055" s="445" t="s">
        <v>84</v>
      </c>
      <c r="D1055" s="444" t="s">
        <v>2243</v>
      </c>
      <c r="E1055" s="446">
        <v>2</v>
      </c>
      <c r="F1055" s="447"/>
      <c r="G1055" s="448">
        <f t="shared" si="44"/>
        <v>0</v>
      </c>
      <c r="H1055" s="449"/>
      <c r="I1055" s="444"/>
      <c r="J1055" s="449"/>
      <c r="K1055" s="444" t="s">
        <v>2174</v>
      </c>
      <c r="L1055" s="450" t="s">
        <v>2175</v>
      </c>
      <c r="M1055" s="444" t="s">
        <v>2190</v>
      </c>
      <c r="N1055" s="450"/>
      <c r="O1055" s="450"/>
      <c r="P1055" s="450" t="s">
        <v>1017</v>
      </c>
      <c r="Q1055" s="451" t="s">
        <v>374</v>
      </c>
      <c r="R1055" s="451" t="s">
        <v>249</v>
      </c>
      <c r="S1055" s="452" t="s">
        <v>681</v>
      </c>
      <c r="T1055" s="452">
        <v>45553</v>
      </c>
      <c r="U1055" s="453"/>
      <c r="V1055" s="454"/>
      <c r="W1055" s="455" t="s">
        <v>376</v>
      </c>
      <c r="X1055" s="455">
        <v>45558</v>
      </c>
      <c r="Y1055" s="456" t="s">
        <v>377</v>
      </c>
      <c r="Z1055" s="457"/>
      <c r="AA1055" s="494"/>
    </row>
    <row r="1056" spans="1:27" s="128" customFormat="1" ht="18" customHeight="1">
      <c r="A1056" s="443">
        <v>41</v>
      </c>
      <c r="B1056" s="444" t="s">
        <v>2244</v>
      </c>
      <c r="C1056" s="445" t="s">
        <v>84</v>
      </c>
      <c r="D1056" s="444" t="s">
        <v>2245</v>
      </c>
      <c r="E1056" s="446">
        <v>1</v>
      </c>
      <c r="F1056" s="447"/>
      <c r="G1056" s="448">
        <f t="shared" si="44"/>
        <v>0</v>
      </c>
      <c r="H1056" s="449"/>
      <c r="I1056" s="444"/>
      <c r="J1056" s="449"/>
      <c r="K1056" s="444" t="s">
        <v>2174</v>
      </c>
      <c r="L1056" s="450" t="s">
        <v>2175</v>
      </c>
      <c r="M1056" s="444" t="s">
        <v>2190</v>
      </c>
      <c r="N1056" s="450"/>
      <c r="O1056" s="450"/>
      <c r="P1056" s="450" t="s">
        <v>1017</v>
      </c>
      <c r="Q1056" s="451" t="s">
        <v>374</v>
      </c>
      <c r="R1056" s="451" t="s">
        <v>249</v>
      </c>
      <c r="S1056" s="452" t="s">
        <v>681</v>
      </c>
      <c r="T1056" s="452">
        <v>45553</v>
      </c>
      <c r="U1056" s="453"/>
      <c r="V1056" s="454"/>
      <c r="W1056" s="455" t="s">
        <v>376</v>
      </c>
      <c r="X1056" s="455">
        <v>45558</v>
      </c>
      <c r="Y1056" s="456" t="s">
        <v>377</v>
      </c>
      <c r="Z1056" s="457"/>
      <c r="AA1056" s="494"/>
    </row>
    <row r="1057" spans="1:27" s="128" customFormat="1" ht="18" customHeight="1">
      <c r="A1057" s="443">
        <v>42</v>
      </c>
      <c r="B1057" s="444" t="s">
        <v>2246</v>
      </c>
      <c r="C1057" s="445" t="s">
        <v>84</v>
      </c>
      <c r="D1057" s="444" t="s">
        <v>2247</v>
      </c>
      <c r="E1057" s="446">
        <v>2</v>
      </c>
      <c r="F1057" s="447"/>
      <c r="G1057" s="448">
        <f t="shared" si="44"/>
        <v>0</v>
      </c>
      <c r="H1057" s="449"/>
      <c r="I1057" s="444"/>
      <c r="J1057" s="449"/>
      <c r="K1057" s="444" t="s">
        <v>2174</v>
      </c>
      <c r="L1057" s="450" t="s">
        <v>2175</v>
      </c>
      <c r="M1057" s="444" t="s">
        <v>2190</v>
      </c>
      <c r="N1057" s="450"/>
      <c r="O1057" s="450"/>
      <c r="P1057" s="450" t="s">
        <v>1017</v>
      </c>
      <c r="Q1057" s="451" t="s">
        <v>374</v>
      </c>
      <c r="R1057" s="451" t="s">
        <v>249</v>
      </c>
      <c r="S1057" s="452" t="s">
        <v>763</v>
      </c>
      <c r="T1057" s="452">
        <v>45560</v>
      </c>
      <c r="U1057" s="453"/>
      <c r="V1057" s="454"/>
      <c r="W1057" s="455" t="s">
        <v>406</v>
      </c>
      <c r="X1057" s="455">
        <v>45565</v>
      </c>
      <c r="Y1057" s="456" t="s">
        <v>377</v>
      </c>
      <c r="Z1057" s="457"/>
      <c r="AA1057" s="494"/>
    </row>
    <row r="1058" spans="1:27" s="128" customFormat="1" ht="18" customHeight="1">
      <c r="A1058" s="443">
        <v>43</v>
      </c>
      <c r="B1058" s="444" t="s">
        <v>2248</v>
      </c>
      <c r="C1058" s="445" t="s">
        <v>84</v>
      </c>
      <c r="D1058" s="444" t="s">
        <v>2249</v>
      </c>
      <c r="E1058" s="446">
        <v>1</v>
      </c>
      <c r="F1058" s="447"/>
      <c r="G1058" s="448">
        <f t="shared" ref="G1058:G1075" si="45">E1058*F1058</f>
        <v>0</v>
      </c>
      <c r="H1058" s="449"/>
      <c r="I1058" s="444"/>
      <c r="J1058" s="449"/>
      <c r="K1058" s="444" t="s">
        <v>2174</v>
      </c>
      <c r="L1058" s="450" t="s">
        <v>2175</v>
      </c>
      <c r="M1058" s="444" t="s">
        <v>2190</v>
      </c>
      <c r="N1058" s="450"/>
      <c r="O1058" s="450"/>
      <c r="P1058" s="450" t="s">
        <v>1017</v>
      </c>
      <c r="Q1058" s="451" t="s">
        <v>374</v>
      </c>
      <c r="R1058" s="451" t="s">
        <v>249</v>
      </c>
      <c r="S1058" s="452" t="s">
        <v>681</v>
      </c>
      <c r="T1058" s="452">
        <v>45553</v>
      </c>
      <c r="U1058" s="453"/>
      <c r="V1058" s="454"/>
      <c r="W1058" s="455" t="s">
        <v>376</v>
      </c>
      <c r="X1058" s="455">
        <v>45558</v>
      </c>
      <c r="Y1058" s="456" t="s">
        <v>377</v>
      </c>
      <c r="Z1058" s="457"/>
      <c r="AA1058" s="494"/>
    </row>
    <row r="1059" spans="1:27" s="128" customFormat="1" ht="18" customHeight="1">
      <c r="A1059" s="443">
        <v>44</v>
      </c>
      <c r="B1059" s="444" t="s">
        <v>2250</v>
      </c>
      <c r="C1059" s="445" t="s">
        <v>84</v>
      </c>
      <c r="D1059" s="444" t="s">
        <v>2251</v>
      </c>
      <c r="E1059" s="446">
        <v>1</v>
      </c>
      <c r="F1059" s="447"/>
      <c r="G1059" s="448">
        <f t="shared" si="45"/>
        <v>0</v>
      </c>
      <c r="H1059" s="449"/>
      <c r="I1059" s="444"/>
      <c r="J1059" s="449"/>
      <c r="K1059" s="444" t="s">
        <v>2174</v>
      </c>
      <c r="L1059" s="450" t="s">
        <v>2175</v>
      </c>
      <c r="M1059" s="444" t="s">
        <v>2190</v>
      </c>
      <c r="N1059" s="450"/>
      <c r="O1059" s="450"/>
      <c r="P1059" s="450" t="s">
        <v>1017</v>
      </c>
      <c r="Q1059" s="451" t="s">
        <v>374</v>
      </c>
      <c r="R1059" s="451" t="s">
        <v>249</v>
      </c>
      <c r="S1059" s="452" t="s">
        <v>681</v>
      </c>
      <c r="T1059" s="452">
        <v>45553</v>
      </c>
      <c r="U1059" s="453"/>
      <c r="V1059" s="454"/>
      <c r="W1059" s="455" t="s">
        <v>376</v>
      </c>
      <c r="X1059" s="455">
        <v>45558</v>
      </c>
      <c r="Y1059" s="456" t="s">
        <v>377</v>
      </c>
      <c r="Z1059" s="457"/>
      <c r="AA1059" s="494"/>
    </row>
    <row r="1060" spans="1:27" s="128" customFormat="1" ht="18" customHeight="1">
      <c r="A1060" s="443">
        <v>45</v>
      </c>
      <c r="B1060" s="444" t="s">
        <v>2252</v>
      </c>
      <c r="C1060" s="445" t="s">
        <v>84</v>
      </c>
      <c r="D1060" s="444" t="s">
        <v>2253</v>
      </c>
      <c r="E1060" s="446">
        <v>2</v>
      </c>
      <c r="F1060" s="447"/>
      <c r="G1060" s="448">
        <f t="shared" si="45"/>
        <v>0</v>
      </c>
      <c r="H1060" s="449"/>
      <c r="I1060" s="444"/>
      <c r="J1060" s="449"/>
      <c r="K1060" s="444" t="s">
        <v>2174</v>
      </c>
      <c r="L1060" s="450" t="s">
        <v>2175</v>
      </c>
      <c r="M1060" s="444" t="s">
        <v>2190</v>
      </c>
      <c r="N1060" s="450"/>
      <c r="O1060" s="450"/>
      <c r="P1060" s="450" t="s">
        <v>1017</v>
      </c>
      <c r="Q1060" s="451" t="s">
        <v>374</v>
      </c>
      <c r="R1060" s="451" t="s">
        <v>249</v>
      </c>
      <c r="S1060" s="452" t="s">
        <v>763</v>
      </c>
      <c r="T1060" s="452">
        <v>45560</v>
      </c>
      <c r="U1060" s="453"/>
      <c r="V1060" s="454"/>
      <c r="W1060" s="455" t="s">
        <v>406</v>
      </c>
      <c r="X1060" s="455">
        <v>45565</v>
      </c>
      <c r="Y1060" s="456" t="s">
        <v>377</v>
      </c>
      <c r="Z1060" s="457"/>
      <c r="AA1060" s="494"/>
    </row>
    <row r="1061" spans="1:27" s="128" customFormat="1" ht="18" customHeight="1">
      <c r="A1061" s="443">
        <v>46</v>
      </c>
      <c r="B1061" s="444" t="s">
        <v>2254</v>
      </c>
      <c r="C1061" s="445" t="s">
        <v>84</v>
      </c>
      <c r="D1061" s="444" t="s">
        <v>2255</v>
      </c>
      <c r="E1061" s="446">
        <v>2</v>
      </c>
      <c r="F1061" s="447"/>
      <c r="G1061" s="448">
        <f t="shared" si="45"/>
        <v>0</v>
      </c>
      <c r="H1061" s="449"/>
      <c r="I1061" s="444"/>
      <c r="J1061" s="449"/>
      <c r="K1061" s="444" t="s">
        <v>2174</v>
      </c>
      <c r="L1061" s="450" t="s">
        <v>2175</v>
      </c>
      <c r="M1061" s="444" t="s">
        <v>2190</v>
      </c>
      <c r="N1061" s="450"/>
      <c r="O1061" s="450"/>
      <c r="P1061" s="450" t="s">
        <v>1017</v>
      </c>
      <c r="Q1061" s="451" t="s">
        <v>374</v>
      </c>
      <c r="R1061" s="451" t="s">
        <v>249</v>
      </c>
      <c r="S1061" s="452" t="s">
        <v>763</v>
      </c>
      <c r="T1061" s="452">
        <v>45560</v>
      </c>
      <c r="U1061" s="453"/>
      <c r="V1061" s="454"/>
      <c r="W1061" s="455" t="s">
        <v>406</v>
      </c>
      <c r="X1061" s="455">
        <v>45565</v>
      </c>
      <c r="Y1061" s="456" t="s">
        <v>377</v>
      </c>
      <c r="Z1061" s="457"/>
      <c r="AA1061" s="494"/>
    </row>
    <row r="1062" spans="1:27" s="128" customFormat="1" ht="18" customHeight="1">
      <c r="A1062" s="443">
        <v>47</v>
      </c>
      <c r="B1062" s="444" t="s">
        <v>2256</v>
      </c>
      <c r="C1062" s="445" t="s">
        <v>84</v>
      </c>
      <c r="D1062" s="444" t="s">
        <v>2257</v>
      </c>
      <c r="E1062" s="446">
        <v>2</v>
      </c>
      <c r="F1062" s="447"/>
      <c r="G1062" s="448">
        <f t="shared" si="45"/>
        <v>0</v>
      </c>
      <c r="H1062" s="449"/>
      <c r="I1062" s="444"/>
      <c r="J1062" s="449"/>
      <c r="K1062" s="444" t="s">
        <v>2174</v>
      </c>
      <c r="L1062" s="450" t="s">
        <v>2175</v>
      </c>
      <c r="M1062" s="444" t="s">
        <v>2190</v>
      </c>
      <c r="N1062" s="450"/>
      <c r="O1062" s="450"/>
      <c r="P1062" s="450" t="s">
        <v>1017</v>
      </c>
      <c r="Q1062" s="451" t="s">
        <v>374</v>
      </c>
      <c r="R1062" s="451" t="s">
        <v>249</v>
      </c>
      <c r="S1062" s="452" t="s">
        <v>763</v>
      </c>
      <c r="T1062" s="452">
        <v>45560</v>
      </c>
      <c r="U1062" s="453"/>
      <c r="V1062" s="454"/>
      <c r="W1062" s="455" t="s">
        <v>406</v>
      </c>
      <c r="X1062" s="455">
        <v>45565</v>
      </c>
      <c r="Y1062" s="456" t="s">
        <v>377</v>
      </c>
      <c r="Z1062" s="457"/>
      <c r="AA1062" s="494"/>
    </row>
    <row r="1063" spans="1:27" s="128" customFormat="1" ht="18" customHeight="1">
      <c r="A1063" s="443">
        <v>48</v>
      </c>
      <c r="B1063" s="444" t="s">
        <v>2258</v>
      </c>
      <c r="C1063" s="445" t="s">
        <v>84</v>
      </c>
      <c r="D1063" s="444" t="s">
        <v>2259</v>
      </c>
      <c r="E1063" s="446">
        <v>1</v>
      </c>
      <c r="F1063" s="447"/>
      <c r="G1063" s="448">
        <f t="shared" si="45"/>
        <v>0</v>
      </c>
      <c r="H1063" s="449"/>
      <c r="I1063" s="444"/>
      <c r="J1063" s="449"/>
      <c r="K1063" s="444" t="s">
        <v>2174</v>
      </c>
      <c r="L1063" s="450" t="s">
        <v>2175</v>
      </c>
      <c r="M1063" s="444" t="s">
        <v>2190</v>
      </c>
      <c r="N1063" s="450"/>
      <c r="O1063" s="450"/>
      <c r="P1063" s="450" t="s">
        <v>1017</v>
      </c>
      <c r="Q1063" s="451" t="s">
        <v>374</v>
      </c>
      <c r="R1063" s="451" t="s">
        <v>249</v>
      </c>
      <c r="S1063" s="452" t="s">
        <v>681</v>
      </c>
      <c r="T1063" s="452">
        <v>45553</v>
      </c>
      <c r="U1063" s="453"/>
      <c r="V1063" s="454"/>
      <c r="W1063" s="455" t="s">
        <v>376</v>
      </c>
      <c r="X1063" s="455">
        <v>45558</v>
      </c>
      <c r="Y1063" s="456" t="s">
        <v>377</v>
      </c>
      <c r="Z1063" s="457"/>
      <c r="AA1063" s="494"/>
    </row>
    <row r="1064" spans="1:27" s="128" customFormat="1" ht="18" customHeight="1">
      <c r="A1064" s="443">
        <v>49</v>
      </c>
      <c r="B1064" s="444" t="s">
        <v>2260</v>
      </c>
      <c r="C1064" s="445" t="s">
        <v>84</v>
      </c>
      <c r="D1064" s="444" t="s">
        <v>2261</v>
      </c>
      <c r="E1064" s="446">
        <v>1</v>
      </c>
      <c r="F1064" s="447"/>
      <c r="G1064" s="448">
        <f t="shared" si="45"/>
        <v>0</v>
      </c>
      <c r="H1064" s="449"/>
      <c r="I1064" s="444"/>
      <c r="J1064" s="449"/>
      <c r="K1064" s="444" t="s">
        <v>2174</v>
      </c>
      <c r="L1064" s="450" t="s">
        <v>2175</v>
      </c>
      <c r="M1064" s="444" t="s">
        <v>2190</v>
      </c>
      <c r="N1064" s="450"/>
      <c r="O1064" s="450"/>
      <c r="P1064" s="450" t="s">
        <v>1017</v>
      </c>
      <c r="Q1064" s="451" t="s">
        <v>374</v>
      </c>
      <c r="R1064" s="451" t="s">
        <v>249</v>
      </c>
      <c r="S1064" s="452" t="s">
        <v>763</v>
      </c>
      <c r="T1064" s="452">
        <v>45561</v>
      </c>
      <c r="U1064" s="453"/>
      <c r="V1064" s="454"/>
      <c r="W1064" s="455" t="s">
        <v>406</v>
      </c>
      <c r="X1064" s="455">
        <v>45565</v>
      </c>
      <c r="Y1064" s="456" t="s">
        <v>377</v>
      </c>
      <c r="Z1064" s="457"/>
      <c r="AA1064" s="494"/>
    </row>
    <row r="1065" spans="1:27" s="128" customFormat="1" ht="18" customHeight="1">
      <c r="A1065" s="443">
        <v>50</v>
      </c>
      <c r="B1065" s="444" t="s">
        <v>2262</v>
      </c>
      <c r="C1065" s="445" t="s">
        <v>84</v>
      </c>
      <c r="D1065" s="444" t="s">
        <v>2263</v>
      </c>
      <c r="E1065" s="446">
        <v>1</v>
      </c>
      <c r="F1065" s="447"/>
      <c r="G1065" s="448">
        <f t="shared" si="45"/>
        <v>0</v>
      </c>
      <c r="H1065" s="449"/>
      <c r="I1065" s="444"/>
      <c r="J1065" s="449"/>
      <c r="K1065" s="444" t="s">
        <v>2174</v>
      </c>
      <c r="L1065" s="450" t="s">
        <v>2175</v>
      </c>
      <c r="M1065" s="444" t="s">
        <v>2190</v>
      </c>
      <c r="N1065" s="450"/>
      <c r="O1065" s="450"/>
      <c r="P1065" s="450" t="s">
        <v>1017</v>
      </c>
      <c r="Q1065" s="451" t="s">
        <v>374</v>
      </c>
      <c r="R1065" s="451" t="s">
        <v>249</v>
      </c>
      <c r="S1065" s="452" t="s">
        <v>763</v>
      </c>
      <c r="T1065" s="452">
        <v>45561</v>
      </c>
      <c r="U1065" s="453"/>
      <c r="V1065" s="454"/>
      <c r="W1065" s="455" t="s">
        <v>406</v>
      </c>
      <c r="X1065" s="455">
        <v>45565</v>
      </c>
      <c r="Y1065" s="456" t="s">
        <v>377</v>
      </c>
      <c r="Z1065" s="457"/>
      <c r="AA1065" s="494"/>
    </row>
    <row r="1066" spans="1:27" s="128" customFormat="1" ht="18" customHeight="1">
      <c r="A1066" s="443">
        <v>51</v>
      </c>
      <c r="B1066" s="444" t="s">
        <v>2264</v>
      </c>
      <c r="C1066" s="445" t="s">
        <v>84</v>
      </c>
      <c r="D1066" s="444" t="s">
        <v>2265</v>
      </c>
      <c r="E1066" s="446">
        <v>1</v>
      </c>
      <c r="F1066" s="447"/>
      <c r="G1066" s="448">
        <f t="shared" si="45"/>
        <v>0</v>
      </c>
      <c r="H1066" s="449"/>
      <c r="I1066" s="444"/>
      <c r="J1066" s="449"/>
      <c r="K1066" s="444" t="s">
        <v>2174</v>
      </c>
      <c r="L1066" s="450" t="s">
        <v>2175</v>
      </c>
      <c r="M1066" s="444" t="s">
        <v>2190</v>
      </c>
      <c r="N1066" s="450"/>
      <c r="O1066" s="450"/>
      <c r="P1066" s="450" t="s">
        <v>1017</v>
      </c>
      <c r="Q1066" s="451" t="s">
        <v>374</v>
      </c>
      <c r="R1066" s="451" t="s">
        <v>249</v>
      </c>
      <c r="S1066" s="452" t="s">
        <v>756</v>
      </c>
      <c r="T1066" s="452"/>
      <c r="U1066" s="453"/>
      <c r="V1066" s="454"/>
      <c r="W1066" s="455" t="s">
        <v>406</v>
      </c>
      <c r="X1066" s="455">
        <v>45574</v>
      </c>
      <c r="Y1066" s="456" t="s">
        <v>377</v>
      </c>
      <c r="Z1066" s="457"/>
      <c r="AA1066" s="494"/>
    </row>
    <row r="1067" spans="1:27" s="128" customFormat="1" ht="18" customHeight="1">
      <c r="A1067" s="443">
        <v>52</v>
      </c>
      <c r="B1067" s="444" t="s">
        <v>2266</v>
      </c>
      <c r="C1067" s="445" t="s">
        <v>84</v>
      </c>
      <c r="D1067" s="444" t="s">
        <v>2267</v>
      </c>
      <c r="E1067" s="446">
        <v>3</v>
      </c>
      <c r="F1067" s="447"/>
      <c r="G1067" s="448">
        <f t="shared" si="45"/>
        <v>0</v>
      </c>
      <c r="H1067" s="449"/>
      <c r="I1067" s="444"/>
      <c r="J1067" s="449"/>
      <c r="K1067" s="444" t="s">
        <v>2174</v>
      </c>
      <c r="L1067" s="450" t="s">
        <v>2175</v>
      </c>
      <c r="M1067" s="444" t="s">
        <v>2268</v>
      </c>
      <c r="N1067" s="450"/>
      <c r="O1067" s="450"/>
      <c r="P1067" s="450" t="s">
        <v>1017</v>
      </c>
      <c r="Q1067" s="451" t="s">
        <v>374</v>
      </c>
      <c r="R1067" s="451" t="s">
        <v>1144</v>
      </c>
      <c r="S1067" s="452" t="s">
        <v>1175</v>
      </c>
      <c r="T1067" s="452"/>
      <c r="U1067" s="453"/>
      <c r="V1067" s="454"/>
      <c r="W1067" s="455" t="s">
        <v>406</v>
      </c>
      <c r="X1067" s="455">
        <v>45554</v>
      </c>
      <c r="Y1067" s="456" t="s">
        <v>377</v>
      </c>
      <c r="Z1067" s="457"/>
      <c r="AA1067" s="494"/>
    </row>
    <row r="1068" spans="1:27" s="128" customFormat="1" ht="18" customHeight="1">
      <c r="A1068" s="443">
        <v>53</v>
      </c>
      <c r="B1068" s="444" t="s">
        <v>2269</v>
      </c>
      <c r="C1068" s="445" t="s">
        <v>84</v>
      </c>
      <c r="D1068" s="444" t="s">
        <v>2270</v>
      </c>
      <c r="E1068" s="446">
        <v>3</v>
      </c>
      <c r="F1068" s="447"/>
      <c r="G1068" s="448">
        <f t="shared" si="45"/>
        <v>0</v>
      </c>
      <c r="H1068" s="449"/>
      <c r="I1068" s="444"/>
      <c r="J1068" s="449"/>
      <c r="K1068" s="444" t="s">
        <v>2174</v>
      </c>
      <c r="L1068" s="450" t="s">
        <v>2175</v>
      </c>
      <c r="M1068" s="444" t="s">
        <v>2268</v>
      </c>
      <c r="N1068" s="450"/>
      <c r="O1068" s="450"/>
      <c r="P1068" s="450" t="s">
        <v>1017</v>
      </c>
      <c r="Q1068" s="451" t="s">
        <v>374</v>
      </c>
      <c r="R1068" s="451" t="s">
        <v>1144</v>
      </c>
      <c r="S1068" s="452" t="s">
        <v>2168</v>
      </c>
      <c r="T1068" s="452" t="s">
        <v>2271</v>
      </c>
      <c r="U1068" s="453"/>
      <c r="V1068" s="454"/>
      <c r="W1068" s="455" t="s">
        <v>406</v>
      </c>
      <c r="X1068" s="455">
        <v>45561</v>
      </c>
      <c r="Y1068" s="456" t="s">
        <v>377</v>
      </c>
      <c r="Z1068" s="457"/>
      <c r="AA1068" s="494"/>
    </row>
    <row r="1069" spans="1:27" s="128" customFormat="1" ht="18" customHeight="1">
      <c r="A1069" s="443">
        <v>54</v>
      </c>
      <c r="B1069" s="444" t="s">
        <v>2272</v>
      </c>
      <c r="C1069" s="445" t="s">
        <v>84</v>
      </c>
      <c r="D1069" s="444" t="s">
        <v>2273</v>
      </c>
      <c r="E1069" s="446">
        <v>1</v>
      </c>
      <c r="F1069" s="447"/>
      <c r="G1069" s="448">
        <f t="shared" si="45"/>
        <v>0</v>
      </c>
      <c r="H1069" s="449"/>
      <c r="I1069" s="444"/>
      <c r="J1069" s="449"/>
      <c r="K1069" s="444" t="s">
        <v>2174</v>
      </c>
      <c r="L1069" s="450" t="s">
        <v>2175</v>
      </c>
      <c r="M1069" s="444" t="s">
        <v>2190</v>
      </c>
      <c r="N1069" s="450"/>
      <c r="O1069" s="450"/>
      <c r="P1069" s="450" t="s">
        <v>1017</v>
      </c>
      <c r="Q1069" s="451" t="s">
        <v>374</v>
      </c>
      <c r="R1069" s="451" t="s">
        <v>249</v>
      </c>
      <c r="S1069" s="452" t="s">
        <v>763</v>
      </c>
      <c r="T1069" s="452">
        <v>45561</v>
      </c>
      <c r="U1069" s="453"/>
      <c r="V1069" s="454"/>
      <c r="W1069" s="455" t="s">
        <v>406</v>
      </c>
      <c r="X1069" s="455">
        <v>45565</v>
      </c>
      <c r="Y1069" s="456" t="s">
        <v>377</v>
      </c>
      <c r="Z1069" s="457"/>
      <c r="AA1069" s="494"/>
    </row>
    <row r="1070" spans="1:27" s="128" customFormat="1" ht="18" customHeight="1">
      <c r="A1070" s="443">
        <v>55</v>
      </c>
      <c r="B1070" s="444" t="s">
        <v>2274</v>
      </c>
      <c r="C1070" s="445" t="s">
        <v>84</v>
      </c>
      <c r="D1070" s="444" t="s">
        <v>2275</v>
      </c>
      <c r="E1070" s="446">
        <v>1</v>
      </c>
      <c r="F1070" s="447"/>
      <c r="G1070" s="448">
        <f t="shared" si="45"/>
        <v>0</v>
      </c>
      <c r="H1070" s="449"/>
      <c r="I1070" s="444"/>
      <c r="J1070" s="449"/>
      <c r="K1070" s="444" t="s">
        <v>2174</v>
      </c>
      <c r="L1070" s="450" t="s">
        <v>2175</v>
      </c>
      <c r="M1070" s="444" t="s">
        <v>2190</v>
      </c>
      <c r="N1070" s="450"/>
      <c r="O1070" s="450"/>
      <c r="P1070" s="450" t="s">
        <v>1017</v>
      </c>
      <c r="Q1070" s="451" t="s">
        <v>374</v>
      </c>
      <c r="R1070" s="451" t="s">
        <v>249</v>
      </c>
      <c r="S1070" s="452" t="s">
        <v>763</v>
      </c>
      <c r="T1070" s="452">
        <v>45561</v>
      </c>
      <c r="U1070" s="453"/>
      <c r="V1070" s="454"/>
      <c r="W1070" s="455" t="s">
        <v>406</v>
      </c>
      <c r="X1070" s="455">
        <v>45565</v>
      </c>
      <c r="Y1070" s="456" t="s">
        <v>377</v>
      </c>
      <c r="Z1070" s="457"/>
      <c r="AA1070" s="494"/>
    </row>
    <row r="1071" spans="1:27" s="128" customFormat="1" ht="18" customHeight="1">
      <c r="A1071" s="443">
        <v>56</v>
      </c>
      <c r="B1071" s="444" t="s">
        <v>2276</v>
      </c>
      <c r="C1071" s="445" t="s">
        <v>84</v>
      </c>
      <c r="D1071" s="444" t="s">
        <v>2277</v>
      </c>
      <c r="E1071" s="446">
        <v>1</v>
      </c>
      <c r="F1071" s="447"/>
      <c r="G1071" s="448">
        <f t="shared" si="45"/>
        <v>0</v>
      </c>
      <c r="H1071" s="449"/>
      <c r="I1071" s="444"/>
      <c r="J1071" s="449"/>
      <c r="K1071" s="444" t="s">
        <v>2174</v>
      </c>
      <c r="L1071" s="450" t="s">
        <v>2175</v>
      </c>
      <c r="M1071" s="444" t="s">
        <v>2190</v>
      </c>
      <c r="N1071" s="450"/>
      <c r="O1071" s="450"/>
      <c r="P1071" s="450" t="s">
        <v>1017</v>
      </c>
      <c r="Q1071" s="451" t="s">
        <v>374</v>
      </c>
      <c r="R1071" s="451" t="s">
        <v>249</v>
      </c>
      <c r="S1071" s="452" t="s">
        <v>756</v>
      </c>
      <c r="T1071" s="452"/>
      <c r="U1071" s="453"/>
      <c r="V1071" s="454"/>
      <c r="W1071" s="455" t="s">
        <v>406</v>
      </c>
      <c r="X1071" s="455">
        <v>45574</v>
      </c>
      <c r="Y1071" s="456" t="s">
        <v>377</v>
      </c>
      <c r="Z1071" s="457"/>
      <c r="AA1071" s="494"/>
    </row>
    <row r="1072" spans="1:27" s="128" customFormat="1" ht="18" customHeight="1">
      <c r="A1072" s="443">
        <v>57</v>
      </c>
      <c r="B1072" s="444" t="s">
        <v>2278</v>
      </c>
      <c r="C1072" s="445" t="s">
        <v>84</v>
      </c>
      <c r="D1072" s="444" t="s">
        <v>2279</v>
      </c>
      <c r="E1072" s="446">
        <v>1</v>
      </c>
      <c r="F1072" s="447"/>
      <c r="G1072" s="448">
        <f t="shared" si="45"/>
        <v>0</v>
      </c>
      <c r="H1072" s="449"/>
      <c r="I1072" s="444"/>
      <c r="J1072" s="449"/>
      <c r="K1072" s="444" t="s">
        <v>2174</v>
      </c>
      <c r="L1072" s="450" t="s">
        <v>2175</v>
      </c>
      <c r="M1072" s="444" t="s">
        <v>2190</v>
      </c>
      <c r="N1072" s="450"/>
      <c r="O1072" s="450"/>
      <c r="P1072" s="450" t="s">
        <v>1017</v>
      </c>
      <c r="Q1072" s="451" t="s">
        <v>374</v>
      </c>
      <c r="R1072" s="451" t="s">
        <v>249</v>
      </c>
      <c r="S1072" s="452" t="s">
        <v>763</v>
      </c>
      <c r="T1072" s="452">
        <v>45560</v>
      </c>
      <c r="U1072" s="453"/>
      <c r="V1072" s="454"/>
      <c r="W1072" s="455" t="s">
        <v>406</v>
      </c>
      <c r="X1072" s="455">
        <v>45565</v>
      </c>
      <c r="Y1072" s="456" t="s">
        <v>377</v>
      </c>
      <c r="Z1072" s="457"/>
      <c r="AA1072" s="494"/>
    </row>
    <row r="1073" spans="1:27" s="128" customFormat="1" ht="36" customHeight="1">
      <c r="A1073" s="443">
        <v>58</v>
      </c>
      <c r="B1073" s="444" t="s">
        <v>2280</v>
      </c>
      <c r="C1073" s="445" t="s">
        <v>84</v>
      </c>
      <c r="D1073" s="444" t="s">
        <v>2281</v>
      </c>
      <c r="E1073" s="446">
        <v>1</v>
      </c>
      <c r="F1073" s="447"/>
      <c r="G1073" s="448">
        <f t="shared" si="45"/>
        <v>0</v>
      </c>
      <c r="H1073" s="449"/>
      <c r="I1073" s="444"/>
      <c r="J1073" s="449"/>
      <c r="K1073" s="444" t="s">
        <v>2174</v>
      </c>
      <c r="L1073" s="450" t="s">
        <v>2175</v>
      </c>
      <c r="M1073" s="444" t="s">
        <v>2185</v>
      </c>
      <c r="N1073" s="450"/>
      <c r="O1073" s="450"/>
      <c r="P1073" s="450" t="s">
        <v>1091</v>
      </c>
      <c r="Q1073" s="451" t="s">
        <v>374</v>
      </c>
      <c r="R1073" s="451" t="s">
        <v>2186</v>
      </c>
      <c r="S1073" s="452" t="s">
        <v>1577</v>
      </c>
      <c r="T1073" s="452"/>
      <c r="U1073" s="453"/>
      <c r="V1073" s="454"/>
      <c r="W1073" s="455" t="s">
        <v>406</v>
      </c>
      <c r="X1073" s="455">
        <v>45574</v>
      </c>
      <c r="Y1073" s="456" t="s">
        <v>377</v>
      </c>
      <c r="Z1073" s="457"/>
      <c r="AA1073" s="494"/>
    </row>
    <row r="1074" spans="1:27" s="128" customFormat="1" ht="18" customHeight="1">
      <c r="A1074" s="443">
        <v>59</v>
      </c>
      <c r="B1074" s="444" t="s">
        <v>2282</v>
      </c>
      <c r="C1074" s="445" t="s">
        <v>84</v>
      </c>
      <c r="D1074" s="444" t="s">
        <v>2283</v>
      </c>
      <c r="E1074" s="446">
        <v>1</v>
      </c>
      <c r="F1074" s="447"/>
      <c r="G1074" s="448">
        <f t="shared" si="45"/>
        <v>0</v>
      </c>
      <c r="H1074" s="449"/>
      <c r="I1074" s="444"/>
      <c r="J1074" s="449"/>
      <c r="K1074" s="444" t="s">
        <v>2174</v>
      </c>
      <c r="L1074" s="450" t="s">
        <v>2175</v>
      </c>
      <c r="M1074" s="444" t="s">
        <v>2190</v>
      </c>
      <c r="N1074" s="450"/>
      <c r="O1074" s="450"/>
      <c r="P1074" s="450" t="s">
        <v>1017</v>
      </c>
      <c r="Q1074" s="451" t="s">
        <v>374</v>
      </c>
      <c r="R1074" s="451" t="s">
        <v>249</v>
      </c>
      <c r="S1074" s="452" t="s">
        <v>763</v>
      </c>
      <c r="T1074" s="452">
        <v>45560</v>
      </c>
      <c r="U1074" s="453"/>
      <c r="V1074" s="454"/>
      <c r="W1074" s="455" t="s">
        <v>406</v>
      </c>
      <c r="X1074" s="455">
        <v>45565</v>
      </c>
      <c r="Y1074" s="456" t="s">
        <v>377</v>
      </c>
      <c r="Z1074" s="457"/>
      <c r="AA1074" s="494"/>
    </row>
    <row r="1075" spans="1:27" s="128" customFormat="1" ht="18" customHeight="1">
      <c r="A1075" s="443">
        <v>60</v>
      </c>
      <c r="B1075" s="444" t="s">
        <v>2284</v>
      </c>
      <c r="C1075" s="445" t="s">
        <v>84</v>
      </c>
      <c r="D1075" s="444" t="s">
        <v>2285</v>
      </c>
      <c r="E1075" s="446">
        <v>2</v>
      </c>
      <c r="F1075" s="447"/>
      <c r="G1075" s="448">
        <f t="shared" si="45"/>
        <v>0</v>
      </c>
      <c r="H1075" s="449"/>
      <c r="I1075" s="444"/>
      <c r="J1075" s="449"/>
      <c r="K1075" s="444" t="s">
        <v>2174</v>
      </c>
      <c r="L1075" s="450" t="s">
        <v>2175</v>
      </c>
      <c r="M1075" s="444" t="s">
        <v>2229</v>
      </c>
      <c r="N1075" s="450"/>
      <c r="O1075" s="450"/>
      <c r="P1075" s="450" t="s">
        <v>1017</v>
      </c>
      <c r="Q1075" s="451" t="s">
        <v>374</v>
      </c>
      <c r="R1075" s="451" t="s">
        <v>299</v>
      </c>
      <c r="S1075" s="452" t="s">
        <v>921</v>
      </c>
      <c r="T1075" s="452"/>
      <c r="U1075" s="453"/>
      <c r="V1075" s="454"/>
      <c r="W1075" s="455" t="s">
        <v>406</v>
      </c>
      <c r="X1075" s="455">
        <v>45552</v>
      </c>
      <c r="Y1075" s="456" t="s">
        <v>377</v>
      </c>
      <c r="Z1075" s="457"/>
      <c r="AA1075" s="494"/>
    </row>
    <row r="1076" spans="1:27" s="128" customFormat="1" ht="36" customHeight="1">
      <c r="A1076" s="443">
        <v>61</v>
      </c>
      <c r="B1076" s="444" t="s">
        <v>1506</v>
      </c>
      <c r="C1076" s="445" t="s">
        <v>84</v>
      </c>
      <c r="D1076" s="444" t="s">
        <v>1507</v>
      </c>
      <c r="E1076" s="446">
        <v>1</v>
      </c>
      <c r="F1076" s="447"/>
      <c r="G1076" s="448">
        <f t="shared" ref="G1076:G1083" si="46">E1076*F1076</f>
        <v>0</v>
      </c>
      <c r="H1076" s="449"/>
      <c r="I1076" s="444"/>
      <c r="J1076" s="449"/>
      <c r="K1076" s="444" t="s">
        <v>2286</v>
      </c>
      <c r="L1076" s="450" t="s">
        <v>1577</v>
      </c>
      <c r="M1076" s="444" t="s">
        <v>2287</v>
      </c>
      <c r="N1076" s="450"/>
      <c r="O1076" s="450"/>
      <c r="P1076" s="450" t="s">
        <v>2288</v>
      </c>
      <c r="Q1076" s="451" t="s">
        <v>374</v>
      </c>
      <c r="R1076" s="451" t="s">
        <v>404</v>
      </c>
      <c r="S1076" s="452" t="s">
        <v>422</v>
      </c>
      <c r="T1076" s="452"/>
      <c r="U1076" s="453"/>
      <c r="V1076" s="454"/>
      <c r="W1076" s="455" t="s">
        <v>406</v>
      </c>
      <c r="X1076" s="455">
        <v>45610</v>
      </c>
      <c r="Y1076" s="456" t="s">
        <v>377</v>
      </c>
      <c r="Z1076" s="457"/>
      <c r="AA1076" s="494">
        <v>1</v>
      </c>
    </row>
    <row r="1077" spans="1:27" s="128" customFormat="1" ht="36" customHeight="1">
      <c r="A1077" s="443">
        <v>62</v>
      </c>
      <c r="B1077" s="444" t="s">
        <v>2289</v>
      </c>
      <c r="C1077" s="445" t="s">
        <v>84</v>
      </c>
      <c r="D1077" s="444" t="s">
        <v>1509</v>
      </c>
      <c r="E1077" s="446">
        <v>1</v>
      </c>
      <c r="F1077" s="447"/>
      <c r="G1077" s="448">
        <f t="shared" si="46"/>
        <v>0</v>
      </c>
      <c r="H1077" s="449"/>
      <c r="I1077" s="444"/>
      <c r="J1077" s="449"/>
      <c r="K1077" s="444" t="s">
        <v>2286</v>
      </c>
      <c r="L1077" s="450" t="s">
        <v>1577</v>
      </c>
      <c r="M1077" s="444" t="s">
        <v>2287</v>
      </c>
      <c r="N1077" s="450"/>
      <c r="O1077" s="450"/>
      <c r="P1077" s="450" t="s">
        <v>2288</v>
      </c>
      <c r="Q1077" s="451" t="s">
        <v>374</v>
      </c>
      <c r="R1077" s="451" t="s">
        <v>404</v>
      </c>
      <c r="S1077" s="452" t="s">
        <v>422</v>
      </c>
      <c r="T1077" s="452"/>
      <c r="U1077" s="453"/>
      <c r="V1077" s="454"/>
      <c r="W1077" s="455" t="s">
        <v>406</v>
      </c>
      <c r="X1077" s="455">
        <v>45610</v>
      </c>
      <c r="Y1077" s="456" t="s">
        <v>377</v>
      </c>
      <c r="Z1077" s="457"/>
      <c r="AA1077" s="494">
        <v>1</v>
      </c>
    </row>
    <row r="1078" spans="1:27" s="128" customFormat="1" ht="36" customHeight="1">
      <c r="A1078" s="443">
        <v>63</v>
      </c>
      <c r="B1078" s="444" t="s">
        <v>1506</v>
      </c>
      <c r="C1078" s="445" t="s">
        <v>84</v>
      </c>
      <c r="D1078" s="444" t="s">
        <v>1507</v>
      </c>
      <c r="E1078" s="446">
        <v>1</v>
      </c>
      <c r="F1078" s="447"/>
      <c r="G1078" s="448">
        <f t="shared" si="46"/>
        <v>0</v>
      </c>
      <c r="H1078" s="449"/>
      <c r="I1078" s="444"/>
      <c r="J1078" s="449"/>
      <c r="K1078" s="444" t="s">
        <v>2286</v>
      </c>
      <c r="L1078" s="450" t="s">
        <v>1577</v>
      </c>
      <c r="M1078" s="444" t="s">
        <v>2287</v>
      </c>
      <c r="N1078" s="450"/>
      <c r="O1078" s="450"/>
      <c r="P1078" s="450" t="s">
        <v>2288</v>
      </c>
      <c r="Q1078" s="451" t="s">
        <v>374</v>
      </c>
      <c r="R1078" s="451" t="s">
        <v>404</v>
      </c>
      <c r="S1078" s="452" t="s">
        <v>422</v>
      </c>
      <c r="T1078" s="452"/>
      <c r="U1078" s="453"/>
      <c r="V1078" s="454"/>
      <c r="W1078" s="455" t="s">
        <v>406</v>
      </c>
      <c r="X1078" s="455">
        <v>45610</v>
      </c>
      <c r="Y1078" s="456" t="s">
        <v>377</v>
      </c>
      <c r="Z1078" s="457"/>
      <c r="AA1078" s="494">
        <v>1</v>
      </c>
    </row>
    <row r="1079" spans="1:27" s="128" customFormat="1" ht="36" customHeight="1">
      <c r="A1079" s="443">
        <v>64</v>
      </c>
      <c r="B1079" s="444" t="s">
        <v>2289</v>
      </c>
      <c r="C1079" s="445" t="s">
        <v>84</v>
      </c>
      <c r="D1079" s="444" t="s">
        <v>1509</v>
      </c>
      <c r="E1079" s="446">
        <v>1</v>
      </c>
      <c r="F1079" s="447"/>
      <c r="G1079" s="448">
        <f t="shared" si="46"/>
        <v>0</v>
      </c>
      <c r="H1079" s="449"/>
      <c r="I1079" s="444"/>
      <c r="J1079" s="449"/>
      <c r="K1079" s="444" t="s">
        <v>2286</v>
      </c>
      <c r="L1079" s="450" t="s">
        <v>1577</v>
      </c>
      <c r="M1079" s="444" t="s">
        <v>2287</v>
      </c>
      <c r="N1079" s="450"/>
      <c r="O1079" s="450"/>
      <c r="P1079" s="450" t="s">
        <v>2288</v>
      </c>
      <c r="Q1079" s="451" t="s">
        <v>374</v>
      </c>
      <c r="R1079" s="451" t="s">
        <v>404</v>
      </c>
      <c r="S1079" s="452" t="s">
        <v>422</v>
      </c>
      <c r="T1079" s="452"/>
      <c r="U1079" s="453"/>
      <c r="V1079" s="454"/>
      <c r="W1079" s="455" t="s">
        <v>406</v>
      </c>
      <c r="X1079" s="455">
        <v>45610</v>
      </c>
      <c r="Y1079" s="456" t="s">
        <v>377</v>
      </c>
      <c r="Z1079" s="457"/>
      <c r="AA1079" s="494">
        <v>1</v>
      </c>
    </row>
    <row r="1080" spans="1:27" s="128" customFormat="1" ht="36" customHeight="1">
      <c r="A1080" s="443">
        <v>65</v>
      </c>
      <c r="B1080" s="444" t="s">
        <v>2290</v>
      </c>
      <c r="C1080" s="445" t="s">
        <v>84</v>
      </c>
      <c r="D1080" s="444" t="s">
        <v>1505</v>
      </c>
      <c r="E1080" s="446">
        <v>1</v>
      </c>
      <c r="F1080" s="447"/>
      <c r="G1080" s="448">
        <f t="shared" si="46"/>
        <v>0</v>
      </c>
      <c r="H1080" s="449"/>
      <c r="I1080" s="444"/>
      <c r="J1080" s="449"/>
      <c r="K1080" s="444" t="s">
        <v>2286</v>
      </c>
      <c r="L1080" s="450" t="s">
        <v>1577</v>
      </c>
      <c r="M1080" s="444" t="s">
        <v>2287</v>
      </c>
      <c r="N1080" s="450"/>
      <c r="O1080" s="450"/>
      <c r="P1080" s="450" t="s">
        <v>2288</v>
      </c>
      <c r="Q1080" s="451" t="s">
        <v>374</v>
      </c>
      <c r="R1080" s="451" t="s">
        <v>404</v>
      </c>
      <c r="S1080" s="452" t="s">
        <v>422</v>
      </c>
      <c r="T1080" s="452"/>
      <c r="U1080" s="453"/>
      <c r="V1080" s="454"/>
      <c r="W1080" s="455" t="s">
        <v>406</v>
      </c>
      <c r="X1080" s="455">
        <v>45610</v>
      </c>
      <c r="Y1080" s="456" t="s">
        <v>377</v>
      </c>
      <c r="Z1080" s="457"/>
      <c r="AA1080" s="494">
        <v>1</v>
      </c>
    </row>
    <row r="1081" spans="1:27" s="128" customFormat="1" ht="36" customHeight="1">
      <c r="A1081" s="405">
        <v>66</v>
      </c>
      <c r="B1081" s="407" t="s">
        <v>2291</v>
      </c>
      <c r="C1081" s="406" t="s">
        <v>84</v>
      </c>
      <c r="D1081" s="407" t="s">
        <v>2292</v>
      </c>
      <c r="E1081" s="408">
        <v>1</v>
      </c>
      <c r="F1081" s="409"/>
      <c r="G1081" s="410">
        <f t="shared" si="46"/>
        <v>0</v>
      </c>
      <c r="H1081" s="411"/>
      <c r="I1081" s="407"/>
      <c r="J1081" s="411"/>
      <c r="K1081" s="407" t="s">
        <v>2293</v>
      </c>
      <c r="L1081" s="412" t="s">
        <v>1577</v>
      </c>
      <c r="M1081" s="407" t="s">
        <v>2294</v>
      </c>
      <c r="N1081" s="412"/>
      <c r="O1081" s="412"/>
      <c r="P1081" s="412" t="s">
        <v>2295</v>
      </c>
      <c r="Q1081" s="413" t="s">
        <v>726</v>
      </c>
      <c r="R1081" s="413" t="s">
        <v>1018</v>
      </c>
      <c r="S1081" s="414" t="s">
        <v>1455</v>
      </c>
      <c r="T1081" s="414">
        <v>45616</v>
      </c>
      <c r="U1081" s="415"/>
      <c r="V1081" s="416"/>
      <c r="W1081" s="417"/>
      <c r="X1081" s="417"/>
      <c r="Y1081" s="418" t="s">
        <v>377</v>
      </c>
      <c r="Z1081" s="419"/>
      <c r="AA1081" s="492" t="s">
        <v>2296</v>
      </c>
    </row>
    <row r="1082" spans="1:27" s="128" customFormat="1" ht="36" customHeight="1">
      <c r="A1082" s="405">
        <v>67</v>
      </c>
      <c r="B1082" s="407" t="s">
        <v>2297</v>
      </c>
      <c r="C1082" s="406" t="s">
        <v>84</v>
      </c>
      <c r="D1082" s="407" t="s">
        <v>2298</v>
      </c>
      <c r="E1082" s="408">
        <v>1</v>
      </c>
      <c r="F1082" s="409"/>
      <c r="G1082" s="410">
        <f t="shared" si="46"/>
        <v>0</v>
      </c>
      <c r="H1082" s="411"/>
      <c r="I1082" s="407"/>
      <c r="J1082" s="411"/>
      <c r="K1082" s="407" t="s">
        <v>2293</v>
      </c>
      <c r="L1082" s="412" t="s">
        <v>1577</v>
      </c>
      <c r="M1082" s="407" t="s">
        <v>2294</v>
      </c>
      <c r="N1082" s="412"/>
      <c r="O1082" s="412"/>
      <c r="P1082" s="412" t="s">
        <v>2295</v>
      </c>
      <c r="Q1082" s="413" t="s">
        <v>726</v>
      </c>
      <c r="R1082" s="413" t="s">
        <v>1018</v>
      </c>
      <c r="S1082" s="414" t="s">
        <v>1455</v>
      </c>
      <c r="T1082" s="414">
        <v>45616</v>
      </c>
      <c r="U1082" s="415"/>
      <c r="V1082" s="416"/>
      <c r="W1082" s="417"/>
      <c r="X1082" s="417"/>
      <c r="Y1082" s="418" t="s">
        <v>377</v>
      </c>
      <c r="Z1082" s="419"/>
      <c r="AA1082" s="492" t="s">
        <v>2296</v>
      </c>
    </row>
    <row r="1083" spans="1:27" s="128" customFormat="1" ht="36" customHeight="1">
      <c r="A1083" s="405">
        <v>68</v>
      </c>
      <c r="B1083" s="407" t="s">
        <v>2299</v>
      </c>
      <c r="C1083" s="406" t="s">
        <v>84</v>
      </c>
      <c r="D1083" s="407" t="s">
        <v>2300</v>
      </c>
      <c r="E1083" s="408">
        <v>1</v>
      </c>
      <c r="F1083" s="409"/>
      <c r="G1083" s="410">
        <f t="shared" si="46"/>
        <v>0</v>
      </c>
      <c r="H1083" s="411"/>
      <c r="I1083" s="407"/>
      <c r="J1083" s="411"/>
      <c r="K1083" s="407" t="s">
        <v>2293</v>
      </c>
      <c r="L1083" s="412" t="s">
        <v>1577</v>
      </c>
      <c r="M1083" s="407" t="s">
        <v>2294</v>
      </c>
      <c r="N1083" s="412"/>
      <c r="O1083" s="412"/>
      <c r="P1083" s="412" t="s">
        <v>2295</v>
      </c>
      <c r="Q1083" s="413" t="s">
        <v>726</v>
      </c>
      <c r="R1083" s="413" t="s">
        <v>1018</v>
      </c>
      <c r="S1083" s="414" t="s">
        <v>1455</v>
      </c>
      <c r="T1083" s="414">
        <v>45616</v>
      </c>
      <c r="U1083" s="415"/>
      <c r="V1083" s="416"/>
      <c r="W1083" s="417"/>
      <c r="X1083" s="417"/>
      <c r="Y1083" s="418" t="s">
        <v>377</v>
      </c>
      <c r="Z1083" s="419"/>
      <c r="AA1083" s="492" t="s">
        <v>2296</v>
      </c>
    </row>
    <row r="1084" spans="1:27" s="128" customFormat="1" ht="36" customHeight="1">
      <c r="A1084" s="405">
        <v>69</v>
      </c>
      <c r="B1084" s="407" t="s">
        <v>479</v>
      </c>
      <c r="C1084" s="406" t="s">
        <v>84</v>
      </c>
      <c r="D1084" s="407" t="s">
        <v>480</v>
      </c>
      <c r="E1084" s="408">
        <v>1</v>
      </c>
      <c r="F1084" s="409"/>
      <c r="G1084" s="410">
        <f>E1084*F1084</f>
        <v>0</v>
      </c>
      <c r="H1084" s="411"/>
      <c r="I1084" s="407"/>
      <c r="J1084" s="411"/>
      <c r="K1084" s="407" t="s">
        <v>2301</v>
      </c>
      <c r="L1084" s="412" t="s">
        <v>709</v>
      </c>
      <c r="M1084" s="407" t="s">
        <v>2302</v>
      </c>
      <c r="N1084" s="412"/>
      <c r="O1084" s="412"/>
      <c r="P1084" s="412" t="s">
        <v>2143</v>
      </c>
      <c r="Q1084" s="413" t="s">
        <v>726</v>
      </c>
      <c r="R1084" s="413" t="s">
        <v>404</v>
      </c>
      <c r="S1084" s="414" t="s">
        <v>1446</v>
      </c>
      <c r="T1084" s="414"/>
      <c r="U1084" s="415"/>
      <c r="V1084" s="416"/>
      <c r="W1084" s="417"/>
      <c r="X1084" s="417"/>
      <c r="Y1084" s="418" t="s">
        <v>377</v>
      </c>
      <c r="Z1084" s="496"/>
      <c r="AA1084" s="492"/>
    </row>
    <row r="1085" spans="1:27" s="128" customFormat="1" ht="36" customHeight="1">
      <c r="A1085" s="405">
        <v>70</v>
      </c>
      <c r="B1085" s="407" t="s">
        <v>2303</v>
      </c>
      <c r="C1085" s="406" t="s">
        <v>84</v>
      </c>
      <c r="D1085" s="407" t="s">
        <v>2304</v>
      </c>
      <c r="E1085" s="408">
        <v>1</v>
      </c>
      <c r="F1085" s="409"/>
      <c r="G1085" s="410">
        <f>E1085*F1085</f>
        <v>0</v>
      </c>
      <c r="H1085" s="411"/>
      <c r="I1085" s="407"/>
      <c r="J1085" s="411"/>
      <c r="K1085" s="407" t="s">
        <v>2301</v>
      </c>
      <c r="L1085" s="412" t="s">
        <v>709</v>
      </c>
      <c r="M1085" s="407" t="s">
        <v>2305</v>
      </c>
      <c r="N1085" s="412"/>
      <c r="O1085" s="412"/>
      <c r="P1085" s="412" t="s">
        <v>2143</v>
      </c>
      <c r="Q1085" s="413" t="s">
        <v>726</v>
      </c>
      <c r="R1085" s="413" t="s">
        <v>249</v>
      </c>
      <c r="S1085" s="414" t="s">
        <v>727</v>
      </c>
      <c r="T1085" s="414"/>
      <c r="U1085" s="415"/>
      <c r="V1085" s="416"/>
      <c r="W1085" s="417"/>
      <c r="X1085" s="417"/>
      <c r="Y1085" s="418" t="s">
        <v>377</v>
      </c>
      <c r="Z1085" s="496"/>
      <c r="AA1085" s="492"/>
    </row>
    <row r="1086" spans="1:27" s="128" customFormat="1" ht="36" customHeight="1">
      <c r="A1086" s="405">
        <v>71</v>
      </c>
      <c r="B1086" s="407" t="s">
        <v>2306</v>
      </c>
      <c r="C1086" s="406" t="s">
        <v>84</v>
      </c>
      <c r="D1086" s="407" t="s">
        <v>2307</v>
      </c>
      <c r="E1086" s="408">
        <v>1</v>
      </c>
      <c r="F1086" s="409"/>
      <c r="G1086" s="410">
        <f>E1086*F1086</f>
        <v>0</v>
      </c>
      <c r="H1086" s="411"/>
      <c r="I1086" s="407"/>
      <c r="J1086" s="411"/>
      <c r="K1086" s="407" t="s">
        <v>2301</v>
      </c>
      <c r="L1086" s="412" t="s">
        <v>709</v>
      </c>
      <c r="M1086" s="407" t="s">
        <v>2305</v>
      </c>
      <c r="N1086" s="412"/>
      <c r="O1086" s="412"/>
      <c r="P1086" s="412" t="s">
        <v>2143</v>
      </c>
      <c r="Q1086" s="413" t="s">
        <v>726</v>
      </c>
      <c r="R1086" s="413" t="s">
        <v>249</v>
      </c>
      <c r="S1086" s="414" t="s">
        <v>727</v>
      </c>
      <c r="T1086" s="414"/>
      <c r="U1086" s="415"/>
      <c r="V1086" s="416"/>
      <c r="W1086" s="417"/>
      <c r="X1086" s="417"/>
      <c r="Y1086" s="418" t="s">
        <v>377</v>
      </c>
      <c r="Z1086" s="496"/>
      <c r="AA1086" s="492"/>
    </row>
    <row r="1087" spans="1:27" s="128" customFormat="1" ht="36" customHeight="1">
      <c r="A1087" s="405">
        <v>72</v>
      </c>
      <c r="B1087" s="407" t="s">
        <v>2308</v>
      </c>
      <c r="C1087" s="406" t="s">
        <v>84</v>
      </c>
      <c r="D1087" s="407" t="s">
        <v>2309</v>
      </c>
      <c r="E1087" s="408">
        <v>1</v>
      </c>
      <c r="F1087" s="409"/>
      <c r="G1087" s="410">
        <f>E1087*F1087</f>
        <v>0</v>
      </c>
      <c r="H1087" s="411"/>
      <c r="I1087" s="407"/>
      <c r="J1087" s="411"/>
      <c r="K1087" s="407" t="s">
        <v>2301</v>
      </c>
      <c r="L1087" s="412" t="s">
        <v>709</v>
      </c>
      <c r="M1087" s="407" t="s">
        <v>2305</v>
      </c>
      <c r="N1087" s="412"/>
      <c r="O1087" s="412"/>
      <c r="P1087" s="412" t="s">
        <v>2143</v>
      </c>
      <c r="Q1087" s="413" t="s">
        <v>726</v>
      </c>
      <c r="R1087" s="413" t="s">
        <v>249</v>
      </c>
      <c r="S1087" s="414" t="s">
        <v>727</v>
      </c>
      <c r="T1087" s="414"/>
      <c r="U1087" s="415"/>
      <c r="V1087" s="416"/>
      <c r="W1087" s="417"/>
      <c r="X1087" s="417"/>
      <c r="Y1087" s="418" t="s">
        <v>377</v>
      </c>
      <c r="Z1087" s="496"/>
      <c r="AA1087" s="492"/>
    </row>
    <row r="1088" spans="1:27" ht="18" customHeight="1">
      <c r="A1088" s="389"/>
      <c r="B1088" s="390" t="s">
        <v>2310</v>
      </c>
      <c r="C1088" s="391"/>
      <c r="D1088" s="392"/>
      <c r="E1088" s="393"/>
      <c r="F1088" s="394"/>
      <c r="G1088" s="395">
        <f t="shared" si="28"/>
        <v>0</v>
      </c>
      <c r="H1088" s="396"/>
      <c r="I1088" s="392"/>
      <c r="J1088" s="396"/>
      <c r="K1088" s="392"/>
      <c r="L1088" s="397"/>
      <c r="M1088" s="392"/>
      <c r="N1088" s="397"/>
      <c r="O1088" s="397"/>
      <c r="P1088" s="397"/>
      <c r="Q1088" s="398"/>
      <c r="R1088" s="398"/>
      <c r="S1088" s="399"/>
      <c r="T1088" s="399"/>
      <c r="U1088" s="400"/>
      <c r="V1088" s="401"/>
      <c r="W1088" s="402"/>
      <c r="X1088" s="402"/>
      <c r="Y1088" s="403"/>
      <c r="Z1088" s="404"/>
      <c r="AA1088" s="492"/>
    </row>
    <row r="1089" spans="1:27" s="128" customFormat="1" ht="18" customHeight="1">
      <c r="A1089" s="405">
        <v>1</v>
      </c>
      <c r="B1089" s="407" t="s">
        <v>2311</v>
      </c>
      <c r="C1089" s="406" t="s">
        <v>86</v>
      </c>
      <c r="D1089" s="407" t="s">
        <v>2312</v>
      </c>
      <c r="E1089" s="408">
        <v>3</v>
      </c>
      <c r="F1089" s="409"/>
      <c r="G1089" s="410">
        <f t="shared" ref="G1089:G1120" si="47">E1089*F1089</f>
        <v>0</v>
      </c>
      <c r="H1089" s="411"/>
      <c r="I1089" s="407"/>
      <c r="J1089" s="411"/>
      <c r="K1089" s="407" t="s">
        <v>2313</v>
      </c>
      <c r="L1089" s="412" t="s">
        <v>422</v>
      </c>
      <c r="M1089" s="407" t="s">
        <v>2314</v>
      </c>
      <c r="N1089" s="412"/>
      <c r="O1089" s="412"/>
      <c r="P1089" s="412" t="s">
        <v>1934</v>
      </c>
      <c r="Q1089" s="413" t="s">
        <v>374</v>
      </c>
      <c r="R1089" s="413" t="s">
        <v>299</v>
      </c>
      <c r="S1089" s="414" t="s">
        <v>797</v>
      </c>
      <c r="T1089" s="414"/>
      <c r="U1089" s="415"/>
      <c r="V1089" s="416"/>
      <c r="W1089" s="417"/>
      <c r="X1089" s="417"/>
      <c r="Y1089" s="418" t="s">
        <v>377</v>
      </c>
      <c r="Z1089" s="419"/>
      <c r="AA1089" s="492"/>
    </row>
    <row r="1090" spans="1:27" s="128" customFormat="1" ht="18" customHeight="1">
      <c r="A1090" s="405">
        <v>2</v>
      </c>
      <c r="B1090" s="407" t="s">
        <v>2315</v>
      </c>
      <c r="C1090" s="406" t="s">
        <v>86</v>
      </c>
      <c r="D1090" s="407" t="s">
        <v>2316</v>
      </c>
      <c r="E1090" s="408">
        <v>3</v>
      </c>
      <c r="F1090" s="409"/>
      <c r="G1090" s="410">
        <f t="shared" si="47"/>
        <v>0</v>
      </c>
      <c r="H1090" s="411"/>
      <c r="I1090" s="407"/>
      <c r="J1090" s="411"/>
      <c r="K1090" s="407" t="s">
        <v>2313</v>
      </c>
      <c r="L1090" s="412" t="s">
        <v>422</v>
      </c>
      <c r="M1090" s="407" t="s">
        <v>2317</v>
      </c>
      <c r="N1090" s="412"/>
      <c r="O1090" s="412"/>
      <c r="P1090" s="412" t="s">
        <v>1934</v>
      </c>
      <c r="Q1090" s="413" t="s">
        <v>726</v>
      </c>
      <c r="R1090" s="413" t="s">
        <v>249</v>
      </c>
      <c r="S1090" s="414" t="s">
        <v>906</v>
      </c>
      <c r="T1090" s="414"/>
      <c r="U1090" s="415"/>
      <c r="V1090" s="416"/>
      <c r="W1090" s="417"/>
      <c r="X1090" s="417"/>
      <c r="Y1090" s="418" t="s">
        <v>377</v>
      </c>
      <c r="Z1090" s="419"/>
      <c r="AA1090" s="492"/>
    </row>
    <row r="1091" spans="1:27" s="128" customFormat="1" ht="18" customHeight="1">
      <c r="A1091" s="405">
        <v>3</v>
      </c>
      <c r="B1091" s="407" t="s">
        <v>2318</v>
      </c>
      <c r="C1091" s="406" t="s">
        <v>86</v>
      </c>
      <c r="D1091" s="407" t="s">
        <v>2319</v>
      </c>
      <c r="E1091" s="408">
        <v>3</v>
      </c>
      <c r="F1091" s="409"/>
      <c r="G1091" s="410">
        <f t="shared" si="47"/>
        <v>0</v>
      </c>
      <c r="H1091" s="411"/>
      <c r="I1091" s="407"/>
      <c r="J1091" s="411"/>
      <c r="K1091" s="407" t="s">
        <v>2313</v>
      </c>
      <c r="L1091" s="412" t="s">
        <v>422</v>
      </c>
      <c r="M1091" s="407" t="s">
        <v>2317</v>
      </c>
      <c r="N1091" s="412"/>
      <c r="O1091" s="412"/>
      <c r="P1091" s="412" t="s">
        <v>1934</v>
      </c>
      <c r="Q1091" s="413" t="s">
        <v>726</v>
      </c>
      <c r="R1091" s="413" t="s">
        <v>249</v>
      </c>
      <c r="S1091" s="414" t="s">
        <v>906</v>
      </c>
      <c r="T1091" s="414"/>
      <c r="U1091" s="415"/>
      <c r="V1091" s="416"/>
      <c r="W1091" s="417"/>
      <c r="X1091" s="417"/>
      <c r="Y1091" s="418" t="s">
        <v>377</v>
      </c>
      <c r="Z1091" s="419"/>
      <c r="AA1091" s="492"/>
    </row>
    <row r="1092" spans="1:27" s="128" customFormat="1" ht="18" customHeight="1">
      <c r="A1092" s="405">
        <v>4</v>
      </c>
      <c r="B1092" s="407" t="s">
        <v>2320</v>
      </c>
      <c r="C1092" s="406" t="s">
        <v>86</v>
      </c>
      <c r="D1092" s="407" t="s">
        <v>2321</v>
      </c>
      <c r="E1092" s="408">
        <v>4</v>
      </c>
      <c r="F1092" s="409"/>
      <c r="G1092" s="410">
        <f t="shared" si="47"/>
        <v>0</v>
      </c>
      <c r="H1092" s="411"/>
      <c r="I1092" s="407"/>
      <c r="J1092" s="411"/>
      <c r="K1092" s="407" t="s">
        <v>2313</v>
      </c>
      <c r="L1092" s="412" t="s">
        <v>422</v>
      </c>
      <c r="M1092" s="407" t="s">
        <v>2317</v>
      </c>
      <c r="N1092" s="412"/>
      <c r="O1092" s="412"/>
      <c r="P1092" s="412" t="s">
        <v>1934</v>
      </c>
      <c r="Q1092" s="413" t="s">
        <v>726</v>
      </c>
      <c r="R1092" s="413" t="s">
        <v>249</v>
      </c>
      <c r="S1092" s="414" t="s">
        <v>906</v>
      </c>
      <c r="T1092" s="414"/>
      <c r="U1092" s="415"/>
      <c r="V1092" s="416"/>
      <c r="W1092" s="417"/>
      <c r="X1092" s="417"/>
      <c r="Y1092" s="418" t="s">
        <v>377</v>
      </c>
      <c r="Z1092" s="419"/>
      <c r="AA1092" s="492"/>
    </row>
    <row r="1093" spans="1:27" s="128" customFormat="1" ht="18" customHeight="1">
      <c r="A1093" s="405">
        <v>5</v>
      </c>
      <c r="B1093" s="407" t="s">
        <v>2322</v>
      </c>
      <c r="C1093" s="406" t="s">
        <v>86</v>
      </c>
      <c r="D1093" s="407" t="s">
        <v>2323</v>
      </c>
      <c r="E1093" s="408">
        <v>1</v>
      </c>
      <c r="F1093" s="409"/>
      <c r="G1093" s="410">
        <f t="shared" si="47"/>
        <v>0</v>
      </c>
      <c r="H1093" s="411"/>
      <c r="I1093" s="407"/>
      <c r="J1093" s="411"/>
      <c r="K1093" s="407" t="s">
        <v>2313</v>
      </c>
      <c r="L1093" s="412" t="s">
        <v>422</v>
      </c>
      <c r="M1093" s="407" t="s">
        <v>2317</v>
      </c>
      <c r="N1093" s="412"/>
      <c r="O1093" s="412"/>
      <c r="P1093" s="412" t="s">
        <v>1934</v>
      </c>
      <c r="Q1093" s="413" t="s">
        <v>726</v>
      </c>
      <c r="R1093" s="413" t="s">
        <v>249</v>
      </c>
      <c r="S1093" s="414" t="s">
        <v>906</v>
      </c>
      <c r="T1093" s="414"/>
      <c r="U1093" s="415"/>
      <c r="V1093" s="416"/>
      <c r="W1093" s="417"/>
      <c r="X1093" s="417"/>
      <c r="Y1093" s="418" t="s">
        <v>377</v>
      </c>
      <c r="Z1093" s="419"/>
      <c r="AA1093" s="492"/>
    </row>
    <row r="1094" spans="1:27" s="128" customFormat="1" ht="18" customHeight="1">
      <c r="A1094" s="405">
        <v>6</v>
      </c>
      <c r="B1094" s="407" t="s">
        <v>2324</v>
      </c>
      <c r="C1094" s="406" t="s">
        <v>86</v>
      </c>
      <c r="D1094" s="407" t="s">
        <v>2325</v>
      </c>
      <c r="E1094" s="408">
        <v>1</v>
      </c>
      <c r="F1094" s="409"/>
      <c r="G1094" s="410">
        <f t="shared" si="47"/>
        <v>0</v>
      </c>
      <c r="H1094" s="411"/>
      <c r="I1094" s="407"/>
      <c r="J1094" s="411"/>
      <c r="K1094" s="407" t="s">
        <v>2313</v>
      </c>
      <c r="L1094" s="412" t="s">
        <v>422</v>
      </c>
      <c r="M1094" s="407" t="s">
        <v>2317</v>
      </c>
      <c r="N1094" s="412"/>
      <c r="O1094" s="412"/>
      <c r="P1094" s="412" t="s">
        <v>1934</v>
      </c>
      <c r="Q1094" s="413" t="s">
        <v>726</v>
      </c>
      <c r="R1094" s="413" t="s">
        <v>249</v>
      </c>
      <c r="S1094" s="414" t="s">
        <v>906</v>
      </c>
      <c r="T1094" s="414"/>
      <c r="U1094" s="415"/>
      <c r="V1094" s="416"/>
      <c r="W1094" s="417"/>
      <c r="X1094" s="417"/>
      <c r="Y1094" s="418" t="s">
        <v>377</v>
      </c>
      <c r="Z1094" s="419"/>
      <c r="AA1094" s="492"/>
    </row>
    <row r="1095" spans="1:27" s="128" customFormat="1" ht="18" customHeight="1">
      <c r="A1095" s="405">
        <v>7</v>
      </c>
      <c r="B1095" s="407" t="s">
        <v>2236</v>
      </c>
      <c r="C1095" s="406" t="s">
        <v>86</v>
      </c>
      <c r="D1095" s="407" t="s">
        <v>2237</v>
      </c>
      <c r="E1095" s="408">
        <v>1</v>
      </c>
      <c r="F1095" s="409"/>
      <c r="G1095" s="410">
        <f t="shared" si="47"/>
        <v>0</v>
      </c>
      <c r="H1095" s="411"/>
      <c r="I1095" s="407"/>
      <c r="J1095" s="411"/>
      <c r="K1095" s="407" t="s">
        <v>2313</v>
      </c>
      <c r="L1095" s="412" t="s">
        <v>422</v>
      </c>
      <c r="M1095" s="407" t="s">
        <v>2326</v>
      </c>
      <c r="N1095" s="412"/>
      <c r="O1095" s="412"/>
      <c r="P1095" s="412" t="s">
        <v>1934</v>
      </c>
      <c r="Q1095" s="413" t="s">
        <v>726</v>
      </c>
      <c r="R1095" s="413" t="s">
        <v>404</v>
      </c>
      <c r="S1095" s="414" t="s">
        <v>1446</v>
      </c>
      <c r="T1095" s="414">
        <v>45622</v>
      </c>
      <c r="U1095" s="415"/>
      <c r="V1095" s="416"/>
      <c r="W1095" s="417"/>
      <c r="X1095" s="417"/>
      <c r="Y1095" s="418" t="s">
        <v>377</v>
      </c>
      <c r="Z1095" s="419"/>
      <c r="AA1095" s="492">
        <v>1</v>
      </c>
    </row>
    <row r="1096" spans="1:27" s="128" customFormat="1" ht="18" customHeight="1">
      <c r="A1096" s="443">
        <v>8</v>
      </c>
      <c r="B1096" s="444" t="s">
        <v>2327</v>
      </c>
      <c r="C1096" s="445" t="s">
        <v>86</v>
      </c>
      <c r="D1096" s="444" t="s">
        <v>2328</v>
      </c>
      <c r="E1096" s="446">
        <v>1</v>
      </c>
      <c r="F1096" s="447"/>
      <c r="G1096" s="448">
        <f t="shared" si="47"/>
        <v>0</v>
      </c>
      <c r="H1096" s="449"/>
      <c r="I1096" s="444"/>
      <c r="J1096" s="449"/>
      <c r="K1096" s="444"/>
      <c r="L1096" s="450"/>
      <c r="M1096" s="444"/>
      <c r="N1096" s="450"/>
      <c r="O1096" s="450"/>
      <c r="P1096" s="450"/>
      <c r="Q1096" s="451" t="s">
        <v>374</v>
      </c>
      <c r="R1096" s="451"/>
      <c r="S1096" s="452"/>
      <c r="T1096" s="452" t="s">
        <v>481</v>
      </c>
      <c r="U1096" s="453"/>
      <c r="V1096" s="454"/>
      <c r="W1096" s="455" t="s">
        <v>406</v>
      </c>
      <c r="X1096" s="455">
        <v>45601</v>
      </c>
      <c r="Y1096" s="456" t="s">
        <v>377</v>
      </c>
      <c r="Z1096" s="457"/>
      <c r="AA1096" s="494">
        <v>1</v>
      </c>
    </row>
    <row r="1097" spans="1:27" s="128" customFormat="1" ht="18" customHeight="1">
      <c r="A1097" s="405">
        <v>9</v>
      </c>
      <c r="B1097" s="407" t="s">
        <v>2329</v>
      </c>
      <c r="C1097" s="406" t="s">
        <v>86</v>
      </c>
      <c r="D1097" s="407" t="s">
        <v>2330</v>
      </c>
      <c r="E1097" s="408">
        <v>1</v>
      </c>
      <c r="F1097" s="409"/>
      <c r="G1097" s="410">
        <f t="shared" si="47"/>
        <v>0</v>
      </c>
      <c r="H1097" s="411"/>
      <c r="I1097" s="407"/>
      <c r="J1097" s="411"/>
      <c r="K1097" s="407" t="s">
        <v>2313</v>
      </c>
      <c r="L1097" s="412" t="s">
        <v>422</v>
      </c>
      <c r="M1097" s="407" t="s">
        <v>2326</v>
      </c>
      <c r="N1097" s="412"/>
      <c r="O1097" s="412"/>
      <c r="P1097" s="412" t="s">
        <v>1934</v>
      </c>
      <c r="Q1097" s="413" t="s">
        <v>726</v>
      </c>
      <c r="R1097" s="413" t="s">
        <v>404</v>
      </c>
      <c r="S1097" s="414" t="s">
        <v>1446</v>
      </c>
      <c r="T1097" s="414">
        <v>45622</v>
      </c>
      <c r="U1097" s="415"/>
      <c r="V1097" s="416"/>
      <c r="W1097" s="417"/>
      <c r="X1097" s="417"/>
      <c r="Y1097" s="418" t="s">
        <v>377</v>
      </c>
      <c r="Z1097" s="419"/>
      <c r="AA1097" s="492">
        <v>1</v>
      </c>
    </row>
    <row r="1098" spans="1:27" s="128" customFormat="1" ht="18" customHeight="1">
      <c r="A1098" s="405">
        <v>10</v>
      </c>
      <c r="B1098" s="407" t="s">
        <v>2289</v>
      </c>
      <c r="C1098" s="406" t="s">
        <v>86</v>
      </c>
      <c r="D1098" s="407" t="s">
        <v>1509</v>
      </c>
      <c r="E1098" s="408">
        <v>1</v>
      </c>
      <c r="F1098" s="409"/>
      <c r="G1098" s="410">
        <f t="shared" si="47"/>
        <v>0</v>
      </c>
      <c r="H1098" s="411"/>
      <c r="I1098" s="407"/>
      <c r="J1098" s="411"/>
      <c r="K1098" s="407" t="s">
        <v>2313</v>
      </c>
      <c r="L1098" s="412" t="s">
        <v>422</v>
      </c>
      <c r="M1098" s="407" t="s">
        <v>2326</v>
      </c>
      <c r="N1098" s="412"/>
      <c r="O1098" s="412"/>
      <c r="P1098" s="412" t="s">
        <v>1934</v>
      </c>
      <c r="Q1098" s="413" t="s">
        <v>726</v>
      </c>
      <c r="R1098" s="413" t="s">
        <v>404</v>
      </c>
      <c r="S1098" s="414" t="s">
        <v>1446</v>
      </c>
      <c r="T1098" s="414">
        <v>45622</v>
      </c>
      <c r="U1098" s="415"/>
      <c r="V1098" s="416"/>
      <c r="W1098" s="417"/>
      <c r="X1098" s="417"/>
      <c r="Y1098" s="418" t="s">
        <v>377</v>
      </c>
      <c r="Z1098" s="419"/>
      <c r="AA1098" s="492">
        <v>1</v>
      </c>
    </row>
    <row r="1099" spans="1:27" s="128" customFormat="1" ht="18" customHeight="1">
      <c r="A1099" s="405">
        <v>11</v>
      </c>
      <c r="B1099" s="407" t="s">
        <v>1506</v>
      </c>
      <c r="C1099" s="406" t="s">
        <v>86</v>
      </c>
      <c r="D1099" s="407" t="s">
        <v>1507</v>
      </c>
      <c r="E1099" s="408">
        <v>1</v>
      </c>
      <c r="F1099" s="409"/>
      <c r="G1099" s="410">
        <f t="shared" si="47"/>
        <v>0</v>
      </c>
      <c r="H1099" s="411"/>
      <c r="I1099" s="407"/>
      <c r="J1099" s="411"/>
      <c r="K1099" s="407" t="s">
        <v>2313</v>
      </c>
      <c r="L1099" s="412" t="s">
        <v>422</v>
      </c>
      <c r="M1099" s="407" t="s">
        <v>2326</v>
      </c>
      <c r="N1099" s="412"/>
      <c r="O1099" s="412"/>
      <c r="P1099" s="412" t="s">
        <v>1934</v>
      </c>
      <c r="Q1099" s="413" t="s">
        <v>726</v>
      </c>
      <c r="R1099" s="413" t="s">
        <v>404</v>
      </c>
      <c r="S1099" s="414" t="s">
        <v>1446</v>
      </c>
      <c r="T1099" s="414">
        <v>45622</v>
      </c>
      <c r="U1099" s="415"/>
      <c r="V1099" s="416"/>
      <c r="W1099" s="417"/>
      <c r="X1099" s="417"/>
      <c r="Y1099" s="418" t="s">
        <v>377</v>
      </c>
      <c r="Z1099" s="419"/>
      <c r="AA1099" s="492">
        <v>1</v>
      </c>
    </row>
    <row r="1100" spans="1:27" s="441" customFormat="1" ht="18" customHeight="1">
      <c r="A1100" s="427">
        <v>12</v>
      </c>
      <c r="B1100" s="428" t="s">
        <v>2331</v>
      </c>
      <c r="C1100" s="429" t="s">
        <v>86</v>
      </c>
      <c r="D1100" s="428" t="s">
        <v>2332</v>
      </c>
      <c r="E1100" s="430">
        <v>1</v>
      </c>
      <c r="F1100" s="431"/>
      <c r="G1100" s="432">
        <f t="shared" si="47"/>
        <v>0</v>
      </c>
      <c r="H1100" s="442"/>
      <c r="I1100" s="428"/>
      <c r="J1100" s="442"/>
      <c r="K1100" s="428" t="s">
        <v>2313</v>
      </c>
      <c r="L1100" s="433" t="s">
        <v>444</v>
      </c>
      <c r="M1100" s="428" t="s">
        <v>444</v>
      </c>
      <c r="N1100" s="433"/>
      <c r="O1100" s="433"/>
      <c r="P1100" s="433" t="s">
        <v>444</v>
      </c>
      <c r="Q1100" s="434" t="s">
        <v>1514</v>
      </c>
      <c r="R1100" s="434" t="s">
        <v>444</v>
      </c>
      <c r="S1100" s="435" t="s">
        <v>444</v>
      </c>
      <c r="T1100" s="435"/>
      <c r="U1100" s="436"/>
      <c r="V1100" s="437"/>
      <c r="W1100" s="438"/>
      <c r="X1100" s="438"/>
      <c r="Y1100" s="439" t="s">
        <v>592</v>
      </c>
      <c r="Z1100" s="440"/>
      <c r="AA1100" s="495">
        <v>1</v>
      </c>
    </row>
    <row r="1101" spans="1:27" s="128" customFormat="1" ht="18" customHeight="1">
      <c r="A1101" s="405">
        <v>13</v>
      </c>
      <c r="B1101" s="407" t="s">
        <v>2333</v>
      </c>
      <c r="C1101" s="406" t="s">
        <v>86</v>
      </c>
      <c r="D1101" s="407" t="s">
        <v>2334</v>
      </c>
      <c r="E1101" s="408">
        <v>1</v>
      </c>
      <c r="F1101" s="409"/>
      <c r="G1101" s="410">
        <f t="shared" si="47"/>
        <v>0</v>
      </c>
      <c r="H1101" s="411"/>
      <c r="I1101" s="407"/>
      <c r="J1101" s="411"/>
      <c r="K1101" s="407" t="s">
        <v>2313</v>
      </c>
      <c r="L1101" s="412" t="s">
        <v>422</v>
      </c>
      <c r="M1101" s="407" t="s">
        <v>2335</v>
      </c>
      <c r="N1101" s="412"/>
      <c r="O1101" s="412"/>
      <c r="P1101" s="412" t="s">
        <v>1934</v>
      </c>
      <c r="Q1101" s="413" t="s">
        <v>726</v>
      </c>
      <c r="R1101" s="413" t="s">
        <v>1041</v>
      </c>
      <c r="S1101" s="414" t="s">
        <v>2336</v>
      </c>
      <c r="T1101" s="414"/>
      <c r="U1101" s="415"/>
      <c r="V1101" s="416"/>
      <c r="W1101" s="417"/>
      <c r="X1101" s="417"/>
      <c r="Y1101" s="418" t="s">
        <v>377</v>
      </c>
      <c r="Z1101" s="419"/>
      <c r="AA1101" s="492"/>
    </row>
    <row r="1102" spans="1:27" s="128" customFormat="1" ht="18" customHeight="1">
      <c r="A1102" s="405">
        <v>14</v>
      </c>
      <c r="B1102" s="407" t="s">
        <v>2337</v>
      </c>
      <c r="C1102" s="406" t="s">
        <v>86</v>
      </c>
      <c r="D1102" s="407" t="s">
        <v>2338</v>
      </c>
      <c r="E1102" s="408">
        <v>1</v>
      </c>
      <c r="F1102" s="409"/>
      <c r="G1102" s="410">
        <f t="shared" si="47"/>
        <v>0</v>
      </c>
      <c r="H1102" s="411"/>
      <c r="I1102" s="407"/>
      <c r="J1102" s="411"/>
      <c r="K1102" s="407" t="s">
        <v>2313</v>
      </c>
      <c r="L1102" s="412" t="s">
        <v>422</v>
      </c>
      <c r="M1102" s="407" t="s">
        <v>2317</v>
      </c>
      <c r="N1102" s="412"/>
      <c r="O1102" s="412"/>
      <c r="P1102" s="412" t="s">
        <v>1934</v>
      </c>
      <c r="Q1102" s="413" t="s">
        <v>726</v>
      </c>
      <c r="R1102" s="413" t="s">
        <v>249</v>
      </c>
      <c r="S1102" s="414" t="s">
        <v>906</v>
      </c>
      <c r="T1102" s="414"/>
      <c r="U1102" s="415"/>
      <c r="V1102" s="416"/>
      <c r="W1102" s="417"/>
      <c r="X1102" s="417"/>
      <c r="Y1102" s="418" t="s">
        <v>377</v>
      </c>
      <c r="Z1102" s="419"/>
      <c r="AA1102" s="492"/>
    </row>
    <row r="1103" spans="1:27" s="128" customFormat="1" ht="18" customHeight="1">
      <c r="A1103" s="443">
        <v>15</v>
      </c>
      <c r="B1103" s="444" t="s">
        <v>2339</v>
      </c>
      <c r="C1103" s="445" t="s">
        <v>86</v>
      </c>
      <c r="D1103" s="444" t="s">
        <v>2340</v>
      </c>
      <c r="E1103" s="446">
        <v>2</v>
      </c>
      <c r="F1103" s="447"/>
      <c r="G1103" s="448">
        <f t="shared" si="47"/>
        <v>0</v>
      </c>
      <c r="H1103" s="449"/>
      <c r="I1103" s="444"/>
      <c r="J1103" s="449"/>
      <c r="K1103" s="444" t="s">
        <v>2313</v>
      </c>
      <c r="L1103" s="450" t="s">
        <v>422</v>
      </c>
      <c r="M1103" s="444" t="s">
        <v>2317</v>
      </c>
      <c r="N1103" s="450"/>
      <c r="O1103" s="450"/>
      <c r="P1103" s="450" t="s">
        <v>1934</v>
      </c>
      <c r="Q1103" s="451" t="s">
        <v>1176</v>
      </c>
      <c r="R1103" s="451" t="s">
        <v>249</v>
      </c>
      <c r="S1103" s="452" t="s">
        <v>906</v>
      </c>
      <c r="T1103" s="452" t="s">
        <v>1358</v>
      </c>
      <c r="U1103" s="453"/>
      <c r="V1103" s="454"/>
      <c r="W1103" s="455" t="s">
        <v>406</v>
      </c>
      <c r="X1103" s="455">
        <v>45600</v>
      </c>
      <c r="Y1103" s="456" t="s">
        <v>377</v>
      </c>
      <c r="Z1103" s="457"/>
      <c r="AA1103" s="494"/>
    </row>
    <row r="1104" spans="1:27" s="128" customFormat="1" ht="18" customHeight="1">
      <c r="A1104" s="405">
        <v>16</v>
      </c>
      <c r="B1104" s="407" t="s">
        <v>2341</v>
      </c>
      <c r="C1104" s="406" t="s">
        <v>86</v>
      </c>
      <c r="D1104" s="407" t="s">
        <v>2342</v>
      </c>
      <c r="E1104" s="408">
        <v>1</v>
      </c>
      <c r="F1104" s="409"/>
      <c r="G1104" s="410">
        <f t="shared" si="47"/>
        <v>0</v>
      </c>
      <c r="H1104" s="411"/>
      <c r="I1104" s="407"/>
      <c r="J1104" s="411"/>
      <c r="K1104" s="407" t="s">
        <v>2313</v>
      </c>
      <c r="L1104" s="412" t="s">
        <v>422</v>
      </c>
      <c r="M1104" s="407" t="s">
        <v>2317</v>
      </c>
      <c r="N1104" s="412"/>
      <c r="O1104" s="412"/>
      <c r="P1104" s="412" t="s">
        <v>1934</v>
      </c>
      <c r="Q1104" s="413" t="s">
        <v>726</v>
      </c>
      <c r="R1104" s="413" t="s">
        <v>249</v>
      </c>
      <c r="S1104" s="414" t="s">
        <v>906</v>
      </c>
      <c r="T1104" s="414"/>
      <c r="U1104" s="415"/>
      <c r="V1104" s="416"/>
      <c r="W1104" s="417"/>
      <c r="X1104" s="417"/>
      <c r="Y1104" s="418" t="s">
        <v>377</v>
      </c>
      <c r="Z1104" s="419"/>
      <c r="AA1104" s="492"/>
    </row>
    <row r="1105" spans="1:27" s="128" customFormat="1" ht="18" customHeight="1">
      <c r="A1105" s="405">
        <v>17</v>
      </c>
      <c r="B1105" s="407" t="s">
        <v>2343</v>
      </c>
      <c r="C1105" s="406" t="s">
        <v>86</v>
      </c>
      <c r="D1105" s="407" t="s">
        <v>2344</v>
      </c>
      <c r="E1105" s="408">
        <v>4</v>
      </c>
      <c r="F1105" s="409"/>
      <c r="G1105" s="410">
        <f t="shared" si="47"/>
        <v>0</v>
      </c>
      <c r="H1105" s="411"/>
      <c r="I1105" s="407"/>
      <c r="J1105" s="411"/>
      <c r="K1105" s="407" t="s">
        <v>2313</v>
      </c>
      <c r="L1105" s="412" t="s">
        <v>422</v>
      </c>
      <c r="M1105" s="407" t="s">
        <v>2317</v>
      </c>
      <c r="N1105" s="412"/>
      <c r="O1105" s="412"/>
      <c r="P1105" s="412" t="s">
        <v>1934</v>
      </c>
      <c r="Q1105" s="413" t="s">
        <v>726</v>
      </c>
      <c r="R1105" s="413" t="s">
        <v>249</v>
      </c>
      <c r="S1105" s="414" t="s">
        <v>906</v>
      </c>
      <c r="T1105" s="414"/>
      <c r="U1105" s="415"/>
      <c r="V1105" s="416"/>
      <c r="W1105" s="417"/>
      <c r="X1105" s="417"/>
      <c r="Y1105" s="418" t="s">
        <v>377</v>
      </c>
      <c r="Z1105" s="419"/>
      <c r="AA1105" s="492"/>
    </row>
    <row r="1106" spans="1:27" s="128" customFormat="1" ht="18" customHeight="1">
      <c r="A1106" s="405">
        <v>18</v>
      </c>
      <c r="B1106" s="407" t="s">
        <v>2345</v>
      </c>
      <c r="C1106" s="406" t="s">
        <v>86</v>
      </c>
      <c r="D1106" s="407" t="s">
        <v>2346</v>
      </c>
      <c r="E1106" s="408">
        <v>4</v>
      </c>
      <c r="F1106" s="409"/>
      <c r="G1106" s="410">
        <f t="shared" si="47"/>
        <v>0</v>
      </c>
      <c r="H1106" s="411"/>
      <c r="I1106" s="407"/>
      <c r="J1106" s="411"/>
      <c r="K1106" s="407" t="s">
        <v>2313</v>
      </c>
      <c r="L1106" s="412" t="s">
        <v>422</v>
      </c>
      <c r="M1106" s="407" t="s">
        <v>2317</v>
      </c>
      <c r="N1106" s="412"/>
      <c r="O1106" s="412"/>
      <c r="P1106" s="412" t="s">
        <v>1934</v>
      </c>
      <c r="Q1106" s="413" t="s">
        <v>726</v>
      </c>
      <c r="R1106" s="413" t="s">
        <v>249</v>
      </c>
      <c r="S1106" s="414" t="s">
        <v>906</v>
      </c>
      <c r="T1106" s="414"/>
      <c r="U1106" s="415"/>
      <c r="V1106" s="416"/>
      <c r="W1106" s="417"/>
      <c r="X1106" s="417"/>
      <c r="Y1106" s="418" t="s">
        <v>377</v>
      </c>
      <c r="Z1106" s="419"/>
      <c r="AA1106" s="492"/>
    </row>
    <row r="1107" spans="1:27" s="128" customFormat="1" ht="18" customHeight="1">
      <c r="A1107" s="405">
        <v>19</v>
      </c>
      <c r="B1107" s="407" t="s">
        <v>2347</v>
      </c>
      <c r="C1107" s="406" t="s">
        <v>86</v>
      </c>
      <c r="D1107" s="407" t="s">
        <v>2348</v>
      </c>
      <c r="E1107" s="408">
        <v>2</v>
      </c>
      <c r="F1107" s="409"/>
      <c r="G1107" s="410">
        <f t="shared" si="47"/>
        <v>0</v>
      </c>
      <c r="H1107" s="411"/>
      <c r="I1107" s="407"/>
      <c r="J1107" s="411"/>
      <c r="K1107" s="407" t="s">
        <v>2313</v>
      </c>
      <c r="L1107" s="412" t="s">
        <v>422</v>
      </c>
      <c r="M1107" s="407" t="s">
        <v>2317</v>
      </c>
      <c r="N1107" s="412"/>
      <c r="O1107" s="412"/>
      <c r="P1107" s="412" t="s">
        <v>1934</v>
      </c>
      <c r="Q1107" s="413" t="s">
        <v>726</v>
      </c>
      <c r="R1107" s="413" t="s">
        <v>249</v>
      </c>
      <c r="S1107" s="414" t="s">
        <v>906</v>
      </c>
      <c r="T1107" s="414"/>
      <c r="U1107" s="415"/>
      <c r="V1107" s="416"/>
      <c r="W1107" s="417"/>
      <c r="X1107" s="417"/>
      <c r="Y1107" s="418" t="s">
        <v>377</v>
      </c>
      <c r="Z1107" s="419"/>
      <c r="AA1107" s="492"/>
    </row>
    <row r="1108" spans="1:27" s="128" customFormat="1" ht="18" customHeight="1">
      <c r="A1108" s="405">
        <v>20</v>
      </c>
      <c r="B1108" s="407" t="s">
        <v>2349</v>
      </c>
      <c r="C1108" s="406" t="s">
        <v>86</v>
      </c>
      <c r="D1108" s="407" t="s">
        <v>2350</v>
      </c>
      <c r="E1108" s="408">
        <v>8</v>
      </c>
      <c r="F1108" s="409"/>
      <c r="G1108" s="410">
        <f t="shared" si="47"/>
        <v>0</v>
      </c>
      <c r="H1108" s="411"/>
      <c r="I1108" s="407"/>
      <c r="J1108" s="411"/>
      <c r="K1108" s="407" t="s">
        <v>2313</v>
      </c>
      <c r="L1108" s="412" t="s">
        <v>422</v>
      </c>
      <c r="M1108" s="407" t="s">
        <v>2317</v>
      </c>
      <c r="N1108" s="412"/>
      <c r="O1108" s="412"/>
      <c r="P1108" s="412" t="s">
        <v>1934</v>
      </c>
      <c r="Q1108" s="413" t="s">
        <v>726</v>
      </c>
      <c r="R1108" s="413" t="s">
        <v>249</v>
      </c>
      <c r="S1108" s="414" t="s">
        <v>906</v>
      </c>
      <c r="T1108" s="414"/>
      <c r="U1108" s="415"/>
      <c r="V1108" s="416"/>
      <c r="W1108" s="417"/>
      <c r="X1108" s="417"/>
      <c r="Y1108" s="418" t="s">
        <v>377</v>
      </c>
      <c r="Z1108" s="419"/>
      <c r="AA1108" s="492"/>
    </row>
    <row r="1109" spans="1:27" s="128" customFormat="1" ht="18" customHeight="1">
      <c r="A1109" s="405">
        <v>21</v>
      </c>
      <c r="B1109" s="407" t="s">
        <v>2351</v>
      </c>
      <c r="C1109" s="406" t="s">
        <v>86</v>
      </c>
      <c r="D1109" s="407" t="s">
        <v>2352</v>
      </c>
      <c r="E1109" s="408">
        <v>30</v>
      </c>
      <c r="F1109" s="409"/>
      <c r="G1109" s="410">
        <f t="shared" si="47"/>
        <v>0</v>
      </c>
      <c r="H1109" s="411"/>
      <c r="I1109" s="407"/>
      <c r="J1109" s="411"/>
      <c r="K1109" s="407" t="s">
        <v>2313</v>
      </c>
      <c r="L1109" s="412" t="s">
        <v>422</v>
      </c>
      <c r="M1109" s="407" t="s">
        <v>2317</v>
      </c>
      <c r="N1109" s="412"/>
      <c r="O1109" s="412"/>
      <c r="P1109" s="412" t="s">
        <v>1934</v>
      </c>
      <c r="Q1109" s="413" t="s">
        <v>726</v>
      </c>
      <c r="R1109" s="413" t="s">
        <v>249</v>
      </c>
      <c r="S1109" s="414" t="s">
        <v>906</v>
      </c>
      <c r="T1109" s="414"/>
      <c r="U1109" s="415"/>
      <c r="V1109" s="416"/>
      <c r="W1109" s="417"/>
      <c r="X1109" s="417"/>
      <c r="Y1109" s="418" t="s">
        <v>377</v>
      </c>
      <c r="Z1109" s="419"/>
      <c r="AA1109" s="492"/>
    </row>
    <row r="1110" spans="1:27" s="128" customFormat="1" ht="18" customHeight="1">
      <c r="A1110" s="405">
        <v>22</v>
      </c>
      <c r="B1110" s="407" t="s">
        <v>2353</v>
      </c>
      <c r="C1110" s="406" t="s">
        <v>86</v>
      </c>
      <c r="D1110" s="407" t="s">
        <v>2354</v>
      </c>
      <c r="E1110" s="408">
        <v>2</v>
      </c>
      <c r="F1110" s="409"/>
      <c r="G1110" s="410">
        <f t="shared" si="47"/>
        <v>0</v>
      </c>
      <c r="H1110" s="411"/>
      <c r="I1110" s="407"/>
      <c r="J1110" s="411"/>
      <c r="K1110" s="407" t="s">
        <v>2313</v>
      </c>
      <c r="L1110" s="412" t="s">
        <v>422</v>
      </c>
      <c r="M1110" s="407" t="s">
        <v>2317</v>
      </c>
      <c r="N1110" s="412"/>
      <c r="O1110" s="412"/>
      <c r="P1110" s="412" t="s">
        <v>1934</v>
      </c>
      <c r="Q1110" s="413" t="s">
        <v>726</v>
      </c>
      <c r="R1110" s="413" t="s">
        <v>249</v>
      </c>
      <c r="S1110" s="414" t="s">
        <v>906</v>
      </c>
      <c r="T1110" s="414"/>
      <c r="U1110" s="415"/>
      <c r="V1110" s="416"/>
      <c r="W1110" s="417"/>
      <c r="X1110" s="417"/>
      <c r="Y1110" s="418" t="s">
        <v>377</v>
      </c>
      <c r="Z1110" s="419"/>
      <c r="AA1110" s="492"/>
    </row>
    <row r="1111" spans="1:27" s="128" customFormat="1" ht="18" customHeight="1">
      <c r="A1111" s="405">
        <v>23</v>
      </c>
      <c r="B1111" s="407" t="s">
        <v>2355</v>
      </c>
      <c r="C1111" s="406" t="s">
        <v>86</v>
      </c>
      <c r="D1111" s="407" t="s">
        <v>1542</v>
      </c>
      <c r="E1111" s="408">
        <v>104</v>
      </c>
      <c r="F1111" s="409"/>
      <c r="G1111" s="410">
        <f t="shared" si="47"/>
        <v>0</v>
      </c>
      <c r="H1111" s="411"/>
      <c r="I1111" s="407"/>
      <c r="J1111" s="411"/>
      <c r="K1111" s="407" t="s">
        <v>2313</v>
      </c>
      <c r="L1111" s="412" t="s">
        <v>422</v>
      </c>
      <c r="M1111" s="407" t="s">
        <v>2317</v>
      </c>
      <c r="N1111" s="412"/>
      <c r="O1111" s="412"/>
      <c r="P1111" s="412" t="s">
        <v>1934</v>
      </c>
      <c r="Q1111" s="413" t="s">
        <v>726</v>
      </c>
      <c r="R1111" s="413" t="s">
        <v>249</v>
      </c>
      <c r="S1111" s="414" t="s">
        <v>906</v>
      </c>
      <c r="T1111" s="414"/>
      <c r="U1111" s="415"/>
      <c r="V1111" s="416"/>
      <c r="W1111" s="417"/>
      <c r="X1111" s="417"/>
      <c r="Y1111" s="418" t="s">
        <v>377</v>
      </c>
      <c r="Z1111" s="419"/>
      <c r="AA1111" s="492"/>
    </row>
    <row r="1112" spans="1:27" s="128" customFormat="1" ht="18" customHeight="1">
      <c r="A1112" s="405">
        <v>24</v>
      </c>
      <c r="B1112" s="407" t="s">
        <v>2356</v>
      </c>
      <c r="C1112" s="406" t="s">
        <v>86</v>
      </c>
      <c r="D1112" s="407" t="s">
        <v>2357</v>
      </c>
      <c r="E1112" s="408">
        <v>2</v>
      </c>
      <c r="F1112" s="409"/>
      <c r="G1112" s="410">
        <f t="shared" si="47"/>
        <v>0</v>
      </c>
      <c r="H1112" s="411"/>
      <c r="I1112" s="407"/>
      <c r="J1112" s="411"/>
      <c r="K1112" s="407" t="s">
        <v>2313</v>
      </c>
      <c r="L1112" s="412" t="s">
        <v>422</v>
      </c>
      <c r="M1112" s="407" t="s">
        <v>2358</v>
      </c>
      <c r="N1112" s="412"/>
      <c r="O1112" s="412"/>
      <c r="P1112" s="412" t="s">
        <v>1934</v>
      </c>
      <c r="Q1112" s="413" t="s">
        <v>726</v>
      </c>
      <c r="R1112" s="413" t="s">
        <v>263</v>
      </c>
      <c r="S1112" s="414" t="s">
        <v>2359</v>
      </c>
      <c r="T1112" s="414"/>
      <c r="U1112" s="415"/>
      <c r="V1112" s="416"/>
      <c r="W1112" s="417"/>
      <c r="X1112" s="417"/>
      <c r="Y1112" s="418" t="s">
        <v>377</v>
      </c>
      <c r="Z1112" s="419"/>
      <c r="AA1112" s="492"/>
    </row>
    <row r="1113" spans="1:27" s="128" customFormat="1" ht="18" customHeight="1">
      <c r="A1113" s="405">
        <v>25</v>
      </c>
      <c r="B1113" s="407" t="s">
        <v>551</v>
      </c>
      <c r="C1113" s="406" t="s">
        <v>86</v>
      </c>
      <c r="D1113" s="407" t="s">
        <v>552</v>
      </c>
      <c r="E1113" s="408">
        <v>4</v>
      </c>
      <c r="F1113" s="409"/>
      <c r="G1113" s="410">
        <f t="shared" si="47"/>
        <v>0</v>
      </c>
      <c r="H1113" s="411"/>
      <c r="I1113" s="407"/>
      <c r="J1113" s="411"/>
      <c r="K1113" s="407" t="s">
        <v>2313</v>
      </c>
      <c r="L1113" s="412" t="s">
        <v>422</v>
      </c>
      <c r="M1113" s="407" t="s">
        <v>2358</v>
      </c>
      <c r="N1113" s="412"/>
      <c r="O1113" s="412"/>
      <c r="P1113" s="412" t="s">
        <v>1934</v>
      </c>
      <c r="Q1113" s="413" t="s">
        <v>726</v>
      </c>
      <c r="R1113" s="413" t="s">
        <v>263</v>
      </c>
      <c r="S1113" s="414" t="s">
        <v>800</v>
      </c>
      <c r="T1113" s="414"/>
      <c r="U1113" s="415"/>
      <c r="V1113" s="416"/>
      <c r="W1113" s="417"/>
      <c r="X1113" s="417"/>
      <c r="Y1113" s="418" t="s">
        <v>377</v>
      </c>
      <c r="Z1113" s="419"/>
      <c r="AA1113" s="492"/>
    </row>
    <row r="1114" spans="1:27" s="128" customFormat="1" ht="18" customHeight="1">
      <c r="A1114" s="405">
        <v>26</v>
      </c>
      <c r="B1114" s="407" t="s">
        <v>2360</v>
      </c>
      <c r="C1114" s="406" t="s">
        <v>86</v>
      </c>
      <c r="D1114" s="407" t="s">
        <v>2361</v>
      </c>
      <c r="E1114" s="408">
        <v>2</v>
      </c>
      <c r="F1114" s="409"/>
      <c r="G1114" s="410">
        <f t="shared" si="47"/>
        <v>0</v>
      </c>
      <c r="H1114" s="411"/>
      <c r="I1114" s="407"/>
      <c r="J1114" s="411"/>
      <c r="K1114" s="407" t="s">
        <v>2313</v>
      </c>
      <c r="L1114" s="412" t="s">
        <v>422</v>
      </c>
      <c r="M1114" s="407" t="s">
        <v>2358</v>
      </c>
      <c r="N1114" s="412"/>
      <c r="O1114" s="412"/>
      <c r="P1114" s="412" t="s">
        <v>1934</v>
      </c>
      <c r="Q1114" s="413" t="s">
        <v>726</v>
      </c>
      <c r="R1114" s="413" t="s">
        <v>263</v>
      </c>
      <c r="S1114" s="414" t="s">
        <v>800</v>
      </c>
      <c r="T1114" s="414"/>
      <c r="U1114" s="415"/>
      <c r="V1114" s="416"/>
      <c r="W1114" s="417"/>
      <c r="X1114" s="417"/>
      <c r="Y1114" s="418" t="s">
        <v>377</v>
      </c>
      <c r="Z1114" s="419"/>
      <c r="AA1114" s="492"/>
    </row>
    <row r="1115" spans="1:27" s="128" customFormat="1" ht="18" customHeight="1">
      <c r="A1115" s="405">
        <v>27</v>
      </c>
      <c r="B1115" s="407" t="s">
        <v>2362</v>
      </c>
      <c r="C1115" s="406" t="s">
        <v>86</v>
      </c>
      <c r="D1115" s="407" t="s">
        <v>2363</v>
      </c>
      <c r="E1115" s="408">
        <v>120</v>
      </c>
      <c r="F1115" s="409"/>
      <c r="G1115" s="410">
        <f t="shared" si="47"/>
        <v>0</v>
      </c>
      <c r="H1115" s="411"/>
      <c r="I1115" s="407"/>
      <c r="J1115" s="411"/>
      <c r="K1115" s="407" t="s">
        <v>2313</v>
      </c>
      <c r="L1115" s="412" t="s">
        <v>422</v>
      </c>
      <c r="M1115" s="407" t="s">
        <v>2364</v>
      </c>
      <c r="N1115" s="412"/>
      <c r="O1115" s="412"/>
      <c r="P1115" s="412" t="s">
        <v>1934</v>
      </c>
      <c r="Q1115" s="413" t="s">
        <v>726</v>
      </c>
      <c r="R1115" s="413" t="s">
        <v>251</v>
      </c>
      <c r="S1115" s="414" t="s">
        <v>1455</v>
      </c>
      <c r="T1115" s="414"/>
      <c r="U1115" s="415"/>
      <c r="V1115" s="416"/>
      <c r="W1115" s="417"/>
      <c r="X1115" s="417"/>
      <c r="Y1115" s="418" t="s">
        <v>377</v>
      </c>
      <c r="Z1115" s="419"/>
      <c r="AA1115" s="492"/>
    </row>
    <row r="1116" spans="1:27" s="128" customFormat="1" ht="18" customHeight="1">
      <c r="A1116" s="405">
        <v>28</v>
      </c>
      <c r="B1116" s="407" t="s">
        <v>1639</v>
      </c>
      <c r="C1116" s="406" t="s">
        <v>86</v>
      </c>
      <c r="D1116" s="407" t="s">
        <v>1640</v>
      </c>
      <c r="E1116" s="408">
        <v>4</v>
      </c>
      <c r="F1116" s="409"/>
      <c r="G1116" s="410">
        <f t="shared" si="47"/>
        <v>0</v>
      </c>
      <c r="H1116" s="411"/>
      <c r="I1116" s="407"/>
      <c r="J1116" s="411"/>
      <c r="K1116" s="407" t="s">
        <v>2313</v>
      </c>
      <c r="L1116" s="412" t="s">
        <v>422</v>
      </c>
      <c r="M1116" s="407" t="s">
        <v>2364</v>
      </c>
      <c r="N1116" s="412"/>
      <c r="O1116" s="412"/>
      <c r="P1116" s="412" t="s">
        <v>1934</v>
      </c>
      <c r="Q1116" s="413" t="s">
        <v>726</v>
      </c>
      <c r="R1116" s="413" t="s">
        <v>251</v>
      </c>
      <c r="S1116" s="414" t="s">
        <v>1455</v>
      </c>
      <c r="T1116" s="414"/>
      <c r="U1116" s="415"/>
      <c r="V1116" s="416"/>
      <c r="W1116" s="417"/>
      <c r="X1116" s="417"/>
      <c r="Y1116" s="418" t="s">
        <v>377</v>
      </c>
      <c r="Z1116" s="419"/>
      <c r="AA1116" s="492"/>
    </row>
    <row r="1117" spans="1:27" s="128" customFormat="1" ht="18" customHeight="1">
      <c r="A1117" s="405">
        <v>29</v>
      </c>
      <c r="B1117" s="407" t="s">
        <v>2236</v>
      </c>
      <c r="C1117" s="406" t="s">
        <v>86</v>
      </c>
      <c r="D1117" s="407" t="s">
        <v>2237</v>
      </c>
      <c r="E1117" s="408">
        <v>4</v>
      </c>
      <c r="F1117" s="409"/>
      <c r="G1117" s="410">
        <f t="shared" si="47"/>
        <v>0</v>
      </c>
      <c r="H1117" s="411"/>
      <c r="I1117" s="407"/>
      <c r="J1117" s="411"/>
      <c r="K1117" s="407" t="s">
        <v>2313</v>
      </c>
      <c r="L1117" s="412" t="s">
        <v>422</v>
      </c>
      <c r="M1117" s="407" t="s">
        <v>2326</v>
      </c>
      <c r="N1117" s="412"/>
      <c r="O1117" s="412"/>
      <c r="P1117" s="412" t="s">
        <v>1934</v>
      </c>
      <c r="Q1117" s="413" t="s">
        <v>726</v>
      </c>
      <c r="R1117" s="413" t="s">
        <v>404</v>
      </c>
      <c r="S1117" s="414" t="s">
        <v>1446</v>
      </c>
      <c r="T1117" s="414">
        <v>45622</v>
      </c>
      <c r="U1117" s="415"/>
      <c r="V1117" s="416"/>
      <c r="W1117" s="417"/>
      <c r="X1117" s="417"/>
      <c r="Y1117" s="418" t="s">
        <v>377</v>
      </c>
      <c r="Z1117" s="419"/>
      <c r="AA1117" s="492">
        <v>1</v>
      </c>
    </row>
    <row r="1118" spans="1:27" s="128" customFormat="1" ht="18" customHeight="1">
      <c r="A1118" s="405">
        <v>30</v>
      </c>
      <c r="B1118" s="407" t="s">
        <v>2365</v>
      </c>
      <c r="C1118" s="406" t="s">
        <v>86</v>
      </c>
      <c r="D1118" s="407" t="s">
        <v>2366</v>
      </c>
      <c r="E1118" s="408">
        <v>2</v>
      </c>
      <c r="F1118" s="409"/>
      <c r="G1118" s="410">
        <f t="shared" si="47"/>
        <v>0</v>
      </c>
      <c r="H1118" s="411"/>
      <c r="I1118" s="407"/>
      <c r="J1118" s="411"/>
      <c r="K1118" s="407" t="s">
        <v>2313</v>
      </c>
      <c r="L1118" s="412" t="s">
        <v>422</v>
      </c>
      <c r="M1118" s="407" t="s">
        <v>2358</v>
      </c>
      <c r="N1118" s="412"/>
      <c r="O1118" s="412"/>
      <c r="P1118" s="412" t="s">
        <v>1934</v>
      </c>
      <c r="Q1118" s="413" t="s">
        <v>726</v>
      </c>
      <c r="R1118" s="413" t="s">
        <v>263</v>
      </c>
      <c r="S1118" s="414" t="s">
        <v>2367</v>
      </c>
      <c r="T1118" s="414"/>
      <c r="U1118" s="415"/>
      <c r="V1118" s="416"/>
      <c r="W1118" s="417"/>
      <c r="X1118" s="417"/>
      <c r="Y1118" s="418" t="s">
        <v>377</v>
      </c>
      <c r="Z1118" s="419"/>
      <c r="AA1118" s="492"/>
    </row>
    <row r="1119" spans="1:27" s="128" customFormat="1" ht="18" customHeight="1">
      <c r="A1119" s="405">
        <v>31</v>
      </c>
      <c r="B1119" s="407" t="s">
        <v>2368</v>
      </c>
      <c r="C1119" s="406" t="s">
        <v>86</v>
      </c>
      <c r="D1119" s="407" t="s">
        <v>2369</v>
      </c>
      <c r="E1119" s="408">
        <v>4</v>
      </c>
      <c r="F1119" s="409"/>
      <c r="G1119" s="410">
        <f t="shared" si="47"/>
        <v>0</v>
      </c>
      <c r="H1119" s="411"/>
      <c r="I1119" s="407"/>
      <c r="J1119" s="411"/>
      <c r="K1119" s="407" t="s">
        <v>2313</v>
      </c>
      <c r="L1119" s="412" t="s">
        <v>422</v>
      </c>
      <c r="M1119" s="407" t="s">
        <v>2358</v>
      </c>
      <c r="N1119" s="412"/>
      <c r="O1119" s="412"/>
      <c r="P1119" s="412" t="s">
        <v>1934</v>
      </c>
      <c r="Q1119" s="413" t="s">
        <v>726</v>
      </c>
      <c r="R1119" s="413" t="s">
        <v>263</v>
      </c>
      <c r="S1119" s="414" t="s">
        <v>800</v>
      </c>
      <c r="T1119" s="414"/>
      <c r="U1119" s="415"/>
      <c r="V1119" s="416"/>
      <c r="W1119" s="417"/>
      <c r="X1119" s="417"/>
      <c r="Y1119" s="418" t="s">
        <v>377</v>
      </c>
      <c r="Z1119" s="419"/>
      <c r="AA1119" s="492"/>
    </row>
    <row r="1120" spans="1:27" s="128" customFormat="1" ht="18" customHeight="1">
      <c r="A1120" s="405">
        <v>32</v>
      </c>
      <c r="B1120" s="407" t="s">
        <v>2370</v>
      </c>
      <c r="C1120" s="406" t="s">
        <v>86</v>
      </c>
      <c r="D1120" s="407" t="s">
        <v>2371</v>
      </c>
      <c r="E1120" s="408">
        <v>2</v>
      </c>
      <c r="F1120" s="409"/>
      <c r="G1120" s="410">
        <f t="shared" si="47"/>
        <v>0</v>
      </c>
      <c r="H1120" s="411"/>
      <c r="I1120" s="407"/>
      <c r="J1120" s="411"/>
      <c r="K1120" s="407" t="s">
        <v>2313</v>
      </c>
      <c r="L1120" s="412" t="s">
        <v>422</v>
      </c>
      <c r="M1120" s="407" t="s">
        <v>2372</v>
      </c>
      <c r="N1120" s="412"/>
      <c r="O1120" s="412"/>
      <c r="P1120" s="412" t="s">
        <v>1934</v>
      </c>
      <c r="Q1120" s="413" t="s">
        <v>726</v>
      </c>
      <c r="R1120" s="413" t="s">
        <v>905</v>
      </c>
      <c r="S1120" s="414" t="s">
        <v>2373</v>
      </c>
      <c r="T1120" s="414" t="s">
        <v>2374</v>
      </c>
      <c r="U1120" s="415"/>
      <c r="V1120" s="416"/>
      <c r="W1120" s="417"/>
      <c r="X1120" s="417"/>
      <c r="Y1120" s="418" t="s">
        <v>377</v>
      </c>
      <c r="Z1120" s="419"/>
      <c r="AA1120" s="492"/>
    </row>
    <row r="1121" spans="1:27" s="128" customFormat="1" ht="18" customHeight="1">
      <c r="A1121" s="405">
        <v>33</v>
      </c>
      <c r="B1121" s="407" t="s">
        <v>2242</v>
      </c>
      <c r="C1121" s="406" t="s">
        <v>86</v>
      </c>
      <c r="D1121" s="407" t="s">
        <v>2243</v>
      </c>
      <c r="E1121" s="408">
        <v>4</v>
      </c>
      <c r="F1121" s="409"/>
      <c r="G1121" s="410">
        <f t="shared" ref="G1121:G1147" si="48">E1121*F1121</f>
        <v>0</v>
      </c>
      <c r="H1121" s="411"/>
      <c r="I1121" s="407"/>
      <c r="J1121" s="411"/>
      <c r="K1121" s="407" t="s">
        <v>2313</v>
      </c>
      <c r="L1121" s="412" t="s">
        <v>422</v>
      </c>
      <c r="M1121" s="407" t="s">
        <v>2317</v>
      </c>
      <c r="N1121" s="412"/>
      <c r="O1121" s="412"/>
      <c r="P1121" s="412" t="s">
        <v>1934</v>
      </c>
      <c r="Q1121" s="413" t="s">
        <v>726</v>
      </c>
      <c r="R1121" s="413" t="s">
        <v>249</v>
      </c>
      <c r="S1121" s="414" t="s">
        <v>906</v>
      </c>
      <c r="T1121" s="414"/>
      <c r="U1121" s="415"/>
      <c r="V1121" s="416"/>
      <c r="W1121" s="417"/>
      <c r="X1121" s="417"/>
      <c r="Y1121" s="418" t="s">
        <v>377</v>
      </c>
      <c r="Z1121" s="419"/>
      <c r="AA1121" s="492"/>
    </row>
    <row r="1122" spans="1:27" s="128" customFormat="1" ht="18" customHeight="1">
      <c r="A1122" s="405">
        <v>34</v>
      </c>
      <c r="B1122" s="407" t="s">
        <v>2375</v>
      </c>
      <c r="C1122" s="406" t="s">
        <v>86</v>
      </c>
      <c r="D1122" s="407" t="s">
        <v>2376</v>
      </c>
      <c r="E1122" s="408">
        <v>2</v>
      </c>
      <c r="F1122" s="409"/>
      <c r="G1122" s="410">
        <f t="shared" si="48"/>
        <v>0</v>
      </c>
      <c r="H1122" s="411"/>
      <c r="I1122" s="407"/>
      <c r="J1122" s="411"/>
      <c r="K1122" s="407" t="s">
        <v>2313</v>
      </c>
      <c r="L1122" s="412" t="s">
        <v>422</v>
      </c>
      <c r="M1122" s="407" t="s">
        <v>2317</v>
      </c>
      <c r="N1122" s="412"/>
      <c r="O1122" s="412"/>
      <c r="P1122" s="412" t="s">
        <v>1934</v>
      </c>
      <c r="Q1122" s="413" t="s">
        <v>726</v>
      </c>
      <c r="R1122" s="413" t="s">
        <v>249</v>
      </c>
      <c r="S1122" s="414" t="s">
        <v>906</v>
      </c>
      <c r="T1122" s="414"/>
      <c r="U1122" s="415"/>
      <c r="V1122" s="416"/>
      <c r="W1122" s="417"/>
      <c r="X1122" s="417"/>
      <c r="Y1122" s="418" t="s">
        <v>377</v>
      </c>
      <c r="Z1122" s="419"/>
      <c r="AA1122" s="492"/>
    </row>
    <row r="1123" spans="1:27" s="128" customFormat="1" ht="18" customHeight="1">
      <c r="A1123" s="405">
        <v>35</v>
      </c>
      <c r="B1123" s="407" t="s">
        <v>2236</v>
      </c>
      <c r="C1123" s="406" t="s">
        <v>86</v>
      </c>
      <c r="D1123" s="407" t="s">
        <v>2237</v>
      </c>
      <c r="E1123" s="408">
        <v>2</v>
      </c>
      <c r="F1123" s="409"/>
      <c r="G1123" s="410">
        <f t="shared" si="48"/>
        <v>0</v>
      </c>
      <c r="H1123" s="411"/>
      <c r="I1123" s="407"/>
      <c r="J1123" s="411"/>
      <c r="K1123" s="407" t="s">
        <v>2313</v>
      </c>
      <c r="L1123" s="412" t="s">
        <v>422</v>
      </c>
      <c r="M1123" s="407" t="s">
        <v>2326</v>
      </c>
      <c r="N1123" s="412"/>
      <c r="O1123" s="412"/>
      <c r="P1123" s="412" t="s">
        <v>1934</v>
      </c>
      <c r="Q1123" s="413" t="s">
        <v>726</v>
      </c>
      <c r="R1123" s="413" t="s">
        <v>404</v>
      </c>
      <c r="S1123" s="414" t="s">
        <v>1446</v>
      </c>
      <c r="T1123" s="414">
        <v>45622</v>
      </c>
      <c r="U1123" s="415"/>
      <c r="V1123" s="416"/>
      <c r="W1123" s="417"/>
      <c r="X1123" s="417"/>
      <c r="Y1123" s="418" t="s">
        <v>377</v>
      </c>
      <c r="Z1123" s="419"/>
      <c r="AA1123" s="492">
        <v>1</v>
      </c>
    </row>
    <row r="1124" spans="1:27" s="128" customFormat="1" ht="18" customHeight="1">
      <c r="A1124" s="405">
        <v>36</v>
      </c>
      <c r="B1124" s="407" t="s">
        <v>2377</v>
      </c>
      <c r="C1124" s="406" t="s">
        <v>86</v>
      </c>
      <c r="D1124" s="407" t="s">
        <v>2378</v>
      </c>
      <c r="E1124" s="408">
        <v>1</v>
      </c>
      <c r="F1124" s="409"/>
      <c r="G1124" s="410">
        <f t="shared" si="48"/>
        <v>0</v>
      </c>
      <c r="H1124" s="411"/>
      <c r="I1124" s="407"/>
      <c r="J1124" s="411"/>
      <c r="K1124" s="407" t="s">
        <v>2313</v>
      </c>
      <c r="L1124" s="412" t="s">
        <v>422</v>
      </c>
      <c r="M1124" s="407" t="s">
        <v>2358</v>
      </c>
      <c r="N1124" s="412"/>
      <c r="O1124" s="412"/>
      <c r="P1124" s="412" t="s">
        <v>1934</v>
      </c>
      <c r="Q1124" s="413" t="s">
        <v>726</v>
      </c>
      <c r="R1124" s="413" t="s">
        <v>263</v>
      </c>
      <c r="S1124" s="414" t="s">
        <v>2359</v>
      </c>
      <c r="T1124" s="414"/>
      <c r="U1124" s="415"/>
      <c r="V1124" s="416"/>
      <c r="W1124" s="417"/>
      <c r="X1124" s="417"/>
      <c r="Y1124" s="418" t="s">
        <v>377</v>
      </c>
      <c r="Z1124" s="419"/>
      <c r="AA1124" s="492"/>
    </row>
    <row r="1125" spans="1:27" s="128" customFormat="1" ht="18" customHeight="1">
      <c r="A1125" s="405">
        <v>37</v>
      </c>
      <c r="B1125" s="407" t="s">
        <v>2379</v>
      </c>
      <c r="C1125" s="406" t="s">
        <v>86</v>
      </c>
      <c r="D1125" s="407" t="s">
        <v>2380</v>
      </c>
      <c r="E1125" s="408">
        <v>1</v>
      </c>
      <c r="F1125" s="409"/>
      <c r="G1125" s="410">
        <f t="shared" si="48"/>
        <v>0</v>
      </c>
      <c r="H1125" s="411"/>
      <c r="I1125" s="407"/>
      <c r="J1125" s="411"/>
      <c r="K1125" s="407" t="s">
        <v>2313</v>
      </c>
      <c r="L1125" s="412" t="s">
        <v>422</v>
      </c>
      <c r="M1125" s="407" t="s">
        <v>2317</v>
      </c>
      <c r="N1125" s="412"/>
      <c r="O1125" s="412"/>
      <c r="P1125" s="412" t="s">
        <v>1934</v>
      </c>
      <c r="Q1125" s="413" t="s">
        <v>726</v>
      </c>
      <c r="R1125" s="413" t="s">
        <v>249</v>
      </c>
      <c r="S1125" s="414" t="s">
        <v>906</v>
      </c>
      <c r="T1125" s="414"/>
      <c r="U1125" s="415"/>
      <c r="V1125" s="416"/>
      <c r="W1125" s="417"/>
      <c r="X1125" s="417"/>
      <c r="Y1125" s="418" t="s">
        <v>377</v>
      </c>
      <c r="Z1125" s="419"/>
      <c r="AA1125" s="492"/>
    </row>
    <row r="1126" spans="1:27" s="128" customFormat="1" ht="18" customHeight="1">
      <c r="A1126" s="405">
        <v>38</v>
      </c>
      <c r="B1126" s="407" t="s">
        <v>1486</v>
      </c>
      <c r="C1126" s="406" t="s">
        <v>86</v>
      </c>
      <c r="D1126" s="407" t="s">
        <v>1487</v>
      </c>
      <c r="E1126" s="408">
        <v>4</v>
      </c>
      <c r="F1126" s="409"/>
      <c r="G1126" s="410">
        <f t="shared" si="48"/>
        <v>0</v>
      </c>
      <c r="H1126" s="411"/>
      <c r="I1126" s="407"/>
      <c r="J1126" s="411"/>
      <c r="K1126" s="407" t="s">
        <v>2313</v>
      </c>
      <c r="L1126" s="412" t="s">
        <v>422</v>
      </c>
      <c r="M1126" s="407" t="s">
        <v>2358</v>
      </c>
      <c r="N1126" s="412"/>
      <c r="O1126" s="412"/>
      <c r="P1126" s="412" t="s">
        <v>1934</v>
      </c>
      <c r="Q1126" s="413" t="s">
        <v>726</v>
      </c>
      <c r="R1126" s="413" t="s">
        <v>263</v>
      </c>
      <c r="S1126" s="414" t="s">
        <v>800</v>
      </c>
      <c r="T1126" s="414"/>
      <c r="U1126" s="415"/>
      <c r="V1126" s="416"/>
      <c r="W1126" s="417"/>
      <c r="X1126" s="417"/>
      <c r="Y1126" s="418" t="s">
        <v>377</v>
      </c>
      <c r="Z1126" s="419"/>
      <c r="AA1126" s="492"/>
    </row>
    <row r="1127" spans="1:27" s="128" customFormat="1" ht="18" customHeight="1">
      <c r="A1127" s="405">
        <v>39</v>
      </c>
      <c r="B1127" s="407" t="s">
        <v>2381</v>
      </c>
      <c r="C1127" s="406" t="s">
        <v>86</v>
      </c>
      <c r="D1127" s="407" t="s">
        <v>2382</v>
      </c>
      <c r="E1127" s="408">
        <v>1</v>
      </c>
      <c r="F1127" s="409"/>
      <c r="G1127" s="410">
        <f t="shared" si="48"/>
        <v>0</v>
      </c>
      <c r="H1127" s="411"/>
      <c r="I1127" s="407"/>
      <c r="J1127" s="411"/>
      <c r="K1127" s="407" t="s">
        <v>2313</v>
      </c>
      <c r="L1127" s="412" t="s">
        <v>422</v>
      </c>
      <c r="M1127" s="407" t="s">
        <v>2317</v>
      </c>
      <c r="N1127" s="412"/>
      <c r="O1127" s="412"/>
      <c r="P1127" s="412" t="s">
        <v>1934</v>
      </c>
      <c r="Q1127" s="413" t="s">
        <v>726</v>
      </c>
      <c r="R1127" s="413" t="s">
        <v>249</v>
      </c>
      <c r="S1127" s="414" t="s">
        <v>906</v>
      </c>
      <c r="T1127" s="414"/>
      <c r="U1127" s="415"/>
      <c r="V1127" s="416"/>
      <c r="W1127" s="417"/>
      <c r="X1127" s="417"/>
      <c r="Y1127" s="418" t="s">
        <v>377</v>
      </c>
      <c r="Z1127" s="419"/>
      <c r="AA1127" s="492"/>
    </row>
    <row r="1128" spans="1:27" s="128" customFormat="1" ht="18" customHeight="1">
      <c r="A1128" s="443">
        <v>40</v>
      </c>
      <c r="B1128" s="444" t="s">
        <v>2383</v>
      </c>
      <c r="C1128" s="445" t="s">
        <v>86</v>
      </c>
      <c r="D1128" s="444" t="s">
        <v>2384</v>
      </c>
      <c r="E1128" s="446">
        <v>1</v>
      </c>
      <c r="F1128" s="447"/>
      <c r="G1128" s="448">
        <f t="shared" si="48"/>
        <v>0</v>
      </c>
      <c r="H1128" s="449"/>
      <c r="I1128" s="444"/>
      <c r="J1128" s="449"/>
      <c r="K1128" s="444" t="s">
        <v>2313</v>
      </c>
      <c r="L1128" s="450" t="s">
        <v>422</v>
      </c>
      <c r="M1128" s="444" t="s">
        <v>2385</v>
      </c>
      <c r="N1128" s="450"/>
      <c r="O1128" s="450"/>
      <c r="P1128" s="450" t="s">
        <v>1934</v>
      </c>
      <c r="Q1128" s="451" t="s">
        <v>726</v>
      </c>
      <c r="R1128" s="451" t="s">
        <v>277</v>
      </c>
      <c r="S1128" s="452" t="s">
        <v>800</v>
      </c>
      <c r="T1128" s="452"/>
      <c r="U1128" s="453"/>
      <c r="V1128" s="454"/>
      <c r="W1128" s="455" t="s">
        <v>4771</v>
      </c>
      <c r="X1128" s="455">
        <v>45614</v>
      </c>
      <c r="Y1128" s="456" t="s">
        <v>377</v>
      </c>
      <c r="Z1128" s="457"/>
      <c r="AA1128" s="494"/>
    </row>
    <row r="1129" spans="1:27" s="128" customFormat="1" ht="18" customHeight="1">
      <c r="A1129" s="405">
        <v>41</v>
      </c>
      <c r="B1129" s="407" t="s">
        <v>1482</v>
      </c>
      <c r="C1129" s="406" t="s">
        <v>86</v>
      </c>
      <c r="D1129" s="407" t="s">
        <v>1483</v>
      </c>
      <c r="E1129" s="408">
        <v>1</v>
      </c>
      <c r="F1129" s="409"/>
      <c r="G1129" s="410">
        <f t="shared" si="48"/>
        <v>0</v>
      </c>
      <c r="H1129" s="411"/>
      <c r="I1129" s="407"/>
      <c r="J1129" s="411"/>
      <c r="K1129" s="407" t="s">
        <v>2313</v>
      </c>
      <c r="L1129" s="412" t="s">
        <v>422</v>
      </c>
      <c r="M1129" s="407" t="s">
        <v>2358</v>
      </c>
      <c r="N1129" s="412"/>
      <c r="O1129" s="412"/>
      <c r="P1129" s="412" t="s">
        <v>1934</v>
      </c>
      <c r="Q1129" s="413" t="s">
        <v>726</v>
      </c>
      <c r="R1129" s="413" t="s">
        <v>263</v>
      </c>
      <c r="S1129" s="414" t="s">
        <v>800</v>
      </c>
      <c r="T1129" s="414"/>
      <c r="U1129" s="415"/>
      <c r="V1129" s="416"/>
      <c r="W1129" s="417"/>
      <c r="X1129" s="417"/>
      <c r="Y1129" s="418" t="s">
        <v>377</v>
      </c>
      <c r="Z1129" s="419"/>
      <c r="AA1129" s="492"/>
    </row>
    <row r="1130" spans="1:27" s="128" customFormat="1" ht="18" customHeight="1">
      <c r="A1130" s="405">
        <v>42</v>
      </c>
      <c r="B1130" s="407" t="s">
        <v>2386</v>
      </c>
      <c r="C1130" s="406" t="s">
        <v>86</v>
      </c>
      <c r="D1130" s="407" t="s">
        <v>2387</v>
      </c>
      <c r="E1130" s="408">
        <v>2</v>
      </c>
      <c r="F1130" s="409"/>
      <c r="G1130" s="410">
        <f t="shared" si="48"/>
        <v>0</v>
      </c>
      <c r="H1130" s="411"/>
      <c r="I1130" s="407"/>
      <c r="J1130" s="411"/>
      <c r="K1130" s="407" t="s">
        <v>2313</v>
      </c>
      <c r="L1130" s="412" t="s">
        <v>422</v>
      </c>
      <c r="M1130" s="407" t="s">
        <v>2358</v>
      </c>
      <c r="N1130" s="412"/>
      <c r="O1130" s="412"/>
      <c r="P1130" s="412" t="s">
        <v>1934</v>
      </c>
      <c r="Q1130" s="413" t="s">
        <v>726</v>
      </c>
      <c r="R1130" s="413" t="s">
        <v>263</v>
      </c>
      <c r="S1130" s="414" t="s">
        <v>2367</v>
      </c>
      <c r="T1130" s="414"/>
      <c r="U1130" s="415"/>
      <c r="V1130" s="416"/>
      <c r="W1130" s="417"/>
      <c r="X1130" s="417"/>
      <c r="Y1130" s="418" t="s">
        <v>377</v>
      </c>
      <c r="Z1130" s="419"/>
      <c r="AA1130" s="492"/>
    </row>
    <row r="1131" spans="1:27" s="128" customFormat="1" ht="18" customHeight="1">
      <c r="A1131" s="405">
        <v>43</v>
      </c>
      <c r="B1131" s="407" t="s">
        <v>1304</v>
      </c>
      <c r="C1131" s="406" t="s">
        <v>86</v>
      </c>
      <c r="D1131" s="407" t="s">
        <v>1305</v>
      </c>
      <c r="E1131" s="408">
        <v>3</v>
      </c>
      <c r="F1131" s="409"/>
      <c r="G1131" s="410">
        <f t="shared" si="48"/>
        <v>0</v>
      </c>
      <c r="H1131" s="411"/>
      <c r="I1131" s="407"/>
      <c r="J1131" s="411"/>
      <c r="K1131" s="407" t="s">
        <v>2313</v>
      </c>
      <c r="L1131" s="412" t="s">
        <v>422</v>
      </c>
      <c r="M1131" s="407" t="s">
        <v>2358</v>
      </c>
      <c r="N1131" s="412"/>
      <c r="O1131" s="412"/>
      <c r="P1131" s="412" t="s">
        <v>1934</v>
      </c>
      <c r="Q1131" s="413" t="s">
        <v>726</v>
      </c>
      <c r="R1131" s="413" t="s">
        <v>263</v>
      </c>
      <c r="S1131" s="414" t="s">
        <v>800</v>
      </c>
      <c r="T1131" s="414"/>
      <c r="U1131" s="415"/>
      <c r="V1131" s="416"/>
      <c r="W1131" s="417"/>
      <c r="X1131" s="417"/>
      <c r="Y1131" s="418" t="s">
        <v>377</v>
      </c>
      <c r="Z1131" s="419"/>
      <c r="AA1131" s="492"/>
    </row>
    <row r="1132" spans="1:27" s="128" customFormat="1" ht="18" customHeight="1">
      <c r="A1132" s="443">
        <v>44</v>
      </c>
      <c r="B1132" s="444" t="s">
        <v>2388</v>
      </c>
      <c r="C1132" s="445" t="s">
        <v>86</v>
      </c>
      <c r="D1132" s="444" t="s">
        <v>2389</v>
      </c>
      <c r="E1132" s="446">
        <v>2</v>
      </c>
      <c r="F1132" s="447"/>
      <c r="G1132" s="448">
        <f t="shared" si="48"/>
        <v>0</v>
      </c>
      <c r="H1132" s="449"/>
      <c r="I1132" s="444"/>
      <c r="J1132" s="449"/>
      <c r="K1132" s="444"/>
      <c r="L1132" s="450"/>
      <c r="M1132" s="444"/>
      <c r="N1132" s="450"/>
      <c r="O1132" s="450"/>
      <c r="P1132" s="450"/>
      <c r="Q1132" s="451" t="s">
        <v>374</v>
      </c>
      <c r="R1132" s="451"/>
      <c r="S1132" s="452"/>
      <c r="T1132" s="452" t="s">
        <v>1358</v>
      </c>
      <c r="U1132" s="453"/>
      <c r="V1132" s="454"/>
      <c r="W1132" s="455" t="s">
        <v>406</v>
      </c>
      <c r="X1132" s="455">
        <v>45600</v>
      </c>
      <c r="Y1132" s="456" t="s">
        <v>377</v>
      </c>
      <c r="Z1132" s="457"/>
      <c r="AA1132" s="494"/>
    </row>
    <row r="1133" spans="1:27" s="128" customFormat="1" ht="18" customHeight="1">
      <c r="A1133" s="405">
        <v>45</v>
      </c>
      <c r="B1133" s="407" t="s">
        <v>2390</v>
      </c>
      <c r="C1133" s="406" t="s">
        <v>86</v>
      </c>
      <c r="D1133" s="407" t="s">
        <v>2391</v>
      </c>
      <c r="E1133" s="408">
        <v>1</v>
      </c>
      <c r="F1133" s="409"/>
      <c r="G1133" s="410">
        <f t="shared" si="48"/>
        <v>0</v>
      </c>
      <c r="H1133" s="411"/>
      <c r="I1133" s="407"/>
      <c r="J1133" s="411"/>
      <c r="K1133" s="407" t="s">
        <v>2313</v>
      </c>
      <c r="L1133" s="412" t="s">
        <v>422</v>
      </c>
      <c r="M1133" s="407" t="s">
        <v>2358</v>
      </c>
      <c r="N1133" s="412"/>
      <c r="O1133" s="412"/>
      <c r="P1133" s="412" t="s">
        <v>1934</v>
      </c>
      <c r="Q1133" s="413" t="s">
        <v>726</v>
      </c>
      <c r="R1133" s="413" t="s">
        <v>263</v>
      </c>
      <c r="S1133" s="414" t="s">
        <v>800</v>
      </c>
      <c r="T1133" s="414"/>
      <c r="U1133" s="415"/>
      <c r="V1133" s="416"/>
      <c r="W1133" s="417"/>
      <c r="X1133" s="417"/>
      <c r="Y1133" s="418" t="s">
        <v>377</v>
      </c>
      <c r="Z1133" s="419"/>
      <c r="AA1133" s="492"/>
    </row>
    <row r="1134" spans="1:27" s="128" customFormat="1" ht="18" customHeight="1">
      <c r="A1134" s="405">
        <v>46</v>
      </c>
      <c r="B1134" s="407" t="s">
        <v>1636</v>
      </c>
      <c r="C1134" s="406" t="s">
        <v>86</v>
      </c>
      <c r="D1134" s="407" t="s">
        <v>1637</v>
      </c>
      <c r="E1134" s="408">
        <v>46</v>
      </c>
      <c r="F1134" s="409"/>
      <c r="G1134" s="410">
        <f t="shared" si="48"/>
        <v>0</v>
      </c>
      <c r="H1134" s="411"/>
      <c r="I1134" s="407"/>
      <c r="J1134" s="411"/>
      <c r="K1134" s="407" t="s">
        <v>2313</v>
      </c>
      <c r="L1134" s="412" t="s">
        <v>422</v>
      </c>
      <c r="M1134" s="407" t="s">
        <v>2364</v>
      </c>
      <c r="N1134" s="412"/>
      <c r="O1134" s="412"/>
      <c r="P1134" s="412" t="s">
        <v>1934</v>
      </c>
      <c r="Q1134" s="413" t="s">
        <v>726</v>
      </c>
      <c r="R1134" s="413" t="s">
        <v>251</v>
      </c>
      <c r="S1134" s="414" t="s">
        <v>1455</v>
      </c>
      <c r="T1134" s="414"/>
      <c r="U1134" s="415"/>
      <c r="V1134" s="416"/>
      <c r="W1134" s="417"/>
      <c r="X1134" s="417"/>
      <c r="Y1134" s="418" t="s">
        <v>377</v>
      </c>
      <c r="Z1134" s="419"/>
      <c r="AA1134" s="492"/>
    </row>
    <row r="1135" spans="1:27" s="128" customFormat="1" ht="18" customHeight="1">
      <c r="A1135" s="405">
        <v>47</v>
      </c>
      <c r="B1135" s="407" t="s">
        <v>1639</v>
      </c>
      <c r="C1135" s="406" t="s">
        <v>86</v>
      </c>
      <c r="D1135" s="407" t="s">
        <v>1640</v>
      </c>
      <c r="E1135" s="408">
        <v>1</v>
      </c>
      <c r="F1135" s="409"/>
      <c r="G1135" s="410">
        <f t="shared" si="48"/>
        <v>0</v>
      </c>
      <c r="H1135" s="411"/>
      <c r="I1135" s="407"/>
      <c r="J1135" s="411"/>
      <c r="K1135" s="407" t="s">
        <v>2313</v>
      </c>
      <c r="L1135" s="412" t="s">
        <v>422</v>
      </c>
      <c r="M1135" s="407" t="s">
        <v>2364</v>
      </c>
      <c r="N1135" s="412"/>
      <c r="O1135" s="412"/>
      <c r="P1135" s="412" t="s">
        <v>1934</v>
      </c>
      <c r="Q1135" s="413" t="s">
        <v>726</v>
      </c>
      <c r="R1135" s="413" t="s">
        <v>251</v>
      </c>
      <c r="S1135" s="414" t="s">
        <v>1455</v>
      </c>
      <c r="T1135" s="414"/>
      <c r="U1135" s="415"/>
      <c r="V1135" s="416"/>
      <c r="W1135" s="417"/>
      <c r="X1135" s="417"/>
      <c r="Y1135" s="418" t="s">
        <v>377</v>
      </c>
      <c r="Z1135" s="419"/>
      <c r="AA1135" s="492"/>
    </row>
    <row r="1136" spans="1:27" s="128" customFormat="1" ht="18" customHeight="1">
      <c r="A1136" s="405">
        <v>48</v>
      </c>
      <c r="B1136" s="407" t="s">
        <v>2392</v>
      </c>
      <c r="C1136" s="406" t="s">
        <v>86</v>
      </c>
      <c r="D1136" s="407" t="s">
        <v>545</v>
      </c>
      <c r="E1136" s="408">
        <v>48</v>
      </c>
      <c r="F1136" s="409"/>
      <c r="G1136" s="410">
        <f t="shared" si="48"/>
        <v>0</v>
      </c>
      <c r="H1136" s="411"/>
      <c r="I1136" s="407"/>
      <c r="J1136" s="411"/>
      <c r="K1136" s="407" t="s">
        <v>2313</v>
      </c>
      <c r="L1136" s="412" t="s">
        <v>422</v>
      </c>
      <c r="M1136" s="407" t="s">
        <v>2364</v>
      </c>
      <c r="N1136" s="412"/>
      <c r="O1136" s="412"/>
      <c r="P1136" s="412" t="s">
        <v>1934</v>
      </c>
      <c r="Q1136" s="413" t="s">
        <v>726</v>
      </c>
      <c r="R1136" s="413" t="s">
        <v>251</v>
      </c>
      <c r="S1136" s="414" t="s">
        <v>1455</v>
      </c>
      <c r="T1136" s="414"/>
      <c r="U1136" s="415"/>
      <c r="V1136" s="416"/>
      <c r="W1136" s="417"/>
      <c r="X1136" s="417"/>
      <c r="Y1136" s="418" t="s">
        <v>377</v>
      </c>
      <c r="Z1136" s="419"/>
      <c r="AA1136" s="492"/>
    </row>
    <row r="1137" spans="1:27" s="128" customFormat="1" ht="18" customHeight="1">
      <c r="A1137" s="405">
        <v>49</v>
      </c>
      <c r="B1137" s="407" t="s">
        <v>549</v>
      </c>
      <c r="C1137" s="406" t="s">
        <v>86</v>
      </c>
      <c r="D1137" s="407" t="s">
        <v>550</v>
      </c>
      <c r="E1137" s="408">
        <v>2</v>
      </c>
      <c r="F1137" s="409"/>
      <c r="G1137" s="410">
        <f t="shared" si="48"/>
        <v>0</v>
      </c>
      <c r="H1137" s="411"/>
      <c r="I1137" s="407"/>
      <c r="J1137" s="411"/>
      <c r="K1137" s="407" t="s">
        <v>2313</v>
      </c>
      <c r="L1137" s="412" t="s">
        <v>422</v>
      </c>
      <c r="M1137" s="407" t="s">
        <v>2364</v>
      </c>
      <c r="N1137" s="412"/>
      <c r="O1137" s="412"/>
      <c r="P1137" s="412" t="s">
        <v>1934</v>
      </c>
      <c r="Q1137" s="413" t="s">
        <v>726</v>
      </c>
      <c r="R1137" s="413" t="s">
        <v>251</v>
      </c>
      <c r="S1137" s="414" t="s">
        <v>1455</v>
      </c>
      <c r="T1137" s="414"/>
      <c r="U1137" s="415"/>
      <c r="V1137" s="416"/>
      <c r="W1137" s="417"/>
      <c r="X1137" s="417"/>
      <c r="Y1137" s="418" t="s">
        <v>377</v>
      </c>
      <c r="Z1137" s="419"/>
      <c r="AA1137" s="492"/>
    </row>
    <row r="1138" spans="1:27" s="128" customFormat="1" ht="18" customHeight="1">
      <c r="A1138" s="405">
        <v>50</v>
      </c>
      <c r="B1138" s="407" t="s">
        <v>657</v>
      </c>
      <c r="C1138" s="406" t="s">
        <v>86</v>
      </c>
      <c r="D1138" s="407" t="s">
        <v>658</v>
      </c>
      <c r="E1138" s="408">
        <v>24</v>
      </c>
      <c r="F1138" s="409"/>
      <c r="G1138" s="410">
        <f t="shared" si="48"/>
        <v>0</v>
      </c>
      <c r="H1138" s="411"/>
      <c r="I1138" s="407"/>
      <c r="J1138" s="411"/>
      <c r="K1138" s="407" t="s">
        <v>2313</v>
      </c>
      <c r="L1138" s="412" t="s">
        <v>422</v>
      </c>
      <c r="M1138" s="407" t="s">
        <v>2364</v>
      </c>
      <c r="N1138" s="412"/>
      <c r="O1138" s="412"/>
      <c r="P1138" s="412" t="s">
        <v>1934</v>
      </c>
      <c r="Q1138" s="413" t="s">
        <v>726</v>
      </c>
      <c r="R1138" s="413" t="s">
        <v>251</v>
      </c>
      <c r="S1138" s="414" t="s">
        <v>1455</v>
      </c>
      <c r="T1138" s="414"/>
      <c r="U1138" s="415"/>
      <c r="V1138" s="416"/>
      <c r="W1138" s="417"/>
      <c r="X1138" s="417"/>
      <c r="Y1138" s="418" t="s">
        <v>377</v>
      </c>
      <c r="Z1138" s="419"/>
      <c r="AA1138" s="492"/>
    </row>
    <row r="1139" spans="1:27" s="128" customFormat="1" ht="18" customHeight="1">
      <c r="A1139" s="405">
        <v>51</v>
      </c>
      <c r="B1139" s="407" t="s">
        <v>2393</v>
      </c>
      <c r="C1139" s="406" t="s">
        <v>86</v>
      </c>
      <c r="D1139" s="407" t="s">
        <v>2394</v>
      </c>
      <c r="E1139" s="408">
        <v>1</v>
      </c>
      <c r="F1139" s="409"/>
      <c r="G1139" s="410">
        <f t="shared" si="48"/>
        <v>0</v>
      </c>
      <c r="H1139" s="411"/>
      <c r="I1139" s="407"/>
      <c r="J1139" s="411"/>
      <c r="K1139" s="407" t="s">
        <v>2313</v>
      </c>
      <c r="L1139" s="412" t="s">
        <v>422</v>
      </c>
      <c r="M1139" s="407" t="s">
        <v>2358</v>
      </c>
      <c r="N1139" s="412"/>
      <c r="O1139" s="412"/>
      <c r="P1139" s="412" t="s">
        <v>1934</v>
      </c>
      <c r="Q1139" s="413" t="s">
        <v>726</v>
      </c>
      <c r="R1139" s="413" t="s">
        <v>263</v>
      </c>
      <c r="S1139" s="414" t="s">
        <v>800</v>
      </c>
      <c r="T1139" s="414"/>
      <c r="U1139" s="415"/>
      <c r="V1139" s="416"/>
      <c r="W1139" s="417"/>
      <c r="X1139" s="417"/>
      <c r="Y1139" s="418" t="s">
        <v>377</v>
      </c>
      <c r="Z1139" s="419"/>
      <c r="AA1139" s="492"/>
    </row>
    <row r="1140" spans="1:27" s="128" customFormat="1" ht="18" customHeight="1">
      <c r="A1140" s="405">
        <v>52</v>
      </c>
      <c r="B1140" s="407" t="s">
        <v>386</v>
      </c>
      <c r="C1140" s="406" t="s">
        <v>86</v>
      </c>
      <c r="D1140" s="407" t="s">
        <v>387</v>
      </c>
      <c r="E1140" s="408">
        <v>4</v>
      </c>
      <c r="F1140" s="409"/>
      <c r="G1140" s="410">
        <f t="shared" si="48"/>
        <v>0</v>
      </c>
      <c r="H1140" s="411"/>
      <c r="I1140" s="407"/>
      <c r="J1140" s="411"/>
      <c r="K1140" s="407" t="s">
        <v>2313</v>
      </c>
      <c r="L1140" s="412" t="s">
        <v>422</v>
      </c>
      <c r="M1140" s="407" t="s">
        <v>2358</v>
      </c>
      <c r="N1140" s="412"/>
      <c r="O1140" s="412"/>
      <c r="P1140" s="412" t="s">
        <v>1934</v>
      </c>
      <c r="Q1140" s="413" t="s">
        <v>726</v>
      </c>
      <c r="R1140" s="413" t="s">
        <v>263</v>
      </c>
      <c r="S1140" s="414" t="s">
        <v>800</v>
      </c>
      <c r="T1140" s="414"/>
      <c r="U1140" s="415"/>
      <c r="V1140" s="416"/>
      <c r="W1140" s="417"/>
      <c r="X1140" s="417"/>
      <c r="Y1140" s="418" t="s">
        <v>377</v>
      </c>
      <c r="Z1140" s="419"/>
      <c r="AA1140" s="492"/>
    </row>
    <row r="1141" spans="1:27" s="128" customFormat="1" ht="18" customHeight="1">
      <c r="A1141" s="405">
        <v>53</v>
      </c>
      <c r="B1141" s="407" t="s">
        <v>390</v>
      </c>
      <c r="C1141" s="406" t="s">
        <v>86</v>
      </c>
      <c r="D1141" s="407" t="s">
        <v>2395</v>
      </c>
      <c r="E1141" s="408">
        <v>3</v>
      </c>
      <c r="F1141" s="409"/>
      <c r="G1141" s="410">
        <f t="shared" si="48"/>
        <v>0</v>
      </c>
      <c r="H1141" s="411"/>
      <c r="I1141" s="407"/>
      <c r="J1141" s="411"/>
      <c r="K1141" s="407" t="s">
        <v>2313</v>
      </c>
      <c r="L1141" s="412" t="s">
        <v>422</v>
      </c>
      <c r="M1141" s="407" t="s">
        <v>2358</v>
      </c>
      <c r="N1141" s="412"/>
      <c r="O1141" s="412"/>
      <c r="P1141" s="412" t="s">
        <v>1934</v>
      </c>
      <c r="Q1141" s="413" t="s">
        <v>726</v>
      </c>
      <c r="R1141" s="413" t="s">
        <v>263</v>
      </c>
      <c r="S1141" s="414" t="s">
        <v>800</v>
      </c>
      <c r="T1141" s="414"/>
      <c r="U1141" s="415"/>
      <c r="V1141" s="416"/>
      <c r="W1141" s="417"/>
      <c r="X1141" s="417"/>
      <c r="Y1141" s="418" t="s">
        <v>377</v>
      </c>
      <c r="Z1141" s="419"/>
      <c r="AA1141" s="492"/>
    </row>
    <row r="1142" spans="1:27" s="128" customFormat="1" ht="18" customHeight="1">
      <c r="A1142" s="405">
        <v>54</v>
      </c>
      <c r="B1142" s="407" t="s">
        <v>392</v>
      </c>
      <c r="C1142" s="406" t="s">
        <v>86</v>
      </c>
      <c r="D1142" s="407" t="s">
        <v>393</v>
      </c>
      <c r="E1142" s="408">
        <v>4</v>
      </c>
      <c r="F1142" s="409"/>
      <c r="G1142" s="410">
        <f t="shared" si="48"/>
        <v>0</v>
      </c>
      <c r="H1142" s="411"/>
      <c r="I1142" s="407"/>
      <c r="J1142" s="411"/>
      <c r="K1142" s="407" t="s">
        <v>2313</v>
      </c>
      <c r="L1142" s="412" t="s">
        <v>422</v>
      </c>
      <c r="M1142" s="407" t="s">
        <v>2358</v>
      </c>
      <c r="N1142" s="412"/>
      <c r="O1142" s="412"/>
      <c r="P1142" s="412" t="s">
        <v>1934</v>
      </c>
      <c r="Q1142" s="413" t="s">
        <v>726</v>
      </c>
      <c r="R1142" s="413" t="s">
        <v>263</v>
      </c>
      <c r="S1142" s="414" t="s">
        <v>800</v>
      </c>
      <c r="T1142" s="414"/>
      <c r="U1142" s="415"/>
      <c r="V1142" s="416"/>
      <c r="W1142" s="417"/>
      <c r="X1142" s="417"/>
      <c r="Y1142" s="418" t="s">
        <v>377</v>
      </c>
      <c r="Z1142" s="419"/>
      <c r="AA1142" s="492"/>
    </row>
    <row r="1143" spans="1:27" s="128" customFormat="1" ht="18" customHeight="1">
      <c r="A1143" s="405">
        <v>55</v>
      </c>
      <c r="B1143" s="407" t="s">
        <v>1482</v>
      </c>
      <c r="C1143" s="406" t="s">
        <v>86</v>
      </c>
      <c r="D1143" s="407" t="s">
        <v>1483</v>
      </c>
      <c r="E1143" s="408">
        <v>1</v>
      </c>
      <c r="F1143" s="409"/>
      <c r="G1143" s="410">
        <f t="shared" si="48"/>
        <v>0</v>
      </c>
      <c r="H1143" s="411"/>
      <c r="I1143" s="407"/>
      <c r="J1143" s="411"/>
      <c r="K1143" s="407" t="s">
        <v>2313</v>
      </c>
      <c r="L1143" s="412" t="s">
        <v>422</v>
      </c>
      <c r="M1143" s="407" t="s">
        <v>2358</v>
      </c>
      <c r="N1143" s="412"/>
      <c r="O1143" s="412"/>
      <c r="P1143" s="412" t="s">
        <v>1934</v>
      </c>
      <c r="Q1143" s="413" t="s">
        <v>726</v>
      </c>
      <c r="R1143" s="413" t="s">
        <v>263</v>
      </c>
      <c r="S1143" s="414" t="s">
        <v>800</v>
      </c>
      <c r="T1143" s="414"/>
      <c r="U1143" s="415"/>
      <c r="V1143" s="416"/>
      <c r="W1143" s="417"/>
      <c r="X1143" s="417"/>
      <c r="Y1143" s="418" t="s">
        <v>377</v>
      </c>
      <c r="Z1143" s="419"/>
      <c r="AA1143" s="492"/>
    </row>
    <row r="1144" spans="1:27" s="128" customFormat="1" ht="18" customHeight="1">
      <c r="A1144" s="405">
        <v>56</v>
      </c>
      <c r="B1144" s="407" t="s">
        <v>2396</v>
      </c>
      <c r="C1144" s="406" t="s">
        <v>86</v>
      </c>
      <c r="D1144" s="407" t="s">
        <v>2397</v>
      </c>
      <c r="E1144" s="408">
        <v>1</v>
      </c>
      <c r="F1144" s="409"/>
      <c r="G1144" s="410">
        <f t="shared" si="48"/>
        <v>0</v>
      </c>
      <c r="H1144" s="411"/>
      <c r="I1144" s="407"/>
      <c r="J1144" s="411"/>
      <c r="K1144" s="407" t="s">
        <v>2313</v>
      </c>
      <c r="L1144" s="412" t="s">
        <v>422</v>
      </c>
      <c r="M1144" s="407" t="s">
        <v>2358</v>
      </c>
      <c r="N1144" s="412"/>
      <c r="O1144" s="412"/>
      <c r="P1144" s="412" t="s">
        <v>1934</v>
      </c>
      <c r="Q1144" s="413" t="s">
        <v>726</v>
      </c>
      <c r="R1144" s="413" t="s">
        <v>263</v>
      </c>
      <c r="S1144" s="414" t="s">
        <v>800</v>
      </c>
      <c r="T1144" s="414"/>
      <c r="U1144" s="415"/>
      <c r="V1144" s="416"/>
      <c r="W1144" s="417"/>
      <c r="X1144" s="417"/>
      <c r="Y1144" s="418" t="s">
        <v>377</v>
      </c>
      <c r="Z1144" s="419"/>
      <c r="AA1144" s="492"/>
    </row>
    <row r="1145" spans="1:27" s="128" customFormat="1" ht="18" customHeight="1">
      <c r="A1145" s="405">
        <v>57</v>
      </c>
      <c r="B1145" s="407" t="s">
        <v>1304</v>
      </c>
      <c r="C1145" s="406" t="s">
        <v>86</v>
      </c>
      <c r="D1145" s="407" t="s">
        <v>1305</v>
      </c>
      <c r="E1145" s="408">
        <v>2</v>
      </c>
      <c r="F1145" s="409"/>
      <c r="G1145" s="410">
        <f t="shared" si="48"/>
        <v>0</v>
      </c>
      <c r="H1145" s="411"/>
      <c r="I1145" s="407"/>
      <c r="J1145" s="411"/>
      <c r="K1145" s="407" t="s">
        <v>2313</v>
      </c>
      <c r="L1145" s="412" t="s">
        <v>422</v>
      </c>
      <c r="M1145" s="407" t="s">
        <v>2358</v>
      </c>
      <c r="N1145" s="412"/>
      <c r="O1145" s="412"/>
      <c r="P1145" s="412" t="s">
        <v>1934</v>
      </c>
      <c r="Q1145" s="413" t="s">
        <v>726</v>
      </c>
      <c r="R1145" s="413" t="s">
        <v>263</v>
      </c>
      <c r="S1145" s="414" t="s">
        <v>800</v>
      </c>
      <c r="T1145" s="414"/>
      <c r="U1145" s="415"/>
      <c r="V1145" s="416"/>
      <c r="W1145" s="417"/>
      <c r="X1145" s="417"/>
      <c r="Y1145" s="418" t="s">
        <v>377</v>
      </c>
      <c r="Z1145" s="419"/>
      <c r="AA1145" s="492"/>
    </row>
    <row r="1146" spans="1:27" s="128" customFormat="1" ht="18" customHeight="1">
      <c r="A1146" s="405">
        <v>58</v>
      </c>
      <c r="B1146" s="407" t="s">
        <v>1486</v>
      </c>
      <c r="C1146" s="406" t="s">
        <v>86</v>
      </c>
      <c r="D1146" s="407" t="s">
        <v>1487</v>
      </c>
      <c r="E1146" s="408">
        <v>1</v>
      </c>
      <c r="F1146" s="409"/>
      <c r="G1146" s="410">
        <f t="shared" si="48"/>
        <v>0</v>
      </c>
      <c r="H1146" s="411"/>
      <c r="I1146" s="407"/>
      <c r="J1146" s="411"/>
      <c r="K1146" s="407" t="s">
        <v>2313</v>
      </c>
      <c r="L1146" s="412" t="s">
        <v>422</v>
      </c>
      <c r="M1146" s="407" t="s">
        <v>2358</v>
      </c>
      <c r="N1146" s="412"/>
      <c r="O1146" s="412"/>
      <c r="P1146" s="412" t="s">
        <v>1934</v>
      </c>
      <c r="Q1146" s="413" t="s">
        <v>726</v>
      </c>
      <c r="R1146" s="413" t="s">
        <v>263</v>
      </c>
      <c r="S1146" s="414" t="s">
        <v>800</v>
      </c>
      <c r="T1146" s="414"/>
      <c r="U1146" s="415"/>
      <c r="V1146" s="416"/>
      <c r="W1146" s="417"/>
      <c r="X1146" s="417"/>
      <c r="Y1146" s="418" t="s">
        <v>377</v>
      </c>
      <c r="Z1146" s="419"/>
      <c r="AA1146" s="492"/>
    </row>
    <row r="1147" spans="1:27" s="128" customFormat="1" ht="18" customHeight="1">
      <c r="A1147" s="405">
        <v>59</v>
      </c>
      <c r="B1147" s="407" t="s">
        <v>2390</v>
      </c>
      <c r="C1147" s="406" t="s">
        <v>86</v>
      </c>
      <c r="D1147" s="407" t="s">
        <v>2391</v>
      </c>
      <c r="E1147" s="408">
        <v>1</v>
      </c>
      <c r="F1147" s="409"/>
      <c r="G1147" s="410">
        <f t="shared" si="48"/>
        <v>0</v>
      </c>
      <c r="H1147" s="411"/>
      <c r="I1147" s="407"/>
      <c r="J1147" s="411"/>
      <c r="K1147" s="407" t="s">
        <v>2313</v>
      </c>
      <c r="L1147" s="412" t="s">
        <v>422</v>
      </c>
      <c r="M1147" s="407" t="s">
        <v>2358</v>
      </c>
      <c r="N1147" s="412"/>
      <c r="O1147" s="412"/>
      <c r="P1147" s="412" t="s">
        <v>1934</v>
      </c>
      <c r="Q1147" s="413" t="s">
        <v>726</v>
      </c>
      <c r="R1147" s="413" t="s">
        <v>263</v>
      </c>
      <c r="S1147" s="414" t="s">
        <v>800</v>
      </c>
      <c r="T1147" s="414"/>
      <c r="U1147" s="415"/>
      <c r="V1147" s="416"/>
      <c r="W1147" s="417"/>
      <c r="X1147" s="417"/>
      <c r="Y1147" s="418" t="s">
        <v>377</v>
      </c>
      <c r="Z1147" s="419"/>
      <c r="AA1147" s="492"/>
    </row>
    <row r="1148" spans="1:27" s="128" customFormat="1" ht="18" customHeight="1">
      <c r="A1148" s="405">
        <v>60</v>
      </c>
      <c r="B1148" s="407" t="s">
        <v>2398</v>
      </c>
      <c r="C1148" s="406" t="s">
        <v>86</v>
      </c>
      <c r="D1148" s="407" t="s">
        <v>2332</v>
      </c>
      <c r="E1148" s="408">
        <v>1</v>
      </c>
      <c r="F1148" s="409"/>
      <c r="G1148" s="410">
        <f>E1148*F1148</f>
        <v>0</v>
      </c>
      <c r="H1148" s="411"/>
      <c r="I1148" s="407"/>
      <c r="J1148" s="411"/>
      <c r="K1148" s="407" t="s">
        <v>2313</v>
      </c>
      <c r="L1148" s="412" t="s">
        <v>422</v>
      </c>
      <c r="M1148" s="407" t="s">
        <v>2326</v>
      </c>
      <c r="N1148" s="412"/>
      <c r="O1148" s="412"/>
      <c r="P1148" s="412" t="s">
        <v>1934</v>
      </c>
      <c r="Q1148" s="413" t="s">
        <v>726</v>
      </c>
      <c r="R1148" s="413" t="s">
        <v>404</v>
      </c>
      <c r="S1148" s="414" t="s">
        <v>1446</v>
      </c>
      <c r="T1148" s="414">
        <v>45622</v>
      </c>
      <c r="U1148" s="415"/>
      <c r="V1148" s="416"/>
      <c r="W1148" s="417"/>
      <c r="X1148" s="417"/>
      <c r="Y1148" s="418" t="s">
        <v>377</v>
      </c>
      <c r="Z1148" s="496"/>
      <c r="AA1148" s="492"/>
    </row>
    <row r="1149" spans="1:27" ht="18" customHeight="1">
      <c r="A1149" s="389"/>
      <c r="B1149" s="390" t="s">
        <v>2399</v>
      </c>
      <c r="C1149" s="391"/>
      <c r="D1149" s="392"/>
      <c r="E1149" s="393"/>
      <c r="F1149" s="394"/>
      <c r="G1149" s="395">
        <f t="shared" si="28"/>
        <v>0</v>
      </c>
      <c r="H1149" s="396"/>
      <c r="I1149" s="392"/>
      <c r="J1149" s="396"/>
      <c r="K1149" s="392"/>
      <c r="L1149" s="397"/>
      <c r="M1149" s="392"/>
      <c r="N1149" s="397"/>
      <c r="O1149" s="397"/>
      <c r="P1149" s="397"/>
      <c r="Q1149" s="398"/>
      <c r="R1149" s="398"/>
      <c r="S1149" s="399"/>
      <c r="T1149" s="399"/>
      <c r="U1149" s="400"/>
      <c r="V1149" s="401"/>
      <c r="W1149" s="402"/>
      <c r="X1149" s="402"/>
      <c r="Y1149" s="403"/>
      <c r="Z1149" s="404"/>
      <c r="AA1149" s="492"/>
    </row>
    <row r="1150" spans="1:27" s="128" customFormat="1" ht="18" customHeight="1">
      <c r="A1150" s="443">
        <v>1</v>
      </c>
      <c r="B1150" s="444" t="s">
        <v>584</v>
      </c>
      <c r="C1150" s="445" t="s">
        <v>88</v>
      </c>
      <c r="D1150" s="444" t="s">
        <v>585</v>
      </c>
      <c r="E1150" s="446">
        <v>1</v>
      </c>
      <c r="F1150" s="447"/>
      <c r="G1150" s="448">
        <f t="shared" ref="G1150:G1161" si="49">E1150*F1150</f>
        <v>0</v>
      </c>
      <c r="H1150" s="449"/>
      <c r="I1150" s="444"/>
      <c r="J1150" s="449"/>
      <c r="K1150" s="444" t="s">
        <v>2400</v>
      </c>
      <c r="L1150" s="450" t="s">
        <v>723</v>
      </c>
      <c r="M1150" s="444" t="s">
        <v>2401</v>
      </c>
      <c r="N1150" s="450"/>
      <c r="O1150" s="450"/>
      <c r="P1150" s="450" t="s">
        <v>1934</v>
      </c>
      <c r="Q1150" s="451" t="s">
        <v>374</v>
      </c>
      <c r="R1150" s="451" t="s">
        <v>404</v>
      </c>
      <c r="S1150" s="452" t="s">
        <v>1446</v>
      </c>
      <c r="T1150" s="452" t="s">
        <v>481</v>
      </c>
      <c r="U1150" s="453"/>
      <c r="V1150" s="454"/>
      <c r="W1150" s="455" t="s">
        <v>406</v>
      </c>
      <c r="X1150" s="455">
        <v>45610</v>
      </c>
      <c r="Y1150" s="456" t="s">
        <v>377</v>
      </c>
      <c r="Z1150" s="498"/>
      <c r="AA1150" s="494">
        <v>1</v>
      </c>
    </row>
    <row r="1151" spans="1:27" s="128" customFormat="1" ht="18" customHeight="1">
      <c r="A1151" s="405">
        <v>2</v>
      </c>
      <c r="B1151" s="407" t="s">
        <v>587</v>
      </c>
      <c r="C1151" s="406" t="s">
        <v>88</v>
      </c>
      <c r="D1151" s="407" t="s">
        <v>588</v>
      </c>
      <c r="E1151" s="408">
        <v>1</v>
      </c>
      <c r="F1151" s="409"/>
      <c r="G1151" s="410">
        <f t="shared" si="49"/>
        <v>0</v>
      </c>
      <c r="H1151" s="411"/>
      <c r="I1151" s="407"/>
      <c r="J1151" s="411"/>
      <c r="K1151" s="407" t="s">
        <v>2400</v>
      </c>
      <c r="L1151" s="412" t="s">
        <v>723</v>
      </c>
      <c r="M1151" s="407" t="s">
        <v>2401</v>
      </c>
      <c r="N1151" s="412"/>
      <c r="O1151" s="412"/>
      <c r="P1151" s="412" t="s">
        <v>1934</v>
      </c>
      <c r="Q1151" s="413" t="s">
        <v>726</v>
      </c>
      <c r="R1151" s="413" t="s">
        <v>404</v>
      </c>
      <c r="S1151" s="414" t="s">
        <v>1446</v>
      </c>
      <c r="T1151" s="414">
        <v>45622</v>
      </c>
      <c r="U1151" s="415"/>
      <c r="V1151" s="416"/>
      <c r="W1151" s="417"/>
      <c r="X1151" s="417"/>
      <c r="Y1151" s="418" t="s">
        <v>377</v>
      </c>
      <c r="Z1151" s="496"/>
      <c r="AA1151" s="492">
        <v>1</v>
      </c>
    </row>
    <row r="1152" spans="1:27" s="128" customFormat="1" ht="18" customHeight="1">
      <c r="A1152" s="405">
        <v>3</v>
      </c>
      <c r="B1152" s="407" t="s">
        <v>1232</v>
      </c>
      <c r="C1152" s="406" t="s">
        <v>88</v>
      </c>
      <c r="D1152" s="407" t="s">
        <v>1233</v>
      </c>
      <c r="E1152" s="408">
        <v>1</v>
      </c>
      <c r="F1152" s="409"/>
      <c r="G1152" s="410">
        <f t="shared" si="49"/>
        <v>0</v>
      </c>
      <c r="H1152" s="411"/>
      <c r="I1152" s="407"/>
      <c r="J1152" s="411"/>
      <c r="K1152" s="407" t="s">
        <v>2400</v>
      </c>
      <c r="L1152" s="412" t="s">
        <v>723</v>
      </c>
      <c r="M1152" s="407" t="s">
        <v>2401</v>
      </c>
      <c r="N1152" s="412"/>
      <c r="O1152" s="412"/>
      <c r="P1152" s="412" t="s">
        <v>1934</v>
      </c>
      <c r="Q1152" s="413" t="s">
        <v>726</v>
      </c>
      <c r="R1152" s="413" t="s">
        <v>404</v>
      </c>
      <c r="S1152" s="414" t="s">
        <v>1446</v>
      </c>
      <c r="T1152" s="414">
        <v>45622</v>
      </c>
      <c r="U1152" s="415"/>
      <c r="V1152" s="416"/>
      <c r="W1152" s="417"/>
      <c r="X1152" s="417"/>
      <c r="Y1152" s="418" t="s">
        <v>377</v>
      </c>
      <c r="Z1152" s="419"/>
      <c r="AA1152" s="492">
        <v>1</v>
      </c>
    </row>
    <row r="1153" spans="1:27" s="128" customFormat="1" ht="18" customHeight="1">
      <c r="A1153" s="405">
        <v>4</v>
      </c>
      <c r="B1153" s="407" t="s">
        <v>1510</v>
      </c>
      <c r="C1153" s="406" t="s">
        <v>88</v>
      </c>
      <c r="D1153" s="407" t="s">
        <v>1231</v>
      </c>
      <c r="E1153" s="408">
        <v>1</v>
      </c>
      <c r="F1153" s="409"/>
      <c r="G1153" s="410">
        <f t="shared" si="49"/>
        <v>0</v>
      </c>
      <c r="H1153" s="411"/>
      <c r="I1153" s="407"/>
      <c r="J1153" s="411"/>
      <c r="K1153" s="407" t="s">
        <v>2400</v>
      </c>
      <c r="L1153" s="412" t="s">
        <v>723</v>
      </c>
      <c r="M1153" s="407" t="s">
        <v>2401</v>
      </c>
      <c r="N1153" s="412"/>
      <c r="O1153" s="412"/>
      <c r="P1153" s="412" t="s">
        <v>1934</v>
      </c>
      <c r="Q1153" s="413" t="s">
        <v>726</v>
      </c>
      <c r="R1153" s="413" t="s">
        <v>404</v>
      </c>
      <c r="S1153" s="414" t="s">
        <v>1446</v>
      </c>
      <c r="T1153" s="414">
        <v>45622</v>
      </c>
      <c r="U1153" s="415"/>
      <c r="V1153" s="416"/>
      <c r="W1153" s="417"/>
      <c r="X1153" s="417"/>
      <c r="Y1153" s="418" t="s">
        <v>377</v>
      </c>
      <c r="Z1153" s="419"/>
      <c r="AA1153" s="492">
        <v>1</v>
      </c>
    </row>
    <row r="1154" spans="1:27" s="128" customFormat="1" ht="18" customHeight="1">
      <c r="A1154" s="405">
        <v>5</v>
      </c>
      <c r="B1154" s="407" t="s">
        <v>1649</v>
      </c>
      <c r="C1154" s="406" t="s">
        <v>88</v>
      </c>
      <c r="D1154" s="407" t="s">
        <v>1650</v>
      </c>
      <c r="E1154" s="408">
        <v>1</v>
      </c>
      <c r="F1154" s="409"/>
      <c r="G1154" s="410">
        <f t="shared" si="49"/>
        <v>0</v>
      </c>
      <c r="H1154" s="411"/>
      <c r="I1154" s="407"/>
      <c r="J1154" s="411"/>
      <c r="K1154" s="407" t="s">
        <v>2402</v>
      </c>
      <c r="L1154" s="412" t="s">
        <v>1348</v>
      </c>
      <c r="M1154" s="407" t="s">
        <v>2403</v>
      </c>
      <c r="N1154" s="412"/>
      <c r="O1154" s="412"/>
      <c r="P1154" s="412" t="s">
        <v>1630</v>
      </c>
      <c r="Q1154" s="413" t="s">
        <v>726</v>
      </c>
      <c r="R1154" s="413" t="s">
        <v>404</v>
      </c>
      <c r="S1154" s="414" t="s">
        <v>1446</v>
      </c>
      <c r="T1154" s="414">
        <v>45622</v>
      </c>
      <c r="U1154" s="415"/>
      <c r="V1154" s="416"/>
      <c r="W1154" s="417"/>
      <c r="X1154" s="417"/>
      <c r="Y1154" s="418" t="s">
        <v>377</v>
      </c>
      <c r="Z1154" s="419"/>
      <c r="AA1154" s="492">
        <v>1</v>
      </c>
    </row>
    <row r="1155" spans="1:27" s="128" customFormat="1" ht="18" customHeight="1">
      <c r="A1155" s="405">
        <v>6</v>
      </c>
      <c r="B1155" s="407" t="s">
        <v>992</v>
      </c>
      <c r="C1155" s="406" t="s">
        <v>88</v>
      </c>
      <c r="D1155" s="407" t="s">
        <v>993</v>
      </c>
      <c r="E1155" s="408">
        <v>1</v>
      </c>
      <c r="F1155" s="409"/>
      <c r="G1155" s="410">
        <f t="shared" si="49"/>
        <v>0</v>
      </c>
      <c r="H1155" s="411"/>
      <c r="I1155" s="407"/>
      <c r="J1155" s="411"/>
      <c r="K1155" s="407" t="s">
        <v>2402</v>
      </c>
      <c r="L1155" s="412" t="s">
        <v>1348</v>
      </c>
      <c r="M1155" s="407" t="s">
        <v>2404</v>
      </c>
      <c r="N1155" s="412"/>
      <c r="O1155" s="412"/>
      <c r="P1155" s="412" t="s">
        <v>1630</v>
      </c>
      <c r="Q1155" s="413" t="s">
        <v>726</v>
      </c>
      <c r="R1155" s="413" t="s">
        <v>995</v>
      </c>
      <c r="S1155" s="414" t="s">
        <v>800</v>
      </c>
      <c r="T1155" s="414" t="s">
        <v>1821</v>
      </c>
      <c r="U1155" s="415"/>
      <c r="V1155" s="416"/>
      <c r="W1155" s="417"/>
      <c r="X1155" s="417"/>
      <c r="Y1155" s="418" t="s">
        <v>377</v>
      </c>
      <c r="Z1155" s="419"/>
      <c r="AA1155" s="492"/>
    </row>
    <row r="1156" spans="1:27" s="128" customFormat="1" ht="18" customHeight="1">
      <c r="A1156" s="405">
        <v>7</v>
      </c>
      <c r="B1156" s="407" t="s">
        <v>1089</v>
      </c>
      <c r="C1156" s="406" t="s">
        <v>88</v>
      </c>
      <c r="D1156" s="407" t="s">
        <v>960</v>
      </c>
      <c r="E1156" s="408">
        <v>1</v>
      </c>
      <c r="F1156" s="409"/>
      <c r="G1156" s="410">
        <f t="shared" si="49"/>
        <v>0</v>
      </c>
      <c r="H1156" s="411"/>
      <c r="I1156" s="407"/>
      <c r="J1156" s="411"/>
      <c r="K1156" s="407" t="s">
        <v>2400</v>
      </c>
      <c r="L1156" s="412" t="s">
        <v>723</v>
      </c>
      <c r="M1156" s="407" t="s">
        <v>2401</v>
      </c>
      <c r="N1156" s="412"/>
      <c r="O1156" s="412"/>
      <c r="P1156" s="412" t="s">
        <v>1934</v>
      </c>
      <c r="Q1156" s="413" t="s">
        <v>726</v>
      </c>
      <c r="R1156" s="413" t="s">
        <v>404</v>
      </c>
      <c r="S1156" s="414" t="s">
        <v>1446</v>
      </c>
      <c r="T1156" s="414">
        <v>45622</v>
      </c>
      <c r="U1156" s="415"/>
      <c r="V1156" s="416"/>
      <c r="W1156" s="417"/>
      <c r="X1156" s="417"/>
      <c r="Y1156" s="418" t="s">
        <v>377</v>
      </c>
      <c r="Z1156" s="496"/>
      <c r="AA1156" s="492">
        <v>1</v>
      </c>
    </row>
    <row r="1157" spans="1:27" s="128" customFormat="1" ht="18" customHeight="1">
      <c r="A1157" s="405">
        <v>8</v>
      </c>
      <c r="B1157" s="407" t="s">
        <v>948</v>
      </c>
      <c r="C1157" s="406" t="s">
        <v>88</v>
      </c>
      <c r="D1157" s="407" t="s">
        <v>949</v>
      </c>
      <c r="E1157" s="408">
        <v>1</v>
      </c>
      <c r="F1157" s="409"/>
      <c r="G1157" s="410">
        <f t="shared" si="49"/>
        <v>0</v>
      </c>
      <c r="H1157" s="411"/>
      <c r="I1157" s="407"/>
      <c r="J1157" s="411"/>
      <c r="K1157" s="407" t="s">
        <v>2400</v>
      </c>
      <c r="L1157" s="412" t="s">
        <v>723</v>
      </c>
      <c r="M1157" s="407" t="s">
        <v>2401</v>
      </c>
      <c r="N1157" s="412"/>
      <c r="O1157" s="412"/>
      <c r="P1157" s="412" t="s">
        <v>1934</v>
      </c>
      <c r="Q1157" s="413" t="s">
        <v>726</v>
      </c>
      <c r="R1157" s="413" t="s">
        <v>404</v>
      </c>
      <c r="S1157" s="414" t="s">
        <v>1446</v>
      </c>
      <c r="T1157" s="414">
        <v>45622</v>
      </c>
      <c r="U1157" s="415"/>
      <c r="V1157" s="416"/>
      <c r="W1157" s="417"/>
      <c r="X1157" s="417"/>
      <c r="Y1157" s="418" t="s">
        <v>377</v>
      </c>
      <c r="Z1157" s="496"/>
      <c r="AA1157" s="492">
        <v>1</v>
      </c>
    </row>
    <row r="1158" spans="1:27" s="128" customFormat="1" ht="18" customHeight="1">
      <c r="A1158" s="405">
        <v>9</v>
      </c>
      <c r="B1158" s="407" t="s">
        <v>951</v>
      </c>
      <c r="C1158" s="406" t="s">
        <v>88</v>
      </c>
      <c r="D1158" s="407" t="s">
        <v>2405</v>
      </c>
      <c r="E1158" s="408">
        <v>1</v>
      </c>
      <c r="F1158" s="409"/>
      <c r="G1158" s="410">
        <f t="shared" si="49"/>
        <v>0</v>
      </c>
      <c r="H1158" s="411"/>
      <c r="I1158" s="407"/>
      <c r="J1158" s="411"/>
      <c r="K1158" s="407" t="s">
        <v>2400</v>
      </c>
      <c r="L1158" s="412" t="s">
        <v>723</v>
      </c>
      <c r="M1158" s="407" t="s">
        <v>2401</v>
      </c>
      <c r="N1158" s="412"/>
      <c r="O1158" s="412"/>
      <c r="P1158" s="412" t="s">
        <v>1934</v>
      </c>
      <c r="Q1158" s="413" t="s">
        <v>726</v>
      </c>
      <c r="R1158" s="413" t="s">
        <v>404</v>
      </c>
      <c r="S1158" s="414" t="s">
        <v>1446</v>
      </c>
      <c r="T1158" s="414">
        <v>45622</v>
      </c>
      <c r="U1158" s="415"/>
      <c r="V1158" s="416"/>
      <c r="W1158" s="417"/>
      <c r="X1158" s="417"/>
      <c r="Y1158" s="418" t="s">
        <v>377</v>
      </c>
      <c r="Z1158" s="496"/>
      <c r="AA1158" s="492">
        <v>1</v>
      </c>
    </row>
    <row r="1159" spans="1:27" s="128" customFormat="1" ht="18" customHeight="1">
      <c r="A1159" s="405">
        <v>10</v>
      </c>
      <c r="B1159" s="407" t="s">
        <v>1232</v>
      </c>
      <c r="C1159" s="406" t="s">
        <v>88</v>
      </c>
      <c r="D1159" s="407" t="s">
        <v>1233</v>
      </c>
      <c r="E1159" s="408">
        <v>1</v>
      </c>
      <c r="F1159" s="409"/>
      <c r="G1159" s="410">
        <f t="shared" si="49"/>
        <v>0</v>
      </c>
      <c r="H1159" s="411"/>
      <c r="I1159" s="407"/>
      <c r="J1159" s="411"/>
      <c r="K1159" s="407" t="s">
        <v>2400</v>
      </c>
      <c r="L1159" s="412" t="s">
        <v>723</v>
      </c>
      <c r="M1159" s="407" t="s">
        <v>2401</v>
      </c>
      <c r="N1159" s="412"/>
      <c r="O1159" s="412"/>
      <c r="P1159" s="412" t="s">
        <v>1934</v>
      </c>
      <c r="Q1159" s="413" t="s">
        <v>726</v>
      </c>
      <c r="R1159" s="413" t="s">
        <v>404</v>
      </c>
      <c r="S1159" s="414" t="s">
        <v>1446</v>
      </c>
      <c r="T1159" s="414">
        <v>45622</v>
      </c>
      <c r="U1159" s="415"/>
      <c r="V1159" s="416"/>
      <c r="W1159" s="417"/>
      <c r="X1159" s="417"/>
      <c r="Y1159" s="418" t="s">
        <v>377</v>
      </c>
      <c r="Z1159" s="419"/>
      <c r="AA1159" s="492">
        <v>1</v>
      </c>
    </row>
    <row r="1160" spans="1:27" s="128" customFormat="1" ht="18" customHeight="1">
      <c r="A1160" s="405">
        <v>11</v>
      </c>
      <c r="B1160" s="407" t="s">
        <v>1510</v>
      </c>
      <c r="C1160" s="406" t="s">
        <v>88</v>
      </c>
      <c r="D1160" s="407" t="s">
        <v>1231</v>
      </c>
      <c r="E1160" s="408">
        <v>1</v>
      </c>
      <c r="F1160" s="409"/>
      <c r="G1160" s="410">
        <f t="shared" si="49"/>
        <v>0</v>
      </c>
      <c r="H1160" s="411"/>
      <c r="I1160" s="407"/>
      <c r="J1160" s="411"/>
      <c r="K1160" s="407" t="s">
        <v>2400</v>
      </c>
      <c r="L1160" s="412" t="s">
        <v>723</v>
      </c>
      <c r="M1160" s="407" t="s">
        <v>2401</v>
      </c>
      <c r="N1160" s="412"/>
      <c r="O1160" s="412"/>
      <c r="P1160" s="412" t="s">
        <v>1934</v>
      </c>
      <c r="Q1160" s="413" t="s">
        <v>726</v>
      </c>
      <c r="R1160" s="413" t="s">
        <v>404</v>
      </c>
      <c r="S1160" s="414" t="s">
        <v>1446</v>
      </c>
      <c r="T1160" s="414">
        <v>45622</v>
      </c>
      <c r="U1160" s="415"/>
      <c r="V1160" s="416"/>
      <c r="W1160" s="417"/>
      <c r="X1160" s="417"/>
      <c r="Y1160" s="418" t="s">
        <v>377</v>
      </c>
      <c r="Z1160" s="419"/>
      <c r="AA1160" s="492">
        <v>1</v>
      </c>
    </row>
    <row r="1161" spans="1:27" s="128" customFormat="1" ht="18" customHeight="1">
      <c r="A1161" s="405">
        <v>12</v>
      </c>
      <c r="B1161" s="407" t="s">
        <v>992</v>
      </c>
      <c r="C1161" s="406" t="s">
        <v>88</v>
      </c>
      <c r="D1161" s="407" t="s">
        <v>993</v>
      </c>
      <c r="E1161" s="408">
        <v>1</v>
      </c>
      <c r="F1161" s="409"/>
      <c r="G1161" s="410">
        <f t="shared" si="49"/>
        <v>0</v>
      </c>
      <c r="H1161" s="411"/>
      <c r="I1161" s="407"/>
      <c r="J1161" s="411"/>
      <c r="K1161" s="407" t="s">
        <v>2402</v>
      </c>
      <c r="L1161" s="412" t="s">
        <v>1348</v>
      </c>
      <c r="M1161" s="407" t="s">
        <v>2404</v>
      </c>
      <c r="N1161" s="412"/>
      <c r="O1161" s="412"/>
      <c r="P1161" s="412" t="s">
        <v>1630</v>
      </c>
      <c r="Q1161" s="413" t="s">
        <v>726</v>
      </c>
      <c r="R1161" s="413" t="s">
        <v>995</v>
      </c>
      <c r="S1161" s="414" t="s">
        <v>800</v>
      </c>
      <c r="T1161" s="414" t="s">
        <v>1821</v>
      </c>
      <c r="U1161" s="415"/>
      <c r="V1161" s="416"/>
      <c r="W1161" s="417"/>
      <c r="X1161" s="417"/>
      <c r="Y1161" s="418" t="s">
        <v>377</v>
      </c>
      <c r="Z1161" s="419"/>
      <c r="AA1161" s="492"/>
    </row>
    <row r="1162" spans="1:27" ht="18" customHeight="1">
      <c r="A1162" s="389"/>
      <c r="B1162" s="390" t="s">
        <v>2406</v>
      </c>
      <c r="C1162" s="391"/>
      <c r="D1162" s="392"/>
      <c r="E1162" s="393"/>
      <c r="F1162" s="394"/>
      <c r="G1162" s="395">
        <f t="shared" si="28"/>
        <v>0</v>
      </c>
      <c r="H1162" s="396"/>
      <c r="I1162" s="392"/>
      <c r="J1162" s="396"/>
      <c r="K1162" s="392"/>
      <c r="L1162" s="397"/>
      <c r="M1162" s="392"/>
      <c r="N1162" s="397"/>
      <c r="O1162" s="397"/>
      <c r="P1162" s="397"/>
      <c r="Q1162" s="398"/>
      <c r="R1162" s="398"/>
      <c r="S1162" s="399"/>
      <c r="T1162" s="399"/>
      <c r="U1162" s="400"/>
      <c r="V1162" s="401"/>
      <c r="W1162" s="402"/>
      <c r="X1162" s="402"/>
      <c r="Y1162" s="403"/>
      <c r="Z1162" s="404"/>
      <c r="AA1162" s="492"/>
    </row>
    <row r="1163" spans="1:27" s="128" customFormat="1" ht="18" customHeight="1">
      <c r="A1163" s="405">
        <v>1</v>
      </c>
      <c r="B1163" s="407" t="s">
        <v>1665</v>
      </c>
      <c r="C1163" s="406" t="s">
        <v>90</v>
      </c>
      <c r="D1163" s="407" t="s">
        <v>1666</v>
      </c>
      <c r="E1163" s="408">
        <v>4</v>
      </c>
      <c r="F1163" s="409"/>
      <c r="G1163" s="410">
        <f t="shared" ref="G1163:G1173" si="50">E1163*F1163</f>
        <v>0</v>
      </c>
      <c r="H1163" s="411"/>
      <c r="I1163" s="407"/>
      <c r="J1163" s="411"/>
      <c r="K1163" s="407"/>
      <c r="L1163" s="412"/>
      <c r="M1163" s="407"/>
      <c r="N1163" s="412"/>
      <c r="O1163" s="412"/>
      <c r="P1163" s="412"/>
      <c r="Q1163" s="413"/>
      <c r="R1163" s="413"/>
      <c r="S1163" s="414"/>
      <c r="T1163" s="414" t="s">
        <v>2407</v>
      </c>
      <c r="U1163" s="415"/>
      <c r="V1163" s="416"/>
      <c r="W1163" s="417"/>
      <c r="X1163" s="417"/>
      <c r="Y1163" s="418" t="s">
        <v>377</v>
      </c>
      <c r="Z1163" s="496" t="s">
        <v>2408</v>
      </c>
      <c r="AA1163" s="492"/>
    </row>
    <row r="1164" spans="1:27" s="128" customFormat="1" ht="18" customHeight="1">
      <c r="A1164" s="443">
        <v>2</v>
      </c>
      <c r="B1164" s="444" t="s">
        <v>2409</v>
      </c>
      <c r="C1164" s="445" t="s">
        <v>90</v>
      </c>
      <c r="D1164" s="444" t="s">
        <v>2410</v>
      </c>
      <c r="E1164" s="446">
        <v>4</v>
      </c>
      <c r="F1164" s="447"/>
      <c r="G1164" s="448">
        <f t="shared" si="50"/>
        <v>0</v>
      </c>
      <c r="H1164" s="449"/>
      <c r="I1164" s="444"/>
      <c r="J1164" s="449"/>
      <c r="K1164" s="444" t="s">
        <v>2411</v>
      </c>
      <c r="L1164" s="450" t="s">
        <v>1628</v>
      </c>
      <c r="M1164" s="444" t="s">
        <v>2412</v>
      </c>
      <c r="N1164" s="450"/>
      <c r="O1164" s="450"/>
      <c r="P1164" s="450" t="s">
        <v>1630</v>
      </c>
      <c r="Q1164" s="451" t="s">
        <v>374</v>
      </c>
      <c r="R1164" s="451" t="s">
        <v>2413</v>
      </c>
      <c r="S1164" s="452" t="s">
        <v>422</v>
      </c>
      <c r="T1164" s="452">
        <v>45604</v>
      </c>
      <c r="U1164" s="453"/>
      <c r="V1164" s="454"/>
      <c r="W1164" s="455" t="s">
        <v>406</v>
      </c>
      <c r="X1164" s="455">
        <v>45607</v>
      </c>
      <c r="Y1164" s="456" t="s">
        <v>377</v>
      </c>
      <c r="Z1164" s="498"/>
      <c r="AA1164" s="494">
        <v>1</v>
      </c>
    </row>
    <row r="1165" spans="1:27" s="128" customFormat="1" ht="18" customHeight="1">
      <c r="A1165" s="405">
        <v>3</v>
      </c>
      <c r="B1165" s="407" t="s">
        <v>1450</v>
      </c>
      <c r="C1165" s="406" t="s">
        <v>90</v>
      </c>
      <c r="D1165" s="407" t="s">
        <v>1451</v>
      </c>
      <c r="E1165" s="408">
        <v>12</v>
      </c>
      <c r="F1165" s="409"/>
      <c r="G1165" s="410">
        <f t="shared" si="50"/>
        <v>0</v>
      </c>
      <c r="H1165" s="411"/>
      <c r="I1165" s="407"/>
      <c r="J1165" s="411"/>
      <c r="K1165" s="407"/>
      <c r="L1165" s="412"/>
      <c r="M1165" s="407"/>
      <c r="N1165" s="412"/>
      <c r="O1165" s="412"/>
      <c r="P1165" s="412"/>
      <c r="Q1165" s="413"/>
      <c r="R1165" s="413"/>
      <c r="S1165" s="414"/>
      <c r="T1165" s="414" t="s">
        <v>712</v>
      </c>
      <c r="U1165" s="415"/>
      <c r="V1165" s="416"/>
      <c r="W1165" s="417"/>
      <c r="X1165" s="417"/>
      <c r="Y1165" s="418" t="s">
        <v>377</v>
      </c>
      <c r="Z1165" s="496"/>
      <c r="AA1165" s="492"/>
    </row>
    <row r="1166" spans="1:27" s="128" customFormat="1" ht="18" customHeight="1">
      <c r="A1166" s="443">
        <v>4</v>
      </c>
      <c r="B1166" s="444" t="s">
        <v>1742</v>
      </c>
      <c r="C1166" s="445" t="s">
        <v>90</v>
      </c>
      <c r="D1166" s="444" t="s">
        <v>1743</v>
      </c>
      <c r="E1166" s="446">
        <v>8</v>
      </c>
      <c r="F1166" s="447"/>
      <c r="G1166" s="448">
        <f t="shared" si="50"/>
        <v>0</v>
      </c>
      <c r="H1166" s="449"/>
      <c r="I1166" s="444"/>
      <c r="J1166" s="449"/>
      <c r="K1166" s="444" t="s">
        <v>2411</v>
      </c>
      <c r="L1166" s="450" t="s">
        <v>1628</v>
      </c>
      <c r="M1166" s="444" t="s">
        <v>2414</v>
      </c>
      <c r="N1166" s="450"/>
      <c r="O1166" s="450"/>
      <c r="P1166" s="450" t="s">
        <v>1630</v>
      </c>
      <c r="Q1166" s="451" t="s">
        <v>374</v>
      </c>
      <c r="R1166" s="451" t="s">
        <v>251</v>
      </c>
      <c r="S1166" s="452" t="s">
        <v>709</v>
      </c>
      <c r="T1166" s="452"/>
      <c r="U1166" s="453"/>
      <c r="V1166" s="454"/>
      <c r="W1166" s="455" t="s">
        <v>406</v>
      </c>
      <c r="X1166" s="455">
        <v>45607</v>
      </c>
      <c r="Y1166" s="456" t="s">
        <v>377</v>
      </c>
      <c r="Z1166" s="498"/>
      <c r="AA1166" s="494"/>
    </row>
    <row r="1167" spans="1:27" s="128" customFormat="1" ht="18" customHeight="1">
      <c r="A1167" s="443">
        <v>5</v>
      </c>
      <c r="B1167" s="444" t="s">
        <v>2415</v>
      </c>
      <c r="C1167" s="445" t="s">
        <v>90</v>
      </c>
      <c r="D1167" s="444" t="s">
        <v>2416</v>
      </c>
      <c r="E1167" s="446">
        <v>1</v>
      </c>
      <c r="F1167" s="447"/>
      <c r="G1167" s="448">
        <f t="shared" si="50"/>
        <v>0</v>
      </c>
      <c r="H1167" s="449"/>
      <c r="I1167" s="444"/>
      <c r="J1167" s="449"/>
      <c r="K1167" s="444" t="s">
        <v>2411</v>
      </c>
      <c r="L1167" s="450" t="s">
        <v>1628</v>
      </c>
      <c r="M1167" s="444" t="s">
        <v>2417</v>
      </c>
      <c r="N1167" s="450"/>
      <c r="O1167" s="450"/>
      <c r="P1167" s="450" t="s">
        <v>1630</v>
      </c>
      <c r="Q1167" s="451" t="s">
        <v>374</v>
      </c>
      <c r="R1167" s="451" t="s">
        <v>2186</v>
      </c>
      <c r="S1167" s="452" t="s">
        <v>797</v>
      </c>
      <c r="T1167" s="452">
        <v>45614</v>
      </c>
      <c r="U1167" s="453"/>
      <c r="V1167" s="454"/>
      <c r="W1167" s="455" t="s">
        <v>406</v>
      </c>
      <c r="X1167" s="455">
        <v>45608</v>
      </c>
      <c r="Y1167" s="456" t="s">
        <v>377</v>
      </c>
      <c r="Z1167" s="498"/>
      <c r="AA1167" s="494"/>
    </row>
    <row r="1168" spans="1:27" s="128" customFormat="1" ht="18" customHeight="1">
      <c r="A1168" s="443">
        <v>6</v>
      </c>
      <c r="B1168" s="444" t="s">
        <v>2418</v>
      </c>
      <c r="C1168" s="445" t="s">
        <v>90</v>
      </c>
      <c r="D1168" s="444" t="s">
        <v>2419</v>
      </c>
      <c r="E1168" s="446">
        <v>1</v>
      </c>
      <c r="F1168" s="447"/>
      <c r="G1168" s="448">
        <f t="shared" si="50"/>
        <v>0</v>
      </c>
      <c r="H1168" s="449"/>
      <c r="I1168" s="444"/>
      <c r="J1168" s="449"/>
      <c r="K1168" s="444" t="s">
        <v>2411</v>
      </c>
      <c r="L1168" s="450" t="s">
        <v>1628</v>
      </c>
      <c r="M1168" s="444" t="s">
        <v>2417</v>
      </c>
      <c r="N1168" s="450"/>
      <c r="O1168" s="450"/>
      <c r="P1168" s="450" t="s">
        <v>1630</v>
      </c>
      <c r="Q1168" s="451" t="s">
        <v>374</v>
      </c>
      <c r="R1168" s="451" t="s">
        <v>2186</v>
      </c>
      <c r="S1168" s="452" t="s">
        <v>797</v>
      </c>
      <c r="T1168" s="452">
        <v>45614</v>
      </c>
      <c r="U1168" s="453"/>
      <c r="V1168" s="454"/>
      <c r="W1168" s="455" t="s">
        <v>406</v>
      </c>
      <c r="X1168" s="455">
        <v>45608</v>
      </c>
      <c r="Y1168" s="456" t="s">
        <v>377</v>
      </c>
      <c r="Z1168" s="498"/>
      <c r="AA1168" s="494"/>
    </row>
    <row r="1169" spans="1:27" s="128" customFormat="1" ht="18" customHeight="1">
      <c r="A1169" s="443">
        <v>7</v>
      </c>
      <c r="B1169" s="444" t="s">
        <v>1721</v>
      </c>
      <c r="C1169" s="445" t="s">
        <v>90</v>
      </c>
      <c r="D1169" s="444" t="s">
        <v>1722</v>
      </c>
      <c r="E1169" s="446">
        <v>2</v>
      </c>
      <c r="F1169" s="447"/>
      <c r="G1169" s="448">
        <f t="shared" si="50"/>
        <v>0</v>
      </c>
      <c r="H1169" s="449"/>
      <c r="I1169" s="444"/>
      <c r="J1169" s="449"/>
      <c r="K1169" s="444" t="s">
        <v>2411</v>
      </c>
      <c r="L1169" s="450" t="s">
        <v>1628</v>
      </c>
      <c r="M1169" s="444" t="s">
        <v>2420</v>
      </c>
      <c r="N1169" s="450"/>
      <c r="O1169" s="450"/>
      <c r="P1169" s="450" t="s">
        <v>1630</v>
      </c>
      <c r="Q1169" s="451" t="s">
        <v>726</v>
      </c>
      <c r="R1169" s="451" t="s">
        <v>247</v>
      </c>
      <c r="S1169" s="452" t="s">
        <v>842</v>
      </c>
      <c r="T1169" s="452"/>
      <c r="U1169" s="453"/>
      <c r="V1169" s="454"/>
      <c r="W1169" s="455" t="s">
        <v>406</v>
      </c>
      <c r="X1169" s="455">
        <v>45604</v>
      </c>
      <c r="Y1169" s="456" t="s">
        <v>377</v>
      </c>
      <c r="Z1169" s="498"/>
      <c r="AA1169" s="494"/>
    </row>
    <row r="1170" spans="1:27" s="128" customFormat="1" ht="18" customHeight="1">
      <c r="A1170" s="443">
        <v>8</v>
      </c>
      <c r="B1170" s="444" t="s">
        <v>1724</v>
      </c>
      <c r="C1170" s="445" t="s">
        <v>90</v>
      </c>
      <c r="D1170" s="444" t="s">
        <v>1725</v>
      </c>
      <c r="E1170" s="446">
        <v>4</v>
      </c>
      <c r="F1170" s="447"/>
      <c r="G1170" s="448">
        <f t="shared" si="50"/>
        <v>0</v>
      </c>
      <c r="H1170" s="449"/>
      <c r="I1170" s="444"/>
      <c r="J1170" s="449"/>
      <c r="K1170" s="444" t="s">
        <v>2411</v>
      </c>
      <c r="L1170" s="450" t="s">
        <v>1628</v>
      </c>
      <c r="M1170" s="444" t="s">
        <v>2420</v>
      </c>
      <c r="N1170" s="450"/>
      <c r="O1170" s="450"/>
      <c r="P1170" s="450" t="s">
        <v>1630</v>
      </c>
      <c r="Q1170" s="451" t="s">
        <v>726</v>
      </c>
      <c r="R1170" s="451" t="s">
        <v>247</v>
      </c>
      <c r="S1170" s="452" t="s">
        <v>842</v>
      </c>
      <c r="T1170" s="452"/>
      <c r="U1170" s="453"/>
      <c r="V1170" s="454"/>
      <c r="W1170" s="455" t="s">
        <v>406</v>
      </c>
      <c r="X1170" s="455">
        <v>45604</v>
      </c>
      <c r="Y1170" s="456" t="s">
        <v>377</v>
      </c>
      <c r="Z1170" s="498"/>
      <c r="AA1170" s="494"/>
    </row>
    <row r="1171" spans="1:27" s="128" customFormat="1" ht="18" customHeight="1">
      <c r="A1171" s="405">
        <v>9</v>
      </c>
      <c r="B1171" s="407" t="s">
        <v>1726</v>
      </c>
      <c r="C1171" s="406" t="s">
        <v>90</v>
      </c>
      <c r="D1171" s="407" t="s">
        <v>1727</v>
      </c>
      <c r="E1171" s="408">
        <v>2</v>
      </c>
      <c r="F1171" s="409"/>
      <c r="G1171" s="410">
        <f t="shared" si="50"/>
        <v>0</v>
      </c>
      <c r="H1171" s="411"/>
      <c r="I1171" s="407"/>
      <c r="J1171" s="411"/>
      <c r="K1171" s="407" t="s">
        <v>2411</v>
      </c>
      <c r="L1171" s="412" t="s">
        <v>1628</v>
      </c>
      <c r="M1171" s="407" t="s">
        <v>2421</v>
      </c>
      <c r="N1171" s="412"/>
      <c r="O1171" s="412"/>
      <c r="P1171" s="412" t="s">
        <v>1630</v>
      </c>
      <c r="Q1171" s="413" t="s">
        <v>726</v>
      </c>
      <c r="R1171" s="413" t="s">
        <v>995</v>
      </c>
      <c r="S1171" s="414" t="s">
        <v>800</v>
      </c>
      <c r="T1171" s="414" t="s">
        <v>1821</v>
      </c>
      <c r="U1171" s="415"/>
      <c r="V1171" s="416"/>
      <c r="W1171" s="417"/>
      <c r="X1171" s="417"/>
      <c r="Y1171" s="418" t="s">
        <v>377</v>
      </c>
      <c r="Z1171" s="496"/>
      <c r="AA1171" s="492"/>
    </row>
    <row r="1172" spans="1:27" s="128" customFormat="1" ht="18" customHeight="1">
      <c r="A1172" s="443">
        <v>10</v>
      </c>
      <c r="B1172" s="444" t="s">
        <v>1729</v>
      </c>
      <c r="C1172" s="445" t="s">
        <v>90</v>
      </c>
      <c r="D1172" s="444" t="s">
        <v>1730</v>
      </c>
      <c r="E1172" s="446">
        <v>2</v>
      </c>
      <c r="F1172" s="447"/>
      <c r="G1172" s="448">
        <f t="shared" si="50"/>
        <v>0</v>
      </c>
      <c r="H1172" s="449"/>
      <c r="I1172" s="444"/>
      <c r="J1172" s="449"/>
      <c r="K1172" s="444"/>
      <c r="L1172" s="450"/>
      <c r="M1172" s="444"/>
      <c r="N1172" s="450"/>
      <c r="O1172" s="450"/>
      <c r="P1172" s="450"/>
      <c r="Q1172" s="451" t="s">
        <v>1176</v>
      </c>
      <c r="R1172" s="451"/>
      <c r="S1172" s="452"/>
      <c r="T1172" s="452" t="s">
        <v>712</v>
      </c>
      <c r="U1172" s="453"/>
      <c r="V1172" s="454"/>
      <c r="W1172" s="455" t="s">
        <v>406</v>
      </c>
      <c r="X1172" s="455">
        <v>45610</v>
      </c>
      <c r="Y1172" s="456" t="s">
        <v>377</v>
      </c>
      <c r="Z1172" s="498"/>
      <c r="AA1172" s="494"/>
    </row>
    <row r="1173" spans="1:27" s="128" customFormat="1" ht="18" customHeight="1">
      <c r="A1173" s="443">
        <v>11</v>
      </c>
      <c r="B1173" s="444" t="s">
        <v>1517</v>
      </c>
      <c r="C1173" s="445" t="s">
        <v>90</v>
      </c>
      <c r="D1173" s="444" t="s">
        <v>1518</v>
      </c>
      <c r="E1173" s="446">
        <v>12</v>
      </c>
      <c r="F1173" s="447"/>
      <c r="G1173" s="448">
        <f t="shared" si="50"/>
        <v>0</v>
      </c>
      <c r="H1173" s="449"/>
      <c r="I1173" s="444"/>
      <c r="J1173" s="449"/>
      <c r="K1173" s="444"/>
      <c r="L1173" s="450"/>
      <c r="M1173" s="444"/>
      <c r="N1173" s="450"/>
      <c r="O1173" s="450"/>
      <c r="P1173" s="450"/>
      <c r="Q1173" s="451" t="s">
        <v>374</v>
      </c>
      <c r="R1173" s="451"/>
      <c r="S1173" s="452"/>
      <c r="T1173" s="452" t="s">
        <v>712</v>
      </c>
      <c r="U1173" s="453"/>
      <c r="V1173" s="454"/>
      <c r="W1173" s="455" t="s">
        <v>406</v>
      </c>
      <c r="X1173" s="455">
        <v>45610</v>
      </c>
      <c r="Y1173" s="456" t="s">
        <v>377</v>
      </c>
      <c r="Z1173" s="498"/>
      <c r="AA1173" s="494"/>
    </row>
    <row r="1174" spans="1:27" ht="18" customHeight="1">
      <c r="A1174" s="389"/>
      <c r="B1174" s="390" t="s">
        <v>2422</v>
      </c>
      <c r="C1174" s="391"/>
      <c r="D1174" s="392"/>
      <c r="E1174" s="393"/>
      <c r="F1174" s="394"/>
      <c r="G1174" s="395">
        <f t="shared" si="28"/>
        <v>0</v>
      </c>
      <c r="H1174" s="396"/>
      <c r="I1174" s="392"/>
      <c r="J1174" s="396"/>
      <c r="K1174" s="392"/>
      <c r="L1174" s="397"/>
      <c r="M1174" s="392"/>
      <c r="N1174" s="397"/>
      <c r="O1174" s="397"/>
      <c r="P1174" s="397"/>
      <c r="Q1174" s="398"/>
      <c r="R1174" s="398"/>
      <c r="S1174" s="399"/>
      <c r="T1174" s="399"/>
      <c r="U1174" s="400"/>
      <c r="V1174" s="401"/>
      <c r="W1174" s="402"/>
      <c r="X1174" s="402"/>
      <c r="Y1174" s="403"/>
      <c r="Z1174" s="404"/>
      <c r="AA1174" s="492"/>
    </row>
    <row r="1175" spans="1:27">
      <c r="A1175" s="500"/>
      <c r="B1175" s="501"/>
      <c r="C1175" s="502"/>
      <c r="D1175" s="503"/>
      <c r="E1175" s="504"/>
      <c r="F1175" s="505"/>
      <c r="G1175" s="506"/>
      <c r="H1175" s="507"/>
      <c r="I1175" s="503"/>
      <c r="J1175" s="507"/>
      <c r="K1175" s="503"/>
      <c r="L1175" s="508"/>
      <c r="M1175" s="503"/>
      <c r="N1175" s="508"/>
      <c r="O1175" s="508"/>
      <c r="P1175" s="508"/>
      <c r="Q1175" s="509"/>
      <c r="R1175" s="509"/>
      <c r="S1175" s="510"/>
      <c r="T1175" s="510"/>
      <c r="U1175" s="511"/>
      <c r="V1175" s="512"/>
      <c r="W1175" s="417"/>
      <c r="X1175" s="513"/>
      <c r="Y1175" s="514"/>
      <c r="Z1175" s="515"/>
      <c r="AA1175" s="492"/>
    </row>
    <row r="1176" spans="1:27">
      <c r="X1176" s="476"/>
    </row>
    <row r="1180" spans="1:27">
      <c r="Z1180" s="475"/>
    </row>
    <row r="1181" spans="1:27">
      <c r="T1181" s="474"/>
    </row>
    <row r="1183" spans="1:27">
      <c r="Z1183" s="473"/>
    </row>
  </sheetData>
  <sheetProtection password="83EF" sheet="1" objects="1" scenarios="1" formatColumns="0" autoFilter="0"/>
  <protectedRanges>
    <protectedRange sqref="B506" name="Range1"/>
    <protectedRange sqref="B507" name="Range1_1"/>
    <protectedRange sqref="B508" name="Range1_2"/>
    <protectedRange sqref="B509" name="Range1_3"/>
    <protectedRange sqref="B510" name="Range1_4"/>
    <protectedRange sqref="B695" name="Range1_5"/>
    <protectedRange sqref="B696" name="Range1_6"/>
    <protectedRange sqref="B697" name="Range1_7"/>
    <protectedRange sqref="B698" name="Range1_8"/>
    <protectedRange sqref="B699" name="Range1_9"/>
    <protectedRange sqref="B1150:B1161" name="Range1_10"/>
    <protectedRange sqref="B850" name="Range1_11"/>
    <protectedRange sqref="D850" name="Range1_12"/>
    <protectedRange sqref="B847" name="Range1_13"/>
    <protectedRange sqref="B848" name="Range1_14"/>
    <protectedRange sqref="D847" name="Range1_15"/>
    <protectedRange sqref="D848" name="Range1_16"/>
  </protectedRanges>
  <mergeCells count="3">
    <mergeCell ref="A1:B1"/>
    <mergeCell ref="A2:B2"/>
    <mergeCell ref="A4:B4"/>
  </mergeCells>
  <printOptions horizontalCentered="1" verticalCentered="1"/>
  <pageMargins left="0.70866141732283505" right="0.70866141732283505" top="0.74803149606299202" bottom="0.74803149606299202" header="0.31496062992126" footer="0.31496062992126"/>
  <pageSetup paperSize="9" scale="25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tdParts_Button1_Click">
                <anchor>
                  <from>
                    <xdr:col>1</xdr:col>
                    <xdr:colOff>885825</xdr:colOff>
                    <xdr:row>1</xdr:row>
                    <xdr:rowOff>0</xdr:rowOff>
                  </from>
                  <to>
                    <xdr:col>1</xdr:col>
                    <xdr:colOff>2314575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A756"/>
  <sheetViews>
    <sheetView zoomScale="90" zoomScaleNormal="90" zoomScaleSheetLayoutView="70" workbookViewId="0">
      <selection activeCell="B3" sqref="B3"/>
    </sheetView>
  </sheetViews>
  <sheetFormatPr defaultColWidth="9" defaultRowHeight="18.75"/>
  <cols>
    <col min="1" max="1" width="8.5703125" style="14" customWidth="1"/>
    <col min="2" max="2" width="129.5703125" style="66" bestFit="1" customWidth="1"/>
    <col min="3" max="3" width="15.28515625" style="79" bestFit="1" customWidth="1"/>
    <col min="4" max="4" width="25.5703125" style="14" customWidth="1"/>
    <col min="5" max="5" width="10.140625" style="14" bestFit="1" customWidth="1"/>
    <col min="6" max="6" width="15.28515625" style="65" hidden="1" customWidth="1"/>
    <col min="7" max="7" width="21.28515625" style="48" hidden="1" customWidth="1"/>
    <col min="8" max="8" width="27.28515625" style="41" hidden="1" customWidth="1"/>
    <col min="9" max="9" width="11.5703125" style="14" hidden="1" customWidth="1"/>
    <col min="10" max="10" width="31" style="41" hidden="1" customWidth="1"/>
    <col min="11" max="11" width="10.7109375" style="14" hidden="1" customWidth="1"/>
    <col min="12" max="12" width="30.28515625" style="41" hidden="1" customWidth="1"/>
    <col min="13" max="13" width="11" style="14" hidden="1" customWidth="1"/>
    <col min="14" max="14" width="27.28515625" style="41" hidden="1" customWidth="1"/>
    <col min="15" max="15" width="34.85546875" style="41" hidden="1" customWidth="1"/>
    <col min="16" max="16" width="28" style="41" hidden="1" customWidth="1"/>
    <col min="17" max="17" width="17.5703125" style="14" bestFit="1" customWidth="1"/>
    <col min="18" max="18" width="36.28515625" style="66" bestFit="1" customWidth="1"/>
    <col min="19" max="19" width="13" style="99" bestFit="1" customWidth="1"/>
    <col min="20" max="20" width="19.42578125" style="99" bestFit="1" customWidth="1"/>
    <col min="21" max="21" width="21.7109375" style="90" hidden="1" customWidth="1"/>
    <col min="22" max="22" width="24.85546875" style="91" hidden="1" customWidth="1"/>
    <col min="23" max="23" width="16.28515625" style="90" bestFit="1" customWidth="1"/>
    <col min="24" max="24" width="34.85546875" style="92" bestFit="1" customWidth="1"/>
    <col min="25" max="25" width="16.7109375" style="91" bestFit="1" customWidth="1"/>
    <col min="26" max="26" width="31" style="90" bestFit="1" customWidth="1"/>
    <col min="27" max="27" width="11" style="90" customWidth="1"/>
    <col min="28" max="46" width="9" style="14" customWidth="1"/>
    <col min="47" max="16384" width="9" style="14"/>
  </cols>
  <sheetData>
    <row r="1" spans="1:27" ht="18" customHeight="1">
      <c r="A1" s="552" t="s">
        <v>0</v>
      </c>
      <c r="B1" s="552"/>
      <c r="C1" s="80"/>
      <c r="D1" s="36" t="s">
        <v>333</v>
      </c>
      <c r="E1" s="37"/>
      <c r="F1" s="38"/>
      <c r="G1" s="39"/>
      <c r="H1" s="40"/>
      <c r="K1" s="42"/>
      <c r="L1" s="40"/>
      <c r="M1" s="42"/>
      <c r="N1" s="40"/>
      <c r="O1" s="40"/>
      <c r="P1" s="40"/>
      <c r="Q1" s="43"/>
      <c r="R1" s="43"/>
      <c r="S1" s="89"/>
      <c r="T1" s="89"/>
      <c r="Z1" s="93"/>
    </row>
    <row r="2" spans="1:27">
      <c r="A2" s="552" t="s">
        <v>1</v>
      </c>
      <c r="B2" s="552"/>
      <c r="C2" s="81"/>
      <c r="D2" s="36" t="s">
        <v>334</v>
      </c>
      <c r="E2" s="37"/>
      <c r="F2" s="38"/>
      <c r="G2" s="39"/>
      <c r="H2" s="40"/>
      <c r="K2" s="42"/>
      <c r="L2" s="40"/>
      <c r="M2" s="42"/>
      <c r="N2" s="40"/>
      <c r="O2" s="40"/>
      <c r="P2" s="40"/>
      <c r="Q2" s="43"/>
      <c r="R2" s="43"/>
      <c r="S2" s="89"/>
      <c r="T2" s="89"/>
      <c r="Z2" s="93"/>
    </row>
    <row r="3" spans="1:27">
      <c r="A3" s="45"/>
      <c r="B3" s="82"/>
      <c r="C3" s="83"/>
      <c r="D3" s="36" t="s">
        <v>335</v>
      </c>
      <c r="E3" s="37"/>
      <c r="F3" s="38"/>
      <c r="H3" s="40"/>
      <c r="K3" s="42"/>
      <c r="L3" s="40"/>
      <c r="M3" s="42"/>
      <c r="N3" s="40"/>
      <c r="O3" s="40"/>
      <c r="P3" s="40"/>
      <c r="Q3" s="43"/>
      <c r="R3" s="43"/>
      <c r="S3" s="89"/>
      <c r="T3" s="89"/>
      <c r="Z3" s="93"/>
    </row>
    <row r="4" spans="1:27">
      <c r="A4" s="49" t="s">
        <v>2423</v>
      </c>
      <c r="C4" s="84"/>
      <c r="D4" s="46" t="s">
        <v>337</v>
      </c>
      <c r="E4" s="37"/>
      <c r="F4" s="38"/>
      <c r="G4" s="39"/>
      <c r="H4" s="40"/>
      <c r="K4" s="42"/>
      <c r="L4" s="40"/>
      <c r="M4" s="42"/>
      <c r="N4" s="40"/>
      <c r="O4" s="40"/>
      <c r="P4" s="40"/>
      <c r="Q4" s="43"/>
      <c r="R4" s="43"/>
      <c r="S4" s="89"/>
      <c r="T4" s="89"/>
      <c r="Z4" s="93"/>
    </row>
    <row r="5" spans="1:27">
      <c r="A5" s="51"/>
      <c r="B5" s="42"/>
      <c r="C5" s="85"/>
      <c r="D5" s="46" t="s">
        <v>338</v>
      </c>
      <c r="E5" s="37"/>
      <c r="F5" s="38"/>
      <c r="G5" s="39"/>
      <c r="H5" s="40"/>
      <c r="K5" s="42"/>
      <c r="L5" s="40"/>
      <c r="M5" s="42"/>
      <c r="N5" s="40"/>
      <c r="O5" s="40"/>
      <c r="P5" s="40"/>
      <c r="Q5" s="43"/>
      <c r="R5" s="43"/>
      <c r="S5" s="89"/>
      <c r="T5" s="89"/>
      <c r="Z5" s="93"/>
    </row>
    <row r="6" spans="1:27">
      <c r="A6" s="51"/>
      <c r="B6" s="42"/>
      <c r="C6" s="86"/>
      <c r="D6" s="46" t="s">
        <v>339</v>
      </c>
      <c r="E6" s="37"/>
      <c r="F6" s="38" t="s">
        <v>340</v>
      </c>
      <c r="G6" s="39"/>
      <c r="H6" s="40"/>
      <c r="I6" s="42"/>
      <c r="J6" s="40"/>
      <c r="K6" s="42"/>
      <c r="L6" s="40"/>
      <c r="M6" s="42"/>
      <c r="N6" s="40"/>
      <c r="O6" s="40"/>
      <c r="P6" s="40"/>
      <c r="Q6" s="43"/>
      <c r="R6" s="43"/>
      <c r="S6" s="89"/>
      <c r="T6" s="89"/>
      <c r="Z6" s="93"/>
    </row>
    <row r="7" spans="1:27">
      <c r="A7" s="51"/>
      <c r="B7" s="42"/>
      <c r="C7" s="87"/>
      <c r="D7" s="46" t="s">
        <v>341</v>
      </c>
      <c r="E7" s="37"/>
      <c r="F7" s="38"/>
      <c r="G7" s="39"/>
      <c r="H7" s="40"/>
      <c r="I7" s="42"/>
      <c r="J7" s="40"/>
      <c r="K7" s="42"/>
      <c r="L7" s="40"/>
      <c r="M7" s="42"/>
      <c r="N7" s="40"/>
      <c r="O7" s="40"/>
      <c r="P7" s="40"/>
      <c r="Q7" s="43"/>
      <c r="R7" s="43"/>
      <c r="S7" s="89"/>
      <c r="T7" s="89"/>
      <c r="Z7" s="93"/>
    </row>
    <row r="8" spans="1:27">
      <c r="A8" s="37"/>
      <c r="B8" s="42"/>
      <c r="C8" s="70"/>
      <c r="D8" s="37"/>
      <c r="E8" s="37"/>
      <c r="F8" s="38"/>
      <c r="G8" s="39"/>
      <c r="H8" s="40"/>
      <c r="I8" s="42"/>
      <c r="J8" s="40"/>
      <c r="K8" s="42"/>
      <c r="L8" s="40"/>
      <c r="M8" s="42"/>
      <c r="N8" s="40"/>
      <c r="O8" s="40"/>
      <c r="P8" s="40"/>
      <c r="Q8" s="43"/>
      <c r="R8" s="43"/>
      <c r="S8" s="89"/>
      <c r="T8" s="89"/>
      <c r="Z8" s="93"/>
    </row>
    <row r="9" spans="1:27" ht="37.5">
      <c r="A9" s="55" t="s">
        <v>217</v>
      </c>
      <c r="B9" s="56" t="s">
        <v>342</v>
      </c>
      <c r="C9" s="88" t="s">
        <v>343</v>
      </c>
      <c r="D9" s="56" t="s">
        <v>344</v>
      </c>
      <c r="E9" s="56" t="s">
        <v>345</v>
      </c>
      <c r="F9" s="57" t="s">
        <v>346</v>
      </c>
      <c r="G9" s="58" t="s">
        <v>347</v>
      </c>
      <c r="H9" s="59" t="s">
        <v>348</v>
      </c>
      <c r="I9" s="60" t="s">
        <v>349</v>
      </c>
      <c r="J9" s="59" t="s">
        <v>350</v>
      </c>
      <c r="K9" s="60" t="s">
        <v>351</v>
      </c>
      <c r="L9" s="59" t="s">
        <v>352</v>
      </c>
      <c r="M9" s="60" t="s">
        <v>353</v>
      </c>
      <c r="N9" s="59" t="s">
        <v>354</v>
      </c>
      <c r="O9" s="59" t="s">
        <v>355</v>
      </c>
      <c r="P9" s="59" t="s">
        <v>356</v>
      </c>
      <c r="Q9" s="61" t="s">
        <v>357</v>
      </c>
      <c r="R9" s="61" t="s">
        <v>358</v>
      </c>
      <c r="S9" s="95" t="s">
        <v>329</v>
      </c>
      <c r="T9" s="104" t="s">
        <v>359</v>
      </c>
      <c r="U9" s="105" t="s">
        <v>360</v>
      </c>
      <c r="V9" s="106" t="s">
        <v>361</v>
      </c>
      <c r="W9" s="105" t="s">
        <v>362</v>
      </c>
      <c r="X9" s="107" t="s">
        <v>363</v>
      </c>
      <c r="Y9" s="106" t="s">
        <v>364</v>
      </c>
      <c r="Z9" s="109" t="s">
        <v>365</v>
      </c>
      <c r="AA9" s="491" t="s">
        <v>331</v>
      </c>
    </row>
    <row r="10" spans="1:27" s="128" customFormat="1" ht="47.25" customHeight="1">
      <c r="A10" s="72"/>
      <c r="B10" s="73" t="s">
        <v>2424</v>
      </c>
      <c r="C10" s="62"/>
      <c r="D10" s="74"/>
      <c r="E10" s="75"/>
      <c r="F10" s="76"/>
      <c r="G10" s="77">
        <f>E10*F10</f>
        <v>0</v>
      </c>
      <c r="H10" s="63"/>
      <c r="I10" s="74"/>
      <c r="J10" s="63"/>
      <c r="K10" s="74"/>
      <c r="L10" s="64"/>
      <c r="M10" s="74"/>
      <c r="N10" s="64"/>
      <c r="O10" s="64"/>
      <c r="P10" s="64"/>
      <c r="Q10" s="78"/>
      <c r="R10" s="78"/>
      <c r="S10" s="96"/>
      <c r="T10" s="96"/>
      <c r="U10" s="101"/>
      <c r="V10" s="97"/>
      <c r="W10" s="102"/>
      <c r="X10" s="102"/>
      <c r="Y10" s="98"/>
      <c r="Z10" s="103"/>
      <c r="AA10" s="415"/>
    </row>
    <row r="11" spans="1:27" s="128" customFormat="1" ht="47.25" customHeight="1">
      <c r="A11" s="443">
        <v>1</v>
      </c>
      <c r="B11" s="444" t="s">
        <v>2425</v>
      </c>
      <c r="C11" s="445" t="s">
        <v>95</v>
      </c>
      <c r="D11" s="444" t="s">
        <v>2426</v>
      </c>
      <c r="E11" s="446">
        <v>1</v>
      </c>
      <c r="F11" s="447"/>
      <c r="G11" s="448">
        <f t="shared" ref="G11:G42" si="0">E11*F11</f>
        <v>0</v>
      </c>
      <c r="H11" s="450"/>
      <c r="I11" s="444"/>
      <c r="J11" s="450"/>
      <c r="K11" s="444"/>
      <c r="L11" s="450"/>
      <c r="M11" s="444"/>
      <c r="N11" s="450"/>
      <c r="O11" s="450"/>
      <c r="P11" s="450"/>
      <c r="Q11" s="451" t="s">
        <v>374</v>
      </c>
      <c r="R11" s="451"/>
      <c r="S11" s="452"/>
      <c r="T11" s="452"/>
      <c r="U11" s="453"/>
      <c r="V11" s="454"/>
      <c r="W11" s="455" t="s">
        <v>406</v>
      </c>
      <c r="X11" s="455">
        <v>45519</v>
      </c>
      <c r="Y11" s="456" t="s">
        <v>377</v>
      </c>
      <c r="Z11" s="457"/>
      <c r="AA11" s="453"/>
    </row>
    <row r="12" spans="1:27" s="128" customFormat="1" ht="47.25" customHeight="1">
      <c r="A12" s="443">
        <v>2</v>
      </c>
      <c r="B12" s="444" t="s">
        <v>2427</v>
      </c>
      <c r="C12" s="445" t="s">
        <v>95</v>
      </c>
      <c r="D12" s="444" t="s">
        <v>2428</v>
      </c>
      <c r="E12" s="446">
        <v>1</v>
      </c>
      <c r="F12" s="447"/>
      <c r="G12" s="448">
        <f t="shared" si="0"/>
        <v>0</v>
      </c>
      <c r="H12" s="450"/>
      <c r="I12" s="444"/>
      <c r="J12" s="450"/>
      <c r="K12" s="444" t="s">
        <v>2429</v>
      </c>
      <c r="L12" s="450" t="s">
        <v>756</v>
      </c>
      <c r="M12" s="444" t="s">
        <v>2430</v>
      </c>
      <c r="N12" s="450"/>
      <c r="O12" s="450"/>
      <c r="P12" s="450" t="s">
        <v>2288</v>
      </c>
      <c r="Q12" s="451" t="s">
        <v>374</v>
      </c>
      <c r="R12" s="451" t="s">
        <v>2431</v>
      </c>
      <c r="S12" s="452" t="s">
        <v>2014</v>
      </c>
      <c r="T12" s="452" t="s">
        <v>481</v>
      </c>
      <c r="U12" s="453"/>
      <c r="V12" s="454"/>
      <c r="W12" s="455" t="s">
        <v>406</v>
      </c>
      <c r="X12" s="455">
        <v>45601</v>
      </c>
      <c r="Y12" s="456" t="s">
        <v>377</v>
      </c>
      <c r="Z12" s="457"/>
      <c r="AA12" s="453"/>
    </row>
    <row r="13" spans="1:27" s="128" customFormat="1" ht="47.25" customHeight="1">
      <c r="A13" s="443">
        <v>3</v>
      </c>
      <c r="B13" s="444" t="s">
        <v>2432</v>
      </c>
      <c r="C13" s="445" t="s">
        <v>95</v>
      </c>
      <c r="D13" s="444" t="s">
        <v>2433</v>
      </c>
      <c r="E13" s="446">
        <v>2</v>
      </c>
      <c r="F13" s="447"/>
      <c r="G13" s="448">
        <f t="shared" si="0"/>
        <v>0</v>
      </c>
      <c r="H13" s="450"/>
      <c r="I13" s="444"/>
      <c r="J13" s="450"/>
      <c r="K13" s="444" t="s">
        <v>2429</v>
      </c>
      <c r="L13" s="450" t="s">
        <v>756</v>
      </c>
      <c r="M13" s="444" t="s">
        <v>2434</v>
      </c>
      <c r="N13" s="450"/>
      <c r="O13" s="450"/>
      <c r="P13" s="450" t="s">
        <v>2288</v>
      </c>
      <c r="Q13" s="451" t="s">
        <v>374</v>
      </c>
      <c r="R13" s="451" t="s">
        <v>225</v>
      </c>
      <c r="S13" s="452" t="s">
        <v>1128</v>
      </c>
      <c r="T13" s="452"/>
      <c r="U13" s="453"/>
      <c r="V13" s="454"/>
      <c r="W13" s="455" t="s">
        <v>406</v>
      </c>
      <c r="X13" s="455">
        <v>45594</v>
      </c>
      <c r="Y13" s="456" t="s">
        <v>377</v>
      </c>
      <c r="Z13" s="457"/>
      <c r="AA13" s="453"/>
    </row>
    <row r="14" spans="1:27" s="128" customFormat="1" ht="47.25" customHeight="1">
      <c r="A14" s="443">
        <v>4</v>
      </c>
      <c r="B14" s="444" t="s">
        <v>2435</v>
      </c>
      <c r="C14" s="445" t="s">
        <v>95</v>
      </c>
      <c r="D14" s="444" t="s">
        <v>2436</v>
      </c>
      <c r="E14" s="446">
        <v>1</v>
      </c>
      <c r="F14" s="447"/>
      <c r="G14" s="448">
        <f t="shared" si="0"/>
        <v>0</v>
      </c>
      <c r="H14" s="450"/>
      <c r="I14" s="444"/>
      <c r="J14" s="450"/>
      <c r="K14" s="444" t="s">
        <v>2429</v>
      </c>
      <c r="L14" s="450" t="s">
        <v>756</v>
      </c>
      <c r="M14" s="444" t="s">
        <v>2434</v>
      </c>
      <c r="N14" s="450"/>
      <c r="O14" s="450"/>
      <c r="P14" s="450" t="s">
        <v>2288</v>
      </c>
      <c r="Q14" s="451" t="s">
        <v>374</v>
      </c>
      <c r="R14" s="451" t="s">
        <v>225</v>
      </c>
      <c r="S14" s="452" t="s">
        <v>1128</v>
      </c>
      <c r="T14" s="452"/>
      <c r="U14" s="453"/>
      <c r="V14" s="454"/>
      <c r="W14" s="455" t="s">
        <v>406</v>
      </c>
      <c r="X14" s="455">
        <v>45594</v>
      </c>
      <c r="Y14" s="456" t="s">
        <v>377</v>
      </c>
      <c r="Z14" s="457"/>
      <c r="AA14" s="453"/>
    </row>
    <row r="15" spans="1:27" s="128" customFormat="1" ht="47.25" customHeight="1">
      <c r="A15" s="443">
        <v>5</v>
      </c>
      <c r="B15" s="444" t="s">
        <v>2437</v>
      </c>
      <c r="C15" s="445" t="s">
        <v>95</v>
      </c>
      <c r="D15" s="444" t="s">
        <v>2438</v>
      </c>
      <c r="E15" s="446">
        <v>1</v>
      </c>
      <c r="F15" s="447"/>
      <c r="G15" s="448">
        <f t="shared" si="0"/>
        <v>0</v>
      </c>
      <c r="H15" s="450"/>
      <c r="I15" s="444"/>
      <c r="J15" s="450"/>
      <c r="K15" s="444" t="s">
        <v>2429</v>
      </c>
      <c r="L15" s="450" t="s">
        <v>756</v>
      </c>
      <c r="M15" s="444" t="s">
        <v>2439</v>
      </c>
      <c r="N15" s="450"/>
      <c r="O15" s="450"/>
      <c r="P15" s="450" t="s">
        <v>2440</v>
      </c>
      <c r="Q15" s="451" t="s">
        <v>374</v>
      </c>
      <c r="R15" s="451" t="s">
        <v>2441</v>
      </c>
      <c r="S15" s="452" t="s">
        <v>842</v>
      </c>
      <c r="T15" s="452"/>
      <c r="U15" s="453"/>
      <c r="V15" s="454"/>
      <c r="W15" s="455" t="s">
        <v>406</v>
      </c>
      <c r="X15" s="455">
        <v>45590</v>
      </c>
      <c r="Y15" s="456" t="s">
        <v>377</v>
      </c>
      <c r="Z15" s="457"/>
      <c r="AA15" s="453"/>
    </row>
    <row r="16" spans="1:27" s="128" customFormat="1" ht="47.25" customHeight="1">
      <c r="A16" s="443">
        <v>6</v>
      </c>
      <c r="B16" s="497" t="s">
        <v>2442</v>
      </c>
      <c r="C16" s="445" t="s">
        <v>95</v>
      </c>
      <c r="D16" s="497" t="s">
        <v>2443</v>
      </c>
      <c r="E16" s="446">
        <v>1</v>
      </c>
      <c r="F16" s="447"/>
      <c r="G16" s="448">
        <f t="shared" si="0"/>
        <v>0</v>
      </c>
      <c r="H16" s="450"/>
      <c r="I16" s="444"/>
      <c r="J16" s="450"/>
      <c r="K16" s="444" t="s">
        <v>2429</v>
      </c>
      <c r="L16" s="450" t="s">
        <v>756</v>
      </c>
      <c r="M16" s="444" t="s">
        <v>2444</v>
      </c>
      <c r="N16" s="450"/>
      <c r="O16" s="450"/>
      <c r="P16" s="450" t="s">
        <v>2288</v>
      </c>
      <c r="Q16" s="451" t="s">
        <v>374</v>
      </c>
      <c r="R16" s="451" t="s">
        <v>221</v>
      </c>
      <c r="S16" s="452" t="s">
        <v>2445</v>
      </c>
      <c r="T16" s="452"/>
      <c r="U16" s="453"/>
      <c r="V16" s="454"/>
      <c r="W16" s="455" t="s">
        <v>406</v>
      </c>
      <c r="X16" s="455">
        <v>45594</v>
      </c>
      <c r="Y16" s="456" t="s">
        <v>377</v>
      </c>
      <c r="Z16" s="457"/>
      <c r="AA16" s="453" t="s">
        <v>2446</v>
      </c>
    </row>
    <row r="17" spans="1:27" s="128" customFormat="1" ht="47.25" customHeight="1">
      <c r="A17" s="443">
        <v>7</v>
      </c>
      <c r="B17" s="444" t="s">
        <v>2447</v>
      </c>
      <c r="C17" s="445" t="s">
        <v>95</v>
      </c>
      <c r="D17" s="444" t="s">
        <v>2448</v>
      </c>
      <c r="E17" s="446">
        <v>1</v>
      </c>
      <c r="F17" s="447"/>
      <c r="G17" s="448">
        <f t="shared" si="0"/>
        <v>0</v>
      </c>
      <c r="H17" s="450"/>
      <c r="I17" s="444"/>
      <c r="J17" s="450"/>
      <c r="K17" s="444" t="s">
        <v>2429</v>
      </c>
      <c r="L17" s="450" t="s">
        <v>756</v>
      </c>
      <c r="M17" s="444" t="s">
        <v>2434</v>
      </c>
      <c r="N17" s="450"/>
      <c r="O17" s="450"/>
      <c r="P17" s="450" t="s">
        <v>2288</v>
      </c>
      <c r="Q17" s="451" t="s">
        <v>374</v>
      </c>
      <c r="R17" s="451" t="s">
        <v>225</v>
      </c>
      <c r="S17" s="452" t="s">
        <v>1128</v>
      </c>
      <c r="T17" s="452"/>
      <c r="U17" s="453"/>
      <c r="V17" s="454"/>
      <c r="W17" s="455" t="s">
        <v>406</v>
      </c>
      <c r="X17" s="455">
        <v>45594</v>
      </c>
      <c r="Y17" s="456" t="s">
        <v>377</v>
      </c>
      <c r="Z17" s="457"/>
      <c r="AA17" s="453"/>
    </row>
    <row r="18" spans="1:27" s="128" customFormat="1" ht="47.25" customHeight="1">
      <c r="A18" s="443">
        <v>8</v>
      </c>
      <c r="B18" s="444" t="s">
        <v>2449</v>
      </c>
      <c r="C18" s="445" t="s">
        <v>95</v>
      </c>
      <c r="D18" s="444" t="s">
        <v>2450</v>
      </c>
      <c r="E18" s="446">
        <v>1</v>
      </c>
      <c r="F18" s="447"/>
      <c r="G18" s="448">
        <f t="shared" si="0"/>
        <v>0</v>
      </c>
      <c r="H18" s="450"/>
      <c r="I18" s="444"/>
      <c r="J18" s="450"/>
      <c r="K18" s="444"/>
      <c r="L18" s="450"/>
      <c r="M18" s="444"/>
      <c r="N18" s="450"/>
      <c r="O18" s="450"/>
      <c r="P18" s="450"/>
      <c r="Q18" s="451" t="s">
        <v>374</v>
      </c>
      <c r="R18" s="451"/>
      <c r="S18" s="452"/>
      <c r="T18" s="452"/>
      <c r="U18" s="453"/>
      <c r="V18" s="454"/>
      <c r="W18" s="455" t="s">
        <v>406</v>
      </c>
      <c r="X18" s="455">
        <v>45519</v>
      </c>
      <c r="Y18" s="456" t="s">
        <v>377</v>
      </c>
      <c r="Z18" s="457"/>
      <c r="AA18" s="453"/>
    </row>
    <row r="19" spans="1:27" s="128" customFormat="1" ht="47.25" customHeight="1">
      <c r="A19" s="443">
        <v>9</v>
      </c>
      <c r="B19" s="444" t="s">
        <v>2451</v>
      </c>
      <c r="C19" s="445" t="s">
        <v>95</v>
      </c>
      <c r="D19" s="444" t="s">
        <v>2452</v>
      </c>
      <c r="E19" s="446">
        <v>2</v>
      </c>
      <c r="F19" s="447"/>
      <c r="G19" s="448">
        <f t="shared" si="0"/>
        <v>0</v>
      </c>
      <c r="H19" s="450"/>
      <c r="I19" s="444"/>
      <c r="J19" s="450"/>
      <c r="K19" s="444" t="s">
        <v>2429</v>
      </c>
      <c r="L19" s="450" t="s">
        <v>756</v>
      </c>
      <c r="M19" s="444" t="s">
        <v>2453</v>
      </c>
      <c r="N19" s="450"/>
      <c r="O19" s="450"/>
      <c r="P19" s="450" t="s">
        <v>2288</v>
      </c>
      <c r="Q19" s="451" t="s">
        <v>374</v>
      </c>
      <c r="R19" s="451" t="s">
        <v>247</v>
      </c>
      <c r="S19" s="452" t="s">
        <v>1128</v>
      </c>
      <c r="T19" s="452"/>
      <c r="U19" s="453"/>
      <c r="V19" s="454"/>
      <c r="W19" s="455" t="s">
        <v>406</v>
      </c>
      <c r="X19" s="455">
        <v>45594</v>
      </c>
      <c r="Y19" s="456" t="s">
        <v>377</v>
      </c>
      <c r="Z19" s="457"/>
      <c r="AA19" s="453"/>
    </row>
    <row r="20" spans="1:27" s="128" customFormat="1" ht="47.25" customHeight="1">
      <c r="A20" s="443">
        <v>10</v>
      </c>
      <c r="B20" s="444" t="s">
        <v>2454</v>
      </c>
      <c r="C20" s="445" t="s">
        <v>95</v>
      </c>
      <c r="D20" s="444" t="s">
        <v>2455</v>
      </c>
      <c r="E20" s="446">
        <v>2</v>
      </c>
      <c r="F20" s="447"/>
      <c r="G20" s="448">
        <f t="shared" si="0"/>
        <v>0</v>
      </c>
      <c r="H20" s="450"/>
      <c r="I20" s="444"/>
      <c r="J20" s="450"/>
      <c r="K20" s="444"/>
      <c r="L20" s="450"/>
      <c r="M20" s="444"/>
      <c r="N20" s="450"/>
      <c r="O20" s="450"/>
      <c r="P20" s="450"/>
      <c r="Q20" s="451" t="s">
        <v>374</v>
      </c>
      <c r="R20" s="451"/>
      <c r="S20" s="452"/>
      <c r="T20" s="452"/>
      <c r="U20" s="453"/>
      <c r="V20" s="454"/>
      <c r="W20" s="455" t="s">
        <v>406</v>
      </c>
      <c r="X20" s="455">
        <v>45519</v>
      </c>
      <c r="Y20" s="456" t="s">
        <v>377</v>
      </c>
      <c r="Z20" s="457"/>
      <c r="AA20" s="453"/>
    </row>
    <row r="21" spans="1:27" s="128" customFormat="1" ht="47.25" customHeight="1">
      <c r="A21" s="443">
        <v>11</v>
      </c>
      <c r="B21" s="444" t="s">
        <v>2456</v>
      </c>
      <c r="C21" s="445" t="s">
        <v>95</v>
      </c>
      <c r="D21" s="444" t="s">
        <v>2457</v>
      </c>
      <c r="E21" s="446">
        <v>1</v>
      </c>
      <c r="F21" s="447"/>
      <c r="G21" s="448">
        <f t="shared" si="0"/>
        <v>0</v>
      </c>
      <c r="H21" s="450"/>
      <c r="I21" s="444"/>
      <c r="J21" s="450"/>
      <c r="K21" s="444" t="s">
        <v>2429</v>
      </c>
      <c r="L21" s="450" t="s">
        <v>756</v>
      </c>
      <c r="M21" s="444" t="s">
        <v>2439</v>
      </c>
      <c r="N21" s="450"/>
      <c r="O21" s="450"/>
      <c r="P21" s="450" t="s">
        <v>2440</v>
      </c>
      <c r="Q21" s="451" t="s">
        <v>611</v>
      </c>
      <c r="R21" s="451" t="s">
        <v>2441</v>
      </c>
      <c r="S21" s="452" t="s">
        <v>842</v>
      </c>
      <c r="T21" s="452" t="s">
        <v>1026</v>
      </c>
      <c r="U21" s="453"/>
      <c r="V21" s="454"/>
      <c r="W21" s="455" t="s">
        <v>406</v>
      </c>
      <c r="X21" s="455">
        <v>45550</v>
      </c>
      <c r="Y21" s="456" t="s">
        <v>377</v>
      </c>
      <c r="Z21" s="457"/>
      <c r="AA21" s="453"/>
    </row>
    <row r="22" spans="1:27" s="128" customFormat="1" ht="47.25" customHeight="1">
      <c r="A22" s="443">
        <v>12</v>
      </c>
      <c r="B22" s="444" t="s">
        <v>2458</v>
      </c>
      <c r="C22" s="445" t="s">
        <v>95</v>
      </c>
      <c r="D22" s="444" t="s">
        <v>2459</v>
      </c>
      <c r="E22" s="446">
        <v>1</v>
      </c>
      <c r="F22" s="447"/>
      <c r="G22" s="448">
        <f t="shared" si="0"/>
        <v>0</v>
      </c>
      <c r="H22" s="450"/>
      <c r="I22" s="444"/>
      <c r="J22" s="450"/>
      <c r="K22" s="444"/>
      <c r="L22" s="450"/>
      <c r="M22" s="444"/>
      <c r="N22" s="450"/>
      <c r="O22" s="450"/>
      <c r="P22" s="450"/>
      <c r="Q22" s="451"/>
      <c r="R22" s="451"/>
      <c r="S22" s="452"/>
      <c r="T22" s="452"/>
      <c r="U22" s="453"/>
      <c r="V22" s="454"/>
      <c r="W22" s="455" t="s">
        <v>406</v>
      </c>
      <c r="X22" s="455">
        <v>45519</v>
      </c>
      <c r="Y22" s="456" t="s">
        <v>377</v>
      </c>
      <c r="Z22" s="457" t="s">
        <v>2460</v>
      </c>
      <c r="AA22" s="453"/>
    </row>
    <row r="23" spans="1:27" s="128" customFormat="1" ht="47.25" customHeight="1">
      <c r="A23" s="443">
        <v>13</v>
      </c>
      <c r="B23" s="444" t="s">
        <v>2461</v>
      </c>
      <c r="C23" s="445" t="s">
        <v>95</v>
      </c>
      <c r="D23" s="444" t="s">
        <v>2462</v>
      </c>
      <c r="E23" s="446">
        <v>1</v>
      </c>
      <c r="F23" s="447"/>
      <c r="G23" s="448">
        <f t="shared" si="0"/>
        <v>0</v>
      </c>
      <c r="H23" s="450"/>
      <c r="I23" s="444"/>
      <c r="J23" s="450"/>
      <c r="K23" s="444" t="s">
        <v>2429</v>
      </c>
      <c r="L23" s="450" t="s">
        <v>756</v>
      </c>
      <c r="M23" s="444" t="s">
        <v>2439</v>
      </c>
      <c r="N23" s="450"/>
      <c r="O23" s="450"/>
      <c r="P23" s="450" t="s">
        <v>2440</v>
      </c>
      <c r="Q23" s="451" t="s">
        <v>374</v>
      </c>
      <c r="R23" s="451" t="s">
        <v>2441</v>
      </c>
      <c r="S23" s="452" t="s">
        <v>842</v>
      </c>
      <c r="T23" s="452"/>
      <c r="U23" s="453"/>
      <c r="V23" s="454"/>
      <c r="W23" s="455" t="s">
        <v>406</v>
      </c>
      <c r="X23" s="455">
        <v>45550</v>
      </c>
      <c r="Y23" s="456" t="s">
        <v>377</v>
      </c>
      <c r="Z23" s="457"/>
      <c r="AA23" s="453"/>
    </row>
    <row r="24" spans="1:27" s="128" customFormat="1" ht="47.25" customHeight="1">
      <c r="A24" s="443">
        <v>14</v>
      </c>
      <c r="B24" s="444" t="s">
        <v>2463</v>
      </c>
      <c r="C24" s="445" t="s">
        <v>95</v>
      </c>
      <c r="D24" s="444" t="s">
        <v>2464</v>
      </c>
      <c r="E24" s="446">
        <v>1</v>
      </c>
      <c r="F24" s="447"/>
      <c r="G24" s="448">
        <f t="shared" si="0"/>
        <v>0</v>
      </c>
      <c r="H24" s="450"/>
      <c r="I24" s="444"/>
      <c r="J24" s="450"/>
      <c r="K24" s="444"/>
      <c r="L24" s="450"/>
      <c r="M24" s="444"/>
      <c r="N24" s="450"/>
      <c r="O24" s="450"/>
      <c r="P24" s="450"/>
      <c r="Q24" s="451" t="s">
        <v>374</v>
      </c>
      <c r="R24" s="451"/>
      <c r="S24" s="452"/>
      <c r="T24" s="452" t="s">
        <v>2465</v>
      </c>
      <c r="U24" s="453"/>
      <c r="V24" s="454"/>
      <c r="W24" s="455" t="s">
        <v>406</v>
      </c>
      <c r="X24" s="455">
        <v>45594</v>
      </c>
      <c r="Y24" s="456" t="s">
        <v>377</v>
      </c>
      <c r="Z24" s="457"/>
      <c r="AA24" s="453"/>
    </row>
    <row r="25" spans="1:27" s="128" customFormat="1" ht="47.25" customHeight="1">
      <c r="A25" s="443">
        <v>15</v>
      </c>
      <c r="B25" s="444" t="s">
        <v>2466</v>
      </c>
      <c r="C25" s="445" t="s">
        <v>95</v>
      </c>
      <c r="D25" s="444" t="s">
        <v>2467</v>
      </c>
      <c r="E25" s="446">
        <v>1</v>
      </c>
      <c r="F25" s="447"/>
      <c r="G25" s="448">
        <f t="shared" si="0"/>
        <v>0</v>
      </c>
      <c r="H25" s="450"/>
      <c r="I25" s="444"/>
      <c r="J25" s="450"/>
      <c r="K25" s="444" t="s">
        <v>2429</v>
      </c>
      <c r="L25" s="450" t="s">
        <v>756</v>
      </c>
      <c r="M25" s="444" t="s">
        <v>2434</v>
      </c>
      <c r="N25" s="450"/>
      <c r="O25" s="450"/>
      <c r="P25" s="450" t="s">
        <v>2288</v>
      </c>
      <c r="Q25" s="451" t="s">
        <v>374</v>
      </c>
      <c r="R25" s="451" t="s">
        <v>225</v>
      </c>
      <c r="S25" s="452" t="s">
        <v>1128</v>
      </c>
      <c r="T25" s="452"/>
      <c r="U25" s="453"/>
      <c r="V25" s="454"/>
      <c r="W25" s="455" t="s">
        <v>406</v>
      </c>
      <c r="X25" s="455">
        <v>45551</v>
      </c>
      <c r="Y25" s="456" t="s">
        <v>377</v>
      </c>
      <c r="Z25" s="457"/>
      <c r="AA25" s="453"/>
    </row>
    <row r="26" spans="1:27" s="128" customFormat="1" ht="47.25" customHeight="1">
      <c r="A26" s="405">
        <v>16</v>
      </c>
      <c r="B26" s="407" t="s">
        <v>2468</v>
      </c>
      <c r="C26" s="406" t="s">
        <v>95</v>
      </c>
      <c r="D26" s="407" t="s">
        <v>2469</v>
      </c>
      <c r="E26" s="408">
        <v>1</v>
      </c>
      <c r="F26" s="409"/>
      <c r="G26" s="410">
        <f t="shared" si="0"/>
        <v>0</v>
      </c>
      <c r="H26" s="412"/>
      <c r="I26" s="407"/>
      <c r="J26" s="412"/>
      <c r="K26" s="407" t="s">
        <v>2429</v>
      </c>
      <c r="L26" s="412" t="s">
        <v>756</v>
      </c>
      <c r="M26" s="407" t="s">
        <v>2470</v>
      </c>
      <c r="N26" s="412"/>
      <c r="O26" s="412"/>
      <c r="P26" s="412" t="s">
        <v>2288</v>
      </c>
      <c r="Q26" s="413" t="s">
        <v>726</v>
      </c>
      <c r="R26" s="413" t="s">
        <v>2471</v>
      </c>
      <c r="S26" s="414" t="s">
        <v>800</v>
      </c>
      <c r="T26" s="414">
        <v>45621</v>
      </c>
      <c r="U26" s="415"/>
      <c r="V26" s="416"/>
      <c r="W26" s="417"/>
      <c r="X26" s="417"/>
      <c r="Y26" s="418" t="s">
        <v>377</v>
      </c>
      <c r="Z26" s="419"/>
      <c r="AA26" s="415"/>
    </row>
    <row r="27" spans="1:27" s="128" customFormat="1" ht="47.25" customHeight="1">
      <c r="A27" s="443">
        <v>17</v>
      </c>
      <c r="B27" s="444" t="s">
        <v>2472</v>
      </c>
      <c r="C27" s="445" t="s">
        <v>95</v>
      </c>
      <c r="D27" s="444" t="s">
        <v>2473</v>
      </c>
      <c r="E27" s="446">
        <v>1</v>
      </c>
      <c r="F27" s="447"/>
      <c r="G27" s="448">
        <f t="shared" si="0"/>
        <v>0</v>
      </c>
      <c r="H27" s="450"/>
      <c r="I27" s="444"/>
      <c r="J27" s="450"/>
      <c r="K27" s="444" t="s">
        <v>2429</v>
      </c>
      <c r="L27" s="450" t="s">
        <v>756</v>
      </c>
      <c r="M27" s="444" t="s">
        <v>2470</v>
      </c>
      <c r="N27" s="450"/>
      <c r="O27" s="450"/>
      <c r="P27" s="450" t="s">
        <v>2288</v>
      </c>
      <c r="Q27" s="451" t="s">
        <v>374</v>
      </c>
      <c r="R27" s="451" t="s">
        <v>2471</v>
      </c>
      <c r="S27" s="452" t="s">
        <v>800</v>
      </c>
      <c r="T27" s="452" t="s">
        <v>481</v>
      </c>
      <c r="U27" s="453"/>
      <c r="V27" s="454"/>
      <c r="W27" s="455" t="s">
        <v>406</v>
      </c>
      <c r="X27" s="455">
        <v>45601</v>
      </c>
      <c r="Y27" s="456" t="s">
        <v>377</v>
      </c>
      <c r="Z27" s="457"/>
      <c r="AA27" s="453"/>
    </row>
    <row r="28" spans="1:27" s="128" customFormat="1" ht="47.25" customHeight="1">
      <c r="A28" s="443">
        <v>18</v>
      </c>
      <c r="B28" s="444" t="s">
        <v>2474</v>
      </c>
      <c r="C28" s="445" t="s">
        <v>95</v>
      </c>
      <c r="D28" s="444" t="s">
        <v>2475</v>
      </c>
      <c r="E28" s="446">
        <v>1</v>
      </c>
      <c r="F28" s="447"/>
      <c r="G28" s="448">
        <f t="shared" si="0"/>
        <v>0</v>
      </c>
      <c r="H28" s="450"/>
      <c r="I28" s="444"/>
      <c r="J28" s="450"/>
      <c r="K28" s="444" t="s">
        <v>2429</v>
      </c>
      <c r="L28" s="450" t="s">
        <v>756</v>
      </c>
      <c r="M28" s="444" t="s">
        <v>2476</v>
      </c>
      <c r="N28" s="450"/>
      <c r="O28" s="450"/>
      <c r="P28" s="450" t="s">
        <v>2288</v>
      </c>
      <c r="Q28" s="451" t="s">
        <v>374</v>
      </c>
      <c r="R28" s="451" t="s">
        <v>2477</v>
      </c>
      <c r="S28" s="452" t="s">
        <v>1628</v>
      </c>
      <c r="T28" s="452"/>
      <c r="U28" s="453"/>
      <c r="V28" s="454"/>
      <c r="W28" s="455" t="s">
        <v>406</v>
      </c>
      <c r="X28" s="455">
        <v>45595</v>
      </c>
      <c r="Y28" s="456" t="s">
        <v>377</v>
      </c>
      <c r="Z28" s="457"/>
      <c r="AA28" s="453"/>
    </row>
    <row r="29" spans="1:27" s="128" customFormat="1" ht="47.25" customHeight="1">
      <c r="A29" s="405">
        <v>19</v>
      </c>
      <c r="B29" s="407" t="s">
        <v>2478</v>
      </c>
      <c r="C29" s="406" t="s">
        <v>95</v>
      </c>
      <c r="D29" s="407" t="s">
        <v>2479</v>
      </c>
      <c r="E29" s="408">
        <v>1</v>
      </c>
      <c r="F29" s="409"/>
      <c r="G29" s="410">
        <f t="shared" si="0"/>
        <v>0</v>
      </c>
      <c r="H29" s="412"/>
      <c r="I29" s="407"/>
      <c r="J29" s="412"/>
      <c r="K29" s="407" t="s">
        <v>2429</v>
      </c>
      <c r="L29" s="412" t="s">
        <v>756</v>
      </c>
      <c r="M29" s="407" t="s">
        <v>2480</v>
      </c>
      <c r="N29" s="412"/>
      <c r="O29" s="412"/>
      <c r="P29" s="412" t="s">
        <v>2288</v>
      </c>
      <c r="Q29" s="413" t="s">
        <v>726</v>
      </c>
      <c r="R29" s="413" t="s">
        <v>2481</v>
      </c>
      <c r="S29" s="414" t="s">
        <v>1446</v>
      </c>
      <c r="T29" s="414"/>
      <c r="U29" s="415"/>
      <c r="V29" s="416"/>
      <c r="W29" s="417"/>
      <c r="X29" s="417"/>
      <c r="Y29" s="418" t="s">
        <v>377</v>
      </c>
      <c r="Z29" s="419"/>
      <c r="AA29" s="415">
        <v>1</v>
      </c>
    </row>
    <row r="30" spans="1:27" s="128" customFormat="1" ht="47.25" customHeight="1">
      <c r="A30" s="405">
        <v>20</v>
      </c>
      <c r="B30" s="407" t="s">
        <v>2482</v>
      </c>
      <c r="C30" s="406" t="s">
        <v>95</v>
      </c>
      <c r="D30" s="407" t="s">
        <v>2483</v>
      </c>
      <c r="E30" s="408">
        <v>1</v>
      </c>
      <c r="F30" s="409"/>
      <c r="G30" s="410">
        <f t="shared" si="0"/>
        <v>0</v>
      </c>
      <c r="H30" s="412"/>
      <c r="I30" s="407"/>
      <c r="J30" s="412"/>
      <c r="K30" s="407" t="s">
        <v>2429</v>
      </c>
      <c r="L30" s="412" t="s">
        <v>756</v>
      </c>
      <c r="M30" s="407" t="s">
        <v>2484</v>
      </c>
      <c r="N30" s="412"/>
      <c r="O30" s="412"/>
      <c r="P30" s="412" t="s">
        <v>2288</v>
      </c>
      <c r="Q30" s="413" t="s">
        <v>726</v>
      </c>
      <c r="R30" s="413" t="s">
        <v>2485</v>
      </c>
      <c r="S30" s="414" t="s">
        <v>2486</v>
      </c>
      <c r="T30" s="414"/>
      <c r="U30" s="415"/>
      <c r="V30" s="416"/>
      <c r="W30" s="417"/>
      <c r="X30" s="417"/>
      <c r="Y30" s="418" t="s">
        <v>377</v>
      </c>
      <c r="Z30" s="419"/>
      <c r="AA30" s="415"/>
    </row>
    <row r="31" spans="1:27" s="128" customFormat="1" ht="47.25" customHeight="1">
      <c r="A31" s="405">
        <v>21</v>
      </c>
      <c r="B31" s="407" t="s">
        <v>2487</v>
      </c>
      <c r="C31" s="406" t="s">
        <v>95</v>
      </c>
      <c r="D31" s="407" t="s">
        <v>2488</v>
      </c>
      <c r="E31" s="408">
        <v>1</v>
      </c>
      <c r="F31" s="409"/>
      <c r="G31" s="410">
        <f t="shared" si="0"/>
        <v>0</v>
      </c>
      <c r="H31" s="412"/>
      <c r="I31" s="407"/>
      <c r="J31" s="412"/>
      <c r="K31" s="407" t="s">
        <v>2429</v>
      </c>
      <c r="L31" s="412" t="s">
        <v>756</v>
      </c>
      <c r="M31" s="407" t="s">
        <v>2484</v>
      </c>
      <c r="N31" s="412"/>
      <c r="O31" s="412"/>
      <c r="P31" s="412" t="s">
        <v>2288</v>
      </c>
      <c r="Q31" s="413" t="s">
        <v>726</v>
      </c>
      <c r="R31" s="413" t="s">
        <v>2485</v>
      </c>
      <c r="S31" s="414" t="s">
        <v>2486</v>
      </c>
      <c r="T31" s="414"/>
      <c r="U31" s="415"/>
      <c r="V31" s="416"/>
      <c r="W31" s="417"/>
      <c r="X31" s="417"/>
      <c r="Y31" s="418" t="s">
        <v>377</v>
      </c>
      <c r="Z31" s="419"/>
      <c r="AA31" s="415"/>
    </row>
    <row r="32" spans="1:27" s="128" customFormat="1" ht="47.25" customHeight="1">
      <c r="A32" s="443">
        <v>22</v>
      </c>
      <c r="B32" s="444" t="s">
        <v>2489</v>
      </c>
      <c r="C32" s="445" t="s">
        <v>95</v>
      </c>
      <c r="D32" s="444" t="s">
        <v>2490</v>
      </c>
      <c r="E32" s="446">
        <v>1</v>
      </c>
      <c r="F32" s="447"/>
      <c r="G32" s="448">
        <f t="shared" si="0"/>
        <v>0</v>
      </c>
      <c r="H32" s="450"/>
      <c r="I32" s="444"/>
      <c r="J32" s="450"/>
      <c r="K32" s="444" t="s">
        <v>2429</v>
      </c>
      <c r="L32" s="450" t="s">
        <v>756</v>
      </c>
      <c r="M32" s="444" t="s">
        <v>2434</v>
      </c>
      <c r="N32" s="450"/>
      <c r="O32" s="450"/>
      <c r="P32" s="450" t="s">
        <v>2288</v>
      </c>
      <c r="Q32" s="451" t="s">
        <v>374</v>
      </c>
      <c r="R32" s="451" t="s">
        <v>225</v>
      </c>
      <c r="S32" s="452" t="s">
        <v>1128</v>
      </c>
      <c r="T32" s="452"/>
      <c r="U32" s="453"/>
      <c r="V32" s="454"/>
      <c r="W32" s="455" t="s">
        <v>406</v>
      </c>
      <c r="X32" s="455">
        <v>45594</v>
      </c>
      <c r="Y32" s="456" t="s">
        <v>377</v>
      </c>
      <c r="Z32" s="457"/>
      <c r="AA32" s="453"/>
    </row>
    <row r="33" spans="1:27" s="128" customFormat="1" ht="47.25" customHeight="1">
      <c r="A33" s="443">
        <v>23</v>
      </c>
      <c r="B33" s="444" t="s">
        <v>2491</v>
      </c>
      <c r="C33" s="445" t="s">
        <v>95</v>
      </c>
      <c r="D33" s="444" t="s">
        <v>2492</v>
      </c>
      <c r="E33" s="446">
        <v>1</v>
      </c>
      <c r="F33" s="447"/>
      <c r="G33" s="448">
        <f t="shared" si="0"/>
        <v>0</v>
      </c>
      <c r="H33" s="450"/>
      <c r="I33" s="444"/>
      <c r="J33" s="450"/>
      <c r="K33" s="444" t="s">
        <v>2429</v>
      </c>
      <c r="L33" s="450" t="s">
        <v>756</v>
      </c>
      <c r="M33" s="444" t="s">
        <v>2434</v>
      </c>
      <c r="N33" s="450"/>
      <c r="O33" s="450"/>
      <c r="P33" s="450" t="s">
        <v>2288</v>
      </c>
      <c r="Q33" s="451" t="s">
        <v>374</v>
      </c>
      <c r="R33" s="451" t="s">
        <v>225</v>
      </c>
      <c r="S33" s="452" t="s">
        <v>1128</v>
      </c>
      <c r="T33" s="452"/>
      <c r="U33" s="453"/>
      <c r="V33" s="454"/>
      <c r="W33" s="455" t="s">
        <v>406</v>
      </c>
      <c r="X33" s="455">
        <v>45594</v>
      </c>
      <c r="Y33" s="456" t="s">
        <v>377</v>
      </c>
      <c r="Z33" s="457"/>
      <c r="AA33" s="453"/>
    </row>
    <row r="34" spans="1:27" s="128" customFormat="1" ht="47.25" customHeight="1">
      <c r="A34" s="443">
        <v>24</v>
      </c>
      <c r="B34" s="444" t="s">
        <v>2493</v>
      </c>
      <c r="C34" s="445" t="s">
        <v>95</v>
      </c>
      <c r="D34" s="444" t="s">
        <v>2494</v>
      </c>
      <c r="E34" s="446">
        <v>1</v>
      </c>
      <c r="F34" s="447"/>
      <c r="G34" s="448">
        <f t="shared" si="0"/>
        <v>0</v>
      </c>
      <c r="H34" s="450"/>
      <c r="I34" s="444"/>
      <c r="J34" s="450"/>
      <c r="K34" s="444" t="s">
        <v>2429</v>
      </c>
      <c r="L34" s="450" t="s">
        <v>756</v>
      </c>
      <c r="M34" s="444" t="s">
        <v>2495</v>
      </c>
      <c r="N34" s="450"/>
      <c r="O34" s="450"/>
      <c r="P34" s="450" t="s">
        <v>2288</v>
      </c>
      <c r="Q34" s="451" t="s">
        <v>374</v>
      </c>
      <c r="R34" s="451" t="s">
        <v>2496</v>
      </c>
      <c r="S34" s="452" t="s">
        <v>417</v>
      </c>
      <c r="T34" s="452"/>
      <c r="U34" s="453"/>
      <c r="V34" s="454"/>
      <c r="W34" s="455" t="s">
        <v>406</v>
      </c>
      <c r="X34" s="455">
        <v>45604</v>
      </c>
      <c r="Y34" s="456" t="s">
        <v>377</v>
      </c>
      <c r="Z34" s="457"/>
      <c r="AA34" s="453"/>
    </row>
    <row r="35" spans="1:27" s="128" customFormat="1" ht="47.25" customHeight="1">
      <c r="A35" s="443">
        <v>25</v>
      </c>
      <c r="B35" s="444" t="s">
        <v>2497</v>
      </c>
      <c r="C35" s="445" t="s">
        <v>95</v>
      </c>
      <c r="D35" s="444" t="s">
        <v>2498</v>
      </c>
      <c r="E35" s="446">
        <v>1</v>
      </c>
      <c r="F35" s="447"/>
      <c r="G35" s="448">
        <f t="shared" si="0"/>
        <v>0</v>
      </c>
      <c r="H35" s="450"/>
      <c r="I35" s="444"/>
      <c r="J35" s="450"/>
      <c r="K35" s="444"/>
      <c r="L35" s="450"/>
      <c r="M35" s="444"/>
      <c r="N35" s="450"/>
      <c r="O35" s="450"/>
      <c r="P35" s="450"/>
      <c r="Q35" s="451" t="s">
        <v>374</v>
      </c>
      <c r="R35" s="451"/>
      <c r="S35" s="452"/>
      <c r="T35" s="452"/>
      <c r="U35" s="453"/>
      <c r="V35" s="454"/>
      <c r="W35" s="455" t="s">
        <v>406</v>
      </c>
      <c r="X35" s="455">
        <v>45519</v>
      </c>
      <c r="Y35" s="456" t="s">
        <v>377</v>
      </c>
      <c r="Z35" s="457"/>
      <c r="AA35" s="453"/>
    </row>
    <row r="36" spans="1:27" s="128" customFormat="1" ht="47.25" customHeight="1">
      <c r="A36" s="443">
        <v>26</v>
      </c>
      <c r="B36" s="444" t="s">
        <v>2499</v>
      </c>
      <c r="C36" s="445" t="s">
        <v>95</v>
      </c>
      <c r="D36" s="444" t="s">
        <v>2500</v>
      </c>
      <c r="E36" s="446">
        <v>1</v>
      </c>
      <c r="F36" s="447"/>
      <c r="G36" s="448">
        <f t="shared" si="0"/>
        <v>0</v>
      </c>
      <c r="H36" s="450"/>
      <c r="I36" s="444"/>
      <c r="J36" s="450"/>
      <c r="K36" s="444"/>
      <c r="L36" s="450"/>
      <c r="M36" s="444"/>
      <c r="N36" s="450"/>
      <c r="O36" s="450"/>
      <c r="P36" s="450"/>
      <c r="Q36" s="451" t="s">
        <v>374</v>
      </c>
      <c r="R36" s="451"/>
      <c r="S36" s="452"/>
      <c r="T36" s="452"/>
      <c r="U36" s="453"/>
      <c r="V36" s="454"/>
      <c r="W36" s="455" t="s">
        <v>406</v>
      </c>
      <c r="X36" s="455">
        <v>45519</v>
      </c>
      <c r="Y36" s="456" t="s">
        <v>377</v>
      </c>
      <c r="Z36" s="457"/>
      <c r="AA36" s="453"/>
    </row>
    <row r="37" spans="1:27" s="128" customFormat="1" ht="47.25" customHeight="1">
      <c r="A37" s="443">
        <v>27</v>
      </c>
      <c r="B37" s="444" t="s">
        <v>2501</v>
      </c>
      <c r="C37" s="445" t="s">
        <v>95</v>
      </c>
      <c r="D37" s="444" t="s">
        <v>2502</v>
      </c>
      <c r="E37" s="446">
        <v>2</v>
      </c>
      <c r="F37" s="447"/>
      <c r="G37" s="448">
        <f t="shared" si="0"/>
        <v>0</v>
      </c>
      <c r="H37" s="450"/>
      <c r="I37" s="444"/>
      <c r="J37" s="450"/>
      <c r="K37" s="444"/>
      <c r="L37" s="450"/>
      <c r="M37" s="444"/>
      <c r="N37" s="450"/>
      <c r="O37" s="450"/>
      <c r="P37" s="450"/>
      <c r="Q37" s="451" t="s">
        <v>374</v>
      </c>
      <c r="R37" s="451"/>
      <c r="S37" s="452"/>
      <c r="T37" s="452" t="s">
        <v>1026</v>
      </c>
      <c r="U37" s="453"/>
      <c r="V37" s="454"/>
      <c r="W37" s="455" t="s">
        <v>406</v>
      </c>
      <c r="X37" s="455">
        <v>45600</v>
      </c>
      <c r="Y37" s="456" t="s">
        <v>377</v>
      </c>
      <c r="Z37" s="457"/>
      <c r="AA37" s="453"/>
    </row>
    <row r="38" spans="1:27" s="128" customFormat="1" ht="47.25" customHeight="1">
      <c r="A38" s="443">
        <v>28</v>
      </c>
      <c r="B38" s="444" t="s">
        <v>2503</v>
      </c>
      <c r="C38" s="445" t="s">
        <v>95</v>
      </c>
      <c r="D38" s="444" t="s">
        <v>2504</v>
      </c>
      <c r="E38" s="446">
        <v>1</v>
      </c>
      <c r="F38" s="447"/>
      <c r="G38" s="448">
        <f t="shared" si="0"/>
        <v>0</v>
      </c>
      <c r="H38" s="450"/>
      <c r="I38" s="444"/>
      <c r="J38" s="450"/>
      <c r="K38" s="444"/>
      <c r="L38" s="450"/>
      <c r="M38" s="444"/>
      <c r="N38" s="450"/>
      <c r="O38" s="450"/>
      <c r="P38" s="450"/>
      <c r="Q38" s="451" t="s">
        <v>374</v>
      </c>
      <c r="R38" s="451"/>
      <c r="S38" s="452"/>
      <c r="T38" s="452"/>
      <c r="U38" s="453"/>
      <c r="V38" s="454"/>
      <c r="W38" s="455" t="s">
        <v>406</v>
      </c>
      <c r="X38" s="455">
        <v>45519</v>
      </c>
      <c r="Y38" s="456" t="s">
        <v>377</v>
      </c>
      <c r="Z38" s="457"/>
      <c r="AA38" s="453"/>
    </row>
    <row r="39" spans="1:27" s="128" customFormat="1" ht="47.25" customHeight="1">
      <c r="A39" s="443">
        <v>29</v>
      </c>
      <c r="B39" s="444" t="s">
        <v>2505</v>
      </c>
      <c r="C39" s="445" t="s">
        <v>95</v>
      </c>
      <c r="D39" s="444" t="s">
        <v>2506</v>
      </c>
      <c r="E39" s="446">
        <v>1</v>
      </c>
      <c r="F39" s="447"/>
      <c r="G39" s="448">
        <f t="shared" si="0"/>
        <v>0</v>
      </c>
      <c r="H39" s="450"/>
      <c r="I39" s="444"/>
      <c r="J39" s="450"/>
      <c r="K39" s="444"/>
      <c r="L39" s="450"/>
      <c r="M39" s="444"/>
      <c r="N39" s="450"/>
      <c r="O39" s="450"/>
      <c r="P39" s="450"/>
      <c r="Q39" s="451" t="s">
        <v>374</v>
      </c>
      <c r="R39" s="451"/>
      <c r="S39" s="452"/>
      <c r="T39" s="452"/>
      <c r="U39" s="453"/>
      <c r="V39" s="454"/>
      <c r="W39" s="455" t="s">
        <v>406</v>
      </c>
      <c r="X39" s="455">
        <v>45519</v>
      </c>
      <c r="Y39" s="456" t="s">
        <v>377</v>
      </c>
      <c r="Z39" s="457"/>
      <c r="AA39" s="453"/>
    </row>
    <row r="40" spans="1:27" s="128" customFormat="1" ht="47.25" customHeight="1">
      <c r="A40" s="443">
        <v>30</v>
      </c>
      <c r="B40" s="444" t="s">
        <v>2507</v>
      </c>
      <c r="C40" s="445" t="s">
        <v>95</v>
      </c>
      <c r="D40" s="444" t="s">
        <v>2508</v>
      </c>
      <c r="E40" s="446">
        <v>1</v>
      </c>
      <c r="F40" s="447"/>
      <c r="G40" s="448">
        <f t="shared" si="0"/>
        <v>0</v>
      </c>
      <c r="H40" s="450"/>
      <c r="I40" s="444"/>
      <c r="J40" s="450"/>
      <c r="K40" s="444"/>
      <c r="L40" s="450"/>
      <c r="M40" s="444"/>
      <c r="N40" s="450"/>
      <c r="O40" s="450"/>
      <c r="P40" s="450"/>
      <c r="Q40" s="451" t="s">
        <v>374</v>
      </c>
      <c r="R40" s="451"/>
      <c r="S40" s="452"/>
      <c r="T40" s="452"/>
      <c r="U40" s="453"/>
      <c r="V40" s="454"/>
      <c r="W40" s="455" t="s">
        <v>406</v>
      </c>
      <c r="X40" s="455">
        <v>45519</v>
      </c>
      <c r="Y40" s="456" t="s">
        <v>377</v>
      </c>
      <c r="Z40" s="457"/>
      <c r="AA40" s="453"/>
    </row>
    <row r="41" spans="1:27" s="128" customFormat="1" ht="47.25" customHeight="1">
      <c r="A41" s="443">
        <v>31</v>
      </c>
      <c r="B41" s="444" t="s">
        <v>2509</v>
      </c>
      <c r="C41" s="445" t="s">
        <v>95</v>
      </c>
      <c r="D41" s="444" t="s">
        <v>2510</v>
      </c>
      <c r="E41" s="446">
        <v>1</v>
      </c>
      <c r="F41" s="447"/>
      <c r="G41" s="448">
        <f t="shared" si="0"/>
        <v>0</v>
      </c>
      <c r="H41" s="450"/>
      <c r="I41" s="444"/>
      <c r="J41" s="450"/>
      <c r="K41" s="444" t="s">
        <v>2429</v>
      </c>
      <c r="L41" s="450" t="s">
        <v>756</v>
      </c>
      <c r="M41" s="444" t="s">
        <v>2511</v>
      </c>
      <c r="N41" s="450"/>
      <c r="O41" s="450"/>
      <c r="P41" s="450" t="s">
        <v>2288</v>
      </c>
      <c r="Q41" s="451" t="s">
        <v>374</v>
      </c>
      <c r="R41" s="451" t="s">
        <v>2512</v>
      </c>
      <c r="S41" s="452" t="s">
        <v>842</v>
      </c>
      <c r="T41" s="452" t="s">
        <v>481</v>
      </c>
      <c r="U41" s="453"/>
      <c r="V41" s="454"/>
      <c r="W41" s="455" t="s">
        <v>406</v>
      </c>
      <c r="X41" s="455">
        <v>45601</v>
      </c>
      <c r="Y41" s="456" t="s">
        <v>377</v>
      </c>
      <c r="Z41" s="457"/>
      <c r="AA41" s="453"/>
    </row>
    <row r="42" spans="1:27" s="128" customFormat="1" ht="47.25" customHeight="1">
      <c r="A42" s="458">
        <v>32</v>
      </c>
      <c r="B42" s="459" t="s">
        <v>2513</v>
      </c>
      <c r="C42" s="460" t="s">
        <v>95</v>
      </c>
      <c r="D42" s="459" t="s">
        <v>2514</v>
      </c>
      <c r="E42" s="461">
        <v>1</v>
      </c>
      <c r="F42" s="462"/>
      <c r="G42" s="463">
        <f t="shared" si="0"/>
        <v>0</v>
      </c>
      <c r="H42" s="465"/>
      <c r="I42" s="459"/>
      <c r="J42" s="465"/>
      <c r="K42" s="459" t="s">
        <v>2429</v>
      </c>
      <c r="L42" s="465" t="s">
        <v>756</v>
      </c>
      <c r="M42" s="459" t="s">
        <v>2515</v>
      </c>
      <c r="N42" s="465"/>
      <c r="O42" s="465"/>
      <c r="P42" s="465" t="s">
        <v>2288</v>
      </c>
      <c r="Q42" s="466" t="s">
        <v>374</v>
      </c>
      <c r="R42" s="466" t="s">
        <v>2516</v>
      </c>
      <c r="S42" s="467" t="s">
        <v>1564</v>
      </c>
      <c r="T42" s="467"/>
      <c r="U42" s="468"/>
      <c r="V42" s="469"/>
      <c r="W42" s="470" t="s">
        <v>406</v>
      </c>
      <c r="X42" s="470">
        <v>45594</v>
      </c>
      <c r="Y42" s="471" t="s">
        <v>377</v>
      </c>
      <c r="Z42" s="472"/>
      <c r="AA42" s="453"/>
    </row>
    <row r="43" spans="1:27" s="128" customFormat="1" ht="47.25" customHeight="1">
      <c r="A43" s="443">
        <v>33</v>
      </c>
      <c r="B43" s="444" t="s">
        <v>2517</v>
      </c>
      <c r="C43" s="445" t="s">
        <v>95</v>
      </c>
      <c r="D43" s="444" t="s">
        <v>2518</v>
      </c>
      <c r="E43" s="446">
        <v>2</v>
      </c>
      <c r="F43" s="447"/>
      <c r="G43" s="448">
        <f t="shared" ref="G43:G52" si="1">E43*F43</f>
        <v>0</v>
      </c>
      <c r="H43" s="450"/>
      <c r="I43" s="444"/>
      <c r="J43" s="450"/>
      <c r="K43" s="444"/>
      <c r="L43" s="450"/>
      <c r="M43" s="444"/>
      <c r="N43" s="450"/>
      <c r="O43" s="450"/>
      <c r="P43" s="450"/>
      <c r="Q43" s="451" t="s">
        <v>374</v>
      </c>
      <c r="R43" s="451"/>
      <c r="S43" s="452"/>
      <c r="T43" s="452"/>
      <c r="U43" s="453"/>
      <c r="V43" s="454"/>
      <c r="W43" s="455" t="s">
        <v>406</v>
      </c>
      <c r="X43" s="455">
        <v>45519</v>
      </c>
      <c r="Y43" s="456" t="s">
        <v>377</v>
      </c>
      <c r="Z43" s="457"/>
      <c r="AA43" s="453"/>
    </row>
    <row r="44" spans="1:27" s="128" customFormat="1" ht="47.25" customHeight="1">
      <c r="A44" s="443">
        <v>34</v>
      </c>
      <c r="B44" s="444" t="s">
        <v>2519</v>
      </c>
      <c r="C44" s="445" t="s">
        <v>95</v>
      </c>
      <c r="D44" s="444" t="s">
        <v>2520</v>
      </c>
      <c r="E44" s="446">
        <v>1</v>
      </c>
      <c r="F44" s="447"/>
      <c r="G44" s="448">
        <f t="shared" si="1"/>
        <v>0</v>
      </c>
      <c r="H44" s="450"/>
      <c r="I44" s="444"/>
      <c r="J44" s="450"/>
      <c r="K44" s="444" t="s">
        <v>2429</v>
      </c>
      <c r="L44" s="450" t="s">
        <v>756</v>
      </c>
      <c r="M44" s="444" t="s">
        <v>2434</v>
      </c>
      <c r="N44" s="450"/>
      <c r="O44" s="450"/>
      <c r="P44" s="450" t="s">
        <v>2288</v>
      </c>
      <c r="Q44" s="451" t="s">
        <v>374</v>
      </c>
      <c r="R44" s="451" t="s">
        <v>225</v>
      </c>
      <c r="S44" s="452" t="s">
        <v>1128</v>
      </c>
      <c r="T44" s="452"/>
      <c r="U44" s="453"/>
      <c r="V44" s="454"/>
      <c r="W44" s="455" t="s">
        <v>406</v>
      </c>
      <c r="X44" s="455">
        <v>45594</v>
      </c>
      <c r="Y44" s="456" t="s">
        <v>377</v>
      </c>
      <c r="Z44" s="457"/>
      <c r="AA44" s="453"/>
    </row>
    <row r="45" spans="1:27" s="128" customFormat="1" ht="47.25" customHeight="1">
      <c r="A45" s="405">
        <v>35</v>
      </c>
      <c r="B45" s="407" t="s">
        <v>2521</v>
      </c>
      <c r="C45" s="406" t="s">
        <v>95</v>
      </c>
      <c r="D45" s="407" t="s">
        <v>2522</v>
      </c>
      <c r="E45" s="408">
        <v>3</v>
      </c>
      <c r="F45" s="409"/>
      <c r="G45" s="410">
        <f t="shared" si="1"/>
        <v>0</v>
      </c>
      <c r="H45" s="412"/>
      <c r="I45" s="407"/>
      <c r="J45" s="412"/>
      <c r="K45" s="407" t="s">
        <v>2429</v>
      </c>
      <c r="L45" s="412" t="s">
        <v>756</v>
      </c>
      <c r="M45" s="407" t="s">
        <v>444</v>
      </c>
      <c r="N45" s="412"/>
      <c r="O45" s="412"/>
      <c r="P45" s="412" t="s">
        <v>444</v>
      </c>
      <c r="Q45" s="413" t="s">
        <v>591</v>
      </c>
      <c r="R45" s="413" t="s">
        <v>444</v>
      </c>
      <c r="S45" s="414" t="s">
        <v>444</v>
      </c>
      <c r="T45" s="414" t="s">
        <v>2523</v>
      </c>
      <c r="U45" s="415"/>
      <c r="V45" s="416"/>
      <c r="W45" s="417"/>
      <c r="X45" s="417"/>
      <c r="Y45" s="418" t="s">
        <v>377</v>
      </c>
      <c r="Z45" s="419" t="s">
        <v>2524</v>
      </c>
      <c r="AA45" s="415"/>
    </row>
    <row r="46" spans="1:27" s="128" customFormat="1" ht="47.25" customHeight="1">
      <c r="A46" s="443">
        <v>36</v>
      </c>
      <c r="B46" s="444" t="s">
        <v>2525</v>
      </c>
      <c r="C46" s="445" t="s">
        <v>95</v>
      </c>
      <c r="D46" s="444" t="s">
        <v>2526</v>
      </c>
      <c r="E46" s="446">
        <v>3</v>
      </c>
      <c r="F46" s="447"/>
      <c r="G46" s="448">
        <f t="shared" si="1"/>
        <v>0</v>
      </c>
      <c r="H46" s="450"/>
      <c r="I46" s="444"/>
      <c r="J46" s="450"/>
      <c r="K46" s="444" t="s">
        <v>2429</v>
      </c>
      <c r="L46" s="450" t="s">
        <v>756</v>
      </c>
      <c r="M46" s="444" t="s">
        <v>2527</v>
      </c>
      <c r="N46" s="450"/>
      <c r="O46" s="450"/>
      <c r="P46" s="450" t="s">
        <v>2288</v>
      </c>
      <c r="Q46" s="451" t="s">
        <v>1176</v>
      </c>
      <c r="R46" s="451" t="s">
        <v>2528</v>
      </c>
      <c r="S46" s="452" t="s">
        <v>842</v>
      </c>
      <c r="T46" s="452" t="s">
        <v>2529</v>
      </c>
      <c r="U46" s="453"/>
      <c r="V46" s="454"/>
      <c r="W46" s="455" t="s">
        <v>406</v>
      </c>
      <c r="X46" s="455">
        <v>45609</v>
      </c>
      <c r="Y46" s="456" t="s">
        <v>377</v>
      </c>
      <c r="Z46" s="457"/>
      <c r="AA46" s="453"/>
    </row>
    <row r="47" spans="1:27" s="128" customFormat="1" ht="47.25" customHeight="1">
      <c r="A47" s="443">
        <v>37</v>
      </c>
      <c r="B47" s="444" t="s">
        <v>2530</v>
      </c>
      <c r="C47" s="445" t="s">
        <v>95</v>
      </c>
      <c r="D47" s="444" t="s">
        <v>2531</v>
      </c>
      <c r="E47" s="446">
        <v>2</v>
      </c>
      <c r="F47" s="447"/>
      <c r="G47" s="448">
        <f t="shared" si="1"/>
        <v>0</v>
      </c>
      <c r="H47" s="450"/>
      <c r="I47" s="444"/>
      <c r="J47" s="450"/>
      <c r="K47" s="444"/>
      <c r="L47" s="450"/>
      <c r="M47" s="444"/>
      <c r="N47" s="450"/>
      <c r="O47" s="450"/>
      <c r="P47" s="450"/>
      <c r="Q47" s="451" t="s">
        <v>374</v>
      </c>
      <c r="R47" s="451"/>
      <c r="S47" s="452"/>
      <c r="T47" s="452" t="s">
        <v>1026</v>
      </c>
      <c r="U47" s="453"/>
      <c r="V47" s="454"/>
      <c r="W47" s="455" t="s">
        <v>406</v>
      </c>
      <c r="X47" s="455">
        <v>45600</v>
      </c>
      <c r="Y47" s="456" t="s">
        <v>377</v>
      </c>
      <c r="Z47" s="457"/>
      <c r="AA47" s="453"/>
    </row>
    <row r="48" spans="1:27" s="128" customFormat="1" ht="47.25" customHeight="1">
      <c r="A48" s="443">
        <v>38</v>
      </c>
      <c r="B48" s="444" t="s">
        <v>2532</v>
      </c>
      <c r="C48" s="445" t="s">
        <v>95</v>
      </c>
      <c r="D48" s="444" t="s">
        <v>2533</v>
      </c>
      <c r="E48" s="446">
        <v>2</v>
      </c>
      <c r="F48" s="447"/>
      <c r="G48" s="448">
        <f t="shared" si="1"/>
        <v>0</v>
      </c>
      <c r="H48" s="450"/>
      <c r="I48" s="444"/>
      <c r="J48" s="450"/>
      <c r="K48" s="444" t="s">
        <v>2429</v>
      </c>
      <c r="L48" s="450" t="s">
        <v>756</v>
      </c>
      <c r="M48" s="444" t="s">
        <v>2534</v>
      </c>
      <c r="N48" s="450"/>
      <c r="O48" s="450"/>
      <c r="P48" s="450" t="s">
        <v>2288</v>
      </c>
      <c r="Q48" s="451" t="s">
        <v>374</v>
      </c>
      <c r="R48" s="451" t="s">
        <v>995</v>
      </c>
      <c r="S48" s="452" t="s">
        <v>422</v>
      </c>
      <c r="T48" s="452"/>
      <c r="U48" s="453"/>
      <c r="V48" s="454"/>
      <c r="W48" s="455" t="s">
        <v>406</v>
      </c>
      <c r="X48" s="455">
        <v>45601</v>
      </c>
      <c r="Y48" s="456" t="s">
        <v>377</v>
      </c>
      <c r="Z48" s="457"/>
      <c r="AA48" s="453"/>
    </row>
    <row r="49" spans="1:27" s="441" customFormat="1" ht="47.25" customHeight="1">
      <c r="A49" s="477">
        <v>39</v>
      </c>
      <c r="B49" s="478" t="s">
        <v>2535</v>
      </c>
      <c r="C49" s="479" t="s">
        <v>95</v>
      </c>
      <c r="D49" s="478" t="s">
        <v>2536</v>
      </c>
      <c r="E49" s="480">
        <v>1</v>
      </c>
      <c r="F49" s="481"/>
      <c r="G49" s="482">
        <f t="shared" si="1"/>
        <v>0</v>
      </c>
      <c r="H49" s="483"/>
      <c r="I49" s="478"/>
      <c r="J49" s="483"/>
      <c r="K49" s="478"/>
      <c r="L49" s="483"/>
      <c r="M49" s="478"/>
      <c r="N49" s="483"/>
      <c r="O49" s="483"/>
      <c r="P49" s="483"/>
      <c r="Q49" s="484" t="s">
        <v>374</v>
      </c>
      <c r="R49" s="484"/>
      <c r="S49" s="485"/>
      <c r="T49" s="485" t="s">
        <v>1026</v>
      </c>
      <c r="U49" s="486"/>
      <c r="V49" s="487"/>
      <c r="W49" s="488" t="s">
        <v>406</v>
      </c>
      <c r="X49" s="488">
        <v>45600</v>
      </c>
      <c r="Y49" s="489" t="s">
        <v>592</v>
      </c>
      <c r="Z49" s="490"/>
      <c r="AA49" s="486"/>
    </row>
    <row r="50" spans="1:27" s="128" customFormat="1" ht="47.25" customHeight="1">
      <c r="A50" s="443">
        <v>40</v>
      </c>
      <c r="B50" s="444" t="s">
        <v>2537</v>
      </c>
      <c r="C50" s="445" t="s">
        <v>95</v>
      </c>
      <c r="D50" s="444" t="s">
        <v>2538</v>
      </c>
      <c r="E50" s="446">
        <v>2</v>
      </c>
      <c r="F50" s="447"/>
      <c r="G50" s="448">
        <f t="shared" si="1"/>
        <v>0</v>
      </c>
      <c r="H50" s="450"/>
      <c r="I50" s="444"/>
      <c r="J50" s="450"/>
      <c r="K50" s="444"/>
      <c r="L50" s="450"/>
      <c r="M50" s="444"/>
      <c r="N50" s="450"/>
      <c r="O50" s="450"/>
      <c r="P50" s="450"/>
      <c r="Q50" s="451" t="s">
        <v>374</v>
      </c>
      <c r="R50" s="451"/>
      <c r="S50" s="452"/>
      <c r="T50" s="452" t="s">
        <v>1026</v>
      </c>
      <c r="U50" s="453"/>
      <c r="V50" s="454"/>
      <c r="W50" s="455" t="s">
        <v>406</v>
      </c>
      <c r="X50" s="455">
        <v>45600</v>
      </c>
      <c r="Y50" s="456" t="s">
        <v>377</v>
      </c>
      <c r="Z50" s="457"/>
      <c r="AA50" s="453"/>
    </row>
    <row r="51" spans="1:27" s="441" customFormat="1" ht="47.25" customHeight="1">
      <c r="A51" s="477">
        <v>41</v>
      </c>
      <c r="B51" s="478" t="s">
        <v>2539</v>
      </c>
      <c r="C51" s="479" t="s">
        <v>95</v>
      </c>
      <c r="D51" s="478" t="s">
        <v>2540</v>
      </c>
      <c r="E51" s="480">
        <v>3</v>
      </c>
      <c r="F51" s="481"/>
      <c r="G51" s="482">
        <f t="shared" si="1"/>
        <v>0</v>
      </c>
      <c r="H51" s="483"/>
      <c r="I51" s="478"/>
      <c r="J51" s="483"/>
      <c r="K51" s="478"/>
      <c r="L51" s="483"/>
      <c r="M51" s="478"/>
      <c r="N51" s="483"/>
      <c r="O51" s="483"/>
      <c r="P51" s="483"/>
      <c r="Q51" s="484" t="s">
        <v>374</v>
      </c>
      <c r="R51" s="484"/>
      <c r="S51" s="485"/>
      <c r="T51" s="485" t="s">
        <v>1026</v>
      </c>
      <c r="U51" s="486"/>
      <c r="V51" s="487"/>
      <c r="W51" s="488" t="s">
        <v>406</v>
      </c>
      <c r="X51" s="488">
        <v>45600</v>
      </c>
      <c r="Y51" s="489" t="s">
        <v>592</v>
      </c>
      <c r="Z51" s="490"/>
      <c r="AA51" s="486"/>
    </row>
    <row r="52" spans="1:27" s="441" customFormat="1" ht="47.25" customHeight="1">
      <c r="A52" s="477">
        <v>42</v>
      </c>
      <c r="B52" s="478" t="s">
        <v>2541</v>
      </c>
      <c r="C52" s="479" t="s">
        <v>95</v>
      </c>
      <c r="D52" s="478" t="s">
        <v>2542</v>
      </c>
      <c r="E52" s="480">
        <v>2</v>
      </c>
      <c r="F52" s="481"/>
      <c r="G52" s="482">
        <f t="shared" si="1"/>
        <v>0</v>
      </c>
      <c r="H52" s="483"/>
      <c r="I52" s="478"/>
      <c r="J52" s="483"/>
      <c r="K52" s="478"/>
      <c r="L52" s="483"/>
      <c r="M52" s="478"/>
      <c r="N52" s="483"/>
      <c r="O52" s="483"/>
      <c r="P52" s="483"/>
      <c r="Q52" s="484" t="s">
        <v>374</v>
      </c>
      <c r="R52" s="484"/>
      <c r="S52" s="485"/>
      <c r="T52" s="485" t="s">
        <v>1026</v>
      </c>
      <c r="U52" s="486"/>
      <c r="V52" s="487"/>
      <c r="W52" s="488" t="s">
        <v>406</v>
      </c>
      <c r="X52" s="488">
        <v>45600</v>
      </c>
      <c r="Y52" s="489" t="s">
        <v>592</v>
      </c>
      <c r="Z52" s="490"/>
      <c r="AA52" s="486"/>
    </row>
    <row r="53" spans="1:27" s="128" customFormat="1" ht="47.25" customHeight="1">
      <c r="A53" s="443">
        <v>43</v>
      </c>
      <c r="B53" s="444" t="s">
        <v>2543</v>
      </c>
      <c r="C53" s="445" t="s">
        <v>95</v>
      </c>
      <c r="D53" s="444" t="s">
        <v>2544</v>
      </c>
      <c r="E53" s="446">
        <v>0</v>
      </c>
      <c r="F53" s="447"/>
      <c r="G53" s="448">
        <f t="shared" ref="G53:G59" si="2">E53*F53</f>
        <v>0</v>
      </c>
      <c r="H53" s="450"/>
      <c r="I53" s="444"/>
      <c r="J53" s="450"/>
      <c r="K53" s="444" t="s">
        <v>2545</v>
      </c>
      <c r="L53" s="450" t="s">
        <v>477</v>
      </c>
      <c r="M53" s="444" t="s">
        <v>2546</v>
      </c>
      <c r="N53" s="450"/>
      <c r="O53" s="450"/>
      <c r="P53" s="450" t="s">
        <v>1662</v>
      </c>
      <c r="Q53" s="451" t="s">
        <v>611</v>
      </c>
      <c r="R53" s="451" t="s">
        <v>2547</v>
      </c>
      <c r="S53" s="452" t="s">
        <v>694</v>
      </c>
      <c r="T53" s="452"/>
      <c r="U53" s="453"/>
      <c r="V53" s="454"/>
      <c r="W53" s="455" t="s">
        <v>406</v>
      </c>
      <c r="X53" s="455">
        <v>45569</v>
      </c>
      <c r="Y53" s="456" t="s">
        <v>377</v>
      </c>
      <c r="Z53" s="457"/>
      <c r="AA53" s="453"/>
    </row>
    <row r="54" spans="1:27" s="128" customFormat="1" ht="47.25" customHeight="1">
      <c r="A54" s="405">
        <v>44</v>
      </c>
      <c r="B54" s="407" t="s">
        <v>2548</v>
      </c>
      <c r="C54" s="406" t="s">
        <v>95</v>
      </c>
      <c r="D54" s="407" t="s">
        <v>2549</v>
      </c>
      <c r="E54" s="408">
        <v>1</v>
      </c>
      <c r="F54" s="409"/>
      <c r="G54" s="410">
        <f t="shared" si="2"/>
        <v>0</v>
      </c>
      <c r="H54" s="412"/>
      <c r="I54" s="407"/>
      <c r="J54" s="412"/>
      <c r="K54" s="407" t="s">
        <v>2550</v>
      </c>
      <c r="L54" s="412" t="s">
        <v>1348</v>
      </c>
      <c r="M54" s="407" t="s">
        <v>2551</v>
      </c>
      <c r="N54" s="412"/>
      <c r="O54" s="412"/>
      <c r="P54" s="412" t="s">
        <v>1350</v>
      </c>
      <c r="Q54" s="413" t="s">
        <v>726</v>
      </c>
      <c r="R54" s="413" t="s">
        <v>2512</v>
      </c>
      <c r="S54" s="414" t="s">
        <v>727</v>
      </c>
      <c r="T54" s="414"/>
      <c r="U54" s="415"/>
      <c r="V54" s="416"/>
      <c r="W54" s="417"/>
      <c r="X54" s="417"/>
      <c r="Y54" s="418" t="s">
        <v>377</v>
      </c>
      <c r="Z54" s="419"/>
      <c r="AA54" s="415"/>
    </row>
    <row r="55" spans="1:27" s="128" customFormat="1" ht="47.25" customHeight="1">
      <c r="A55" s="405">
        <v>45</v>
      </c>
      <c r="B55" s="407" t="s">
        <v>2552</v>
      </c>
      <c r="C55" s="406" t="s">
        <v>95</v>
      </c>
      <c r="D55" s="407" t="s">
        <v>2553</v>
      </c>
      <c r="E55" s="408">
        <v>1</v>
      </c>
      <c r="F55" s="409"/>
      <c r="G55" s="410">
        <f t="shared" si="2"/>
        <v>0</v>
      </c>
      <c r="H55" s="412"/>
      <c r="I55" s="407"/>
      <c r="J55" s="412"/>
      <c r="K55" s="407" t="s">
        <v>2554</v>
      </c>
      <c r="L55" s="412" t="s">
        <v>1628</v>
      </c>
      <c r="M55" s="407" t="s">
        <v>2555</v>
      </c>
      <c r="N55" s="412"/>
      <c r="O55" s="412"/>
      <c r="P55" s="412" t="s">
        <v>1630</v>
      </c>
      <c r="Q55" s="413" t="s">
        <v>374</v>
      </c>
      <c r="R55" s="413" t="s">
        <v>2556</v>
      </c>
      <c r="S55" s="414" t="s">
        <v>800</v>
      </c>
      <c r="T55" s="414" t="s">
        <v>481</v>
      </c>
      <c r="U55" s="415"/>
      <c r="V55" s="416"/>
      <c r="W55" s="417"/>
      <c r="X55" s="417"/>
      <c r="Y55" s="418" t="s">
        <v>377</v>
      </c>
      <c r="Z55" s="419"/>
      <c r="AA55" s="415"/>
    </row>
    <row r="56" spans="1:27" s="128" customFormat="1" ht="47.25" customHeight="1">
      <c r="A56" s="405">
        <v>46</v>
      </c>
      <c r="B56" s="407" t="s">
        <v>2557</v>
      </c>
      <c r="C56" s="406" t="s">
        <v>95</v>
      </c>
      <c r="D56" s="407" t="s">
        <v>2558</v>
      </c>
      <c r="E56" s="408">
        <v>1</v>
      </c>
      <c r="F56" s="409"/>
      <c r="G56" s="410">
        <f t="shared" si="2"/>
        <v>0</v>
      </c>
      <c r="H56" s="412"/>
      <c r="I56" s="407"/>
      <c r="J56" s="412"/>
      <c r="K56" s="407" t="s">
        <v>2559</v>
      </c>
      <c r="L56" s="412" t="s">
        <v>979</v>
      </c>
      <c r="M56" s="407" t="s">
        <v>2560</v>
      </c>
      <c r="N56" s="412"/>
      <c r="O56" s="412"/>
      <c r="P56" s="412" t="s">
        <v>2288</v>
      </c>
      <c r="Q56" s="413" t="s">
        <v>726</v>
      </c>
      <c r="R56" s="413" t="s">
        <v>2561</v>
      </c>
      <c r="S56" s="414" t="s">
        <v>2562</v>
      </c>
      <c r="T56" s="414" t="s">
        <v>2563</v>
      </c>
      <c r="U56" s="415"/>
      <c r="V56" s="416"/>
      <c r="W56" s="417"/>
      <c r="X56" s="417"/>
      <c r="Y56" s="418" t="s">
        <v>377</v>
      </c>
      <c r="Z56" s="419"/>
      <c r="AA56" s="415" t="s">
        <v>2564</v>
      </c>
    </row>
    <row r="57" spans="1:27" s="128" customFormat="1" ht="47.25" customHeight="1">
      <c r="A57" s="405">
        <v>47</v>
      </c>
      <c r="B57" s="407" t="s">
        <v>2535</v>
      </c>
      <c r="C57" s="406" t="s">
        <v>95</v>
      </c>
      <c r="D57" s="407" t="s">
        <v>2565</v>
      </c>
      <c r="E57" s="408">
        <v>1</v>
      </c>
      <c r="F57" s="409"/>
      <c r="G57" s="410">
        <f t="shared" si="2"/>
        <v>0</v>
      </c>
      <c r="H57" s="412"/>
      <c r="I57" s="407"/>
      <c r="J57" s="412"/>
      <c r="K57" s="407"/>
      <c r="L57" s="412"/>
      <c r="M57" s="407"/>
      <c r="N57" s="412"/>
      <c r="O57" s="412"/>
      <c r="P57" s="412"/>
      <c r="Q57" s="413"/>
      <c r="R57" s="413"/>
      <c r="S57" s="414"/>
      <c r="T57" s="414" t="s">
        <v>1812</v>
      </c>
      <c r="U57" s="415"/>
      <c r="V57" s="416"/>
      <c r="W57" s="417"/>
      <c r="X57" s="417"/>
      <c r="Y57" s="418" t="s">
        <v>377</v>
      </c>
      <c r="Z57" s="496"/>
      <c r="AA57" s="415"/>
    </row>
    <row r="58" spans="1:27" s="128" customFormat="1" ht="47.25" customHeight="1">
      <c r="A58" s="405">
        <v>48</v>
      </c>
      <c r="B58" s="407" t="s">
        <v>2539</v>
      </c>
      <c r="C58" s="406" t="s">
        <v>95</v>
      </c>
      <c r="D58" s="407" t="s">
        <v>2566</v>
      </c>
      <c r="E58" s="408">
        <v>3</v>
      </c>
      <c r="F58" s="409"/>
      <c r="G58" s="410">
        <f t="shared" si="2"/>
        <v>0</v>
      </c>
      <c r="H58" s="412"/>
      <c r="I58" s="407"/>
      <c r="J58" s="412"/>
      <c r="K58" s="407"/>
      <c r="L58" s="412"/>
      <c r="M58" s="407"/>
      <c r="N58" s="412"/>
      <c r="O58" s="412"/>
      <c r="P58" s="412"/>
      <c r="Q58" s="413"/>
      <c r="R58" s="413"/>
      <c r="S58" s="414"/>
      <c r="T58" s="414" t="s">
        <v>1812</v>
      </c>
      <c r="U58" s="415"/>
      <c r="V58" s="416"/>
      <c r="W58" s="417"/>
      <c r="X58" s="417"/>
      <c r="Y58" s="418" t="s">
        <v>377</v>
      </c>
      <c r="Z58" s="496"/>
      <c r="AA58" s="415"/>
    </row>
    <row r="59" spans="1:27" s="128" customFormat="1" ht="47.25" customHeight="1">
      <c r="A59" s="405">
        <v>49</v>
      </c>
      <c r="B59" s="407" t="s">
        <v>2541</v>
      </c>
      <c r="C59" s="406" t="s">
        <v>95</v>
      </c>
      <c r="D59" s="407" t="s">
        <v>2567</v>
      </c>
      <c r="E59" s="408">
        <v>2</v>
      </c>
      <c r="F59" s="409"/>
      <c r="G59" s="410">
        <f t="shared" si="2"/>
        <v>0</v>
      </c>
      <c r="H59" s="412"/>
      <c r="I59" s="407"/>
      <c r="J59" s="412"/>
      <c r="K59" s="407"/>
      <c r="L59" s="412"/>
      <c r="M59" s="407"/>
      <c r="N59" s="412"/>
      <c r="O59" s="412"/>
      <c r="P59" s="412"/>
      <c r="Q59" s="413"/>
      <c r="R59" s="413"/>
      <c r="S59" s="414"/>
      <c r="T59" s="414" t="s">
        <v>1812</v>
      </c>
      <c r="U59" s="415"/>
      <c r="V59" s="416"/>
      <c r="W59" s="417"/>
      <c r="X59" s="417"/>
      <c r="Y59" s="418" t="s">
        <v>377</v>
      </c>
      <c r="Z59" s="496"/>
      <c r="AA59" s="415"/>
    </row>
    <row r="60" spans="1:27">
      <c r="A60" s="389"/>
      <c r="B60" s="390" t="s">
        <v>2568</v>
      </c>
      <c r="C60" s="391"/>
      <c r="D60" s="392"/>
      <c r="E60" s="393"/>
      <c r="F60" s="394"/>
      <c r="G60" s="395">
        <f t="shared" ref="G60:G618" si="3">E60*F60</f>
        <v>0</v>
      </c>
      <c r="H60" s="420"/>
      <c r="I60" s="392"/>
      <c r="J60" s="420"/>
      <c r="K60" s="392"/>
      <c r="L60" s="397"/>
      <c r="M60" s="392"/>
      <c r="N60" s="397"/>
      <c r="O60" s="397"/>
      <c r="P60" s="397"/>
      <c r="Q60" s="398"/>
      <c r="R60" s="398"/>
      <c r="S60" s="399"/>
      <c r="T60" s="399"/>
      <c r="U60" s="400"/>
      <c r="V60" s="401"/>
      <c r="W60" s="402"/>
      <c r="X60" s="402"/>
      <c r="Y60" s="403"/>
      <c r="Z60" s="404"/>
      <c r="AA60" s="493"/>
    </row>
    <row r="61" spans="1:27" s="128" customFormat="1">
      <c r="A61" s="443">
        <v>1</v>
      </c>
      <c r="B61" s="444" t="s">
        <v>2569</v>
      </c>
      <c r="C61" s="445" t="s">
        <v>97</v>
      </c>
      <c r="D61" s="444" t="s">
        <v>2570</v>
      </c>
      <c r="E61" s="446">
        <v>3</v>
      </c>
      <c r="F61" s="447"/>
      <c r="G61" s="448">
        <f t="shared" ref="G61:G92" si="4">E61*F61</f>
        <v>0</v>
      </c>
      <c r="H61" s="450"/>
      <c r="I61" s="444"/>
      <c r="J61" s="450"/>
      <c r="K61" s="444"/>
      <c r="L61" s="450"/>
      <c r="M61" s="444"/>
      <c r="N61" s="450"/>
      <c r="O61" s="450"/>
      <c r="P61" s="450"/>
      <c r="Q61" s="451" t="s">
        <v>374</v>
      </c>
      <c r="R61" s="451"/>
      <c r="S61" s="452"/>
      <c r="T61" s="452"/>
      <c r="U61" s="453"/>
      <c r="V61" s="454"/>
      <c r="W61" s="455" t="s">
        <v>406</v>
      </c>
      <c r="X61" s="455">
        <v>45519</v>
      </c>
      <c r="Y61" s="456" t="s">
        <v>377</v>
      </c>
      <c r="Z61" s="457"/>
      <c r="AA61" s="453"/>
    </row>
    <row r="62" spans="1:27" s="128" customFormat="1">
      <c r="A62" s="443">
        <v>2</v>
      </c>
      <c r="B62" s="444" t="s">
        <v>2571</v>
      </c>
      <c r="C62" s="445" t="s">
        <v>97</v>
      </c>
      <c r="D62" s="444" t="s">
        <v>2572</v>
      </c>
      <c r="E62" s="446">
        <v>3</v>
      </c>
      <c r="F62" s="447"/>
      <c r="G62" s="448">
        <f t="shared" si="4"/>
        <v>0</v>
      </c>
      <c r="H62" s="450"/>
      <c r="I62" s="444"/>
      <c r="J62" s="450"/>
      <c r="K62" s="444"/>
      <c r="L62" s="450"/>
      <c r="M62" s="444"/>
      <c r="N62" s="450"/>
      <c r="O62" s="450"/>
      <c r="P62" s="450"/>
      <c r="Q62" s="451" t="s">
        <v>374</v>
      </c>
      <c r="R62" s="451"/>
      <c r="S62" s="452"/>
      <c r="T62" s="452"/>
      <c r="U62" s="453"/>
      <c r="V62" s="454"/>
      <c r="W62" s="455" t="s">
        <v>406</v>
      </c>
      <c r="X62" s="455">
        <v>45519</v>
      </c>
      <c r="Y62" s="456" t="s">
        <v>377</v>
      </c>
      <c r="Z62" s="457"/>
      <c r="AA62" s="453"/>
    </row>
    <row r="63" spans="1:27" s="128" customFormat="1">
      <c r="A63" s="443">
        <v>3</v>
      </c>
      <c r="B63" s="444" t="s">
        <v>2573</v>
      </c>
      <c r="C63" s="445" t="s">
        <v>97</v>
      </c>
      <c r="D63" s="444" t="s">
        <v>2574</v>
      </c>
      <c r="E63" s="446">
        <v>3</v>
      </c>
      <c r="F63" s="447"/>
      <c r="G63" s="448">
        <f t="shared" si="4"/>
        <v>0</v>
      </c>
      <c r="H63" s="450"/>
      <c r="I63" s="444"/>
      <c r="J63" s="450"/>
      <c r="K63" s="444"/>
      <c r="L63" s="450"/>
      <c r="M63" s="444"/>
      <c r="N63" s="450"/>
      <c r="O63" s="450"/>
      <c r="P63" s="450"/>
      <c r="Q63" s="451" t="s">
        <v>374</v>
      </c>
      <c r="R63" s="451"/>
      <c r="S63" s="452"/>
      <c r="T63" s="452"/>
      <c r="U63" s="453"/>
      <c r="V63" s="454"/>
      <c r="W63" s="455" t="s">
        <v>406</v>
      </c>
      <c r="X63" s="455">
        <v>45519</v>
      </c>
      <c r="Y63" s="456" t="s">
        <v>377</v>
      </c>
      <c r="Z63" s="457"/>
      <c r="AA63" s="453"/>
    </row>
    <row r="64" spans="1:27" s="128" customFormat="1">
      <c r="A64" s="443">
        <v>4</v>
      </c>
      <c r="B64" s="444" t="s">
        <v>2575</v>
      </c>
      <c r="C64" s="445" t="s">
        <v>97</v>
      </c>
      <c r="D64" s="444" t="s">
        <v>2576</v>
      </c>
      <c r="E64" s="446">
        <v>3</v>
      </c>
      <c r="F64" s="447"/>
      <c r="G64" s="448">
        <f t="shared" si="4"/>
        <v>0</v>
      </c>
      <c r="H64" s="450"/>
      <c r="I64" s="444"/>
      <c r="J64" s="450"/>
      <c r="K64" s="444"/>
      <c r="L64" s="450"/>
      <c r="M64" s="444"/>
      <c r="N64" s="450"/>
      <c r="O64" s="450"/>
      <c r="P64" s="450"/>
      <c r="Q64" s="451" t="s">
        <v>374</v>
      </c>
      <c r="R64" s="451"/>
      <c r="S64" s="452"/>
      <c r="T64" s="452"/>
      <c r="U64" s="453"/>
      <c r="V64" s="454"/>
      <c r="W64" s="455" t="s">
        <v>406</v>
      </c>
      <c r="X64" s="455">
        <v>45519</v>
      </c>
      <c r="Y64" s="456" t="s">
        <v>377</v>
      </c>
      <c r="Z64" s="457"/>
      <c r="AA64" s="453"/>
    </row>
    <row r="65" spans="1:27" s="128" customFormat="1">
      <c r="A65" s="443">
        <v>5</v>
      </c>
      <c r="B65" s="444" t="s">
        <v>2577</v>
      </c>
      <c r="C65" s="445" t="s">
        <v>97</v>
      </c>
      <c r="D65" s="444" t="s">
        <v>2578</v>
      </c>
      <c r="E65" s="446">
        <v>12</v>
      </c>
      <c r="F65" s="447"/>
      <c r="G65" s="448">
        <f t="shared" si="4"/>
        <v>0</v>
      </c>
      <c r="H65" s="450"/>
      <c r="I65" s="444"/>
      <c r="J65" s="450"/>
      <c r="K65" s="444"/>
      <c r="L65" s="450"/>
      <c r="M65" s="444"/>
      <c r="N65" s="450"/>
      <c r="O65" s="450"/>
      <c r="P65" s="450"/>
      <c r="Q65" s="451" t="s">
        <v>374</v>
      </c>
      <c r="R65" s="451"/>
      <c r="S65" s="452"/>
      <c r="T65" s="452"/>
      <c r="U65" s="453"/>
      <c r="V65" s="454"/>
      <c r="W65" s="455" t="s">
        <v>406</v>
      </c>
      <c r="X65" s="455">
        <v>45519</v>
      </c>
      <c r="Y65" s="456" t="s">
        <v>377</v>
      </c>
      <c r="Z65" s="457"/>
      <c r="AA65" s="453"/>
    </row>
    <row r="66" spans="1:27" s="128" customFormat="1">
      <c r="A66" s="443">
        <v>6</v>
      </c>
      <c r="B66" s="444" t="s">
        <v>2579</v>
      </c>
      <c r="C66" s="445" t="s">
        <v>97</v>
      </c>
      <c r="D66" s="444" t="s">
        <v>2580</v>
      </c>
      <c r="E66" s="446">
        <v>9</v>
      </c>
      <c r="F66" s="447"/>
      <c r="G66" s="448">
        <f t="shared" si="4"/>
        <v>0</v>
      </c>
      <c r="H66" s="450"/>
      <c r="I66" s="444"/>
      <c r="J66" s="450"/>
      <c r="K66" s="444"/>
      <c r="L66" s="450"/>
      <c r="M66" s="444"/>
      <c r="N66" s="450"/>
      <c r="O66" s="450"/>
      <c r="P66" s="450"/>
      <c r="Q66" s="451" t="s">
        <v>374</v>
      </c>
      <c r="R66" s="451"/>
      <c r="S66" s="452"/>
      <c r="T66" s="452"/>
      <c r="U66" s="453"/>
      <c r="V66" s="454"/>
      <c r="W66" s="455" t="s">
        <v>406</v>
      </c>
      <c r="X66" s="455">
        <v>45519</v>
      </c>
      <c r="Y66" s="456" t="s">
        <v>377</v>
      </c>
      <c r="Z66" s="457"/>
      <c r="AA66" s="453"/>
    </row>
    <row r="67" spans="1:27" s="128" customFormat="1">
      <c r="A67" s="443">
        <v>7</v>
      </c>
      <c r="B67" s="444" t="s">
        <v>2581</v>
      </c>
      <c r="C67" s="445" t="s">
        <v>97</v>
      </c>
      <c r="D67" s="444" t="s">
        <v>2582</v>
      </c>
      <c r="E67" s="446">
        <v>6</v>
      </c>
      <c r="F67" s="447"/>
      <c r="G67" s="448">
        <f t="shared" si="4"/>
        <v>0</v>
      </c>
      <c r="H67" s="450"/>
      <c r="I67" s="444"/>
      <c r="J67" s="450"/>
      <c r="K67" s="444"/>
      <c r="L67" s="450"/>
      <c r="M67" s="444"/>
      <c r="N67" s="450"/>
      <c r="O67" s="450"/>
      <c r="P67" s="450"/>
      <c r="Q67" s="451" t="s">
        <v>374</v>
      </c>
      <c r="R67" s="451"/>
      <c r="S67" s="452"/>
      <c r="T67" s="452"/>
      <c r="U67" s="453"/>
      <c r="V67" s="454"/>
      <c r="W67" s="455" t="s">
        <v>406</v>
      </c>
      <c r="X67" s="455">
        <v>45519</v>
      </c>
      <c r="Y67" s="456" t="s">
        <v>377</v>
      </c>
      <c r="Z67" s="457"/>
      <c r="AA67" s="453"/>
    </row>
    <row r="68" spans="1:27" s="128" customFormat="1">
      <c r="A68" s="443">
        <v>8</v>
      </c>
      <c r="B68" s="444" t="s">
        <v>2583</v>
      </c>
      <c r="C68" s="445" t="s">
        <v>97</v>
      </c>
      <c r="D68" s="444" t="s">
        <v>2584</v>
      </c>
      <c r="E68" s="446">
        <v>9</v>
      </c>
      <c r="F68" s="447"/>
      <c r="G68" s="448">
        <f t="shared" si="4"/>
        <v>0</v>
      </c>
      <c r="H68" s="450"/>
      <c r="I68" s="444"/>
      <c r="J68" s="450"/>
      <c r="K68" s="444"/>
      <c r="L68" s="450"/>
      <c r="M68" s="444"/>
      <c r="N68" s="450"/>
      <c r="O68" s="450"/>
      <c r="P68" s="450"/>
      <c r="Q68" s="451" t="s">
        <v>374</v>
      </c>
      <c r="R68" s="451"/>
      <c r="S68" s="452"/>
      <c r="T68" s="452"/>
      <c r="U68" s="453"/>
      <c r="V68" s="454"/>
      <c r="W68" s="455" t="s">
        <v>406</v>
      </c>
      <c r="X68" s="455">
        <v>45519</v>
      </c>
      <c r="Y68" s="456" t="s">
        <v>377</v>
      </c>
      <c r="Z68" s="457"/>
      <c r="AA68" s="453"/>
    </row>
    <row r="69" spans="1:27" s="128" customFormat="1">
      <c r="A69" s="443">
        <v>9</v>
      </c>
      <c r="B69" s="444" t="s">
        <v>2585</v>
      </c>
      <c r="C69" s="445" t="s">
        <v>97</v>
      </c>
      <c r="D69" s="444" t="s">
        <v>2586</v>
      </c>
      <c r="E69" s="446">
        <v>6</v>
      </c>
      <c r="F69" s="447"/>
      <c r="G69" s="448">
        <f t="shared" si="4"/>
        <v>0</v>
      </c>
      <c r="H69" s="450"/>
      <c r="I69" s="444"/>
      <c r="J69" s="450"/>
      <c r="K69" s="444"/>
      <c r="L69" s="450"/>
      <c r="M69" s="444"/>
      <c r="N69" s="450"/>
      <c r="O69" s="450"/>
      <c r="P69" s="450"/>
      <c r="Q69" s="451" t="s">
        <v>374</v>
      </c>
      <c r="R69" s="451"/>
      <c r="S69" s="452"/>
      <c r="T69" s="452"/>
      <c r="U69" s="453"/>
      <c r="V69" s="454"/>
      <c r="W69" s="455" t="s">
        <v>406</v>
      </c>
      <c r="X69" s="455">
        <v>45519</v>
      </c>
      <c r="Y69" s="456" t="s">
        <v>377</v>
      </c>
      <c r="Z69" s="457"/>
      <c r="AA69" s="453"/>
    </row>
    <row r="70" spans="1:27" s="128" customFormat="1" ht="37.5">
      <c r="A70" s="443">
        <v>10</v>
      </c>
      <c r="B70" s="444" t="s">
        <v>2587</v>
      </c>
      <c r="C70" s="445" t="s">
        <v>97</v>
      </c>
      <c r="D70" s="444" t="s">
        <v>2588</v>
      </c>
      <c r="E70" s="446">
        <v>3</v>
      </c>
      <c r="F70" s="447"/>
      <c r="G70" s="448">
        <f t="shared" si="4"/>
        <v>0</v>
      </c>
      <c r="H70" s="450"/>
      <c r="I70" s="444"/>
      <c r="J70" s="450"/>
      <c r="K70" s="444" t="s">
        <v>2589</v>
      </c>
      <c r="L70" s="450" t="s">
        <v>681</v>
      </c>
      <c r="M70" s="444" t="s">
        <v>2590</v>
      </c>
      <c r="N70" s="450"/>
      <c r="O70" s="450"/>
      <c r="P70" s="450" t="s">
        <v>1662</v>
      </c>
      <c r="Q70" s="451" t="s">
        <v>374</v>
      </c>
      <c r="R70" s="451" t="s">
        <v>269</v>
      </c>
      <c r="S70" s="452" t="s">
        <v>806</v>
      </c>
      <c r="T70" s="452"/>
      <c r="U70" s="453"/>
      <c r="V70" s="454"/>
      <c r="W70" s="455" t="s">
        <v>406</v>
      </c>
      <c r="X70" s="455">
        <v>45601</v>
      </c>
      <c r="Y70" s="456" t="s">
        <v>377</v>
      </c>
      <c r="Z70" s="457"/>
      <c r="AA70" s="453"/>
    </row>
    <row r="71" spans="1:27" s="128" customFormat="1" ht="37.5">
      <c r="A71" s="443">
        <v>11</v>
      </c>
      <c r="B71" s="444" t="s">
        <v>2591</v>
      </c>
      <c r="C71" s="445" t="s">
        <v>97</v>
      </c>
      <c r="D71" s="444" t="s">
        <v>2592</v>
      </c>
      <c r="E71" s="446">
        <v>3</v>
      </c>
      <c r="F71" s="447"/>
      <c r="G71" s="448">
        <f t="shared" si="4"/>
        <v>0</v>
      </c>
      <c r="H71" s="450"/>
      <c r="I71" s="444"/>
      <c r="J71" s="450"/>
      <c r="K71" s="444" t="s">
        <v>2589</v>
      </c>
      <c r="L71" s="450" t="s">
        <v>681</v>
      </c>
      <c r="M71" s="444" t="s">
        <v>2590</v>
      </c>
      <c r="N71" s="450"/>
      <c r="O71" s="450"/>
      <c r="P71" s="450" t="s">
        <v>1662</v>
      </c>
      <c r="Q71" s="451" t="s">
        <v>374</v>
      </c>
      <c r="R71" s="451" t="s">
        <v>269</v>
      </c>
      <c r="S71" s="452" t="s">
        <v>806</v>
      </c>
      <c r="T71" s="452"/>
      <c r="U71" s="453"/>
      <c r="V71" s="454"/>
      <c r="W71" s="455" t="s">
        <v>406</v>
      </c>
      <c r="X71" s="455">
        <v>45601</v>
      </c>
      <c r="Y71" s="456" t="s">
        <v>377</v>
      </c>
      <c r="Z71" s="457"/>
      <c r="AA71" s="453"/>
    </row>
    <row r="72" spans="1:27" s="128" customFormat="1">
      <c r="A72" s="443">
        <v>12</v>
      </c>
      <c r="B72" s="444" t="s">
        <v>2577</v>
      </c>
      <c r="C72" s="445" t="s">
        <v>97</v>
      </c>
      <c r="D72" s="444" t="s">
        <v>2578</v>
      </c>
      <c r="E72" s="446">
        <v>30</v>
      </c>
      <c r="F72" s="447"/>
      <c r="G72" s="448">
        <f t="shared" si="4"/>
        <v>0</v>
      </c>
      <c r="H72" s="450"/>
      <c r="I72" s="444"/>
      <c r="J72" s="450"/>
      <c r="K72" s="444"/>
      <c r="L72" s="450"/>
      <c r="M72" s="444"/>
      <c r="N72" s="450"/>
      <c r="O72" s="450"/>
      <c r="P72" s="450"/>
      <c r="Q72" s="451" t="s">
        <v>374</v>
      </c>
      <c r="R72" s="451"/>
      <c r="S72" s="452"/>
      <c r="T72" s="452"/>
      <c r="U72" s="453"/>
      <c r="V72" s="454"/>
      <c r="W72" s="455" t="s">
        <v>406</v>
      </c>
      <c r="X72" s="455">
        <v>45519</v>
      </c>
      <c r="Y72" s="456" t="s">
        <v>377</v>
      </c>
      <c r="Z72" s="457"/>
      <c r="AA72" s="453"/>
    </row>
    <row r="73" spans="1:27" s="128" customFormat="1">
      <c r="A73" s="443">
        <v>13</v>
      </c>
      <c r="B73" s="444" t="s">
        <v>2579</v>
      </c>
      <c r="C73" s="445" t="s">
        <v>97</v>
      </c>
      <c r="D73" s="444" t="s">
        <v>2580</v>
      </c>
      <c r="E73" s="446">
        <v>6</v>
      </c>
      <c r="F73" s="447"/>
      <c r="G73" s="448">
        <f t="shared" si="4"/>
        <v>0</v>
      </c>
      <c r="H73" s="450"/>
      <c r="I73" s="444"/>
      <c r="J73" s="450"/>
      <c r="K73" s="444"/>
      <c r="L73" s="450"/>
      <c r="M73" s="444"/>
      <c r="N73" s="450"/>
      <c r="O73" s="450"/>
      <c r="P73" s="450"/>
      <c r="Q73" s="451" t="s">
        <v>374</v>
      </c>
      <c r="R73" s="451"/>
      <c r="S73" s="452"/>
      <c r="T73" s="452"/>
      <c r="U73" s="453"/>
      <c r="V73" s="454"/>
      <c r="W73" s="455" t="s">
        <v>406</v>
      </c>
      <c r="X73" s="455">
        <v>45519</v>
      </c>
      <c r="Y73" s="456" t="s">
        <v>377</v>
      </c>
      <c r="Z73" s="457"/>
      <c r="AA73" s="453"/>
    </row>
    <row r="74" spans="1:27" s="128" customFormat="1">
      <c r="A74" s="443">
        <v>14</v>
      </c>
      <c r="B74" s="444" t="s">
        <v>2585</v>
      </c>
      <c r="C74" s="445" t="s">
        <v>97</v>
      </c>
      <c r="D74" s="444" t="s">
        <v>2586</v>
      </c>
      <c r="E74" s="446">
        <v>6</v>
      </c>
      <c r="F74" s="447"/>
      <c r="G74" s="448">
        <f t="shared" si="4"/>
        <v>0</v>
      </c>
      <c r="H74" s="450"/>
      <c r="I74" s="444"/>
      <c r="J74" s="450"/>
      <c r="K74" s="444"/>
      <c r="L74" s="450"/>
      <c r="M74" s="444"/>
      <c r="N74" s="450"/>
      <c r="O74" s="450"/>
      <c r="P74" s="450"/>
      <c r="Q74" s="451" t="s">
        <v>374</v>
      </c>
      <c r="R74" s="451"/>
      <c r="S74" s="452"/>
      <c r="T74" s="452"/>
      <c r="U74" s="453"/>
      <c r="V74" s="454"/>
      <c r="W74" s="455" t="s">
        <v>406</v>
      </c>
      <c r="X74" s="455">
        <v>45519</v>
      </c>
      <c r="Y74" s="456" t="s">
        <v>377</v>
      </c>
      <c r="Z74" s="457"/>
      <c r="AA74" s="453"/>
    </row>
    <row r="75" spans="1:27" s="128" customFormat="1">
      <c r="A75" s="443">
        <v>15</v>
      </c>
      <c r="B75" s="444" t="s">
        <v>2593</v>
      </c>
      <c r="C75" s="445" t="s">
        <v>97</v>
      </c>
      <c r="D75" s="444" t="s">
        <v>2594</v>
      </c>
      <c r="E75" s="446">
        <v>12</v>
      </c>
      <c r="F75" s="447"/>
      <c r="G75" s="448">
        <f t="shared" si="4"/>
        <v>0</v>
      </c>
      <c r="H75" s="450"/>
      <c r="I75" s="444"/>
      <c r="J75" s="450"/>
      <c r="K75" s="444"/>
      <c r="L75" s="450"/>
      <c r="M75" s="444"/>
      <c r="N75" s="450"/>
      <c r="O75" s="450"/>
      <c r="P75" s="450"/>
      <c r="Q75" s="451" t="s">
        <v>374</v>
      </c>
      <c r="R75" s="451"/>
      <c r="S75" s="452"/>
      <c r="T75" s="452"/>
      <c r="U75" s="453"/>
      <c r="V75" s="454"/>
      <c r="W75" s="455" t="s">
        <v>406</v>
      </c>
      <c r="X75" s="455">
        <v>45519</v>
      </c>
      <c r="Y75" s="456" t="s">
        <v>377</v>
      </c>
      <c r="Z75" s="457"/>
      <c r="AA75" s="453"/>
    </row>
    <row r="76" spans="1:27" s="128" customFormat="1">
      <c r="A76" s="443">
        <v>16</v>
      </c>
      <c r="B76" s="444" t="s">
        <v>2577</v>
      </c>
      <c r="C76" s="445" t="s">
        <v>97</v>
      </c>
      <c r="D76" s="444" t="s">
        <v>2578</v>
      </c>
      <c r="E76" s="446">
        <v>12</v>
      </c>
      <c r="F76" s="447"/>
      <c r="G76" s="448">
        <f t="shared" si="4"/>
        <v>0</v>
      </c>
      <c r="H76" s="450"/>
      <c r="I76" s="444"/>
      <c r="J76" s="450"/>
      <c r="K76" s="444"/>
      <c r="L76" s="450"/>
      <c r="M76" s="444"/>
      <c r="N76" s="450"/>
      <c r="O76" s="450"/>
      <c r="P76" s="450"/>
      <c r="Q76" s="451" t="s">
        <v>374</v>
      </c>
      <c r="R76" s="451"/>
      <c r="S76" s="452"/>
      <c r="T76" s="452"/>
      <c r="U76" s="453"/>
      <c r="V76" s="454"/>
      <c r="W76" s="455" t="s">
        <v>406</v>
      </c>
      <c r="X76" s="455">
        <v>45519</v>
      </c>
      <c r="Y76" s="456" t="s">
        <v>377</v>
      </c>
      <c r="Z76" s="457"/>
      <c r="AA76" s="453"/>
    </row>
    <row r="77" spans="1:27" s="128" customFormat="1">
      <c r="A77" s="443">
        <v>17</v>
      </c>
      <c r="B77" s="444" t="s">
        <v>2579</v>
      </c>
      <c r="C77" s="445" t="s">
        <v>97</v>
      </c>
      <c r="D77" s="444" t="s">
        <v>2580</v>
      </c>
      <c r="E77" s="446">
        <v>6</v>
      </c>
      <c r="F77" s="447"/>
      <c r="G77" s="448">
        <f t="shared" si="4"/>
        <v>0</v>
      </c>
      <c r="H77" s="450"/>
      <c r="I77" s="444"/>
      <c r="J77" s="450"/>
      <c r="K77" s="444"/>
      <c r="L77" s="450"/>
      <c r="M77" s="444"/>
      <c r="N77" s="450"/>
      <c r="O77" s="450"/>
      <c r="P77" s="450"/>
      <c r="Q77" s="451" t="s">
        <v>374</v>
      </c>
      <c r="R77" s="451"/>
      <c r="S77" s="452"/>
      <c r="T77" s="452"/>
      <c r="U77" s="453"/>
      <c r="V77" s="454"/>
      <c r="W77" s="455" t="s">
        <v>406</v>
      </c>
      <c r="X77" s="455">
        <v>45519</v>
      </c>
      <c r="Y77" s="456" t="s">
        <v>377</v>
      </c>
      <c r="Z77" s="457"/>
      <c r="AA77" s="453"/>
    </row>
    <row r="78" spans="1:27" s="128" customFormat="1">
      <c r="A78" s="443">
        <v>18</v>
      </c>
      <c r="B78" s="444" t="s">
        <v>2585</v>
      </c>
      <c r="C78" s="445" t="s">
        <v>97</v>
      </c>
      <c r="D78" s="444" t="s">
        <v>2586</v>
      </c>
      <c r="E78" s="446">
        <v>3</v>
      </c>
      <c r="F78" s="447"/>
      <c r="G78" s="448">
        <f t="shared" si="4"/>
        <v>0</v>
      </c>
      <c r="H78" s="450"/>
      <c r="I78" s="444"/>
      <c r="J78" s="450"/>
      <c r="K78" s="444"/>
      <c r="L78" s="450"/>
      <c r="M78" s="444"/>
      <c r="N78" s="450"/>
      <c r="O78" s="450"/>
      <c r="P78" s="450"/>
      <c r="Q78" s="451" t="s">
        <v>374</v>
      </c>
      <c r="R78" s="451"/>
      <c r="S78" s="452"/>
      <c r="T78" s="452"/>
      <c r="U78" s="453"/>
      <c r="V78" s="454"/>
      <c r="W78" s="455" t="s">
        <v>406</v>
      </c>
      <c r="X78" s="455">
        <v>45519</v>
      </c>
      <c r="Y78" s="456" t="s">
        <v>377</v>
      </c>
      <c r="Z78" s="457"/>
      <c r="AA78" s="453"/>
    </row>
    <row r="79" spans="1:27" s="128" customFormat="1">
      <c r="A79" s="443">
        <v>19</v>
      </c>
      <c r="B79" s="444" t="s">
        <v>2583</v>
      </c>
      <c r="C79" s="445" t="s">
        <v>97</v>
      </c>
      <c r="D79" s="444" t="s">
        <v>2584</v>
      </c>
      <c r="E79" s="446">
        <v>6</v>
      </c>
      <c r="F79" s="447"/>
      <c r="G79" s="448">
        <f t="shared" si="4"/>
        <v>0</v>
      </c>
      <c r="H79" s="450"/>
      <c r="I79" s="444"/>
      <c r="J79" s="450"/>
      <c r="K79" s="444"/>
      <c r="L79" s="450"/>
      <c r="M79" s="444"/>
      <c r="N79" s="450"/>
      <c r="O79" s="450"/>
      <c r="P79" s="450"/>
      <c r="Q79" s="451" t="s">
        <v>374</v>
      </c>
      <c r="R79" s="451"/>
      <c r="S79" s="452"/>
      <c r="T79" s="452"/>
      <c r="U79" s="453"/>
      <c r="V79" s="454"/>
      <c r="W79" s="455" t="s">
        <v>406</v>
      </c>
      <c r="X79" s="455">
        <v>45519</v>
      </c>
      <c r="Y79" s="456" t="s">
        <v>377</v>
      </c>
      <c r="Z79" s="457"/>
      <c r="AA79" s="453"/>
    </row>
    <row r="80" spans="1:27" s="128" customFormat="1">
      <c r="A80" s="443">
        <v>20</v>
      </c>
      <c r="B80" s="444" t="s">
        <v>2595</v>
      </c>
      <c r="C80" s="445" t="s">
        <v>97</v>
      </c>
      <c r="D80" s="444" t="s">
        <v>2596</v>
      </c>
      <c r="E80" s="446">
        <v>3</v>
      </c>
      <c r="F80" s="447"/>
      <c r="G80" s="448">
        <f t="shared" si="4"/>
        <v>0</v>
      </c>
      <c r="H80" s="450"/>
      <c r="I80" s="444"/>
      <c r="J80" s="450"/>
      <c r="K80" s="444"/>
      <c r="L80" s="450"/>
      <c r="M80" s="444"/>
      <c r="N80" s="450"/>
      <c r="O80" s="450"/>
      <c r="P80" s="450"/>
      <c r="Q80" s="451" t="s">
        <v>374</v>
      </c>
      <c r="R80" s="451"/>
      <c r="S80" s="452"/>
      <c r="T80" s="452"/>
      <c r="U80" s="453"/>
      <c r="V80" s="454"/>
      <c r="W80" s="455" t="s">
        <v>406</v>
      </c>
      <c r="X80" s="455">
        <v>45519</v>
      </c>
      <c r="Y80" s="456" t="s">
        <v>377</v>
      </c>
      <c r="Z80" s="457"/>
      <c r="AA80" s="453"/>
    </row>
    <row r="81" spans="1:27" s="128" customFormat="1">
      <c r="A81" s="443">
        <v>21</v>
      </c>
      <c r="B81" s="444" t="s">
        <v>2597</v>
      </c>
      <c r="C81" s="445" t="s">
        <v>97</v>
      </c>
      <c r="D81" s="444" t="s">
        <v>2598</v>
      </c>
      <c r="E81" s="446">
        <v>3</v>
      </c>
      <c r="F81" s="447"/>
      <c r="G81" s="448">
        <f t="shared" si="4"/>
        <v>0</v>
      </c>
      <c r="H81" s="450"/>
      <c r="I81" s="444"/>
      <c r="J81" s="450"/>
      <c r="K81" s="444"/>
      <c r="L81" s="450"/>
      <c r="M81" s="444"/>
      <c r="N81" s="450"/>
      <c r="O81" s="450"/>
      <c r="P81" s="450"/>
      <c r="Q81" s="451" t="s">
        <v>374</v>
      </c>
      <c r="R81" s="451"/>
      <c r="S81" s="452"/>
      <c r="T81" s="452"/>
      <c r="U81" s="453"/>
      <c r="V81" s="454"/>
      <c r="W81" s="455" t="s">
        <v>406</v>
      </c>
      <c r="X81" s="455">
        <v>45519</v>
      </c>
      <c r="Y81" s="456" t="s">
        <v>377</v>
      </c>
      <c r="Z81" s="457"/>
      <c r="AA81" s="453"/>
    </row>
    <row r="82" spans="1:27" s="128" customFormat="1">
      <c r="A82" s="443">
        <v>22</v>
      </c>
      <c r="B82" s="444" t="s">
        <v>2577</v>
      </c>
      <c r="C82" s="445" t="s">
        <v>97</v>
      </c>
      <c r="D82" s="444" t="s">
        <v>2578</v>
      </c>
      <c r="E82" s="446">
        <v>24</v>
      </c>
      <c r="F82" s="447"/>
      <c r="G82" s="448">
        <f t="shared" si="4"/>
        <v>0</v>
      </c>
      <c r="H82" s="450"/>
      <c r="I82" s="444"/>
      <c r="J82" s="450"/>
      <c r="K82" s="444"/>
      <c r="L82" s="450"/>
      <c r="M82" s="444"/>
      <c r="N82" s="450"/>
      <c r="O82" s="450"/>
      <c r="P82" s="450"/>
      <c r="Q82" s="451" t="s">
        <v>374</v>
      </c>
      <c r="R82" s="451"/>
      <c r="S82" s="452"/>
      <c r="T82" s="452"/>
      <c r="U82" s="453"/>
      <c r="V82" s="454"/>
      <c r="W82" s="455" t="s">
        <v>406</v>
      </c>
      <c r="X82" s="455">
        <v>45519</v>
      </c>
      <c r="Y82" s="456" t="s">
        <v>377</v>
      </c>
      <c r="Z82" s="457"/>
      <c r="AA82" s="453"/>
    </row>
    <row r="83" spans="1:27" s="128" customFormat="1">
      <c r="A83" s="443">
        <v>23</v>
      </c>
      <c r="B83" s="444" t="s">
        <v>2579</v>
      </c>
      <c r="C83" s="445" t="s">
        <v>97</v>
      </c>
      <c r="D83" s="444" t="s">
        <v>2580</v>
      </c>
      <c r="E83" s="446">
        <v>12</v>
      </c>
      <c r="F83" s="447"/>
      <c r="G83" s="448">
        <f t="shared" si="4"/>
        <v>0</v>
      </c>
      <c r="H83" s="450"/>
      <c r="I83" s="444"/>
      <c r="J83" s="450"/>
      <c r="K83" s="444"/>
      <c r="L83" s="450"/>
      <c r="M83" s="444"/>
      <c r="N83" s="450"/>
      <c r="O83" s="450"/>
      <c r="P83" s="450"/>
      <c r="Q83" s="451" t="s">
        <v>374</v>
      </c>
      <c r="R83" s="451"/>
      <c r="S83" s="452"/>
      <c r="T83" s="452"/>
      <c r="U83" s="453"/>
      <c r="V83" s="454"/>
      <c r="W83" s="455" t="s">
        <v>406</v>
      </c>
      <c r="X83" s="455">
        <v>45519</v>
      </c>
      <c r="Y83" s="456" t="s">
        <v>377</v>
      </c>
      <c r="Z83" s="457"/>
      <c r="AA83" s="453"/>
    </row>
    <row r="84" spans="1:27" s="128" customFormat="1">
      <c r="A84" s="443">
        <v>24</v>
      </c>
      <c r="B84" s="444" t="s">
        <v>2585</v>
      </c>
      <c r="C84" s="445" t="s">
        <v>97</v>
      </c>
      <c r="D84" s="444" t="s">
        <v>2586</v>
      </c>
      <c r="E84" s="446">
        <v>9</v>
      </c>
      <c r="F84" s="447"/>
      <c r="G84" s="448">
        <f t="shared" si="4"/>
        <v>0</v>
      </c>
      <c r="H84" s="450"/>
      <c r="I84" s="444"/>
      <c r="J84" s="450"/>
      <c r="K84" s="444"/>
      <c r="L84" s="450"/>
      <c r="M84" s="444"/>
      <c r="N84" s="450"/>
      <c r="O84" s="450"/>
      <c r="P84" s="450"/>
      <c r="Q84" s="451" t="s">
        <v>374</v>
      </c>
      <c r="R84" s="451"/>
      <c r="S84" s="452"/>
      <c r="T84" s="452"/>
      <c r="U84" s="453"/>
      <c r="V84" s="454"/>
      <c r="W84" s="455" t="s">
        <v>406</v>
      </c>
      <c r="X84" s="455">
        <v>45519</v>
      </c>
      <c r="Y84" s="456" t="s">
        <v>377</v>
      </c>
      <c r="Z84" s="457"/>
      <c r="AA84" s="453"/>
    </row>
    <row r="85" spans="1:27" s="128" customFormat="1">
      <c r="A85" s="443">
        <v>25</v>
      </c>
      <c r="B85" s="444" t="s">
        <v>2583</v>
      </c>
      <c r="C85" s="445" t="s">
        <v>97</v>
      </c>
      <c r="D85" s="444" t="s">
        <v>2584</v>
      </c>
      <c r="E85" s="446">
        <v>12</v>
      </c>
      <c r="F85" s="447"/>
      <c r="G85" s="448">
        <f t="shared" si="4"/>
        <v>0</v>
      </c>
      <c r="H85" s="450"/>
      <c r="I85" s="444"/>
      <c r="J85" s="450"/>
      <c r="K85" s="444"/>
      <c r="L85" s="450"/>
      <c r="M85" s="444"/>
      <c r="N85" s="450"/>
      <c r="O85" s="450"/>
      <c r="P85" s="450"/>
      <c r="Q85" s="451" t="s">
        <v>374</v>
      </c>
      <c r="R85" s="451"/>
      <c r="S85" s="452"/>
      <c r="T85" s="452"/>
      <c r="U85" s="453"/>
      <c r="V85" s="454"/>
      <c r="W85" s="455" t="s">
        <v>406</v>
      </c>
      <c r="X85" s="455">
        <v>45519</v>
      </c>
      <c r="Y85" s="456" t="s">
        <v>377</v>
      </c>
      <c r="Z85" s="457"/>
      <c r="AA85" s="453"/>
    </row>
    <row r="86" spans="1:27" s="128" customFormat="1" ht="37.5">
      <c r="A86" s="443">
        <v>26</v>
      </c>
      <c r="B86" s="444" t="s">
        <v>2599</v>
      </c>
      <c r="C86" s="445" t="s">
        <v>97</v>
      </c>
      <c r="D86" s="444" t="s">
        <v>2600</v>
      </c>
      <c r="E86" s="446">
        <v>3</v>
      </c>
      <c r="F86" s="447"/>
      <c r="G86" s="448">
        <f t="shared" si="4"/>
        <v>0</v>
      </c>
      <c r="H86" s="450"/>
      <c r="I86" s="444"/>
      <c r="J86" s="450"/>
      <c r="K86" s="444" t="s">
        <v>2589</v>
      </c>
      <c r="L86" s="450" t="s">
        <v>681</v>
      </c>
      <c r="M86" s="444" t="s">
        <v>2601</v>
      </c>
      <c r="N86" s="450"/>
      <c r="O86" s="450"/>
      <c r="P86" s="450" t="s">
        <v>1662</v>
      </c>
      <c r="Q86" s="451" t="s">
        <v>374</v>
      </c>
      <c r="R86" s="451" t="s">
        <v>247</v>
      </c>
      <c r="S86" s="452" t="s">
        <v>806</v>
      </c>
      <c r="T86" s="452"/>
      <c r="U86" s="453"/>
      <c r="V86" s="454"/>
      <c r="W86" s="455" t="s">
        <v>406</v>
      </c>
      <c r="X86" s="455">
        <v>45601</v>
      </c>
      <c r="Y86" s="456" t="s">
        <v>377</v>
      </c>
      <c r="Z86" s="457"/>
      <c r="AA86" s="453"/>
    </row>
    <row r="87" spans="1:27" s="128" customFormat="1">
      <c r="A87" s="443">
        <v>27</v>
      </c>
      <c r="B87" s="444" t="s">
        <v>2602</v>
      </c>
      <c r="C87" s="445" t="s">
        <v>97</v>
      </c>
      <c r="D87" s="444" t="s">
        <v>2603</v>
      </c>
      <c r="E87" s="446">
        <v>3</v>
      </c>
      <c r="F87" s="447"/>
      <c r="G87" s="448">
        <f t="shared" si="4"/>
        <v>0</v>
      </c>
      <c r="H87" s="450"/>
      <c r="I87" s="444"/>
      <c r="J87" s="450"/>
      <c r="K87" s="444"/>
      <c r="L87" s="450"/>
      <c r="M87" s="444"/>
      <c r="N87" s="450"/>
      <c r="O87" s="450"/>
      <c r="P87" s="450"/>
      <c r="Q87" s="451" t="s">
        <v>374</v>
      </c>
      <c r="R87" s="451"/>
      <c r="S87" s="452"/>
      <c r="T87" s="452"/>
      <c r="U87" s="453"/>
      <c r="V87" s="454"/>
      <c r="W87" s="455" t="s">
        <v>406</v>
      </c>
      <c r="X87" s="455">
        <v>45519</v>
      </c>
      <c r="Y87" s="456" t="s">
        <v>377</v>
      </c>
      <c r="Z87" s="457"/>
      <c r="AA87" s="453"/>
    </row>
    <row r="88" spans="1:27" s="128" customFormat="1" ht="37.5">
      <c r="A88" s="443">
        <v>28</v>
      </c>
      <c r="B88" s="444" t="s">
        <v>2604</v>
      </c>
      <c r="C88" s="445" t="s">
        <v>97</v>
      </c>
      <c r="D88" s="444" t="s">
        <v>2605</v>
      </c>
      <c r="E88" s="446">
        <v>6</v>
      </c>
      <c r="F88" s="447"/>
      <c r="G88" s="448">
        <f t="shared" si="4"/>
        <v>0</v>
      </c>
      <c r="H88" s="450"/>
      <c r="I88" s="444"/>
      <c r="J88" s="450"/>
      <c r="K88" s="444" t="s">
        <v>2589</v>
      </c>
      <c r="L88" s="450" t="s">
        <v>681</v>
      </c>
      <c r="M88" s="444" t="s">
        <v>2606</v>
      </c>
      <c r="N88" s="450"/>
      <c r="O88" s="450"/>
      <c r="P88" s="450" t="s">
        <v>1662</v>
      </c>
      <c r="Q88" s="451" t="s">
        <v>374</v>
      </c>
      <c r="R88" s="451" t="s">
        <v>2607</v>
      </c>
      <c r="S88" s="452" t="s">
        <v>859</v>
      </c>
      <c r="T88" s="452"/>
      <c r="U88" s="453"/>
      <c r="V88" s="454"/>
      <c r="W88" s="455" t="s">
        <v>406</v>
      </c>
      <c r="X88" s="455">
        <v>45519</v>
      </c>
      <c r="Y88" s="456" t="s">
        <v>377</v>
      </c>
      <c r="Z88" s="457"/>
      <c r="AA88" s="453"/>
    </row>
    <row r="89" spans="1:27" s="128" customFormat="1">
      <c r="A89" s="443">
        <v>29</v>
      </c>
      <c r="B89" s="444" t="s">
        <v>2608</v>
      </c>
      <c r="C89" s="445" t="s">
        <v>97</v>
      </c>
      <c r="D89" s="444" t="s">
        <v>2609</v>
      </c>
      <c r="E89" s="446">
        <v>6</v>
      </c>
      <c r="F89" s="447"/>
      <c r="G89" s="448">
        <f t="shared" si="4"/>
        <v>0</v>
      </c>
      <c r="H89" s="450"/>
      <c r="I89" s="444"/>
      <c r="J89" s="450"/>
      <c r="K89" s="444"/>
      <c r="L89" s="450"/>
      <c r="M89" s="444"/>
      <c r="N89" s="450"/>
      <c r="O89" s="450"/>
      <c r="P89" s="450"/>
      <c r="Q89" s="451" t="s">
        <v>374</v>
      </c>
      <c r="R89" s="451"/>
      <c r="S89" s="452"/>
      <c r="T89" s="452" t="s">
        <v>712</v>
      </c>
      <c r="U89" s="453"/>
      <c r="V89" s="454"/>
      <c r="W89" s="455" t="s">
        <v>406</v>
      </c>
      <c r="X89" s="455">
        <v>45582</v>
      </c>
      <c r="Y89" s="456" t="s">
        <v>377</v>
      </c>
      <c r="Z89" s="457"/>
      <c r="AA89" s="453"/>
    </row>
    <row r="90" spans="1:27" s="128" customFormat="1">
      <c r="A90" s="443">
        <v>30</v>
      </c>
      <c r="B90" s="444" t="s">
        <v>2610</v>
      </c>
      <c r="C90" s="445" t="s">
        <v>97</v>
      </c>
      <c r="D90" s="444" t="s">
        <v>2611</v>
      </c>
      <c r="E90" s="446">
        <v>3</v>
      </c>
      <c r="F90" s="447"/>
      <c r="G90" s="448">
        <f t="shared" si="4"/>
        <v>0</v>
      </c>
      <c r="H90" s="450"/>
      <c r="I90" s="444"/>
      <c r="J90" s="450"/>
      <c r="K90" s="444"/>
      <c r="L90" s="450"/>
      <c r="M90" s="444"/>
      <c r="N90" s="450"/>
      <c r="O90" s="450"/>
      <c r="P90" s="450"/>
      <c r="Q90" s="451" t="s">
        <v>374</v>
      </c>
      <c r="R90" s="451"/>
      <c r="S90" s="452"/>
      <c r="T90" s="452"/>
      <c r="U90" s="453"/>
      <c r="V90" s="454"/>
      <c r="W90" s="455" t="s">
        <v>406</v>
      </c>
      <c r="X90" s="455">
        <v>45519</v>
      </c>
      <c r="Y90" s="456" t="s">
        <v>377</v>
      </c>
      <c r="Z90" s="457"/>
      <c r="AA90" s="453"/>
    </row>
    <row r="91" spans="1:27" s="128" customFormat="1" ht="37.5">
      <c r="A91" s="443">
        <v>31</v>
      </c>
      <c r="B91" s="444" t="s">
        <v>2612</v>
      </c>
      <c r="C91" s="445" t="s">
        <v>97</v>
      </c>
      <c r="D91" s="444" t="s">
        <v>2613</v>
      </c>
      <c r="E91" s="446">
        <v>3</v>
      </c>
      <c r="F91" s="447"/>
      <c r="G91" s="448">
        <f t="shared" si="4"/>
        <v>0</v>
      </c>
      <c r="H91" s="450"/>
      <c r="I91" s="444"/>
      <c r="J91" s="450"/>
      <c r="K91" s="444"/>
      <c r="L91" s="450"/>
      <c r="M91" s="444"/>
      <c r="N91" s="450"/>
      <c r="O91" s="450"/>
      <c r="P91" s="450"/>
      <c r="Q91" s="451" t="s">
        <v>374</v>
      </c>
      <c r="R91" s="451"/>
      <c r="S91" s="452"/>
      <c r="T91" s="452"/>
      <c r="U91" s="453"/>
      <c r="V91" s="454"/>
      <c r="W91" s="455" t="s">
        <v>406</v>
      </c>
      <c r="X91" s="455">
        <v>45519</v>
      </c>
      <c r="Y91" s="456" t="s">
        <v>377</v>
      </c>
      <c r="Z91" s="457"/>
      <c r="AA91" s="453"/>
    </row>
    <row r="92" spans="1:27" s="128" customFormat="1" ht="37.5">
      <c r="A92" s="443">
        <v>32</v>
      </c>
      <c r="B92" s="444" t="s">
        <v>2614</v>
      </c>
      <c r="C92" s="445" t="s">
        <v>97</v>
      </c>
      <c r="D92" s="444" t="s">
        <v>2615</v>
      </c>
      <c r="E92" s="446">
        <v>3</v>
      </c>
      <c r="F92" s="447"/>
      <c r="G92" s="448">
        <f t="shared" si="4"/>
        <v>0</v>
      </c>
      <c r="H92" s="450"/>
      <c r="I92" s="444"/>
      <c r="J92" s="450"/>
      <c r="K92" s="444"/>
      <c r="L92" s="450"/>
      <c r="M92" s="444"/>
      <c r="N92" s="450"/>
      <c r="O92" s="450"/>
      <c r="P92" s="450"/>
      <c r="Q92" s="451" t="s">
        <v>374</v>
      </c>
      <c r="R92" s="451"/>
      <c r="S92" s="452"/>
      <c r="T92" s="452"/>
      <c r="U92" s="453"/>
      <c r="V92" s="454"/>
      <c r="W92" s="455" t="s">
        <v>406</v>
      </c>
      <c r="X92" s="455">
        <v>45519</v>
      </c>
      <c r="Y92" s="456" t="s">
        <v>377</v>
      </c>
      <c r="Z92" s="457"/>
      <c r="AA92" s="453"/>
    </row>
    <row r="93" spans="1:27" s="128" customFormat="1">
      <c r="A93" s="443">
        <v>33</v>
      </c>
      <c r="B93" s="444" t="s">
        <v>2616</v>
      </c>
      <c r="C93" s="445" t="s">
        <v>97</v>
      </c>
      <c r="D93" s="444" t="s">
        <v>2617</v>
      </c>
      <c r="E93" s="446">
        <v>48</v>
      </c>
      <c r="F93" s="447"/>
      <c r="G93" s="448">
        <f t="shared" ref="G93:G124" si="5">E93*F93</f>
        <v>0</v>
      </c>
      <c r="H93" s="450"/>
      <c r="I93" s="444"/>
      <c r="J93" s="450"/>
      <c r="K93" s="444"/>
      <c r="L93" s="450"/>
      <c r="M93" s="444"/>
      <c r="N93" s="450"/>
      <c r="O93" s="450"/>
      <c r="P93" s="450"/>
      <c r="Q93" s="451" t="s">
        <v>374</v>
      </c>
      <c r="R93" s="451"/>
      <c r="S93" s="452"/>
      <c r="T93" s="452"/>
      <c r="U93" s="453"/>
      <c r="V93" s="454"/>
      <c r="W93" s="455" t="s">
        <v>406</v>
      </c>
      <c r="X93" s="455">
        <v>45519</v>
      </c>
      <c r="Y93" s="456" t="s">
        <v>377</v>
      </c>
      <c r="Z93" s="457"/>
      <c r="AA93" s="453"/>
    </row>
    <row r="94" spans="1:27" s="128" customFormat="1">
      <c r="A94" s="443">
        <v>34</v>
      </c>
      <c r="B94" s="444" t="s">
        <v>2618</v>
      </c>
      <c r="C94" s="445" t="s">
        <v>97</v>
      </c>
      <c r="D94" s="444" t="s">
        <v>2619</v>
      </c>
      <c r="E94" s="446">
        <v>48</v>
      </c>
      <c r="F94" s="447"/>
      <c r="G94" s="448">
        <f t="shared" si="5"/>
        <v>0</v>
      </c>
      <c r="H94" s="450"/>
      <c r="I94" s="444"/>
      <c r="J94" s="450"/>
      <c r="K94" s="444"/>
      <c r="L94" s="450"/>
      <c r="M94" s="444"/>
      <c r="N94" s="450"/>
      <c r="O94" s="450"/>
      <c r="P94" s="450"/>
      <c r="Q94" s="451" t="s">
        <v>374</v>
      </c>
      <c r="R94" s="451"/>
      <c r="S94" s="452"/>
      <c r="T94" s="452"/>
      <c r="U94" s="453"/>
      <c r="V94" s="454"/>
      <c r="W94" s="455" t="s">
        <v>406</v>
      </c>
      <c r="X94" s="455">
        <v>45519</v>
      </c>
      <c r="Y94" s="456" t="s">
        <v>377</v>
      </c>
      <c r="Z94" s="457"/>
      <c r="AA94" s="453"/>
    </row>
    <row r="95" spans="1:27" s="128" customFormat="1" ht="37.5">
      <c r="A95" s="443">
        <v>35</v>
      </c>
      <c r="B95" s="444" t="s">
        <v>2620</v>
      </c>
      <c r="C95" s="445" t="s">
        <v>97</v>
      </c>
      <c r="D95" s="444" t="s">
        <v>2621</v>
      </c>
      <c r="E95" s="446">
        <v>3</v>
      </c>
      <c r="F95" s="447"/>
      <c r="G95" s="448">
        <f t="shared" si="5"/>
        <v>0</v>
      </c>
      <c r="H95" s="450"/>
      <c r="I95" s="444"/>
      <c r="J95" s="450"/>
      <c r="K95" s="444" t="s">
        <v>2589</v>
      </c>
      <c r="L95" s="450" t="s">
        <v>681</v>
      </c>
      <c r="M95" s="444" t="s">
        <v>2622</v>
      </c>
      <c r="N95" s="450"/>
      <c r="O95" s="450"/>
      <c r="P95" s="450" t="s">
        <v>1662</v>
      </c>
      <c r="Q95" s="451" t="s">
        <v>1176</v>
      </c>
      <c r="R95" s="451" t="s">
        <v>905</v>
      </c>
      <c r="S95" s="452" t="s">
        <v>1530</v>
      </c>
      <c r="T95" s="452">
        <v>45596</v>
      </c>
      <c r="U95" s="453"/>
      <c r="V95" s="454"/>
      <c r="W95" s="455" t="s">
        <v>406</v>
      </c>
      <c r="X95" s="455">
        <v>45580</v>
      </c>
      <c r="Y95" s="456" t="s">
        <v>377</v>
      </c>
      <c r="Z95" s="457"/>
      <c r="AA95" s="453"/>
    </row>
    <row r="96" spans="1:27" s="128" customFormat="1">
      <c r="A96" s="443">
        <v>36</v>
      </c>
      <c r="B96" s="444" t="s">
        <v>2604</v>
      </c>
      <c r="C96" s="445" t="s">
        <v>97</v>
      </c>
      <c r="D96" s="444" t="s">
        <v>2605</v>
      </c>
      <c r="E96" s="446">
        <v>12</v>
      </c>
      <c r="F96" s="447"/>
      <c r="G96" s="448">
        <f t="shared" si="5"/>
        <v>0</v>
      </c>
      <c r="H96" s="450"/>
      <c r="I96" s="444"/>
      <c r="J96" s="450"/>
      <c r="K96" s="444"/>
      <c r="L96" s="450"/>
      <c r="M96" s="444"/>
      <c r="N96" s="450"/>
      <c r="O96" s="450"/>
      <c r="P96" s="450"/>
      <c r="Q96" s="451" t="s">
        <v>374</v>
      </c>
      <c r="R96" s="451"/>
      <c r="S96" s="452"/>
      <c r="T96" s="452"/>
      <c r="U96" s="453"/>
      <c r="V96" s="454"/>
      <c r="W96" s="455" t="s">
        <v>406</v>
      </c>
      <c r="X96" s="455">
        <v>45519</v>
      </c>
      <c r="Y96" s="456" t="s">
        <v>377</v>
      </c>
      <c r="Z96" s="457"/>
      <c r="AA96" s="453"/>
    </row>
    <row r="97" spans="1:27" s="128" customFormat="1">
      <c r="A97" s="443">
        <v>37</v>
      </c>
      <c r="B97" s="444" t="s">
        <v>2608</v>
      </c>
      <c r="C97" s="445" t="s">
        <v>97</v>
      </c>
      <c r="D97" s="444" t="s">
        <v>2609</v>
      </c>
      <c r="E97" s="446">
        <v>3</v>
      </c>
      <c r="F97" s="447"/>
      <c r="G97" s="448">
        <f t="shared" si="5"/>
        <v>0</v>
      </c>
      <c r="H97" s="450"/>
      <c r="I97" s="444"/>
      <c r="J97" s="450"/>
      <c r="K97" s="444"/>
      <c r="L97" s="450"/>
      <c r="M97" s="444"/>
      <c r="N97" s="450"/>
      <c r="O97" s="450"/>
      <c r="P97" s="450"/>
      <c r="Q97" s="451" t="s">
        <v>374</v>
      </c>
      <c r="R97" s="451"/>
      <c r="S97" s="452"/>
      <c r="T97" s="452" t="s">
        <v>712</v>
      </c>
      <c r="U97" s="453"/>
      <c r="V97" s="454"/>
      <c r="W97" s="455" t="s">
        <v>406</v>
      </c>
      <c r="X97" s="455">
        <v>45582</v>
      </c>
      <c r="Y97" s="456" t="s">
        <v>377</v>
      </c>
      <c r="Z97" s="457"/>
      <c r="AA97" s="453"/>
    </row>
    <row r="98" spans="1:27" s="128" customFormat="1" ht="37.5">
      <c r="A98" s="443">
        <v>38</v>
      </c>
      <c r="B98" s="444" t="s">
        <v>2623</v>
      </c>
      <c r="C98" s="445" t="s">
        <v>97</v>
      </c>
      <c r="D98" s="444" t="s">
        <v>2624</v>
      </c>
      <c r="E98" s="446">
        <v>48</v>
      </c>
      <c r="F98" s="447"/>
      <c r="G98" s="448">
        <f t="shared" si="5"/>
        <v>0</v>
      </c>
      <c r="H98" s="450"/>
      <c r="I98" s="444"/>
      <c r="J98" s="450"/>
      <c r="K98" s="444" t="s">
        <v>2625</v>
      </c>
      <c r="L98" s="450" t="s">
        <v>1570</v>
      </c>
      <c r="M98" s="444" t="s">
        <v>2626</v>
      </c>
      <c r="N98" s="450"/>
      <c r="O98" s="450"/>
      <c r="P98" s="450" t="s">
        <v>2627</v>
      </c>
      <c r="Q98" s="451" t="s">
        <v>374</v>
      </c>
      <c r="R98" s="451" t="s">
        <v>2186</v>
      </c>
      <c r="S98" s="452" t="s">
        <v>2628</v>
      </c>
      <c r="T98" s="452">
        <v>45625</v>
      </c>
      <c r="U98" s="453"/>
      <c r="V98" s="454"/>
      <c r="W98" s="455" t="s">
        <v>406</v>
      </c>
      <c r="X98" s="455">
        <v>45601</v>
      </c>
      <c r="Y98" s="456" t="s">
        <v>377</v>
      </c>
      <c r="Z98" s="457" t="s">
        <v>2629</v>
      </c>
      <c r="AA98" s="453" t="s">
        <v>2446</v>
      </c>
    </row>
    <row r="99" spans="1:27" s="128" customFormat="1" ht="37.5">
      <c r="A99" s="443">
        <v>39</v>
      </c>
      <c r="B99" s="444" t="s">
        <v>2630</v>
      </c>
      <c r="C99" s="445" t="s">
        <v>97</v>
      </c>
      <c r="D99" s="444" t="s">
        <v>2631</v>
      </c>
      <c r="E99" s="446">
        <v>48</v>
      </c>
      <c r="F99" s="447"/>
      <c r="G99" s="448">
        <f t="shared" si="5"/>
        <v>0</v>
      </c>
      <c r="H99" s="450"/>
      <c r="I99" s="444"/>
      <c r="J99" s="450"/>
      <c r="K99" s="444" t="s">
        <v>2589</v>
      </c>
      <c r="L99" s="450" t="s">
        <v>681</v>
      </c>
      <c r="M99" s="444" t="s">
        <v>2629</v>
      </c>
      <c r="N99" s="450"/>
      <c r="O99" s="450"/>
      <c r="P99" s="450" t="s">
        <v>1091</v>
      </c>
      <c r="Q99" s="451" t="s">
        <v>374</v>
      </c>
      <c r="R99" s="451" t="s">
        <v>2186</v>
      </c>
      <c r="S99" s="452" t="s">
        <v>2014</v>
      </c>
      <c r="T99" s="452">
        <v>45579</v>
      </c>
      <c r="U99" s="453"/>
      <c r="V99" s="454"/>
      <c r="W99" s="455" t="s">
        <v>406</v>
      </c>
      <c r="X99" s="455">
        <v>45574</v>
      </c>
      <c r="Y99" s="456" t="s">
        <v>377</v>
      </c>
      <c r="Z99" s="457"/>
      <c r="AA99" s="453"/>
    </row>
    <row r="100" spans="1:27" s="128" customFormat="1">
      <c r="A100" s="443">
        <v>40</v>
      </c>
      <c r="B100" s="444" t="s">
        <v>2610</v>
      </c>
      <c r="C100" s="445" t="s">
        <v>97</v>
      </c>
      <c r="D100" s="444" t="s">
        <v>2611</v>
      </c>
      <c r="E100" s="446">
        <v>3</v>
      </c>
      <c r="F100" s="447"/>
      <c r="G100" s="448">
        <f t="shared" si="5"/>
        <v>0</v>
      </c>
      <c r="H100" s="450"/>
      <c r="I100" s="444"/>
      <c r="J100" s="450"/>
      <c r="K100" s="444"/>
      <c r="L100" s="450"/>
      <c r="M100" s="444"/>
      <c r="N100" s="450"/>
      <c r="O100" s="450"/>
      <c r="P100" s="450"/>
      <c r="Q100" s="451" t="s">
        <v>374</v>
      </c>
      <c r="R100" s="451"/>
      <c r="S100" s="452"/>
      <c r="T100" s="452"/>
      <c r="U100" s="453"/>
      <c r="V100" s="454"/>
      <c r="W100" s="455" t="s">
        <v>406</v>
      </c>
      <c r="X100" s="455">
        <v>45519</v>
      </c>
      <c r="Y100" s="456" t="s">
        <v>377</v>
      </c>
      <c r="Z100" s="457"/>
      <c r="AA100" s="453"/>
    </row>
    <row r="101" spans="1:27" s="128" customFormat="1" ht="37.5">
      <c r="A101" s="443">
        <v>41</v>
      </c>
      <c r="B101" s="444" t="s">
        <v>2612</v>
      </c>
      <c r="C101" s="445" t="s">
        <v>97</v>
      </c>
      <c r="D101" s="444" t="s">
        <v>2613</v>
      </c>
      <c r="E101" s="446">
        <v>3</v>
      </c>
      <c r="F101" s="447"/>
      <c r="G101" s="448">
        <f t="shared" si="5"/>
        <v>0</v>
      </c>
      <c r="H101" s="450"/>
      <c r="I101" s="444"/>
      <c r="J101" s="450"/>
      <c r="K101" s="444"/>
      <c r="L101" s="450"/>
      <c r="M101" s="444"/>
      <c r="N101" s="450"/>
      <c r="O101" s="450"/>
      <c r="P101" s="450"/>
      <c r="Q101" s="451" t="s">
        <v>374</v>
      </c>
      <c r="R101" s="451"/>
      <c r="S101" s="452"/>
      <c r="T101" s="452"/>
      <c r="U101" s="453"/>
      <c r="V101" s="454"/>
      <c r="W101" s="455" t="s">
        <v>406</v>
      </c>
      <c r="X101" s="455">
        <v>45519</v>
      </c>
      <c r="Y101" s="456" t="s">
        <v>377</v>
      </c>
      <c r="Z101" s="457"/>
      <c r="AA101" s="453"/>
    </row>
    <row r="102" spans="1:27" s="128" customFormat="1" ht="37.5">
      <c r="A102" s="443">
        <v>42</v>
      </c>
      <c r="B102" s="444" t="s">
        <v>2614</v>
      </c>
      <c r="C102" s="445" t="s">
        <v>97</v>
      </c>
      <c r="D102" s="444" t="s">
        <v>2615</v>
      </c>
      <c r="E102" s="446">
        <v>3</v>
      </c>
      <c r="F102" s="447"/>
      <c r="G102" s="448">
        <f t="shared" si="5"/>
        <v>0</v>
      </c>
      <c r="H102" s="450"/>
      <c r="I102" s="444"/>
      <c r="J102" s="450"/>
      <c r="K102" s="444"/>
      <c r="L102" s="450"/>
      <c r="M102" s="444"/>
      <c r="N102" s="450"/>
      <c r="O102" s="450"/>
      <c r="P102" s="450"/>
      <c r="Q102" s="451" t="s">
        <v>374</v>
      </c>
      <c r="R102" s="451"/>
      <c r="S102" s="452"/>
      <c r="T102" s="452"/>
      <c r="U102" s="453"/>
      <c r="V102" s="454"/>
      <c r="W102" s="455" t="s">
        <v>406</v>
      </c>
      <c r="X102" s="455">
        <v>45519</v>
      </c>
      <c r="Y102" s="456" t="s">
        <v>377</v>
      </c>
      <c r="Z102" s="457"/>
      <c r="AA102" s="453"/>
    </row>
    <row r="103" spans="1:27" s="128" customFormat="1">
      <c r="A103" s="443">
        <v>43</v>
      </c>
      <c r="B103" s="444" t="s">
        <v>2616</v>
      </c>
      <c r="C103" s="445" t="s">
        <v>97</v>
      </c>
      <c r="D103" s="444" t="s">
        <v>2617</v>
      </c>
      <c r="E103" s="446">
        <v>48</v>
      </c>
      <c r="F103" s="447"/>
      <c r="G103" s="448">
        <f t="shared" si="5"/>
        <v>0</v>
      </c>
      <c r="H103" s="450"/>
      <c r="I103" s="444"/>
      <c r="J103" s="450"/>
      <c r="K103" s="444"/>
      <c r="L103" s="450"/>
      <c r="M103" s="444"/>
      <c r="N103" s="450"/>
      <c r="O103" s="450"/>
      <c r="P103" s="450"/>
      <c r="Q103" s="451" t="s">
        <v>374</v>
      </c>
      <c r="R103" s="451"/>
      <c r="S103" s="452"/>
      <c r="T103" s="452"/>
      <c r="U103" s="453"/>
      <c r="V103" s="454"/>
      <c r="W103" s="455" t="s">
        <v>406</v>
      </c>
      <c r="X103" s="455">
        <v>45519</v>
      </c>
      <c r="Y103" s="456" t="s">
        <v>377</v>
      </c>
      <c r="Z103" s="457"/>
      <c r="AA103" s="453"/>
    </row>
    <row r="104" spans="1:27" s="128" customFormat="1">
      <c r="A104" s="443">
        <v>44</v>
      </c>
      <c r="B104" s="444" t="s">
        <v>2618</v>
      </c>
      <c r="C104" s="445" t="s">
        <v>97</v>
      </c>
      <c r="D104" s="444" t="s">
        <v>2619</v>
      </c>
      <c r="E104" s="446">
        <v>144</v>
      </c>
      <c r="F104" s="447"/>
      <c r="G104" s="448">
        <f t="shared" si="5"/>
        <v>0</v>
      </c>
      <c r="H104" s="450"/>
      <c r="I104" s="444"/>
      <c r="J104" s="450"/>
      <c r="K104" s="444"/>
      <c r="L104" s="450"/>
      <c r="M104" s="444"/>
      <c r="N104" s="450"/>
      <c r="O104" s="450"/>
      <c r="P104" s="450"/>
      <c r="Q104" s="451" t="s">
        <v>374</v>
      </c>
      <c r="R104" s="451"/>
      <c r="S104" s="452"/>
      <c r="T104" s="452"/>
      <c r="U104" s="453"/>
      <c r="V104" s="454"/>
      <c r="W104" s="455" t="s">
        <v>406</v>
      </c>
      <c r="X104" s="455">
        <v>45519</v>
      </c>
      <c r="Y104" s="456" t="s">
        <v>377</v>
      </c>
      <c r="Z104" s="457"/>
      <c r="AA104" s="453"/>
    </row>
    <row r="105" spans="1:27" s="128" customFormat="1" ht="37.5">
      <c r="A105" s="405">
        <v>45</v>
      </c>
      <c r="B105" s="407" t="s">
        <v>2620</v>
      </c>
      <c r="C105" s="406" t="s">
        <v>97</v>
      </c>
      <c r="D105" s="407" t="s">
        <v>2621</v>
      </c>
      <c r="E105" s="408">
        <v>3</v>
      </c>
      <c r="F105" s="409"/>
      <c r="G105" s="410">
        <f t="shared" si="5"/>
        <v>0</v>
      </c>
      <c r="H105" s="412"/>
      <c r="I105" s="407"/>
      <c r="J105" s="412"/>
      <c r="K105" s="407"/>
      <c r="L105" s="412"/>
      <c r="M105" s="407"/>
      <c r="N105" s="412"/>
      <c r="O105" s="412"/>
      <c r="P105" s="412"/>
      <c r="Q105" s="413" t="s">
        <v>1176</v>
      </c>
      <c r="R105" s="413"/>
      <c r="S105" s="414"/>
      <c r="T105" s="414" t="s">
        <v>712</v>
      </c>
      <c r="U105" s="415"/>
      <c r="V105" s="416"/>
      <c r="W105" s="417"/>
      <c r="X105" s="417"/>
      <c r="Y105" s="418" t="s">
        <v>377</v>
      </c>
      <c r="Z105" s="419" t="s">
        <v>2632</v>
      </c>
      <c r="AA105" s="415"/>
    </row>
    <row r="106" spans="1:27" s="128" customFormat="1">
      <c r="A106" s="443">
        <v>46</v>
      </c>
      <c r="B106" s="444" t="s">
        <v>2604</v>
      </c>
      <c r="C106" s="445" t="s">
        <v>97</v>
      </c>
      <c r="D106" s="444" t="s">
        <v>2605</v>
      </c>
      <c r="E106" s="446">
        <v>12</v>
      </c>
      <c r="F106" s="447"/>
      <c r="G106" s="448">
        <f t="shared" si="5"/>
        <v>0</v>
      </c>
      <c r="H106" s="450"/>
      <c r="I106" s="444"/>
      <c r="J106" s="450"/>
      <c r="K106" s="444"/>
      <c r="L106" s="450"/>
      <c r="M106" s="444"/>
      <c r="N106" s="450"/>
      <c r="O106" s="450"/>
      <c r="P106" s="450"/>
      <c r="Q106" s="451" t="s">
        <v>374</v>
      </c>
      <c r="R106" s="451"/>
      <c r="S106" s="452"/>
      <c r="T106" s="452"/>
      <c r="U106" s="453"/>
      <c r="V106" s="454"/>
      <c r="W106" s="455" t="s">
        <v>406</v>
      </c>
      <c r="X106" s="455">
        <v>45519</v>
      </c>
      <c r="Y106" s="456" t="s">
        <v>377</v>
      </c>
      <c r="Z106" s="457"/>
      <c r="AA106" s="453"/>
    </row>
    <row r="107" spans="1:27" s="128" customFormat="1">
      <c r="A107" s="443">
        <v>47</v>
      </c>
      <c r="B107" s="444" t="s">
        <v>2608</v>
      </c>
      <c r="C107" s="445" t="s">
        <v>97</v>
      </c>
      <c r="D107" s="444" t="s">
        <v>2609</v>
      </c>
      <c r="E107" s="446">
        <v>3</v>
      </c>
      <c r="F107" s="447"/>
      <c r="G107" s="448">
        <f t="shared" si="5"/>
        <v>0</v>
      </c>
      <c r="H107" s="450"/>
      <c r="I107" s="444"/>
      <c r="J107" s="450"/>
      <c r="K107" s="444"/>
      <c r="L107" s="450"/>
      <c r="M107" s="444"/>
      <c r="N107" s="450"/>
      <c r="O107" s="450"/>
      <c r="P107" s="450"/>
      <c r="Q107" s="451" t="s">
        <v>374</v>
      </c>
      <c r="R107" s="451"/>
      <c r="S107" s="452"/>
      <c r="T107" s="452" t="s">
        <v>712</v>
      </c>
      <c r="U107" s="453"/>
      <c r="V107" s="454"/>
      <c r="W107" s="455" t="s">
        <v>406</v>
      </c>
      <c r="X107" s="455">
        <v>45582</v>
      </c>
      <c r="Y107" s="456" t="s">
        <v>377</v>
      </c>
      <c r="Z107" s="457"/>
      <c r="AA107" s="453"/>
    </row>
    <row r="108" spans="1:27" s="128" customFormat="1" ht="37.5">
      <c r="A108" s="443">
        <v>48</v>
      </c>
      <c r="B108" s="444" t="s">
        <v>2633</v>
      </c>
      <c r="C108" s="445" t="s">
        <v>97</v>
      </c>
      <c r="D108" s="444" t="s">
        <v>2634</v>
      </c>
      <c r="E108" s="446">
        <v>3</v>
      </c>
      <c r="F108" s="447"/>
      <c r="G108" s="448">
        <f t="shared" si="5"/>
        <v>0</v>
      </c>
      <c r="H108" s="450"/>
      <c r="I108" s="444"/>
      <c r="J108" s="450"/>
      <c r="K108" s="444" t="s">
        <v>2589</v>
      </c>
      <c r="L108" s="450" t="s">
        <v>681</v>
      </c>
      <c r="M108" s="444" t="s">
        <v>2622</v>
      </c>
      <c r="N108" s="450"/>
      <c r="O108" s="450"/>
      <c r="P108" s="450" t="s">
        <v>1662</v>
      </c>
      <c r="Q108" s="451" t="s">
        <v>374</v>
      </c>
      <c r="R108" s="451" t="s">
        <v>905</v>
      </c>
      <c r="S108" s="452" t="s">
        <v>1530</v>
      </c>
      <c r="T108" s="452">
        <v>45596</v>
      </c>
      <c r="U108" s="453"/>
      <c r="V108" s="454"/>
      <c r="W108" s="455" t="s">
        <v>406</v>
      </c>
      <c r="X108" s="455">
        <v>45580</v>
      </c>
      <c r="Y108" s="456" t="s">
        <v>377</v>
      </c>
      <c r="Z108" s="457"/>
      <c r="AA108" s="453"/>
    </row>
    <row r="109" spans="1:27" s="128" customFormat="1">
      <c r="A109" s="443">
        <v>49</v>
      </c>
      <c r="B109" s="444" t="s">
        <v>2604</v>
      </c>
      <c r="C109" s="445" t="s">
        <v>97</v>
      </c>
      <c r="D109" s="444" t="s">
        <v>2605</v>
      </c>
      <c r="E109" s="446">
        <v>12</v>
      </c>
      <c r="F109" s="447"/>
      <c r="G109" s="448">
        <f t="shared" si="5"/>
        <v>0</v>
      </c>
      <c r="H109" s="450"/>
      <c r="I109" s="444"/>
      <c r="J109" s="450"/>
      <c r="K109" s="444"/>
      <c r="L109" s="450"/>
      <c r="M109" s="444"/>
      <c r="N109" s="450"/>
      <c r="O109" s="450"/>
      <c r="P109" s="450"/>
      <c r="Q109" s="451" t="s">
        <v>374</v>
      </c>
      <c r="R109" s="451"/>
      <c r="S109" s="452"/>
      <c r="T109" s="452"/>
      <c r="U109" s="453"/>
      <c r="V109" s="454"/>
      <c r="W109" s="455" t="s">
        <v>406</v>
      </c>
      <c r="X109" s="455">
        <v>45519</v>
      </c>
      <c r="Y109" s="456" t="s">
        <v>377</v>
      </c>
      <c r="Z109" s="457"/>
      <c r="AA109" s="453"/>
    </row>
    <row r="110" spans="1:27" s="128" customFormat="1">
      <c r="A110" s="443">
        <v>50</v>
      </c>
      <c r="B110" s="444" t="s">
        <v>2608</v>
      </c>
      <c r="C110" s="445" t="s">
        <v>97</v>
      </c>
      <c r="D110" s="444" t="s">
        <v>2609</v>
      </c>
      <c r="E110" s="446">
        <v>3</v>
      </c>
      <c r="F110" s="447"/>
      <c r="G110" s="448">
        <f t="shared" si="5"/>
        <v>0</v>
      </c>
      <c r="H110" s="450"/>
      <c r="I110" s="444"/>
      <c r="J110" s="450"/>
      <c r="K110" s="444"/>
      <c r="L110" s="450"/>
      <c r="M110" s="444"/>
      <c r="N110" s="450"/>
      <c r="O110" s="450"/>
      <c r="P110" s="450"/>
      <c r="Q110" s="451" t="s">
        <v>374</v>
      </c>
      <c r="R110" s="451"/>
      <c r="S110" s="452"/>
      <c r="T110" s="452" t="s">
        <v>712</v>
      </c>
      <c r="U110" s="453"/>
      <c r="V110" s="454"/>
      <c r="W110" s="455" t="s">
        <v>406</v>
      </c>
      <c r="X110" s="455">
        <v>45582</v>
      </c>
      <c r="Y110" s="456" t="s">
        <v>377</v>
      </c>
      <c r="Z110" s="457"/>
      <c r="AA110" s="453"/>
    </row>
    <row r="111" spans="1:27" s="128" customFormat="1" ht="18" customHeight="1">
      <c r="A111" s="443">
        <v>51</v>
      </c>
      <c r="B111" s="444" t="s">
        <v>2623</v>
      </c>
      <c r="C111" s="445" t="s">
        <v>97</v>
      </c>
      <c r="D111" s="444" t="s">
        <v>2624</v>
      </c>
      <c r="E111" s="446">
        <v>48</v>
      </c>
      <c r="F111" s="447"/>
      <c r="G111" s="448">
        <f t="shared" si="5"/>
        <v>0</v>
      </c>
      <c r="H111" s="450"/>
      <c r="I111" s="444"/>
      <c r="J111" s="450"/>
      <c r="K111" s="444" t="s">
        <v>2625</v>
      </c>
      <c r="L111" s="450" t="s">
        <v>1570</v>
      </c>
      <c r="M111" s="444" t="s">
        <v>2626</v>
      </c>
      <c r="N111" s="450"/>
      <c r="O111" s="450"/>
      <c r="P111" s="450" t="s">
        <v>2627</v>
      </c>
      <c r="Q111" s="451" t="s">
        <v>374</v>
      </c>
      <c r="R111" s="451" t="s">
        <v>2186</v>
      </c>
      <c r="S111" s="452" t="s">
        <v>2628</v>
      </c>
      <c r="T111" s="452">
        <v>45645</v>
      </c>
      <c r="U111" s="453"/>
      <c r="V111" s="454"/>
      <c r="W111" s="455" t="s">
        <v>406</v>
      </c>
      <c r="X111" s="455">
        <v>45601</v>
      </c>
      <c r="Y111" s="456" t="s">
        <v>377</v>
      </c>
      <c r="Z111" s="457" t="s">
        <v>2635</v>
      </c>
      <c r="AA111" s="453" t="s">
        <v>2446</v>
      </c>
    </row>
    <row r="112" spans="1:27" s="128" customFormat="1">
      <c r="A112" s="443">
        <v>52</v>
      </c>
      <c r="B112" s="444" t="s">
        <v>2630</v>
      </c>
      <c r="C112" s="445" t="s">
        <v>97</v>
      </c>
      <c r="D112" s="444" t="s">
        <v>2631</v>
      </c>
      <c r="E112" s="446">
        <v>48</v>
      </c>
      <c r="F112" s="447"/>
      <c r="G112" s="448">
        <f t="shared" si="5"/>
        <v>0</v>
      </c>
      <c r="H112" s="450"/>
      <c r="I112" s="444"/>
      <c r="J112" s="450"/>
      <c r="K112" s="444"/>
      <c r="L112" s="450"/>
      <c r="M112" s="444"/>
      <c r="N112" s="450"/>
      <c r="O112" s="450"/>
      <c r="P112" s="450"/>
      <c r="Q112" s="451" t="s">
        <v>374</v>
      </c>
      <c r="R112" s="451"/>
      <c r="S112" s="452"/>
      <c r="T112" s="452">
        <v>45579</v>
      </c>
      <c r="U112" s="453"/>
      <c r="V112" s="454"/>
      <c r="W112" s="455" t="s">
        <v>406</v>
      </c>
      <c r="X112" s="455">
        <v>45576</v>
      </c>
      <c r="Y112" s="456" t="s">
        <v>377</v>
      </c>
      <c r="Z112" s="457"/>
      <c r="AA112" s="453"/>
    </row>
    <row r="113" spans="1:27" s="128" customFormat="1">
      <c r="A113" s="443">
        <v>53</v>
      </c>
      <c r="B113" s="444" t="s">
        <v>2636</v>
      </c>
      <c r="C113" s="445" t="s">
        <v>97</v>
      </c>
      <c r="D113" s="444" t="s">
        <v>2637</v>
      </c>
      <c r="E113" s="446">
        <v>3</v>
      </c>
      <c r="F113" s="447"/>
      <c r="G113" s="448">
        <f t="shared" si="5"/>
        <v>0</v>
      </c>
      <c r="H113" s="450"/>
      <c r="I113" s="444"/>
      <c r="J113" s="450"/>
      <c r="K113" s="444"/>
      <c r="L113" s="450"/>
      <c r="M113" s="444"/>
      <c r="N113" s="450"/>
      <c r="O113" s="450"/>
      <c r="P113" s="450"/>
      <c r="Q113" s="451" t="s">
        <v>374</v>
      </c>
      <c r="R113" s="451"/>
      <c r="S113" s="452"/>
      <c r="T113" s="452"/>
      <c r="U113" s="453"/>
      <c r="V113" s="454"/>
      <c r="W113" s="455" t="s">
        <v>406</v>
      </c>
      <c r="X113" s="455">
        <v>45519</v>
      </c>
      <c r="Y113" s="456" t="s">
        <v>377</v>
      </c>
      <c r="Z113" s="457"/>
      <c r="AA113" s="453"/>
    </row>
    <row r="114" spans="1:27" s="128" customFormat="1">
      <c r="A114" s="443">
        <v>54</v>
      </c>
      <c r="B114" s="444" t="s">
        <v>2604</v>
      </c>
      <c r="C114" s="445" t="s">
        <v>97</v>
      </c>
      <c r="D114" s="444" t="s">
        <v>2605</v>
      </c>
      <c r="E114" s="446">
        <v>12</v>
      </c>
      <c r="F114" s="447"/>
      <c r="G114" s="448">
        <f t="shared" si="5"/>
        <v>0</v>
      </c>
      <c r="H114" s="450"/>
      <c r="I114" s="444"/>
      <c r="J114" s="450"/>
      <c r="K114" s="444"/>
      <c r="L114" s="450"/>
      <c r="M114" s="444"/>
      <c r="N114" s="450"/>
      <c r="O114" s="450"/>
      <c r="P114" s="450"/>
      <c r="Q114" s="451" t="s">
        <v>374</v>
      </c>
      <c r="R114" s="451"/>
      <c r="S114" s="452"/>
      <c r="T114" s="452"/>
      <c r="U114" s="453"/>
      <c r="V114" s="454"/>
      <c r="W114" s="455" t="s">
        <v>406</v>
      </c>
      <c r="X114" s="455">
        <v>45519</v>
      </c>
      <c r="Y114" s="456" t="s">
        <v>377</v>
      </c>
      <c r="Z114" s="457"/>
      <c r="AA114" s="453"/>
    </row>
    <row r="115" spans="1:27" s="128" customFormat="1">
      <c r="A115" s="443">
        <v>55</v>
      </c>
      <c r="B115" s="444" t="s">
        <v>2608</v>
      </c>
      <c r="C115" s="445" t="s">
        <v>97</v>
      </c>
      <c r="D115" s="444" t="s">
        <v>2609</v>
      </c>
      <c r="E115" s="446">
        <v>3</v>
      </c>
      <c r="F115" s="447"/>
      <c r="G115" s="448">
        <f t="shared" si="5"/>
        <v>0</v>
      </c>
      <c r="H115" s="450"/>
      <c r="I115" s="444"/>
      <c r="J115" s="450"/>
      <c r="K115" s="444"/>
      <c r="L115" s="450"/>
      <c r="M115" s="444"/>
      <c r="N115" s="450"/>
      <c r="O115" s="450"/>
      <c r="P115" s="450"/>
      <c r="Q115" s="451" t="s">
        <v>374</v>
      </c>
      <c r="R115" s="451"/>
      <c r="S115" s="452"/>
      <c r="T115" s="452" t="s">
        <v>712</v>
      </c>
      <c r="U115" s="453"/>
      <c r="V115" s="454"/>
      <c r="W115" s="455" t="s">
        <v>406</v>
      </c>
      <c r="X115" s="455">
        <v>45582</v>
      </c>
      <c r="Y115" s="456" t="s">
        <v>377</v>
      </c>
      <c r="Z115" s="457"/>
      <c r="AA115" s="453"/>
    </row>
    <row r="116" spans="1:27" s="128" customFormat="1" ht="37.5">
      <c r="A116" s="443">
        <v>56</v>
      </c>
      <c r="B116" s="444" t="s">
        <v>2623</v>
      </c>
      <c r="C116" s="445" t="s">
        <v>97</v>
      </c>
      <c r="D116" s="444" t="s">
        <v>2624</v>
      </c>
      <c r="E116" s="446">
        <v>48</v>
      </c>
      <c r="F116" s="447"/>
      <c r="G116" s="448">
        <f t="shared" si="5"/>
        <v>0</v>
      </c>
      <c r="H116" s="450"/>
      <c r="I116" s="444"/>
      <c r="J116" s="450"/>
      <c r="K116" s="444" t="s">
        <v>2625</v>
      </c>
      <c r="L116" s="450" t="s">
        <v>1570</v>
      </c>
      <c r="M116" s="444" t="s">
        <v>2626</v>
      </c>
      <c r="N116" s="450"/>
      <c r="O116" s="450"/>
      <c r="P116" s="450" t="s">
        <v>2627</v>
      </c>
      <c r="Q116" s="451" t="s">
        <v>374</v>
      </c>
      <c r="R116" s="451" t="s">
        <v>2186</v>
      </c>
      <c r="S116" s="452" t="s">
        <v>2628</v>
      </c>
      <c r="T116" s="452">
        <v>45645</v>
      </c>
      <c r="U116" s="453"/>
      <c r="V116" s="454"/>
      <c r="W116" s="455" t="s">
        <v>406</v>
      </c>
      <c r="X116" s="455">
        <v>45601</v>
      </c>
      <c r="Y116" s="456" t="s">
        <v>377</v>
      </c>
      <c r="Z116" s="457" t="s">
        <v>2626</v>
      </c>
      <c r="AA116" s="453" t="s">
        <v>2446</v>
      </c>
    </row>
    <row r="117" spans="1:27" s="128" customFormat="1">
      <c r="A117" s="443">
        <v>57</v>
      </c>
      <c r="B117" s="444" t="s">
        <v>2630</v>
      </c>
      <c r="C117" s="445" t="s">
        <v>97</v>
      </c>
      <c r="D117" s="444" t="s">
        <v>2631</v>
      </c>
      <c r="E117" s="446">
        <v>48</v>
      </c>
      <c r="F117" s="447"/>
      <c r="G117" s="448">
        <f t="shared" si="5"/>
        <v>0</v>
      </c>
      <c r="H117" s="450"/>
      <c r="I117" s="444"/>
      <c r="J117" s="450"/>
      <c r="K117" s="444"/>
      <c r="L117" s="450"/>
      <c r="M117" s="444"/>
      <c r="N117" s="450"/>
      <c r="O117" s="450"/>
      <c r="P117" s="450"/>
      <c r="Q117" s="451" t="s">
        <v>374</v>
      </c>
      <c r="R117" s="451"/>
      <c r="S117" s="452"/>
      <c r="T117" s="452">
        <v>45602</v>
      </c>
      <c r="U117" s="453"/>
      <c r="V117" s="454"/>
      <c r="W117" s="455" t="s">
        <v>406</v>
      </c>
      <c r="X117" s="455">
        <v>45601</v>
      </c>
      <c r="Y117" s="456" t="s">
        <v>377</v>
      </c>
      <c r="Z117" s="457"/>
      <c r="AA117" s="453"/>
    </row>
    <row r="118" spans="1:27" s="128" customFormat="1" ht="37.5">
      <c r="A118" s="405">
        <v>58</v>
      </c>
      <c r="B118" s="407" t="s">
        <v>2620</v>
      </c>
      <c r="C118" s="406" t="s">
        <v>97</v>
      </c>
      <c r="D118" s="407" t="s">
        <v>2621</v>
      </c>
      <c r="E118" s="408">
        <v>3</v>
      </c>
      <c r="F118" s="409"/>
      <c r="G118" s="410">
        <f t="shared" si="5"/>
        <v>0</v>
      </c>
      <c r="H118" s="412"/>
      <c r="I118" s="407"/>
      <c r="J118" s="412"/>
      <c r="K118" s="407"/>
      <c r="L118" s="412"/>
      <c r="M118" s="407"/>
      <c r="N118" s="412"/>
      <c r="O118" s="412"/>
      <c r="P118" s="412"/>
      <c r="Q118" s="413" t="s">
        <v>1176</v>
      </c>
      <c r="R118" s="413"/>
      <c r="S118" s="414"/>
      <c r="T118" s="414" t="s">
        <v>712</v>
      </c>
      <c r="U118" s="415"/>
      <c r="V118" s="416"/>
      <c r="W118" s="417"/>
      <c r="X118" s="417"/>
      <c r="Y118" s="418" t="s">
        <v>377</v>
      </c>
      <c r="Z118" s="419" t="s">
        <v>2638</v>
      </c>
      <c r="AA118" s="415"/>
    </row>
    <row r="119" spans="1:27" s="128" customFormat="1">
      <c r="A119" s="443">
        <v>59</v>
      </c>
      <c r="B119" s="444" t="s">
        <v>2604</v>
      </c>
      <c r="C119" s="445" t="s">
        <v>97</v>
      </c>
      <c r="D119" s="444" t="s">
        <v>2605</v>
      </c>
      <c r="E119" s="446">
        <v>12</v>
      </c>
      <c r="F119" s="447"/>
      <c r="G119" s="448">
        <f t="shared" si="5"/>
        <v>0</v>
      </c>
      <c r="H119" s="450"/>
      <c r="I119" s="444"/>
      <c r="J119" s="450"/>
      <c r="K119" s="444"/>
      <c r="L119" s="450"/>
      <c r="M119" s="444"/>
      <c r="N119" s="450"/>
      <c r="O119" s="450"/>
      <c r="P119" s="450"/>
      <c r="Q119" s="451" t="s">
        <v>374</v>
      </c>
      <c r="R119" s="451"/>
      <c r="S119" s="452"/>
      <c r="T119" s="452"/>
      <c r="U119" s="453"/>
      <c r="V119" s="454"/>
      <c r="W119" s="455" t="s">
        <v>406</v>
      </c>
      <c r="X119" s="455">
        <v>45519</v>
      </c>
      <c r="Y119" s="456" t="s">
        <v>377</v>
      </c>
      <c r="Z119" s="457"/>
      <c r="AA119" s="453"/>
    </row>
    <row r="120" spans="1:27" s="128" customFormat="1">
      <c r="A120" s="443">
        <v>60</v>
      </c>
      <c r="B120" s="444" t="s">
        <v>2608</v>
      </c>
      <c r="C120" s="445" t="s">
        <v>97</v>
      </c>
      <c r="D120" s="444" t="s">
        <v>2609</v>
      </c>
      <c r="E120" s="446">
        <v>3</v>
      </c>
      <c r="F120" s="447"/>
      <c r="G120" s="448">
        <f t="shared" si="5"/>
        <v>0</v>
      </c>
      <c r="H120" s="450"/>
      <c r="I120" s="444"/>
      <c r="J120" s="450"/>
      <c r="K120" s="444"/>
      <c r="L120" s="450"/>
      <c r="M120" s="444"/>
      <c r="N120" s="450"/>
      <c r="O120" s="450"/>
      <c r="P120" s="450"/>
      <c r="Q120" s="451" t="s">
        <v>374</v>
      </c>
      <c r="R120" s="451"/>
      <c r="S120" s="452"/>
      <c r="T120" s="452" t="s">
        <v>712</v>
      </c>
      <c r="U120" s="453"/>
      <c r="V120" s="454"/>
      <c r="W120" s="455" t="s">
        <v>406</v>
      </c>
      <c r="X120" s="455">
        <v>45582</v>
      </c>
      <c r="Y120" s="456" t="s">
        <v>377</v>
      </c>
      <c r="Z120" s="457"/>
      <c r="AA120" s="453"/>
    </row>
    <row r="121" spans="1:27" s="128" customFormat="1">
      <c r="A121" s="443">
        <v>61</v>
      </c>
      <c r="B121" s="444" t="s">
        <v>2636</v>
      </c>
      <c r="C121" s="445" t="s">
        <v>97</v>
      </c>
      <c r="D121" s="444" t="s">
        <v>2637</v>
      </c>
      <c r="E121" s="446">
        <v>3</v>
      </c>
      <c r="F121" s="447"/>
      <c r="G121" s="448">
        <f t="shared" si="5"/>
        <v>0</v>
      </c>
      <c r="H121" s="450"/>
      <c r="I121" s="444"/>
      <c r="J121" s="450"/>
      <c r="K121" s="444"/>
      <c r="L121" s="450"/>
      <c r="M121" s="444"/>
      <c r="N121" s="450"/>
      <c r="O121" s="450"/>
      <c r="P121" s="450"/>
      <c r="Q121" s="451" t="s">
        <v>374</v>
      </c>
      <c r="R121" s="451"/>
      <c r="S121" s="452"/>
      <c r="T121" s="452"/>
      <c r="U121" s="453"/>
      <c r="V121" s="454"/>
      <c r="W121" s="455" t="s">
        <v>406</v>
      </c>
      <c r="X121" s="455">
        <v>45519</v>
      </c>
      <c r="Y121" s="456" t="s">
        <v>377</v>
      </c>
      <c r="Z121" s="457"/>
      <c r="AA121" s="453"/>
    </row>
    <row r="122" spans="1:27" s="128" customFormat="1" ht="37.5">
      <c r="A122" s="443">
        <v>62</v>
      </c>
      <c r="B122" s="444" t="s">
        <v>2623</v>
      </c>
      <c r="C122" s="445" t="s">
        <v>97</v>
      </c>
      <c r="D122" s="444" t="s">
        <v>2624</v>
      </c>
      <c r="E122" s="446">
        <v>96</v>
      </c>
      <c r="F122" s="447"/>
      <c r="G122" s="448">
        <f t="shared" si="5"/>
        <v>0</v>
      </c>
      <c r="H122" s="450"/>
      <c r="I122" s="444"/>
      <c r="J122" s="450"/>
      <c r="K122" s="444" t="s">
        <v>2625</v>
      </c>
      <c r="L122" s="450" t="s">
        <v>1570</v>
      </c>
      <c r="M122" s="444" t="s">
        <v>2626</v>
      </c>
      <c r="N122" s="450"/>
      <c r="O122" s="450"/>
      <c r="P122" s="450" t="s">
        <v>2627</v>
      </c>
      <c r="Q122" s="451" t="s">
        <v>374</v>
      </c>
      <c r="R122" s="451" t="s">
        <v>2186</v>
      </c>
      <c r="S122" s="452" t="s">
        <v>2628</v>
      </c>
      <c r="T122" s="452">
        <v>45645</v>
      </c>
      <c r="U122" s="453"/>
      <c r="V122" s="454"/>
      <c r="W122" s="455" t="s">
        <v>406</v>
      </c>
      <c r="X122" s="455">
        <v>45601</v>
      </c>
      <c r="Y122" s="456" t="s">
        <v>377</v>
      </c>
      <c r="Z122" s="457" t="s">
        <v>2626</v>
      </c>
      <c r="AA122" s="453" t="s">
        <v>2446</v>
      </c>
    </row>
    <row r="123" spans="1:27" s="128" customFormat="1">
      <c r="A123" s="443">
        <v>63</v>
      </c>
      <c r="B123" s="444" t="s">
        <v>2630</v>
      </c>
      <c r="C123" s="445" t="s">
        <v>97</v>
      </c>
      <c r="D123" s="444" t="s">
        <v>2631</v>
      </c>
      <c r="E123" s="446">
        <v>96</v>
      </c>
      <c r="F123" s="447"/>
      <c r="G123" s="448">
        <f t="shared" si="5"/>
        <v>0</v>
      </c>
      <c r="H123" s="450"/>
      <c r="I123" s="444"/>
      <c r="J123" s="450"/>
      <c r="K123" s="444"/>
      <c r="L123" s="450"/>
      <c r="M123" s="444"/>
      <c r="N123" s="450"/>
      <c r="O123" s="450"/>
      <c r="P123" s="450"/>
      <c r="Q123" s="451" t="s">
        <v>374</v>
      </c>
      <c r="R123" s="451"/>
      <c r="S123" s="452"/>
      <c r="T123" s="452">
        <v>45602</v>
      </c>
      <c r="U123" s="453"/>
      <c r="V123" s="454"/>
      <c r="W123" s="455" t="s">
        <v>406</v>
      </c>
      <c r="X123" s="455">
        <v>45608</v>
      </c>
      <c r="Y123" s="456" t="s">
        <v>377</v>
      </c>
      <c r="Z123" s="457"/>
      <c r="AA123" s="453"/>
    </row>
    <row r="124" spans="1:27" s="128" customFormat="1">
      <c r="A124" s="443">
        <v>64</v>
      </c>
      <c r="B124" s="444" t="s">
        <v>2604</v>
      </c>
      <c r="C124" s="445" t="s">
        <v>97</v>
      </c>
      <c r="D124" s="444" t="s">
        <v>2605</v>
      </c>
      <c r="E124" s="446">
        <v>12</v>
      </c>
      <c r="F124" s="447"/>
      <c r="G124" s="448">
        <f t="shared" si="5"/>
        <v>0</v>
      </c>
      <c r="H124" s="450"/>
      <c r="I124" s="444"/>
      <c r="J124" s="450"/>
      <c r="K124" s="444"/>
      <c r="L124" s="450"/>
      <c r="M124" s="444"/>
      <c r="N124" s="450"/>
      <c r="O124" s="450"/>
      <c r="P124" s="450"/>
      <c r="Q124" s="451" t="s">
        <v>374</v>
      </c>
      <c r="R124" s="451"/>
      <c r="S124" s="452"/>
      <c r="T124" s="452"/>
      <c r="U124" s="453"/>
      <c r="V124" s="454"/>
      <c r="W124" s="455" t="s">
        <v>406</v>
      </c>
      <c r="X124" s="455">
        <v>45519</v>
      </c>
      <c r="Y124" s="456" t="s">
        <v>377</v>
      </c>
      <c r="Z124" s="457"/>
      <c r="AA124" s="453"/>
    </row>
    <row r="125" spans="1:27" s="128" customFormat="1">
      <c r="A125" s="443">
        <v>65</v>
      </c>
      <c r="B125" s="444" t="s">
        <v>2608</v>
      </c>
      <c r="C125" s="445" t="s">
        <v>97</v>
      </c>
      <c r="D125" s="444" t="s">
        <v>2609</v>
      </c>
      <c r="E125" s="446">
        <v>6</v>
      </c>
      <c r="F125" s="447"/>
      <c r="G125" s="448">
        <f t="shared" ref="G125:G139" si="6">E125*F125</f>
        <v>0</v>
      </c>
      <c r="H125" s="450"/>
      <c r="I125" s="444"/>
      <c r="J125" s="450"/>
      <c r="K125" s="444"/>
      <c r="L125" s="450"/>
      <c r="M125" s="444"/>
      <c r="N125" s="450"/>
      <c r="O125" s="450"/>
      <c r="P125" s="450"/>
      <c r="Q125" s="451" t="s">
        <v>374</v>
      </c>
      <c r="R125" s="451"/>
      <c r="S125" s="452"/>
      <c r="T125" s="452" t="s">
        <v>712</v>
      </c>
      <c r="U125" s="453"/>
      <c r="V125" s="454"/>
      <c r="W125" s="455" t="s">
        <v>406</v>
      </c>
      <c r="X125" s="455">
        <v>45582</v>
      </c>
      <c r="Y125" s="456" t="s">
        <v>377</v>
      </c>
      <c r="Z125" s="457"/>
      <c r="AA125" s="453"/>
    </row>
    <row r="126" spans="1:27" s="128" customFormat="1" ht="37.5">
      <c r="A126" s="443">
        <v>66</v>
      </c>
      <c r="B126" s="444" t="s">
        <v>2639</v>
      </c>
      <c r="C126" s="445" t="s">
        <v>97</v>
      </c>
      <c r="D126" s="444" t="s">
        <v>2640</v>
      </c>
      <c r="E126" s="446">
        <v>3</v>
      </c>
      <c r="F126" s="447"/>
      <c r="G126" s="448">
        <f t="shared" si="6"/>
        <v>0</v>
      </c>
      <c r="H126" s="450"/>
      <c r="I126" s="444"/>
      <c r="J126" s="450"/>
      <c r="K126" s="444" t="s">
        <v>2589</v>
      </c>
      <c r="L126" s="450" t="s">
        <v>681</v>
      </c>
      <c r="M126" s="444" t="s">
        <v>2641</v>
      </c>
      <c r="N126" s="450"/>
      <c r="O126" s="450"/>
      <c r="P126" s="450" t="s">
        <v>1662</v>
      </c>
      <c r="Q126" s="451" t="s">
        <v>374</v>
      </c>
      <c r="R126" s="451" t="s">
        <v>2642</v>
      </c>
      <c r="S126" s="452" t="s">
        <v>806</v>
      </c>
      <c r="T126" s="452"/>
      <c r="U126" s="453"/>
      <c r="V126" s="454"/>
      <c r="W126" s="455" t="s">
        <v>406</v>
      </c>
      <c r="X126" s="455">
        <v>45604</v>
      </c>
      <c r="Y126" s="456" t="s">
        <v>377</v>
      </c>
      <c r="Z126" s="457"/>
      <c r="AA126" s="453"/>
    </row>
    <row r="127" spans="1:27" s="128" customFormat="1">
      <c r="A127" s="443">
        <v>67</v>
      </c>
      <c r="B127" s="444" t="s">
        <v>2643</v>
      </c>
      <c r="C127" s="445" t="s">
        <v>97</v>
      </c>
      <c r="D127" s="444" t="s">
        <v>2644</v>
      </c>
      <c r="E127" s="446">
        <v>6</v>
      </c>
      <c r="F127" s="447"/>
      <c r="G127" s="448">
        <f t="shared" si="6"/>
        <v>0</v>
      </c>
      <c r="H127" s="450"/>
      <c r="I127" s="444"/>
      <c r="J127" s="450"/>
      <c r="K127" s="444"/>
      <c r="L127" s="450"/>
      <c r="M127" s="444"/>
      <c r="N127" s="450"/>
      <c r="O127" s="450"/>
      <c r="P127" s="450"/>
      <c r="Q127" s="451" t="s">
        <v>374</v>
      </c>
      <c r="R127" s="451"/>
      <c r="S127" s="452"/>
      <c r="T127" s="452"/>
      <c r="U127" s="453"/>
      <c r="V127" s="454"/>
      <c r="W127" s="455" t="s">
        <v>406</v>
      </c>
      <c r="X127" s="455">
        <v>45519</v>
      </c>
      <c r="Y127" s="456" t="s">
        <v>377</v>
      </c>
      <c r="Z127" s="457"/>
      <c r="AA127" s="453"/>
    </row>
    <row r="128" spans="1:27" s="128" customFormat="1">
      <c r="A128" s="443">
        <v>68</v>
      </c>
      <c r="B128" s="444" t="s">
        <v>2604</v>
      </c>
      <c r="C128" s="445" t="s">
        <v>97</v>
      </c>
      <c r="D128" s="444" t="s">
        <v>2605</v>
      </c>
      <c r="E128" s="446">
        <v>12</v>
      </c>
      <c r="F128" s="447"/>
      <c r="G128" s="448">
        <f t="shared" si="6"/>
        <v>0</v>
      </c>
      <c r="H128" s="450"/>
      <c r="I128" s="444"/>
      <c r="J128" s="450"/>
      <c r="K128" s="444"/>
      <c r="L128" s="450"/>
      <c r="M128" s="444"/>
      <c r="N128" s="450"/>
      <c r="O128" s="450"/>
      <c r="P128" s="450"/>
      <c r="Q128" s="451" t="s">
        <v>374</v>
      </c>
      <c r="R128" s="451"/>
      <c r="S128" s="452"/>
      <c r="T128" s="452"/>
      <c r="U128" s="453"/>
      <c r="V128" s="454"/>
      <c r="W128" s="455" t="s">
        <v>406</v>
      </c>
      <c r="X128" s="455">
        <v>45519</v>
      </c>
      <c r="Y128" s="456" t="s">
        <v>377</v>
      </c>
      <c r="Z128" s="457"/>
      <c r="AA128" s="453"/>
    </row>
    <row r="129" spans="1:27" s="128" customFormat="1">
      <c r="A129" s="443">
        <v>69</v>
      </c>
      <c r="B129" s="444" t="s">
        <v>2608</v>
      </c>
      <c r="C129" s="445" t="s">
        <v>97</v>
      </c>
      <c r="D129" s="444" t="s">
        <v>2609</v>
      </c>
      <c r="E129" s="446">
        <v>12</v>
      </c>
      <c r="F129" s="447"/>
      <c r="G129" s="448">
        <f t="shared" si="6"/>
        <v>0</v>
      </c>
      <c r="H129" s="450"/>
      <c r="I129" s="444"/>
      <c r="J129" s="450"/>
      <c r="K129" s="444"/>
      <c r="L129" s="450"/>
      <c r="M129" s="444"/>
      <c r="N129" s="450"/>
      <c r="O129" s="450"/>
      <c r="P129" s="450"/>
      <c r="Q129" s="451" t="s">
        <v>374</v>
      </c>
      <c r="R129" s="451"/>
      <c r="S129" s="452"/>
      <c r="T129" s="452" t="s">
        <v>712</v>
      </c>
      <c r="U129" s="453"/>
      <c r="V129" s="454"/>
      <c r="W129" s="455" t="s">
        <v>406</v>
      </c>
      <c r="X129" s="455">
        <v>45582</v>
      </c>
      <c r="Y129" s="456" t="s">
        <v>377</v>
      </c>
      <c r="Z129" s="457"/>
      <c r="AA129" s="453"/>
    </row>
    <row r="130" spans="1:27" s="128" customFormat="1" ht="37.5">
      <c r="A130" s="443">
        <v>70</v>
      </c>
      <c r="B130" s="444" t="s">
        <v>2645</v>
      </c>
      <c r="C130" s="445" t="s">
        <v>97</v>
      </c>
      <c r="D130" s="444" t="s">
        <v>2646</v>
      </c>
      <c r="E130" s="446">
        <v>3</v>
      </c>
      <c r="F130" s="447"/>
      <c r="G130" s="448">
        <f t="shared" si="6"/>
        <v>0</v>
      </c>
      <c r="H130" s="450"/>
      <c r="I130" s="444"/>
      <c r="J130" s="450"/>
      <c r="K130" s="444" t="s">
        <v>2589</v>
      </c>
      <c r="L130" s="450" t="s">
        <v>681</v>
      </c>
      <c r="M130" s="444" t="s">
        <v>2590</v>
      </c>
      <c r="N130" s="450"/>
      <c r="O130" s="450"/>
      <c r="P130" s="450" t="s">
        <v>1662</v>
      </c>
      <c r="Q130" s="451" t="s">
        <v>374</v>
      </c>
      <c r="R130" s="451" t="s">
        <v>269</v>
      </c>
      <c r="S130" s="452" t="s">
        <v>806</v>
      </c>
      <c r="T130" s="452">
        <v>45568</v>
      </c>
      <c r="U130" s="453"/>
      <c r="V130" s="454"/>
      <c r="W130" s="455" t="s">
        <v>406</v>
      </c>
      <c r="X130" s="455">
        <v>45567</v>
      </c>
      <c r="Y130" s="456" t="s">
        <v>377</v>
      </c>
      <c r="Z130" s="457"/>
      <c r="AA130" s="453"/>
    </row>
    <row r="131" spans="1:27" s="128" customFormat="1">
      <c r="A131" s="443">
        <v>71</v>
      </c>
      <c r="B131" s="444" t="s">
        <v>2604</v>
      </c>
      <c r="C131" s="445" t="s">
        <v>97</v>
      </c>
      <c r="D131" s="444" t="s">
        <v>2605</v>
      </c>
      <c r="E131" s="446">
        <v>12</v>
      </c>
      <c r="F131" s="447"/>
      <c r="G131" s="448">
        <f t="shared" si="6"/>
        <v>0</v>
      </c>
      <c r="H131" s="450"/>
      <c r="I131" s="444"/>
      <c r="J131" s="450"/>
      <c r="K131" s="444"/>
      <c r="L131" s="450"/>
      <c r="M131" s="444"/>
      <c r="N131" s="450"/>
      <c r="O131" s="450"/>
      <c r="P131" s="450"/>
      <c r="Q131" s="451" t="s">
        <v>374</v>
      </c>
      <c r="R131" s="451"/>
      <c r="S131" s="452"/>
      <c r="T131" s="452"/>
      <c r="U131" s="453"/>
      <c r="V131" s="454"/>
      <c r="W131" s="455" t="s">
        <v>406</v>
      </c>
      <c r="X131" s="455">
        <v>45519</v>
      </c>
      <c r="Y131" s="456" t="s">
        <v>377</v>
      </c>
      <c r="Z131" s="457"/>
      <c r="AA131" s="453"/>
    </row>
    <row r="132" spans="1:27" s="128" customFormat="1">
      <c r="A132" s="443">
        <v>72</v>
      </c>
      <c r="B132" s="444" t="s">
        <v>2608</v>
      </c>
      <c r="C132" s="445" t="s">
        <v>97</v>
      </c>
      <c r="D132" s="444" t="s">
        <v>2609</v>
      </c>
      <c r="E132" s="446">
        <v>3</v>
      </c>
      <c r="F132" s="447"/>
      <c r="G132" s="448">
        <f t="shared" si="6"/>
        <v>0</v>
      </c>
      <c r="H132" s="450"/>
      <c r="I132" s="444"/>
      <c r="J132" s="450"/>
      <c r="K132" s="444"/>
      <c r="L132" s="450"/>
      <c r="M132" s="444"/>
      <c r="N132" s="450"/>
      <c r="O132" s="450"/>
      <c r="P132" s="450"/>
      <c r="Q132" s="451" t="s">
        <v>374</v>
      </c>
      <c r="R132" s="451"/>
      <c r="S132" s="452"/>
      <c r="T132" s="452" t="s">
        <v>712</v>
      </c>
      <c r="U132" s="453"/>
      <c r="V132" s="454"/>
      <c r="W132" s="455" t="s">
        <v>406</v>
      </c>
      <c r="X132" s="455">
        <v>45582</v>
      </c>
      <c r="Y132" s="456" t="s">
        <v>377</v>
      </c>
      <c r="Z132" s="457"/>
      <c r="AA132" s="453"/>
    </row>
    <row r="133" spans="1:27" s="128" customFormat="1" ht="37.5">
      <c r="A133" s="443">
        <v>73</v>
      </c>
      <c r="B133" s="444" t="s">
        <v>2647</v>
      </c>
      <c r="C133" s="445" t="s">
        <v>97</v>
      </c>
      <c r="D133" s="444" t="s">
        <v>2648</v>
      </c>
      <c r="E133" s="446">
        <v>3</v>
      </c>
      <c r="F133" s="447"/>
      <c r="G133" s="448">
        <f t="shared" si="6"/>
        <v>0</v>
      </c>
      <c r="H133" s="450"/>
      <c r="I133" s="444"/>
      <c r="J133" s="450"/>
      <c r="K133" s="444"/>
      <c r="L133" s="450"/>
      <c r="M133" s="444"/>
      <c r="N133" s="450"/>
      <c r="O133" s="450"/>
      <c r="P133" s="450"/>
      <c r="Q133" s="451" t="s">
        <v>374</v>
      </c>
      <c r="R133" s="451"/>
      <c r="S133" s="452"/>
      <c r="T133" s="452"/>
      <c r="U133" s="453"/>
      <c r="V133" s="454"/>
      <c r="W133" s="455" t="s">
        <v>406</v>
      </c>
      <c r="X133" s="455">
        <v>45519</v>
      </c>
      <c r="Y133" s="456" t="s">
        <v>377</v>
      </c>
      <c r="Z133" s="457"/>
      <c r="AA133" s="453"/>
    </row>
    <row r="134" spans="1:27" s="128" customFormat="1" ht="37.5">
      <c r="A134" s="443">
        <v>74</v>
      </c>
      <c r="B134" s="444" t="s">
        <v>2649</v>
      </c>
      <c r="C134" s="445" t="s">
        <v>97</v>
      </c>
      <c r="D134" s="444" t="s">
        <v>2650</v>
      </c>
      <c r="E134" s="446">
        <v>3</v>
      </c>
      <c r="F134" s="447"/>
      <c r="G134" s="448">
        <f t="shared" si="6"/>
        <v>0</v>
      </c>
      <c r="H134" s="450"/>
      <c r="I134" s="444"/>
      <c r="J134" s="450"/>
      <c r="K134" s="444" t="s">
        <v>2589</v>
      </c>
      <c r="L134" s="450" t="s">
        <v>681</v>
      </c>
      <c r="M134" s="444" t="s">
        <v>2641</v>
      </c>
      <c r="N134" s="450"/>
      <c r="O134" s="450"/>
      <c r="P134" s="450" t="s">
        <v>1662</v>
      </c>
      <c r="Q134" s="451" t="s">
        <v>374</v>
      </c>
      <c r="R134" s="451" t="s">
        <v>2642</v>
      </c>
      <c r="S134" s="452" t="s">
        <v>806</v>
      </c>
      <c r="T134" s="452"/>
      <c r="U134" s="453"/>
      <c r="V134" s="454"/>
      <c r="W134" s="455" t="s">
        <v>406</v>
      </c>
      <c r="X134" s="455">
        <v>45604</v>
      </c>
      <c r="Y134" s="456" t="s">
        <v>377</v>
      </c>
      <c r="Z134" s="457"/>
      <c r="AA134" s="453"/>
    </row>
    <row r="135" spans="1:27" s="128" customFormat="1">
      <c r="A135" s="443">
        <v>75</v>
      </c>
      <c r="B135" s="444" t="s">
        <v>2604</v>
      </c>
      <c r="C135" s="445" t="s">
        <v>97</v>
      </c>
      <c r="D135" s="444" t="s">
        <v>2605</v>
      </c>
      <c r="E135" s="446">
        <v>12</v>
      </c>
      <c r="F135" s="447"/>
      <c r="G135" s="448">
        <f t="shared" si="6"/>
        <v>0</v>
      </c>
      <c r="H135" s="450"/>
      <c r="I135" s="444"/>
      <c r="J135" s="450"/>
      <c r="K135" s="444"/>
      <c r="L135" s="450"/>
      <c r="M135" s="444"/>
      <c r="N135" s="450"/>
      <c r="O135" s="450"/>
      <c r="P135" s="450"/>
      <c r="Q135" s="451" t="s">
        <v>374</v>
      </c>
      <c r="R135" s="451"/>
      <c r="S135" s="452"/>
      <c r="T135" s="452"/>
      <c r="U135" s="453"/>
      <c r="V135" s="454"/>
      <c r="W135" s="455" t="s">
        <v>406</v>
      </c>
      <c r="X135" s="455">
        <v>45519</v>
      </c>
      <c r="Y135" s="456" t="s">
        <v>377</v>
      </c>
      <c r="Z135" s="457"/>
      <c r="AA135" s="453"/>
    </row>
    <row r="136" spans="1:27" s="128" customFormat="1">
      <c r="A136" s="443">
        <v>76</v>
      </c>
      <c r="B136" s="444" t="s">
        <v>2608</v>
      </c>
      <c r="C136" s="445" t="s">
        <v>97</v>
      </c>
      <c r="D136" s="444" t="s">
        <v>2609</v>
      </c>
      <c r="E136" s="446">
        <v>3</v>
      </c>
      <c r="F136" s="447"/>
      <c r="G136" s="448">
        <f t="shared" si="6"/>
        <v>0</v>
      </c>
      <c r="H136" s="450"/>
      <c r="I136" s="444"/>
      <c r="J136" s="450"/>
      <c r="K136" s="444"/>
      <c r="L136" s="450"/>
      <c r="M136" s="444"/>
      <c r="N136" s="450"/>
      <c r="O136" s="450"/>
      <c r="P136" s="450"/>
      <c r="Q136" s="451" t="s">
        <v>374</v>
      </c>
      <c r="R136" s="451"/>
      <c r="S136" s="452"/>
      <c r="T136" s="452" t="s">
        <v>712</v>
      </c>
      <c r="U136" s="453"/>
      <c r="V136" s="454"/>
      <c r="W136" s="455" t="s">
        <v>406</v>
      </c>
      <c r="X136" s="455">
        <v>45582</v>
      </c>
      <c r="Y136" s="456" t="s">
        <v>377</v>
      </c>
      <c r="Z136" s="457"/>
      <c r="AA136" s="453"/>
    </row>
    <row r="137" spans="1:27" s="128" customFormat="1" ht="37.5">
      <c r="A137" s="443">
        <v>77</v>
      </c>
      <c r="B137" s="444" t="s">
        <v>2651</v>
      </c>
      <c r="C137" s="445" t="s">
        <v>97</v>
      </c>
      <c r="D137" s="444" t="s">
        <v>2652</v>
      </c>
      <c r="E137" s="446">
        <v>60</v>
      </c>
      <c r="F137" s="447"/>
      <c r="G137" s="448">
        <f t="shared" si="6"/>
        <v>0</v>
      </c>
      <c r="H137" s="450"/>
      <c r="I137" s="444"/>
      <c r="J137" s="450"/>
      <c r="K137" s="444" t="s">
        <v>2589</v>
      </c>
      <c r="L137" s="450" t="s">
        <v>681</v>
      </c>
      <c r="M137" s="444" t="s">
        <v>2629</v>
      </c>
      <c r="N137" s="450"/>
      <c r="O137" s="450"/>
      <c r="P137" s="450" t="s">
        <v>1091</v>
      </c>
      <c r="Q137" s="451" t="s">
        <v>374</v>
      </c>
      <c r="R137" s="451" t="s">
        <v>2186</v>
      </c>
      <c r="S137" s="452" t="s">
        <v>2014</v>
      </c>
      <c r="T137" s="452">
        <v>45596</v>
      </c>
      <c r="U137" s="453"/>
      <c r="V137" s="454"/>
      <c r="W137" s="455" t="s">
        <v>406</v>
      </c>
      <c r="X137" s="455">
        <v>45594</v>
      </c>
      <c r="Y137" s="456" t="s">
        <v>377</v>
      </c>
      <c r="Z137" s="457"/>
      <c r="AA137" s="453"/>
    </row>
    <row r="138" spans="1:27" s="128" customFormat="1" ht="37.5">
      <c r="A138" s="443">
        <v>78</v>
      </c>
      <c r="B138" s="444" t="s">
        <v>2645</v>
      </c>
      <c r="C138" s="445" t="s">
        <v>97</v>
      </c>
      <c r="D138" s="444" t="s">
        <v>2646</v>
      </c>
      <c r="E138" s="446">
        <v>3</v>
      </c>
      <c r="F138" s="447"/>
      <c r="G138" s="448">
        <f t="shared" si="6"/>
        <v>0</v>
      </c>
      <c r="H138" s="450"/>
      <c r="I138" s="444"/>
      <c r="J138" s="450"/>
      <c r="K138" s="444"/>
      <c r="L138" s="450"/>
      <c r="M138" s="444"/>
      <c r="N138" s="450"/>
      <c r="O138" s="450"/>
      <c r="P138" s="450"/>
      <c r="Q138" s="451" t="s">
        <v>374</v>
      </c>
      <c r="R138" s="451"/>
      <c r="S138" s="452"/>
      <c r="T138" s="452">
        <v>45568</v>
      </c>
      <c r="U138" s="453"/>
      <c r="V138" s="454"/>
      <c r="W138" s="455" t="s">
        <v>406</v>
      </c>
      <c r="X138" s="455">
        <v>45567</v>
      </c>
      <c r="Y138" s="456" t="s">
        <v>377</v>
      </c>
      <c r="Z138" s="457"/>
      <c r="AA138" s="453"/>
    </row>
    <row r="139" spans="1:27" s="128" customFormat="1" ht="37.5">
      <c r="A139" s="443">
        <v>79</v>
      </c>
      <c r="B139" s="444" t="s">
        <v>2645</v>
      </c>
      <c r="C139" s="445" t="s">
        <v>97</v>
      </c>
      <c r="D139" s="444" t="s">
        <v>2646</v>
      </c>
      <c r="E139" s="446">
        <v>6</v>
      </c>
      <c r="F139" s="447"/>
      <c r="G139" s="448">
        <f t="shared" si="6"/>
        <v>0</v>
      </c>
      <c r="H139" s="450"/>
      <c r="I139" s="444"/>
      <c r="J139" s="450"/>
      <c r="K139" s="444"/>
      <c r="L139" s="450"/>
      <c r="M139" s="444"/>
      <c r="N139" s="450"/>
      <c r="O139" s="450"/>
      <c r="P139" s="450"/>
      <c r="Q139" s="451" t="s">
        <v>374</v>
      </c>
      <c r="R139" s="451"/>
      <c r="S139" s="452"/>
      <c r="T139" s="452">
        <v>45568</v>
      </c>
      <c r="U139" s="453"/>
      <c r="V139" s="454"/>
      <c r="W139" s="455" t="s">
        <v>406</v>
      </c>
      <c r="X139" s="452">
        <v>45551</v>
      </c>
      <c r="Y139" s="456" t="s">
        <v>377</v>
      </c>
      <c r="Z139" s="457"/>
      <c r="AA139" s="453"/>
    </row>
    <row r="140" spans="1:27" s="128" customFormat="1">
      <c r="A140" s="443">
        <v>80</v>
      </c>
      <c r="B140" s="444" t="s">
        <v>2653</v>
      </c>
      <c r="C140" s="445" t="s">
        <v>97</v>
      </c>
      <c r="D140" s="444" t="s">
        <v>2654</v>
      </c>
      <c r="E140" s="446">
        <v>3</v>
      </c>
      <c r="F140" s="447"/>
      <c r="G140" s="448">
        <f>E140*F140</f>
        <v>0</v>
      </c>
      <c r="H140" s="450"/>
      <c r="I140" s="444"/>
      <c r="J140" s="450"/>
      <c r="K140" s="444"/>
      <c r="L140" s="450"/>
      <c r="M140" s="444"/>
      <c r="N140" s="450"/>
      <c r="O140" s="450"/>
      <c r="P140" s="450"/>
      <c r="Q140" s="451" t="s">
        <v>374</v>
      </c>
      <c r="R140" s="451"/>
      <c r="S140" s="452"/>
      <c r="T140" s="452"/>
      <c r="U140" s="453"/>
      <c r="V140" s="454"/>
      <c r="W140" s="455" t="s">
        <v>406</v>
      </c>
      <c r="X140" s="455">
        <v>45582</v>
      </c>
      <c r="Y140" s="456" t="s">
        <v>377</v>
      </c>
      <c r="Z140" s="457"/>
      <c r="AA140" s="453"/>
    </row>
    <row r="141" spans="1:27">
      <c r="A141" s="389"/>
      <c r="B141" s="390" t="s">
        <v>2655</v>
      </c>
      <c r="C141" s="391"/>
      <c r="D141" s="392"/>
      <c r="E141" s="393"/>
      <c r="F141" s="394"/>
      <c r="G141" s="395">
        <f t="shared" si="3"/>
        <v>0</v>
      </c>
      <c r="H141" s="420"/>
      <c r="I141" s="392"/>
      <c r="J141" s="420"/>
      <c r="K141" s="392"/>
      <c r="L141" s="397"/>
      <c r="M141" s="392"/>
      <c r="N141" s="397"/>
      <c r="O141" s="397"/>
      <c r="P141" s="397"/>
      <c r="Q141" s="398"/>
      <c r="R141" s="398"/>
      <c r="S141" s="399"/>
      <c r="T141" s="399"/>
      <c r="U141" s="400"/>
      <c r="V141" s="401"/>
      <c r="W141" s="402"/>
      <c r="X141" s="402"/>
      <c r="Y141" s="403"/>
      <c r="Z141" s="404"/>
      <c r="AA141" s="493"/>
    </row>
    <row r="142" spans="1:27" s="128" customFormat="1">
      <c r="A142" s="443">
        <v>1</v>
      </c>
      <c r="B142" s="444" t="s">
        <v>2569</v>
      </c>
      <c r="C142" s="445" t="s">
        <v>99</v>
      </c>
      <c r="D142" s="444" t="s">
        <v>2570</v>
      </c>
      <c r="E142" s="446">
        <v>1</v>
      </c>
      <c r="F142" s="447"/>
      <c r="G142" s="448">
        <f t="shared" ref="G142:G173" si="7">E142*F142</f>
        <v>0</v>
      </c>
      <c r="H142" s="450"/>
      <c r="I142" s="444"/>
      <c r="J142" s="450"/>
      <c r="K142" s="444"/>
      <c r="L142" s="450"/>
      <c r="M142" s="444"/>
      <c r="N142" s="450"/>
      <c r="O142" s="450"/>
      <c r="P142" s="450"/>
      <c r="Q142" s="451" t="s">
        <v>374</v>
      </c>
      <c r="R142" s="451"/>
      <c r="S142" s="452"/>
      <c r="T142" s="452"/>
      <c r="U142" s="453"/>
      <c r="V142" s="454"/>
      <c r="W142" s="455" t="s">
        <v>406</v>
      </c>
      <c r="X142" s="455">
        <v>45523</v>
      </c>
      <c r="Y142" s="456" t="s">
        <v>377</v>
      </c>
      <c r="Z142" s="457"/>
      <c r="AA142" s="453"/>
    </row>
    <row r="143" spans="1:27" s="128" customFormat="1">
      <c r="A143" s="443">
        <v>2</v>
      </c>
      <c r="B143" s="444" t="s">
        <v>2575</v>
      </c>
      <c r="C143" s="445" t="s">
        <v>99</v>
      </c>
      <c r="D143" s="444" t="s">
        <v>2576</v>
      </c>
      <c r="E143" s="446">
        <v>1</v>
      </c>
      <c r="F143" s="447"/>
      <c r="G143" s="448">
        <f t="shared" si="7"/>
        <v>0</v>
      </c>
      <c r="H143" s="450"/>
      <c r="I143" s="444"/>
      <c r="J143" s="450"/>
      <c r="K143" s="444"/>
      <c r="L143" s="450"/>
      <c r="M143" s="444"/>
      <c r="N143" s="450"/>
      <c r="O143" s="450"/>
      <c r="P143" s="450"/>
      <c r="Q143" s="451" t="s">
        <v>374</v>
      </c>
      <c r="R143" s="451"/>
      <c r="S143" s="452"/>
      <c r="T143" s="452"/>
      <c r="U143" s="453"/>
      <c r="V143" s="454"/>
      <c r="W143" s="455" t="s">
        <v>406</v>
      </c>
      <c r="X143" s="455">
        <v>45523</v>
      </c>
      <c r="Y143" s="456" t="s">
        <v>377</v>
      </c>
      <c r="Z143" s="457"/>
      <c r="AA143" s="453"/>
    </row>
    <row r="144" spans="1:27" s="128" customFormat="1">
      <c r="A144" s="443">
        <v>3</v>
      </c>
      <c r="B144" s="444" t="s">
        <v>2577</v>
      </c>
      <c r="C144" s="445" t="s">
        <v>99</v>
      </c>
      <c r="D144" s="444" t="s">
        <v>2578</v>
      </c>
      <c r="E144" s="446">
        <v>6</v>
      </c>
      <c r="F144" s="447"/>
      <c r="G144" s="448">
        <f t="shared" si="7"/>
        <v>0</v>
      </c>
      <c r="H144" s="450"/>
      <c r="I144" s="444"/>
      <c r="J144" s="450"/>
      <c r="K144" s="444"/>
      <c r="L144" s="450"/>
      <c r="M144" s="444"/>
      <c r="N144" s="450"/>
      <c r="O144" s="450"/>
      <c r="P144" s="450"/>
      <c r="Q144" s="451" t="s">
        <v>374</v>
      </c>
      <c r="R144" s="451"/>
      <c r="S144" s="452"/>
      <c r="T144" s="452"/>
      <c r="U144" s="453"/>
      <c r="V144" s="454"/>
      <c r="W144" s="455" t="s">
        <v>406</v>
      </c>
      <c r="X144" s="455">
        <v>45523</v>
      </c>
      <c r="Y144" s="456" t="s">
        <v>377</v>
      </c>
      <c r="Z144" s="457"/>
      <c r="AA144" s="453"/>
    </row>
    <row r="145" spans="1:27" s="128" customFormat="1">
      <c r="A145" s="443">
        <v>4</v>
      </c>
      <c r="B145" s="444" t="s">
        <v>2579</v>
      </c>
      <c r="C145" s="445" t="s">
        <v>99</v>
      </c>
      <c r="D145" s="444" t="s">
        <v>2580</v>
      </c>
      <c r="E145" s="446">
        <v>2</v>
      </c>
      <c r="F145" s="447"/>
      <c r="G145" s="448">
        <f t="shared" si="7"/>
        <v>0</v>
      </c>
      <c r="H145" s="450"/>
      <c r="I145" s="444"/>
      <c r="J145" s="450"/>
      <c r="K145" s="444"/>
      <c r="L145" s="450"/>
      <c r="M145" s="444"/>
      <c r="N145" s="450"/>
      <c r="O145" s="450"/>
      <c r="P145" s="450"/>
      <c r="Q145" s="451" t="s">
        <v>374</v>
      </c>
      <c r="R145" s="451"/>
      <c r="S145" s="452"/>
      <c r="T145" s="452"/>
      <c r="U145" s="453"/>
      <c r="V145" s="454"/>
      <c r="W145" s="455" t="s">
        <v>406</v>
      </c>
      <c r="X145" s="455">
        <v>45523</v>
      </c>
      <c r="Y145" s="456" t="s">
        <v>377</v>
      </c>
      <c r="Z145" s="457"/>
      <c r="AA145" s="453"/>
    </row>
    <row r="146" spans="1:27" s="128" customFormat="1">
      <c r="A146" s="443">
        <v>5</v>
      </c>
      <c r="B146" s="444" t="s">
        <v>2581</v>
      </c>
      <c r="C146" s="445" t="s">
        <v>99</v>
      </c>
      <c r="D146" s="444" t="s">
        <v>2582</v>
      </c>
      <c r="E146" s="446">
        <v>3</v>
      </c>
      <c r="F146" s="447"/>
      <c r="G146" s="448">
        <f t="shared" si="7"/>
        <v>0</v>
      </c>
      <c r="H146" s="450"/>
      <c r="I146" s="444"/>
      <c r="J146" s="450"/>
      <c r="K146" s="444"/>
      <c r="L146" s="450"/>
      <c r="M146" s="444"/>
      <c r="N146" s="450"/>
      <c r="O146" s="450"/>
      <c r="P146" s="450"/>
      <c r="Q146" s="451" t="s">
        <v>374</v>
      </c>
      <c r="R146" s="451"/>
      <c r="S146" s="452"/>
      <c r="T146" s="452"/>
      <c r="U146" s="453"/>
      <c r="V146" s="454"/>
      <c r="W146" s="455" t="s">
        <v>406</v>
      </c>
      <c r="X146" s="455">
        <v>45523</v>
      </c>
      <c r="Y146" s="456" t="s">
        <v>377</v>
      </c>
      <c r="Z146" s="457"/>
      <c r="AA146" s="453"/>
    </row>
    <row r="147" spans="1:27" s="128" customFormat="1">
      <c r="A147" s="443">
        <v>6</v>
      </c>
      <c r="B147" s="444" t="s">
        <v>2579</v>
      </c>
      <c r="C147" s="445" t="s">
        <v>99</v>
      </c>
      <c r="D147" s="444" t="s">
        <v>2580</v>
      </c>
      <c r="E147" s="446">
        <v>1</v>
      </c>
      <c r="F147" s="447"/>
      <c r="G147" s="448">
        <f t="shared" si="7"/>
        <v>0</v>
      </c>
      <c r="H147" s="450"/>
      <c r="I147" s="444"/>
      <c r="J147" s="450"/>
      <c r="K147" s="444"/>
      <c r="L147" s="450"/>
      <c r="M147" s="444"/>
      <c r="N147" s="450"/>
      <c r="O147" s="450"/>
      <c r="P147" s="450"/>
      <c r="Q147" s="451" t="s">
        <v>374</v>
      </c>
      <c r="R147" s="451"/>
      <c r="S147" s="452"/>
      <c r="T147" s="452"/>
      <c r="U147" s="453"/>
      <c r="V147" s="454"/>
      <c r="W147" s="455" t="s">
        <v>406</v>
      </c>
      <c r="X147" s="455">
        <v>45523</v>
      </c>
      <c r="Y147" s="456" t="s">
        <v>377</v>
      </c>
      <c r="Z147" s="457"/>
      <c r="AA147" s="453"/>
    </row>
    <row r="148" spans="1:27" s="128" customFormat="1">
      <c r="A148" s="443">
        <v>7</v>
      </c>
      <c r="B148" s="444" t="s">
        <v>2585</v>
      </c>
      <c r="C148" s="445" t="s">
        <v>99</v>
      </c>
      <c r="D148" s="444" t="s">
        <v>2586</v>
      </c>
      <c r="E148" s="446">
        <v>2</v>
      </c>
      <c r="F148" s="447"/>
      <c r="G148" s="448">
        <f t="shared" si="7"/>
        <v>0</v>
      </c>
      <c r="H148" s="450"/>
      <c r="I148" s="444"/>
      <c r="J148" s="450"/>
      <c r="K148" s="444"/>
      <c r="L148" s="450"/>
      <c r="M148" s="444"/>
      <c r="N148" s="450"/>
      <c r="O148" s="450"/>
      <c r="P148" s="450"/>
      <c r="Q148" s="451" t="s">
        <v>374</v>
      </c>
      <c r="R148" s="451"/>
      <c r="S148" s="452"/>
      <c r="T148" s="452"/>
      <c r="U148" s="453"/>
      <c r="V148" s="454"/>
      <c r="W148" s="455" t="s">
        <v>406</v>
      </c>
      <c r="X148" s="455">
        <v>45523</v>
      </c>
      <c r="Y148" s="456" t="s">
        <v>377</v>
      </c>
      <c r="Z148" s="457"/>
      <c r="AA148" s="453"/>
    </row>
    <row r="149" spans="1:27" s="128" customFormat="1">
      <c r="A149" s="443">
        <v>8</v>
      </c>
      <c r="B149" s="444" t="s">
        <v>2593</v>
      </c>
      <c r="C149" s="445" t="s">
        <v>99</v>
      </c>
      <c r="D149" s="444" t="s">
        <v>2594</v>
      </c>
      <c r="E149" s="446">
        <v>3</v>
      </c>
      <c r="F149" s="447"/>
      <c r="G149" s="448">
        <f t="shared" si="7"/>
        <v>0</v>
      </c>
      <c r="H149" s="450"/>
      <c r="I149" s="444"/>
      <c r="J149" s="450"/>
      <c r="K149" s="444"/>
      <c r="L149" s="450"/>
      <c r="M149" s="444"/>
      <c r="N149" s="450"/>
      <c r="O149" s="450"/>
      <c r="P149" s="450"/>
      <c r="Q149" s="451" t="s">
        <v>374</v>
      </c>
      <c r="R149" s="451"/>
      <c r="S149" s="452"/>
      <c r="T149" s="452"/>
      <c r="U149" s="453"/>
      <c r="V149" s="454"/>
      <c r="W149" s="455" t="s">
        <v>406</v>
      </c>
      <c r="X149" s="455">
        <v>45523</v>
      </c>
      <c r="Y149" s="456" t="s">
        <v>377</v>
      </c>
      <c r="Z149" s="457"/>
      <c r="AA149" s="453"/>
    </row>
    <row r="150" spans="1:27" s="128" customFormat="1">
      <c r="A150" s="443">
        <v>9</v>
      </c>
      <c r="B150" s="444" t="s">
        <v>2577</v>
      </c>
      <c r="C150" s="445" t="s">
        <v>99</v>
      </c>
      <c r="D150" s="444" t="s">
        <v>2578</v>
      </c>
      <c r="E150" s="446">
        <v>8</v>
      </c>
      <c r="F150" s="447"/>
      <c r="G150" s="448">
        <f t="shared" si="7"/>
        <v>0</v>
      </c>
      <c r="H150" s="450"/>
      <c r="I150" s="444"/>
      <c r="J150" s="450"/>
      <c r="K150" s="444"/>
      <c r="L150" s="450"/>
      <c r="M150" s="444"/>
      <c r="N150" s="450"/>
      <c r="O150" s="450"/>
      <c r="P150" s="450"/>
      <c r="Q150" s="451" t="s">
        <v>374</v>
      </c>
      <c r="R150" s="451"/>
      <c r="S150" s="452"/>
      <c r="T150" s="452"/>
      <c r="U150" s="453"/>
      <c r="V150" s="454"/>
      <c r="W150" s="455" t="s">
        <v>406</v>
      </c>
      <c r="X150" s="455">
        <v>45523</v>
      </c>
      <c r="Y150" s="456" t="s">
        <v>377</v>
      </c>
      <c r="Z150" s="457"/>
      <c r="AA150" s="453"/>
    </row>
    <row r="151" spans="1:27" s="128" customFormat="1">
      <c r="A151" s="443">
        <v>10</v>
      </c>
      <c r="B151" s="444" t="s">
        <v>2579</v>
      </c>
      <c r="C151" s="445" t="s">
        <v>99</v>
      </c>
      <c r="D151" s="444" t="s">
        <v>2580</v>
      </c>
      <c r="E151" s="446">
        <v>2</v>
      </c>
      <c r="F151" s="447"/>
      <c r="G151" s="448">
        <f t="shared" si="7"/>
        <v>0</v>
      </c>
      <c r="H151" s="450"/>
      <c r="I151" s="444"/>
      <c r="J151" s="450"/>
      <c r="K151" s="444"/>
      <c r="L151" s="450"/>
      <c r="M151" s="444"/>
      <c r="N151" s="450"/>
      <c r="O151" s="450"/>
      <c r="P151" s="450"/>
      <c r="Q151" s="451" t="s">
        <v>374</v>
      </c>
      <c r="R151" s="451"/>
      <c r="S151" s="452"/>
      <c r="T151" s="452"/>
      <c r="U151" s="453"/>
      <c r="V151" s="454"/>
      <c r="W151" s="455" t="s">
        <v>406</v>
      </c>
      <c r="X151" s="455">
        <v>45523</v>
      </c>
      <c r="Y151" s="456" t="s">
        <v>377</v>
      </c>
      <c r="Z151" s="457"/>
      <c r="AA151" s="453"/>
    </row>
    <row r="152" spans="1:27" s="128" customFormat="1">
      <c r="A152" s="443">
        <v>11</v>
      </c>
      <c r="B152" s="444" t="s">
        <v>2585</v>
      </c>
      <c r="C152" s="445" t="s">
        <v>99</v>
      </c>
      <c r="D152" s="444" t="s">
        <v>2586</v>
      </c>
      <c r="E152" s="446">
        <v>2</v>
      </c>
      <c r="F152" s="447"/>
      <c r="G152" s="448">
        <f t="shared" si="7"/>
        <v>0</v>
      </c>
      <c r="H152" s="450"/>
      <c r="I152" s="444"/>
      <c r="J152" s="450"/>
      <c r="K152" s="444"/>
      <c r="L152" s="450"/>
      <c r="M152" s="444"/>
      <c r="N152" s="450"/>
      <c r="O152" s="450"/>
      <c r="P152" s="450"/>
      <c r="Q152" s="451" t="s">
        <v>374</v>
      </c>
      <c r="R152" s="451"/>
      <c r="S152" s="452"/>
      <c r="T152" s="452"/>
      <c r="U152" s="453"/>
      <c r="V152" s="454"/>
      <c r="W152" s="455" t="s">
        <v>406</v>
      </c>
      <c r="X152" s="455">
        <v>45523</v>
      </c>
      <c r="Y152" s="456" t="s">
        <v>377</v>
      </c>
      <c r="Z152" s="457"/>
      <c r="AA152" s="453"/>
    </row>
    <row r="153" spans="1:27" s="128" customFormat="1">
      <c r="A153" s="443">
        <v>12</v>
      </c>
      <c r="B153" s="444" t="s">
        <v>2583</v>
      </c>
      <c r="C153" s="445" t="s">
        <v>99</v>
      </c>
      <c r="D153" s="444" t="s">
        <v>2584</v>
      </c>
      <c r="E153" s="446">
        <v>2</v>
      </c>
      <c r="F153" s="447"/>
      <c r="G153" s="448">
        <f t="shared" si="7"/>
        <v>0</v>
      </c>
      <c r="H153" s="450"/>
      <c r="I153" s="444"/>
      <c r="J153" s="450"/>
      <c r="K153" s="444"/>
      <c r="L153" s="450"/>
      <c r="M153" s="444"/>
      <c r="N153" s="450"/>
      <c r="O153" s="450"/>
      <c r="P153" s="450"/>
      <c r="Q153" s="451" t="s">
        <v>374</v>
      </c>
      <c r="R153" s="451"/>
      <c r="S153" s="452"/>
      <c r="T153" s="452"/>
      <c r="U153" s="453"/>
      <c r="V153" s="454"/>
      <c r="W153" s="455" t="s">
        <v>406</v>
      </c>
      <c r="X153" s="455">
        <v>45523</v>
      </c>
      <c r="Y153" s="456" t="s">
        <v>377</v>
      </c>
      <c r="Z153" s="457"/>
      <c r="AA153" s="453"/>
    </row>
    <row r="154" spans="1:27" s="128" customFormat="1">
      <c r="A154" s="443">
        <v>13</v>
      </c>
      <c r="B154" s="444" t="s">
        <v>2593</v>
      </c>
      <c r="C154" s="445" t="s">
        <v>99</v>
      </c>
      <c r="D154" s="444" t="s">
        <v>2594</v>
      </c>
      <c r="E154" s="446">
        <v>2</v>
      </c>
      <c r="F154" s="447"/>
      <c r="G154" s="448">
        <f t="shared" si="7"/>
        <v>0</v>
      </c>
      <c r="H154" s="450"/>
      <c r="I154" s="444"/>
      <c r="J154" s="450"/>
      <c r="K154" s="444"/>
      <c r="L154" s="450"/>
      <c r="M154" s="444"/>
      <c r="N154" s="450"/>
      <c r="O154" s="450"/>
      <c r="P154" s="450"/>
      <c r="Q154" s="451" t="s">
        <v>374</v>
      </c>
      <c r="R154" s="451"/>
      <c r="S154" s="452"/>
      <c r="T154" s="452"/>
      <c r="U154" s="453"/>
      <c r="V154" s="454"/>
      <c r="W154" s="455" t="s">
        <v>406</v>
      </c>
      <c r="X154" s="455">
        <v>45523</v>
      </c>
      <c r="Y154" s="456" t="s">
        <v>377</v>
      </c>
      <c r="Z154" s="457"/>
      <c r="AA154" s="453"/>
    </row>
    <row r="155" spans="1:27" s="128" customFormat="1">
      <c r="A155" s="443">
        <v>14</v>
      </c>
      <c r="B155" s="444" t="s">
        <v>2577</v>
      </c>
      <c r="C155" s="445" t="s">
        <v>99</v>
      </c>
      <c r="D155" s="444" t="s">
        <v>2578</v>
      </c>
      <c r="E155" s="446">
        <v>4</v>
      </c>
      <c r="F155" s="447"/>
      <c r="G155" s="448">
        <f t="shared" si="7"/>
        <v>0</v>
      </c>
      <c r="H155" s="450"/>
      <c r="I155" s="444"/>
      <c r="J155" s="450"/>
      <c r="K155" s="444"/>
      <c r="L155" s="450"/>
      <c r="M155" s="444"/>
      <c r="N155" s="450"/>
      <c r="O155" s="450"/>
      <c r="P155" s="450"/>
      <c r="Q155" s="451" t="s">
        <v>374</v>
      </c>
      <c r="R155" s="451"/>
      <c r="S155" s="452"/>
      <c r="T155" s="452"/>
      <c r="U155" s="453"/>
      <c r="V155" s="454"/>
      <c r="W155" s="455" t="s">
        <v>406</v>
      </c>
      <c r="X155" s="455">
        <v>45523</v>
      </c>
      <c r="Y155" s="456" t="s">
        <v>377</v>
      </c>
      <c r="Z155" s="457"/>
      <c r="AA155" s="453"/>
    </row>
    <row r="156" spans="1:27" s="128" customFormat="1">
      <c r="A156" s="443">
        <v>15</v>
      </c>
      <c r="B156" s="444" t="s">
        <v>2579</v>
      </c>
      <c r="C156" s="445" t="s">
        <v>99</v>
      </c>
      <c r="D156" s="444" t="s">
        <v>2580</v>
      </c>
      <c r="E156" s="446">
        <v>2</v>
      </c>
      <c r="F156" s="447"/>
      <c r="G156" s="448">
        <f t="shared" si="7"/>
        <v>0</v>
      </c>
      <c r="H156" s="450"/>
      <c r="I156" s="444"/>
      <c r="J156" s="450"/>
      <c r="K156" s="444"/>
      <c r="L156" s="450"/>
      <c r="M156" s="444"/>
      <c r="N156" s="450"/>
      <c r="O156" s="450"/>
      <c r="P156" s="450"/>
      <c r="Q156" s="451" t="s">
        <v>374</v>
      </c>
      <c r="R156" s="451"/>
      <c r="S156" s="452"/>
      <c r="T156" s="452"/>
      <c r="U156" s="453"/>
      <c r="V156" s="454"/>
      <c r="W156" s="455" t="s">
        <v>406</v>
      </c>
      <c r="X156" s="455">
        <v>45523</v>
      </c>
      <c r="Y156" s="456" t="s">
        <v>377</v>
      </c>
      <c r="Z156" s="457"/>
      <c r="AA156" s="453"/>
    </row>
    <row r="157" spans="1:27" s="128" customFormat="1">
      <c r="A157" s="443">
        <v>16</v>
      </c>
      <c r="B157" s="444" t="s">
        <v>2585</v>
      </c>
      <c r="C157" s="445" t="s">
        <v>99</v>
      </c>
      <c r="D157" s="444" t="s">
        <v>2586</v>
      </c>
      <c r="E157" s="446">
        <v>1</v>
      </c>
      <c r="F157" s="447"/>
      <c r="G157" s="448">
        <f t="shared" si="7"/>
        <v>0</v>
      </c>
      <c r="H157" s="450"/>
      <c r="I157" s="444"/>
      <c r="J157" s="450"/>
      <c r="K157" s="444"/>
      <c r="L157" s="450"/>
      <c r="M157" s="444"/>
      <c r="N157" s="450"/>
      <c r="O157" s="450"/>
      <c r="P157" s="450"/>
      <c r="Q157" s="451" t="s">
        <v>374</v>
      </c>
      <c r="R157" s="451"/>
      <c r="S157" s="452"/>
      <c r="T157" s="452"/>
      <c r="U157" s="453"/>
      <c r="V157" s="454"/>
      <c r="W157" s="455" t="s">
        <v>406</v>
      </c>
      <c r="X157" s="455">
        <v>45523</v>
      </c>
      <c r="Y157" s="456" t="s">
        <v>377</v>
      </c>
      <c r="Z157" s="457"/>
      <c r="AA157" s="453"/>
    </row>
    <row r="158" spans="1:27" s="128" customFormat="1">
      <c r="A158" s="443">
        <v>17</v>
      </c>
      <c r="B158" s="444" t="s">
        <v>2583</v>
      </c>
      <c r="C158" s="445" t="s">
        <v>99</v>
      </c>
      <c r="D158" s="444" t="s">
        <v>2584</v>
      </c>
      <c r="E158" s="446">
        <v>2</v>
      </c>
      <c r="F158" s="447"/>
      <c r="G158" s="448">
        <f t="shared" si="7"/>
        <v>0</v>
      </c>
      <c r="H158" s="450"/>
      <c r="I158" s="444"/>
      <c r="J158" s="450"/>
      <c r="K158" s="444"/>
      <c r="L158" s="450"/>
      <c r="M158" s="444"/>
      <c r="N158" s="450"/>
      <c r="O158" s="450"/>
      <c r="P158" s="450"/>
      <c r="Q158" s="451" t="s">
        <v>374</v>
      </c>
      <c r="R158" s="451"/>
      <c r="S158" s="452"/>
      <c r="T158" s="452"/>
      <c r="U158" s="453"/>
      <c r="V158" s="454"/>
      <c r="W158" s="455" t="s">
        <v>406</v>
      </c>
      <c r="X158" s="455">
        <v>45523</v>
      </c>
      <c r="Y158" s="456" t="s">
        <v>377</v>
      </c>
      <c r="Z158" s="457"/>
      <c r="AA158" s="453"/>
    </row>
    <row r="159" spans="1:27" s="128" customFormat="1">
      <c r="A159" s="443">
        <v>18</v>
      </c>
      <c r="B159" s="444" t="s">
        <v>2575</v>
      </c>
      <c r="C159" s="445" t="s">
        <v>99</v>
      </c>
      <c r="D159" s="444" t="s">
        <v>2576</v>
      </c>
      <c r="E159" s="446">
        <v>1</v>
      </c>
      <c r="F159" s="447"/>
      <c r="G159" s="448">
        <f t="shared" si="7"/>
        <v>0</v>
      </c>
      <c r="H159" s="450"/>
      <c r="I159" s="444"/>
      <c r="J159" s="450"/>
      <c r="K159" s="444"/>
      <c r="L159" s="450"/>
      <c r="M159" s="444"/>
      <c r="N159" s="450"/>
      <c r="O159" s="450"/>
      <c r="P159" s="450"/>
      <c r="Q159" s="451" t="s">
        <v>374</v>
      </c>
      <c r="R159" s="451"/>
      <c r="S159" s="452"/>
      <c r="T159" s="452"/>
      <c r="U159" s="453"/>
      <c r="V159" s="454"/>
      <c r="W159" s="455" t="s">
        <v>406</v>
      </c>
      <c r="X159" s="455">
        <v>45523</v>
      </c>
      <c r="Y159" s="456" t="s">
        <v>377</v>
      </c>
      <c r="Z159" s="457"/>
      <c r="AA159" s="453"/>
    </row>
    <row r="160" spans="1:27" s="128" customFormat="1" ht="37.5">
      <c r="A160" s="443">
        <v>19</v>
      </c>
      <c r="B160" s="444" t="s">
        <v>2604</v>
      </c>
      <c r="C160" s="445" t="s">
        <v>99</v>
      </c>
      <c r="D160" s="444" t="s">
        <v>2605</v>
      </c>
      <c r="E160" s="446">
        <v>4</v>
      </c>
      <c r="F160" s="447"/>
      <c r="G160" s="448">
        <f t="shared" si="7"/>
        <v>0</v>
      </c>
      <c r="H160" s="450"/>
      <c r="I160" s="444"/>
      <c r="J160" s="450"/>
      <c r="K160" s="444" t="s">
        <v>2656</v>
      </c>
      <c r="L160" s="450" t="s">
        <v>681</v>
      </c>
      <c r="M160" s="444" t="s">
        <v>2657</v>
      </c>
      <c r="N160" s="450"/>
      <c r="O160" s="450"/>
      <c r="P160" s="450" t="s">
        <v>1662</v>
      </c>
      <c r="Q160" s="451" t="s">
        <v>374</v>
      </c>
      <c r="R160" s="451" t="s">
        <v>2607</v>
      </c>
      <c r="S160" s="452" t="s">
        <v>859</v>
      </c>
      <c r="T160" s="452" t="s">
        <v>712</v>
      </c>
      <c r="U160" s="453"/>
      <c r="V160" s="454"/>
      <c r="W160" s="455" t="s">
        <v>406</v>
      </c>
      <c r="X160" s="455">
        <v>45573</v>
      </c>
      <c r="Y160" s="456" t="s">
        <v>377</v>
      </c>
      <c r="Z160" s="457"/>
      <c r="AA160" s="453"/>
    </row>
    <row r="161" spans="1:27" s="128" customFormat="1" ht="37.5">
      <c r="A161" s="443">
        <v>20</v>
      </c>
      <c r="B161" s="444" t="s">
        <v>2608</v>
      </c>
      <c r="C161" s="445" t="s">
        <v>99</v>
      </c>
      <c r="D161" s="444" t="s">
        <v>2609</v>
      </c>
      <c r="E161" s="446">
        <v>2</v>
      </c>
      <c r="F161" s="447"/>
      <c r="G161" s="448">
        <f t="shared" si="7"/>
        <v>0</v>
      </c>
      <c r="H161" s="450"/>
      <c r="I161" s="444"/>
      <c r="J161" s="450"/>
      <c r="K161" s="444" t="s">
        <v>2656</v>
      </c>
      <c r="L161" s="450" t="s">
        <v>444</v>
      </c>
      <c r="M161" s="444" t="s">
        <v>444</v>
      </c>
      <c r="N161" s="450"/>
      <c r="O161" s="450"/>
      <c r="P161" s="450" t="s">
        <v>444</v>
      </c>
      <c r="Q161" s="451" t="s">
        <v>374</v>
      </c>
      <c r="R161" s="451"/>
      <c r="S161" s="452"/>
      <c r="T161" s="452" t="s">
        <v>712</v>
      </c>
      <c r="U161" s="453"/>
      <c r="V161" s="454"/>
      <c r="W161" s="455" t="s">
        <v>406</v>
      </c>
      <c r="X161" s="455">
        <v>45582</v>
      </c>
      <c r="Y161" s="456" t="s">
        <v>377</v>
      </c>
      <c r="Z161" s="457"/>
      <c r="AA161" s="453"/>
    </row>
    <row r="162" spans="1:27" s="128" customFormat="1" ht="37.5">
      <c r="A162" s="443">
        <v>21</v>
      </c>
      <c r="B162" s="444" t="s">
        <v>2645</v>
      </c>
      <c r="C162" s="445" t="s">
        <v>99</v>
      </c>
      <c r="D162" s="444" t="s">
        <v>2646</v>
      </c>
      <c r="E162" s="446">
        <v>1</v>
      </c>
      <c r="F162" s="447"/>
      <c r="G162" s="448">
        <f t="shared" si="7"/>
        <v>0</v>
      </c>
      <c r="H162" s="450"/>
      <c r="I162" s="444"/>
      <c r="J162" s="450"/>
      <c r="K162" s="444" t="s">
        <v>2656</v>
      </c>
      <c r="L162" s="450" t="s">
        <v>681</v>
      </c>
      <c r="M162" s="444" t="s">
        <v>2658</v>
      </c>
      <c r="N162" s="450"/>
      <c r="O162" s="450"/>
      <c r="P162" s="450" t="s">
        <v>1662</v>
      </c>
      <c r="Q162" s="451" t="s">
        <v>374</v>
      </c>
      <c r="R162" s="451" t="s">
        <v>269</v>
      </c>
      <c r="S162" s="452" t="s">
        <v>806</v>
      </c>
      <c r="T162" s="452"/>
      <c r="U162" s="453"/>
      <c r="V162" s="454"/>
      <c r="W162" s="455" t="s">
        <v>406</v>
      </c>
      <c r="X162" s="452">
        <v>45568</v>
      </c>
      <c r="Y162" s="456" t="s">
        <v>377</v>
      </c>
      <c r="Z162" s="457"/>
      <c r="AA162" s="453"/>
    </row>
    <row r="163" spans="1:27" s="128" customFormat="1" ht="37.5">
      <c r="A163" s="443">
        <v>22</v>
      </c>
      <c r="B163" s="444" t="s">
        <v>2639</v>
      </c>
      <c r="C163" s="445" t="s">
        <v>99</v>
      </c>
      <c r="D163" s="444" t="s">
        <v>2640</v>
      </c>
      <c r="E163" s="446">
        <v>1</v>
      </c>
      <c r="F163" s="447"/>
      <c r="G163" s="448">
        <f t="shared" si="7"/>
        <v>0</v>
      </c>
      <c r="H163" s="450"/>
      <c r="I163" s="444"/>
      <c r="J163" s="450"/>
      <c r="K163" s="444" t="s">
        <v>2656</v>
      </c>
      <c r="L163" s="450" t="s">
        <v>681</v>
      </c>
      <c r="M163" s="444" t="s">
        <v>2659</v>
      </c>
      <c r="N163" s="450"/>
      <c r="O163" s="450"/>
      <c r="P163" s="450" t="s">
        <v>1662</v>
      </c>
      <c r="Q163" s="451" t="s">
        <v>374</v>
      </c>
      <c r="R163" s="451" t="s">
        <v>2642</v>
      </c>
      <c r="S163" s="452" t="s">
        <v>806</v>
      </c>
      <c r="T163" s="452">
        <v>45568</v>
      </c>
      <c r="U163" s="453"/>
      <c r="V163" s="454"/>
      <c r="W163" s="455" t="s">
        <v>406</v>
      </c>
      <c r="X163" s="455">
        <v>45561</v>
      </c>
      <c r="Y163" s="456" t="s">
        <v>377</v>
      </c>
      <c r="Z163" s="457"/>
      <c r="AA163" s="453"/>
    </row>
    <row r="164" spans="1:27" s="128" customFormat="1" ht="37.5">
      <c r="A164" s="443">
        <v>23</v>
      </c>
      <c r="B164" s="444" t="s">
        <v>2604</v>
      </c>
      <c r="C164" s="445" t="s">
        <v>99</v>
      </c>
      <c r="D164" s="444" t="s">
        <v>2605</v>
      </c>
      <c r="E164" s="446">
        <v>4</v>
      </c>
      <c r="F164" s="447"/>
      <c r="G164" s="448">
        <f t="shared" si="7"/>
        <v>0</v>
      </c>
      <c r="H164" s="450"/>
      <c r="I164" s="444"/>
      <c r="J164" s="450"/>
      <c r="K164" s="444" t="s">
        <v>2656</v>
      </c>
      <c r="L164" s="450" t="s">
        <v>681</v>
      </c>
      <c r="M164" s="444" t="s">
        <v>2657</v>
      </c>
      <c r="N164" s="450"/>
      <c r="O164" s="450"/>
      <c r="P164" s="450" t="s">
        <v>1662</v>
      </c>
      <c r="Q164" s="451" t="s">
        <v>374</v>
      </c>
      <c r="R164" s="451" t="s">
        <v>2607</v>
      </c>
      <c r="S164" s="452" t="s">
        <v>859</v>
      </c>
      <c r="T164" s="452" t="s">
        <v>712</v>
      </c>
      <c r="U164" s="453"/>
      <c r="V164" s="454"/>
      <c r="W164" s="455" t="s">
        <v>406</v>
      </c>
      <c r="X164" s="455">
        <v>45573</v>
      </c>
      <c r="Y164" s="456" t="s">
        <v>377</v>
      </c>
      <c r="Z164" s="457"/>
      <c r="AA164" s="453"/>
    </row>
    <row r="165" spans="1:27" s="128" customFormat="1">
      <c r="A165" s="443">
        <v>24</v>
      </c>
      <c r="B165" s="444" t="s">
        <v>2608</v>
      </c>
      <c r="C165" s="445" t="s">
        <v>99</v>
      </c>
      <c r="D165" s="444" t="s">
        <v>2609</v>
      </c>
      <c r="E165" s="446">
        <v>2</v>
      </c>
      <c r="F165" s="447"/>
      <c r="G165" s="448">
        <f t="shared" si="7"/>
        <v>0</v>
      </c>
      <c r="H165" s="450"/>
      <c r="I165" s="444"/>
      <c r="J165" s="450"/>
      <c r="K165" s="444"/>
      <c r="L165" s="450"/>
      <c r="M165" s="444"/>
      <c r="N165" s="450"/>
      <c r="O165" s="450"/>
      <c r="P165" s="450"/>
      <c r="Q165" s="451" t="s">
        <v>374</v>
      </c>
      <c r="R165" s="451"/>
      <c r="S165" s="452"/>
      <c r="T165" s="452" t="s">
        <v>712</v>
      </c>
      <c r="U165" s="453"/>
      <c r="V165" s="454"/>
      <c r="W165" s="455" t="s">
        <v>406</v>
      </c>
      <c r="X165" s="455">
        <v>45582</v>
      </c>
      <c r="Y165" s="456" t="s">
        <v>377</v>
      </c>
      <c r="Z165" s="457"/>
      <c r="AA165" s="453"/>
    </row>
    <row r="166" spans="1:27" s="128" customFormat="1" ht="37.5">
      <c r="A166" s="443">
        <v>25</v>
      </c>
      <c r="B166" s="444" t="s">
        <v>2649</v>
      </c>
      <c r="C166" s="445" t="s">
        <v>99</v>
      </c>
      <c r="D166" s="444" t="s">
        <v>2650</v>
      </c>
      <c r="E166" s="446">
        <v>1</v>
      </c>
      <c r="F166" s="447"/>
      <c r="G166" s="448">
        <f t="shared" si="7"/>
        <v>0</v>
      </c>
      <c r="H166" s="450"/>
      <c r="I166" s="444"/>
      <c r="J166" s="450"/>
      <c r="K166" s="444" t="s">
        <v>2656</v>
      </c>
      <c r="L166" s="450" t="s">
        <v>681</v>
      </c>
      <c r="M166" s="444" t="s">
        <v>2659</v>
      </c>
      <c r="N166" s="450"/>
      <c r="O166" s="450"/>
      <c r="P166" s="450" t="s">
        <v>1662</v>
      </c>
      <c r="Q166" s="451" t="s">
        <v>374</v>
      </c>
      <c r="R166" s="451" t="s">
        <v>2642</v>
      </c>
      <c r="S166" s="452" t="s">
        <v>806</v>
      </c>
      <c r="T166" s="452">
        <v>45568</v>
      </c>
      <c r="U166" s="453"/>
      <c r="V166" s="454"/>
      <c r="W166" s="455" t="s">
        <v>406</v>
      </c>
      <c r="X166" s="455">
        <v>45561</v>
      </c>
      <c r="Y166" s="456" t="s">
        <v>377</v>
      </c>
      <c r="Z166" s="457"/>
      <c r="AA166" s="453"/>
    </row>
    <row r="167" spans="1:27" s="128" customFormat="1" ht="37.5">
      <c r="A167" s="443">
        <v>26</v>
      </c>
      <c r="B167" s="444" t="s">
        <v>2604</v>
      </c>
      <c r="C167" s="445" t="s">
        <v>99</v>
      </c>
      <c r="D167" s="444" t="s">
        <v>2605</v>
      </c>
      <c r="E167" s="446">
        <v>4</v>
      </c>
      <c r="F167" s="447"/>
      <c r="G167" s="448">
        <f t="shared" si="7"/>
        <v>0</v>
      </c>
      <c r="H167" s="450"/>
      <c r="I167" s="444"/>
      <c r="J167" s="450"/>
      <c r="K167" s="444" t="s">
        <v>2656</v>
      </c>
      <c r="L167" s="450" t="s">
        <v>681</v>
      </c>
      <c r="M167" s="444" t="s">
        <v>2657</v>
      </c>
      <c r="N167" s="450"/>
      <c r="O167" s="450"/>
      <c r="P167" s="450" t="s">
        <v>1662</v>
      </c>
      <c r="Q167" s="451" t="s">
        <v>374</v>
      </c>
      <c r="R167" s="451" t="s">
        <v>2607</v>
      </c>
      <c r="S167" s="452" t="s">
        <v>859</v>
      </c>
      <c r="T167" s="452" t="s">
        <v>712</v>
      </c>
      <c r="U167" s="453"/>
      <c r="V167" s="454"/>
      <c r="W167" s="455" t="s">
        <v>406</v>
      </c>
      <c r="X167" s="455">
        <v>45573</v>
      </c>
      <c r="Y167" s="456" t="s">
        <v>377</v>
      </c>
      <c r="Z167" s="457"/>
      <c r="AA167" s="453"/>
    </row>
    <row r="168" spans="1:27" s="128" customFormat="1">
      <c r="A168" s="443">
        <v>27</v>
      </c>
      <c r="B168" s="444" t="s">
        <v>2608</v>
      </c>
      <c r="C168" s="445" t="s">
        <v>99</v>
      </c>
      <c r="D168" s="444" t="s">
        <v>2609</v>
      </c>
      <c r="E168" s="446">
        <v>2</v>
      </c>
      <c r="F168" s="447"/>
      <c r="G168" s="448">
        <f t="shared" si="7"/>
        <v>0</v>
      </c>
      <c r="H168" s="450"/>
      <c r="I168" s="444"/>
      <c r="J168" s="450"/>
      <c r="K168" s="444"/>
      <c r="L168" s="450"/>
      <c r="M168" s="444"/>
      <c r="N168" s="450"/>
      <c r="O168" s="450"/>
      <c r="P168" s="450"/>
      <c r="Q168" s="451" t="s">
        <v>374</v>
      </c>
      <c r="R168" s="451"/>
      <c r="S168" s="452"/>
      <c r="T168" s="452" t="s">
        <v>712</v>
      </c>
      <c r="U168" s="453"/>
      <c r="V168" s="454"/>
      <c r="W168" s="455" t="s">
        <v>406</v>
      </c>
      <c r="X168" s="455">
        <v>45582</v>
      </c>
      <c r="Y168" s="456" t="s">
        <v>377</v>
      </c>
      <c r="Z168" s="457"/>
      <c r="AA168" s="453"/>
    </row>
    <row r="169" spans="1:27" s="128" customFormat="1">
      <c r="A169" s="443">
        <v>28</v>
      </c>
      <c r="B169" s="444" t="s">
        <v>2575</v>
      </c>
      <c r="C169" s="445" t="s">
        <v>99</v>
      </c>
      <c r="D169" s="444" t="s">
        <v>2576</v>
      </c>
      <c r="E169" s="446">
        <v>1</v>
      </c>
      <c r="F169" s="447"/>
      <c r="G169" s="448">
        <f t="shared" si="7"/>
        <v>0</v>
      </c>
      <c r="H169" s="450"/>
      <c r="I169" s="444"/>
      <c r="J169" s="450"/>
      <c r="K169" s="444"/>
      <c r="L169" s="450"/>
      <c r="M169" s="444"/>
      <c r="N169" s="450"/>
      <c r="O169" s="450"/>
      <c r="P169" s="450"/>
      <c r="Q169" s="451" t="s">
        <v>374</v>
      </c>
      <c r="R169" s="451"/>
      <c r="S169" s="452"/>
      <c r="T169" s="452"/>
      <c r="U169" s="453"/>
      <c r="V169" s="454"/>
      <c r="W169" s="455" t="s">
        <v>406</v>
      </c>
      <c r="X169" s="455">
        <v>45523</v>
      </c>
      <c r="Y169" s="456" t="s">
        <v>377</v>
      </c>
      <c r="Z169" s="457"/>
      <c r="AA169" s="453"/>
    </row>
    <row r="170" spans="1:27" s="128" customFormat="1" ht="37.5">
      <c r="A170" s="443">
        <v>29</v>
      </c>
      <c r="B170" s="444" t="s">
        <v>2604</v>
      </c>
      <c r="C170" s="445" t="s">
        <v>99</v>
      </c>
      <c r="D170" s="444" t="s">
        <v>2605</v>
      </c>
      <c r="E170" s="446">
        <v>4</v>
      </c>
      <c r="F170" s="447"/>
      <c r="G170" s="448">
        <f t="shared" si="7"/>
        <v>0</v>
      </c>
      <c r="H170" s="450"/>
      <c r="I170" s="444"/>
      <c r="J170" s="450"/>
      <c r="K170" s="444" t="s">
        <v>2656</v>
      </c>
      <c r="L170" s="450" t="s">
        <v>681</v>
      </c>
      <c r="M170" s="444" t="s">
        <v>2657</v>
      </c>
      <c r="N170" s="450"/>
      <c r="O170" s="450"/>
      <c r="P170" s="450" t="s">
        <v>1662</v>
      </c>
      <c r="Q170" s="451" t="s">
        <v>374</v>
      </c>
      <c r="R170" s="451" t="s">
        <v>2607</v>
      </c>
      <c r="S170" s="452" t="s">
        <v>859</v>
      </c>
      <c r="T170" s="452" t="s">
        <v>712</v>
      </c>
      <c r="U170" s="453"/>
      <c r="V170" s="454"/>
      <c r="W170" s="455" t="s">
        <v>406</v>
      </c>
      <c r="X170" s="455">
        <v>45573</v>
      </c>
      <c r="Y170" s="456" t="s">
        <v>377</v>
      </c>
      <c r="Z170" s="457"/>
      <c r="AA170" s="453"/>
    </row>
    <row r="171" spans="1:27" s="128" customFormat="1">
      <c r="A171" s="443">
        <v>30</v>
      </c>
      <c r="B171" s="444" t="s">
        <v>2608</v>
      </c>
      <c r="C171" s="445" t="s">
        <v>99</v>
      </c>
      <c r="D171" s="444" t="s">
        <v>2609</v>
      </c>
      <c r="E171" s="446">
        <v>2</v>
      </c>
      <c r="F171" s="447"/>
      <c r="G171" s="448">
        <f t="shared" si="7"/>
        <v>0</v>
      </c>
      <c r="H171" s="450"/>
      <c r="I171" s="444"/>
      <c r="J171" s="450"/>
      <c r="K171" s="444"/>
      <c r="L171" s="450"/>
      <c r="M171" s="444"/>
      <c r="N171" s="450"/>
      <c r="O171" s="450"/>
      <c r="P171" s="450"/>
      <c r="Q171" s="451" t="s">
        <v>374</v>
      </c>
      <c r="R171" s="451"/>
      <c r="S171" s="452"/>
      <c r="T171" s="452" t="s">
        <v>712</v>
      </c>
      <c r="U171" s="453"/>
      <c r="V171" s="454"/>
      <c r="W171" s="455" t="s">
        <v>406</v>
      </c>
      <c r="X171" s="455">
        <v>45582</v>
      </c>
      <c r="Y171" s="456" t="s">
        <v>377</v>
      </c>
      <c r="Z171" s="457"/>
      <c r="AA171" s="453"/>
    </row>
    <row r="172" spans="1:27" s="128" customFormat="1" ht="37.5">
      <c r="A172" s="443">
        <v>31</v>
      </c>
      <c r="B172" s="444" t="s">
        <v>2604</v>
      </c>
      <c r="C172" s="445" t="s">
        <v>99</v>
      </c>
      <c r="D172" s="444" t="s">
        <v>2605</v>
      </c>
      <c r="E172" s="446">
        <v>4</v>
      </c>
      <c r="F172" s="447"/>
      <c r="G172" s="448">
        <f t="shared" si="7"/>
        <v>0</v>
      </c>
      <c r="H172" s="450"/>
      <c r="I172" s="444"/>
      <c r="J172" s="450"/>
      <c r="K172" s="444" t="s">
        <v>2656</v>
      </c>
      <c r="L172" s="450" t="s">
        <v>681</v>
      </c>
      <c r="M172" s="444" t="s">
        <v>2657</v>
      </c>
      <c r="N172" s="450"/>
      <c r="O172" s="450"/>
      <c r="P172" s="450" t="s">
        <v>1662</v>
      </c>
      <c r="Q172" s="451" t="s">
        <v>374</v>
      </c>
      <c r="R172" s="451" t="s">
        <v>2607</v>
      </c>
      <c r="S172" s="452" t="s">
        <v>859</v>
      </c>
      <c r="T172" s="452" t="s">
        <v>712</v>
      </c>
      <c r="U172" s="453"/>
      <c r="V172" s="454"/>
      <c r="W172" s="455" t="s">
        <v>406</v>
      </c>
      <c r="X172" s="455">
        <v>45573</v>
      </c>
      <c r="Y172" s="456" t="s">
        <v>377</v>
      </c>
      <c r="Z172" s="457"/>
      <c r="AA172" s="453"/>
    </row>
    <row r="173" spans="1:27" s="128" customFormat="1">
      <c r="A173" s="443">
        <v>32</v>
      </c>
      <c r="B173" s="444" t="s">
        <v>2608</v>
      </c>
      <c r="C173" s="445" t="s">
        <v>99</v>
      </c>
      <c r="D173" s="444" t="s">
        <v>2609</v>
      </c>
      <c r="E173" s="446">
        <v>2</v>
      </c>
      <c r="F173" s="447"/>
      <c r="G173" s="448">
        <f t="shared" si="7"/>
        <v>0</v>
      </c>
      <c r="H173" s="450"/>
      <c r="I173" s="444"/>
      <c r="J173" s="450"/>
      <c r="K173" s="444"/>
      <c r="L173" s="450"/>
      <c r="M173" s="444"/>
      <c r="N173" s="450"/>
      <c r="O173" s="450"/>
      <c r="P173" s="450"/>
      <c r="Q173" s="451" t="s">
        <v>374</v>
      </c>
      <c r="R173" s="451"/>
      <c r="S173" s="452"/>
      <c r="T173" s="452" t="s">
        <v>712</v>
      </c>
      <c r="U173" s="453"/>
      <c r="V173" s="454"/>
      <c r="W173" s="455" t="s">
        <v>406</v>
      </c>
      <c r="X173" s="455">
        <v>45582</v>
      </c>
      <c r="Y173" s="456" t="s">
        <v>377</v>
      </c>
      <c r="Z173" s="457"/>
      <c r="AA173" s="453"/>
    </row>
    <row r="174" spans="1:27" s="128" customFormat="1" ht="37.5">
      <c r="A174" s="443">
        <v>33</v>
      </c>
      <c r="B174" s="444" t="s">
        <v>2660</v>
      </c>
      <c r="C174" s="445" t="s">
        <v>99</v>
      </c>
      <c r="D174" s="444" t="s">
        <v>2646</v>
      </c>
      <c r="E174" s="446">
        <v>1</v>
      </c>
      <c r="F174" s="447"/>
      <c r="G174" s="448">
        <f t="shared" ref="G174:G191" si="8">E174*F174</f>
        <v>0</v>
      </c>
      <c r="H174" s="450"/>
      <c r="I174" s="444"/>
      <c r="J174" s="450"/>
      <c r="K174" s="444" t="s">
        <v>2656</v>
      </c>
      <c r="L174" s="450" t="s">
        <v>681</v>
      </c>
      <c r="M174" s="444" t="s">
        <v>2658</v>
      </c>
      <c r="N174" s="450"/>
      <c r="O174" s="450"/>
      <c r="P174" s="450" t="s">
        <v>1662</v>
      </c>
      <c r="Q174" s="451" t="s">
        <v>374</v>
      </c>
      <c r="R174" s="451" t="s">
        <v>269</v>
      </c>
      <c r="S174" s="452" t="s">
        <v>806</v>
      </c>
      <c r="T174" s="452">
        <v>45568</v>
      </c>
      <c r="U174" s="453"/>
      <c r="V174" s="454"/>
      <c r="W174" s="455" t="s">
        <v>406</v>
      </c>
      <c r="X174" s="452">
        <v>45551</v>
      </c>
      <c r="Y174" s="456" t="s">
        <v>377</v>
      </c>
      <c r="Z174" s="457"/>
      <c r="AA174" s="453"/>
    </row>
    <row r="175" spans="1:27" s="128" customFormat="1" ht="37.5">
      <c r="A175" s="443">
        <v>34</v>
      </c>
      <c r="B175" s="444" t="s">
        <v>2639</v>
      </c>
      <c r="C175" s="445" t="s">
        <v>99</v>
      </c>
      <c r="D175" s="444" t="s">
        <v>2640</v>
      </c>
      <c r="E175" s="446">
        <v>1</v>
      </c>
      <c r="F175" s="447"/>
      <c r="G175" s="448">
        <f t="shared" si="8"/>
        <v>0</v>
      </c>
      <c r="H175" s="450"/>
      <c r="I175" s="444"/>
      <c r="J175" s="450"/>
      <c r="K175" s="444" t="s">
        <v>2656</v>
      </c>
      <c r="L175" s="450" t="s">
        <v>681</v>
      </c>
      <c r="M175" s="444" t="s">
        <v>2659</v>
      </c>
      <c r="N175" s="450"/>
      <c r="O175" s="450"/>
      <c r="P175" s="450" t="s">
        <v>1662</v>
      </c>
      <c r="Q175" s="451" t="s">
        <v>374</v>
      </c>
      <c r="R175" s="451" t="s">
        <v>2642</v>
      </c>
      <c r="S175" s="452" t="s">
        <v>806</v>
      </c>
      <c r="T175" s="452">
        <v>45568</v>
      </c>
      <c r="U175" s="453"/>
      <c r="V175" s="454"/>
      <c r="W175" s="455" t="s">
        <v>406</v>
      </c>
      <c r="X175" s="455">
        <v>45561</v>
      </c>
      <c r="Y175" s="456" t="s">
        <v>377</v>
      </c>
      <c r="Z175" s="457"/>
      <c r="AA175" s="453"/>
    </row>
    <row r="176" spans="1:27" s="128" customFormat="1" ht="37.5">
      <c r="A176" s="443">
        <v>35</v>
      </c>
      <c r="B176" s="444" t="s">
        <v>2604</v>
      </c>
      <c r="C176" s="445" t="s">
        <v>99</v>
      </c>
      <c r="D176" s="444" t="s">
        <v>2605</v>
      </c>
      <c r="E176" s="446">
        <v>4</v>
      </c>
      <c r="F176" s="447"/>
      <c r="G176" s="448">
        <f t="shared" si="8"/>
        <v>0</v>
      </c>
      <c r="H176" s="450"/>
      <c r="I176" s="444"/>
      <c r="J176" s="450"/>
      <c r="K176" s="444" t="s">
        <v>2656</v>
      </c>
      <c r="L176" s="450" t="s">
        <v>681</v>
      </c>
      <c r="M176" s="444" t="s">
        <v>2657</v>
      </c>
      <c r="N176" s="450"/>
      <c r="O176" s="450"/>
      <c r="P176" s="450" t="s">
        <v>1662</v>
      </c>
      <c r="Q176" s="451" t="s">
        <v>374</v>
      </c>
      <c r="R176" s="451" t="s">
        <v>2607</v>
      </c>
      <c r="S176" s="452" t="s">
        <v>859</v>
      </c>
      <c r="T176" s="452" t="s">
        <v>712</v>
      </c>
      <c r="U176" s="453"/>
      <c r="V176" s="454"/>
      <c r="W176" s="455" t="s">
        <v>406</v>
      </c>
      <c r="X176" s="455">
        <v>45573</v>
      </c>
      <c r="Y176" s="456" t="s">
        <v>377</v>
      </c>
      <c r="Z176" s="457"/>
      <c r="AA176" s="453"/>
    </row>
    <row r="177" spans="1:27" s="128" customFormat="1">
      <c r="A177" s="443">
        <v>36</v>
      </c>
      <c r="B177" s="444" t="s">
        <v>2608</v>
      </c>
      <c r="C177" s="445" t="s">
        <v>99</v>
      </c>
      <c r="D177" s="444" t="s">
        <v>2609</v>
      </c>
      <c r="E177" s="446">
        <v>2</v>
      </c>
      <c r="F177" s="447"/>
      <c r="G177" s="448">
        <f t="shared" si="8"/>
        <v>0</v>
      </c>
      <c r="H177" s="450"/>
      <c r="I177" s="444"/>
      <c r="J177" s="450"/>
      <c r="K177" s="444"/>
      <c r="L177" s="450"/>
      <c r="M177" s="444"/>
      <c r="N177" s="450"/>
      <c r="O177" s="450"/>
      <c r="P177" s="450"/>
      <c r="Q177" s="451" t="s">
        <v>374</v>
      </c>
      <c r="R177" s="451"/>
      <c r="S177" s="452"/>
      <c r="T177" s="452" t="s">
        <v>712</v>
      </c>
      <c r="U177" s="453"/>
      <c r="V177" s="454"/>
      <c r="W177" s="455" t="s">
        <v>406</v>
      </c>
      <c r="X177" s="455">
        <v>45582</v>
      </c>
      <c r="Y177" s="456" t="s">
        <v>377</v>
      </c>
      <c r="Z177" s="457"/>
      <c r="AA177" s="453"/>
    </row>
    <row r="178" spans="1:27" s="128" customFormat="1" ht="37.5">
      <c r="A178" s="443">
        <v>37</v>
      </c>
      <c r="B178" s="444" t="s">
        <v>2639</v>
      </c>
      <c r="C178" s="445" t="s">
        <v>99</v>
      </c>
      <c r="D178" s="444" t="s">
        <v>2640</v>
      </c>
      <c r="E178" s="446">
        <v>1</v>
      </c>
      <c r="F178" s="447"/>
      <c r="G178" s="448">
        <f t="shared" si="8"/>
        <v>0</v>
      </c>
      <c r="H178" s="450"/>
      <c r="I178" s="444"/>
      <c r="J178" s="450"/>
      <c r="K178" s="444" t="s">
        <v>2656</v>
      </c>
      <c r="L178" s="450" t="s">
        <v>681</v>
      </c>
      <c r="M178" s="444" t="s">
        <v>2659</v>
      </c>
      <c r="N178" s="450"/>
      <c r="O178" s="450"/>
      <c r="P178" s="450" t="s">
        <v>1662</v>
      </c>
      <c r="Q178" s="451" t="s">
        <v>374</v>
      </c>
      <c r="R178" s="451" t="s">
        <v>2642</v>
      </c>
      <c r="S178" s="452" t="s">
        <v>806</v>
      </c>
      <c r="T178" s="452">
        <v>45568</v>
      </c>
      <c r="U178" s="453"/>
      <c r="V178" s="454"/>
      <c r="W178" s="455" t="s">
        <v>406</v>
      </c>
      <c r="X178" s="455">
        <v>45561</v>
      </c>
      <c r="Y178" s="456" t="s">
        <v>377</v>
      </c>
      <c r="Z178" s="457"/>
      <c r="AA178" s="453"/>
    </row>
    <row r="179" spans="1:27" s="128" customFormat="1" ht="37.5">
      <c r="A179" s="443">
        <v>38</v>
      </c>
      <c r="B179" s="444" t="s">
        <v>2604</v>
      </c>
      <c r="C179" s="445" t="s">
        <v>99</v>
      </c>
      <c r="D179" s="444" t="s">
        <v>2605</v>
      </c>
      <c r="E179" s="446">
        <v>4</v>
      </c>
      <c r="F179" s="447"/>
      <c r="G179" s="448">
        <f t="shared" si="8"/>
        <v>0</v>
      </c>
      <c r="H179" s="450"/>
      <c r="I179" s="444"/>
      <c r="J179" s="450"/>
      <c r="K179" s="444" t="s">
        <v>2656</v>
      </c>
      <c r="L179" s="450" t="s">
        <v>681</v>
      </c>
      <c r="M179" s="444" t="s">
        <v>2657</v>
      </c>
      <c r="N179" s="450"/>
      <c r="O179" s="450"/>
      <c r="P179" s="450" t="s">
        <v>1662</v>
      </c>
      <c r="Q179" s="451" t="s">
        <v>374</v>
      </c>
      <c r="R179" s="451" t="s">
        <v>2607</v>
      </c>
      <c r="S179" s="452" t="s">
        <v>859</v>
      </c>
      <c r="T179" s="452" t="s">
        <v>712</v>
      </c>
      <c r="U179" s="453"/>
      <c r="V179" s="454"/>
      <c r="W179" s="455" t="s">
        <v>406</v>
      </c>
      <c r="X179" s="455">
        <v>45573</v>
      </c>
      <c r="Y179" s="456" t="s">
        <v>377</v>
      </c>
      <c r="Z179" s="457"/>
      <c r="AA179" s="453"/>
    </row>
    <row r="180" spans="1:27" s="128" customFormat="1">
      <c r="A180" s="443">
        <v>39</v>
      </c>
      <c r="B180" s="444" t="s">
        <v>2608</v>
      </c>
      <c r="C180" s="445" t="s">
        <v>99</v>
      </c>
      <c r="D180" s="444" t="s">
        <v>2609</v>
      </c>
      <c r="E180" s="446">
        <v>2</v>
      </c>
      <c r="F180" s="447"/>
      <c r="G180" s="448">
        <f t="shared" si="8"/>
        <v>0</v>
      </c>
      <c r="H180" s="450"/>
      <c r="I180" s="444"/>
      <c r="J180" s="450"/>
      <c r="K180" s="444"/>
      <c r="L180" s="450"/>
      <c r="M180" s="444"/>
      <c r="N180" s="450"/>
      <c r="O180" s="450"/>
      <c r="P180" s="450"/>
      <c r="Q180" s="451" t="s">
        <v>374</v>
      </c>
      <c r="R180" s="451"/>
      <c r="S180" s="452"/>
      <c r="T180" s="452" t="s">
        <v>712</v>
      </c>
      <c r="U180" s="453"/>
      <c r="V180" s="454"/>
      <c r="W180" s="455" t="s">
        <v>406</v>
      </c>
      <c r="X180" s="455">
        <v>45582</v>
      </c>
      <c r="Y180" s="456" t="s">
        <v>377</v>
      </c>
      <c r="Z180" s="457"/>
      <c r="AA180" s="453"/>
    </row>
    <row r="181" spans="1:27" s="128" customFormat="1" ht="37.5">
      <c r="A181" s="443">
        <v>40</v>
      </c>
      <c r="B181" s="444" t="s">
        <v>2647</v>
      </c>
      <c r="C181" s="445" t="s">
        <v>99</v>
      </c>
      <c r="D181" s="444" t="s">
        <v>2648</v>
      </c>
      <c r="E181" s="446">
        <v>1</v>
      </c>
      <c r="F181" s="447"/>
      <c r="G181" s="448">
        <f t="shared" si="8"/>
        <v>0</v>
      </c>
      <c r="H181" s="450"/>
      <c r="I181" s="444"/>
      <c r="J181" s="450"/>
      <c r="K181" s="444"/>
      <c r="L181" s="450"/>
      <c r="M181" s="444"/>
      <c r="N181" s="450"/>
      <c r="O181" s="450"/>
      <c r="P181" s="450"/>
      <c r="Q181" s="451" t="s">
        <v>374</v>
      </c>
      <c r="R181" s="451"/>
      <c r="S181" s="452"/>
      <c r="T181" s="452"/>
      <c r="U181" s="453"/>
      <c r="V181" s="454"/>
      <c r="W181" s="455" t="s">
        <v>406</v>
      </c>
      <c r="X181" s="455">
        <v>45523</v>
      </c>
      <c r="Y181" s="456" t="s">
        <v>377</v>
      </c>
      <c r="Z181" s="457"/>
      <c r="AA181" s="453"/>
    </row>
    <row r="182" spans="1:27" s="128" customFormat="1">
      <c r="A182" s="443">
        <v>41</v>
      </c>
      <c r="B182" s="444" t="s">
        <v>2661</v>
      </c>
      <c r="C182" s="445" t="s">
        <v>99</v>
      </c>
      <c r="D182" s="444" t="s">
        <v>2662</v>
      </c>
      <c r="E182" s="446">
        <v>1</v>
      </c>
      <c r="F182" s="447"/>
      <c r="G182" s="448">
        <f t="shared" si="8"/>
        <v>0</v>
      </c>
      <c r="H182" s="450"/>
      <c r="I182" s="444"/>
      <c r="J182" s="450"/>
      <c r="K182" s="444"/>
      <c r="L182" s="450"/>
      <c r="M182" s="444"/>
      <c r="N182" s="450"/>
      <c r="O182" s="450"/>
      <c r="P182" s="450"/>
      <c r="Q182" s="451" t="s">
        <v>374</v>
      </c>
      <c r="R182" s="451"/>
      <c r="S182" s="452"/>
      <c r="T182" s="452"/>
      <c r="U182" s="453"/>
      <c r="V182" s="454"/>
      <c r="W182" s="455" t="s">
        <v>406</v>
      </c>
      <c r="X182" s="455">
        <v>45523</v>
      </c>
      <c r="Y182" s="456" t="s">
        <v>377</v>
      </c>
      <c r="Z182" s="457"/>
      <c r="AA182" s="453"/>
    </row>
    <row r="183" spans="1:27" s="128" customFormat="1">
      <c r="A183" s="443">
        <v>42</v>
      </c>
      <c r="B183" s="444" t="s">
        <v>2537</v>
      </c>
      <c r="C183" s="445" t="s">
        <v>99</v>
      </c>
      <c r="D183" s="444" t="s">
        <v>2663</v>
      </c>
      <c r="E183" s="446">
        <v>1</v>
      </c>
      <c r="F183" s="447"/>
      <c r="G183" s="448">
        <f t="shared" si="8"/>
        <v>0</v>
      </c>
      <c r="H183" s="450"/>
      <c r="I183" s="444"/>
      <c r="J183" s="450"/>
      <c r="K183" s="444"/>
      <c r="L183" s="450"/>
      <c r="M183" s="444"/>
      <c r="N183" s="450"/>
      <c r="O183" s="450"/>
      <c r="P183" s="450"/>
      <c r="Q183" s="451" t="s">
        <v>374</v>
      </c>
      <c r="R183" s="451"/>
      <c r="S183" s="452"/>
      <c r="T183" s="452"/>
      <c r="U183" s="453"/>
      <c r="V183" s="454"/>
      <c r="W183" s="455" t="s">
        <v>406</v>
      </c>
      <c r="X183" s="455">
        <v>45523</v>
      </c>
      <c r="Y183" s="456" t="s">
        <v>377</v>
      </c>
      <c r="Z183" s="457"/>
      <c r="AA183" s="453"/>
    </row>
    <row r="184" spans="1:27" s="128" customFormat="1">
      <c r="A184" s="443">
        <v>43</v>
      </c>
      <c r="B184" s="444" t="s">
        <v>2602</v>
      </c>
      <c r="C184" s="445" t="s">
        <v>99</v>
      </c>
      <c r="D184" s="444" t="s">
        <v>2603</v>
      </c>
      <c r="E184" s="446">
        <v>1</v>
      </c>
      <c r="F184" s="447"/>
      <c r="G184" s="448">
        <f t="shared" si="8"/>
        <v>0</v>
      </c>
      <c r="H184" s="450"/>
      <c r="I184" s="444"/>
      <c r="J184" s="450"/>
      <c r="K184" s="444"/>
      <c r="L184" s="450"/>
      <c r="M184" s="444"/>
      <c r="N184" s="450"/>
      <c r="O184" s="450"/>
      <c r="P184" s="450"/>
      <c r="Q184" s="451" t="s">
        <v>374</v>
      </c>
      <c r="R184" s="451"/>
      <c r="S184" s="452"/>
      <c r="T184" s="452"/>
      <c r="U184" s="453"/>
      <c r="V184" s="454"/>
      <c r="W184" s="455" t="s">
        <v>406</v>
      </c>
      <c r="X184" s="455">
        <v>45523</v>
      </c>
      <c r="Y184" s="456" t="s">
        <v>377</v>
      </c>
      <c r="Z184" s="457"/>
      <c r="AA184" s="453"/>
    </row>
    <row r="185" spans="1:27" s="128" customFormat="1" ht="37.5">
      <c r="A185" s="443">
        <v>44</v>
      </c>
      <c r="B185" s="444" t="s">
        <v>2599</v>
      </c>
      <c r="C185" s="445" t="s">
        <v>99</v>
      </c>
      <c r="D185" s="444" t="s">
        <v>2600</v>
      </c>
      <c r="E185" s="446">
        <v>1</v>
      </c>
      <c r="F185" s="447"/>
      <c r="G185" s="448">
        <f t="shared" si="8"/>
        <v>0</v>
      </c>
      <c r="H185" s="450"/>
      <c r="I185" s="444"/>
      <c r="J185" s="450"/>
      <c r="K185" s="444" t="s">
        <v>2656</v>
      </c>
      <c r="L185" s="450" t="s">
        <v>681</v>
      </c>
      <c r="M185" s="444" t="s">
        <v>2664</v>
      </c>
      <c r="N185" s="450"/>
      <c r="O185" s="450"/>
      <c r="P185" s="450" t="s">
        <v>1662</v>
      </c>
      <c r="Q185" s="451" t="s">
        <v>374</v>
      </c>
      <c r="R185" s="451" t="s">
        <v>247</v>
      </c>
      <c r="S185" s="452" t="s">
        <v>806</v>
      </c>
      <c r="T185" s="452"/>
      <c r="U185" s="453"/>
      <c r="V185" s="454"/>
      <c r="W185" s="455" t="s">
        <v>406</v>
      </c>
      <c r="X185" s="455">
        <v>45575</v>
      </c>
      <c r="Y185" s="456" t="s">
        <v>377</v>
      </c>
      <c r="Z185" s="457"/>
      <c r="AA185" s="453"/>
    </row>
    <row r="186" spans="1:27" s="128" customFormat="1">
      <c r="A186" s="443">
        <v>45</v>
      </c>
      <c r="B186" s="444" t="s">
        <v>1356</v>
      </c>
      <c r="C186" s="445" t="s">
        <v>99</v>
      </c>
      <c r="D186" s="444" t="s">
        <v>1357</v>
      </c>
      <c r="E186" s="446">
        <v>1</v>
      </c>
      <c r="F186" s="447"/>
      <c r="G186" s="448">
        <f t="shared" si="8"/>
        <v>0</v>
      </c>
      <c r="H186" s="450"/>
      <c r="I186" s="444"/>
      <c r="J186" s="450"/>
      <c r="K186" s="444"/>
      <c r="L186" s="450"/>
      <c r="M186" s="444"/>
      <c r="N186" s="450"/>
      <c r="O186" s="450"/>
      <c r="P186" s="450"/>
      <c r="Q186" s="451" t="s">
        <v>374</v>
      </c>
      <c r="R186" s="451"/>
      <c r="S186" s="452"/>
      <c r="T186" s="452"/>
      <c r="U186" s="453"/>
      <c r="V186" s="454"/>
      <c r="W186" s="455" t="s">
        <v>406</v>
      </c>
      <c r="X186" s="455">
        <v>45523</v>
      </c>
      <c r="Y186" s="456" t="s">
        <v>377</v>
      </c>
      <c r="Z186" s="457"/>
      <c r="AA186" s="453"/>
    </row>
    <row r="187" spans="1:27" s="128" customFormat="1" ht="37.5">
      <c r="A187" s="443">
        <v>46</v>
      </c>
      <c r="B187" s="444" t="s">
        <v>2604</v>
      </c>
      <c r="C187" s="445" t="s">
        <v>99</v>
      </c>
      <c r="D187" s="444" t="s">
        <v>2605</v>
      </c>
      <c r="E187" s="446">
        <v>4</v>
      </c>
      <c r="F187" s="447"/>
      <c r="G187" s="448">
        <f t="shared" si="8"/>
        <v>0</v>
      </c>
      <c r="H187" s="450"/>
      <c r="I187" s="444"/>
      <c r="J187" s="450"/>
      <c r="K187" s="444" t="s">
        <v>2656</v>
      </c>
      <c r="L187" s="450" t="s">
        <v>681</v>
      </c>
      <c r="M187" s="444" t="s">
        <v>2657</v>
      </c>
      <c r="N187" s="450"/>
      <c r="O187" s="450"/>
      <c r="P187" s="450" t="s">
        <v>1662</v>
      </c>
      <c r="Q187" s="451" t="s">
        <v>374</v>
      </c>
      <c r="R187" s="451" t="s">
        <v>2607</v>
      </c>
      <c r="S187" s="452" t="s">
        <v>859</v>
      </c>
      <c r="T187" s="452" t="s">
        <v>712</v>
      </c>
      <c r="U187" s="453"/>
      <c r="V187" s="454"/>
      <c r="W187" s="455" t="s">
        <v>406</v>
      </c>
      <c r="X187" s="455">
        <v>45573</v>
      </c>
      <c r="Y187" s="456" t="s">
        <v>377</v>
      </c>
      <c r="Z187" s="457"/>
      <c r="AA187" s="453"/>
    </row>
    <row r="188" spans="1:27" s="128" customFormat="1" ht="37.5">
      <c r="A188" s="443">
        <v>47</v>
      </c>
      <c r="B188" s="444" t="s">
        <v>2608</v>
      </c>
      <c r="C188" s="445" t="s">
        <v>99</v>
      </c>
      <c r="D188" s="444" t="s">
        <v>2609</v>
      </c>
      <c r="E188" s="446">
        <v>4</v>
      </c>
      <c r="F188" s="447"/>
      <c r="G188" s="448">
        <f t="shared" si="8"/>
        <v>0</v>
      </c>
      <c r="H188" s="450"/>
      <c r="I188" s="444"/>
      <c r="J188" s="450"/>
      <c r="K188" s="444" t="s">
        <v>2656</v>
      </c>
      <c r="L188" s="450" t="s">
        <v>444</v>
      </c>
      <c r="M188" s="444" t="s">
        <v>444</v>
      </c>
      <c r="N188" s="450"/>
      <c r="O188" s="450"/>
      <c r="P188" s="450" t="s">
        <v>444</v>
      </c>
      <c r="Q188" s="451" t="s">
        <v>374</v>
      </c>
      <c r="R188" s="451"/>
      <c r="S188" s="452"/>
      <c r="T188" s="452" t="s">
        <v>712</v>
      </c>
      <c r="U188" s="453"/>
      <c r="V188" s="454"/>
      <c r="W188" s="455" t="s">
        <v>406</v>
      </c>
      <c r="X188" s="455">
        <v>45582</v>
      </c>
      <c r="Y188" s="456" t="s">
        <v>377</v>
      </c>
      <c r="Z188" s="457"/>
      <c r="AA188" s="453"/>
    </row>
    <row r="189" spans="1:27" s="128" customFormat="1" ht="37.5">
      <c r="A189" s="443">
        <v>48</v>
      </c>
      <c r="B189" s="444" t="s">
        <v>2623</v>
      </c>
      <c r="C189" s="445" t="s">
        <v>99</v>
      </c>
      <c r="D189" s="444" t="s">
        <v>2624</v>
      </c>
      <c r="E189" s="446">
        <v>20</v>
      </c>
      <c r="F189" s="447"/>
      <c r="G189" s="448">
        <f t="shared" si="8"/>
        <v>0</v>
      </c>
      <c r="H189" s="450"/>
      <c r="I189" s="444"/>
      <c r="J189" s="450"/>
      <c r="K189" s="444" t="s">
        <v>2656</v>
      </c>
      <c r="L189" s="450" t="s">
        <v>681</v>
      </c>
      <c r="M189" s="444" t="s">
        <v>2665</v>
      </c>
      <c r="N189" s="450"/>
      <c r="O189" s="450"/>
      <c r="P189" s="450" t="s">
        <v>1091</v>
      </c>
      <c r="Q189" s="451" t="s">
        <v>374</v>
      </c>
      <c r="R189" s="451" t="s">
        <v>2186</v>
      </c>
      <c r="S189" s="452" t="s">
        <v>727</v>
      </c>
      <c r="T189" s="452"/>
      <c r="U189" s="453"/>
      <c r="V189" s="454"/>
      <c r="W189" s="455" t="s">
        <v>406</v>
      </c>
      <c r="X189" s="455">
        <v>45601</v>
      </c>
      <c r="Y189" s="456" t="s">
        <v>377</v>
      </c>
      <c r="Z189" s="457"/>
      <c r="AA189" s="453" t="s">
        <v>2446</v>
      </c>
    </row>
    <row r="190" spans="1:27" s="128" customFormat="1" ht="37.5">
      <c r="A190" s="443">
        <v>49</v>
      </c>
      <c r="B190" s="444" t="s">
        <v>2630</v>
      </c>
      <c r="C190" s="445" t="s">
        <v>99</v>
      </c>
      <c r="D190" s="444" t="s">
        <v>2631</v>
      </c>
      <c r="E190" s="446">
        <v>20</v>
      </c>
      <c r="F190" s="447"/>
      <c r="G190" s="448">
        <f t="shared" si="8"/>
        <v>0</v>
      </c>
      <c r="H190" s="450"/>
      <c r="I190" s="444"/>
      <c r="J190" s="450"/>
      <c r="K190" s="444" t="s">
        <v>2656</v>
      </c>
      <c r="L190" s="450" t="s">
        <v>681</v>
      </c>
      <c r="M190" s="444" t="s">
        <v>2665</v>
      </c>
      <c r="N190" s="450"/>
      <c r="O190" s="450"/>
      <c r="P190" s="450" t="s">
        <v>1091</v>
      </c>
      <c r="Q190" s="451" t="s">
        <v>374</v>
      </c>
      <c r="R190" s="451" t="s">
        <v>2186</v>
      </c>
      <c r="S190" s="452" t="s">
        <v>2014</v>
      </c>
      <c r="T190" s="452"/>
      <c r="U190" s="453"/>
      <c r="V190" s="454"/>
      <c r="W190" s="455" t="s">
        <v>406</v>
      </c>
      <c r="X190" s="455" t="s">
        <v>2666</v>
      </c>
      <c r="Y190" s="456" t="s">
        <v>377</v>
      </c>
      <c r="Z190" s="457"/>
      <c r="AA190" s="453"/>
    </row>
    <row r="191" spans="1:27" s="128" customFormat="1" ht="37.5">
      <c r="A191" s="443">
        <v>50</v>
      </c>
      <c r="B191" s="444" t="s">
        <v>2651</v>
      </c>
      <c r="C191" s="445" t="s">
        <v>99</v>
      </c>
      <c r="D191" s="444" t="s">
        <v>2652</v>
      </c>
      <c r="E191" s="446">
        <v>5</v>
      </c>
      <c r="F191" s="447"/>
      <c r="G191" s="448">
        <f t="shared" si="8"/>
        <v>0</v>
      </c>
      <c r="H191" s="450"/>
      <c r="I191" s="444"/>
      <c r="J191" s="450"/>
      <c r="K191" s="444" t="s">
        <v>2656</v>
      </c>
      <c r="L191" s="450" t="s">
        <v>681</v>
      </c>
      <c r="M191" s="444" t="s">
        <v>2665</v>
      </c>
      <c r="N191" s="450"/>
      <c r="O191" s="450"/>
      <c r="P191" s="450" t="s">
        <v>1091</v>
      </c>
      <c r="Q191" s="451" t="s">
        <v>374</v>
      </c>
      <c r="R191" s="451" t="s">
        <v>2186</v>
      </c>
      <c r="S191" s="452" t="s">
        <v>2014</v>
      </c>
      <c r="T191" s="452"/>
      <c r="U191" s="453"/>
      <c r="V191" s="454"/>
      <c r="W191" s="455" t="s">
        <v>406</v>
      </c>
      <c r="X191" s="455">
        <v>45574</v>
      </c>
      <c r="Y191" s="456" t="s">
        <v>377</v>
      </c>
      <c r="Z191" s="457"/>
      <c r="AA191" s="453"/>
    </row>
    <row r="192" spans="1:27" s="128" customFormat="1">
      <c r="A192" s="405">
        <v>51</v>
      </c>
      <c r="B192" s="407" t="s">
        <v>2653</v>
      </c>
      <c r="C192" s="406" t="s">
        <v>99</v>
      </c>
      <c r="D192" s="407" t="s">
        <v>2654</v>
      </c>
      <c r="E192" s="408">
        <v>1</v>
      </c>
      <c r="F192" s="409"/>
      <c r="G192" s="410">
        <f>E192*F192</f>
        <v>0</v>
      </c>
      <c r="H192" s="412"/>
      <c r="I192" s="407"/>
      <c r="J192" s="412"/>
      <c r="K192" s="407"/>
      <c r="L192" s="412"/>
      <c r="M192" s="407"/>
      <c r="N192" s="412"/>
      <c r="O192" s="412"/>
      <c r="P192" s="412"/>
      <c r="Q192" s="413"/>
      <c r="R192" s="413"/>
      <c r="S192" s="414"/>
      <c r="T192" s="414" t="s">
        <v>712</v>
      </c>
      <c r="U192" s="415"/>
      <c r="V192" s="416"/>
      <c r="W192" s="417"/>
      <c r="X192" s="417"/>
      <c r="Y192" s="418" t="s">
        <v>377</v>
      </c>
      <c r="Z192" s="419"/>
      <c r="AA192" s="415"/>
    </row>
    <row r="193" spans="1:27">
      <c r="A193" s="389"/>
      <c r="B193" s="390" t="s">
        <v>2667</v>
      </c>
      <c r="C193" s="391"/>
      <c r="D193" s="392"/>
      <c r="E193" s="393"/>
      <c r="F193" s="394"/>
      <c r="G193" s="395">
        <f t="shared" si="3"/>
        <v>0</v>
      </c>
      <c r="H193" s="420"/>
      <c r="I193" s="392"/>
      <c r="J193" s="420"/>
      <c r="K193" s="392"/>
      <c r="L193" s="397"/>
      <c r="M193" s="392"/>
      <c r="N193" s="397"/>
      <c r="O193" s="397"/>
      <c r="P193" s="397"/>
      <c r="Q193" s="398"/>
      <c r="R193" s="398"/>
      <c r="S193" s="399"/>
      <c r="T193" s="399"/>
      <c r="U193" s="400"/>
      <c r="V193" s="401"/>
      <c r="W193" s="402"/>
      <c r="X193" s="402"/>
      <c r="Y193" s="403"/>
      <c r="Z193" s="404"/>
      <c r="AA193" s="493"/>
    </row>
    <row r="194" spans="1:27" s="128" customFormat="1">
      <c r="A194" s="443">
        <v>1</v>
      </c>
      <c r="B194" s="444" t="s">
        <v>2569</v>
      </c>
      <c r="C194" s="445" t="s">
        <v>101</v>
      </c>
      <c r="D194" s="444" t="s">
        <v>2668</v>
      </c>
      <c r="E194" s="446">
        <v>1</v>
      </c>
      <c r="F194" s="447"/>
      <c r="G194" s="448">
        <f t="shared" ref="G194:G230" si="9">E194*F194</f>
        <v>0</v>
      </c>
      <c r="H194" s="450"/>
      <c r="I194" s="444"/>
      <c r="J194" s="450"/>
      <c r="K194" s="444"/>
      <c r="L194" s="450"/>
      <c r="M194" s="444"/>
      <c r="N194" s="450"/>
      <c r="O194" s="450"/>
      <c r="P194" s="450"/>
      <c r="Q194" s="451" t="s">
        <v>374</v>
      </c>
      <c r="R194" s="451"/>
      <c r="S194" s="452"/>
      <c r="T194" s="452"/>
      <c r="U194" s="453"/>
      <c r="V194" s="454"/>
      <c r="W194" s="455" t="s">
        <v>406</v>
      </c>
      <c r="X194" s="455">
        <v>45523</v>
      </c>
      <c r="Y194" s="456" t="s">
        <v>377</v>
      </c>
      <c r="Z194" s="457"/>
      <c r="AA194" s="453"/>
    </row>
    <row r="195" spans="1:27" s="128" customFormat="1">
      <c r="A195" s="443">
        <v>2</v>
      </c>
      <c r="B195" s="444" t="s">
        <v>2575</v>
      </c>
      <c r="C195" s="445" t="s">
        <v>101</v>
      </c>
      <c r="D195" s="444" t="s">
        <v>2576</v>
      </c>
      <c r="E195" s="446">
        <v>1</v>
      </c>
      <c r="F195" s="447"/>
      <c r="G195" s="448">
        <f t="shared" si="9"/>
        <v>0</v>
      </c>
      <c r="H195" s="450"/>
      <c r="I195" s="444"/>
      <c r="J195" s="450"/>
      <c r="K195" s="444"/>
      <c r="L195" s="450"/>
      <c r="M195" s="444"/>
      <c r="N195" s="450"/>
      <c r="O195" s="450"/>
      <c r="P195" s="450"/>
      <c r="Q195" s="451" t="s">
        <v>374</v>
      </c>
      <c r="R195" s="451"/>
      <c r="S195" s="452"/>
      <c r="T195" s="452"/>
      <c r="U195" s="453"/>
      <c r="V195" s="454"/>
      <c r="W195" s="455" t="s">
        <v>406</v>
      </c>
      <c r="X195" s="455">
        <v>45523</v>
      </c>
      <c r="Y195" s="456" t="s">
        <v>377</v>
      </c>
      <c r="Z195" s="457"/>
      <c r="AA195" s="453"/>
    </row>
    <row r="196" spans="1:27" s="128" customFormat="1">
      <c r="A196" s="443">
        <v>3</v>
      </c>
      <c r="B196" s="444" t="s">
        <v>2577</v>
      </c>
      <c r="C196" s="445" t="s">
        <v>101</v>
      </c>
      <c r="D196" s="444" t="s">
        <v>2578</v>
      </c>
      <c r="E196" s="446">
        <v>4</v>
      </c>
      <c r="F196" s="447"/>
      <c r="G196" s="448">
        <f t="shared" si="9"/>
        <v>0</v>
      </c>
      <c r="H196" s="450"/>
      <c r="I196" s="444"/>
      <c r="J196" s="450"/>
      <c r="K196" s="444"/>
      <c r="L196" s="450"/>
      <c r="M196" s="444"/>
      <c r="N196" s="450"/>
      <c r="O196" s="450"/>
      <c r="P196" s="450"/>
      <c r="Q196" s="451" t="s">
        <v>374</v>
      </c>
      <c r="R196" s="451"/>
      <c r="S196" s="452"/>
      <c r="T196" s="452"/>
      <c r="U196" s="453"/>
      <c r="V196" s="454"/>
      <c r="W196" s="455" t="s">
        <v>406</v>
      </c>
      <c r="X196" s="455">
        <v>45523</v>
      </c>
      <c r="Y196" s="456" t="s">
        <v>377</v>
      </c>
      <c r="Z196" s="457"/>
      <c r="AA196" s="453"/>
    </row>
    <row r="197" spans="1:27" s="128" customFormat="1">
      <c r="A197" s="443">
        <v>4</v>
      </c>
      <c r="B197" s="444" t="s">
        <v>2581</v>
      </c>
      <c r="C197" s="445" t="s">
        <v>101</v>
      </c>
      <c r="D197" s="444" t="s">
        <v>2582</v>
      </c>
      <c r="E197" s="446">
        <v>2</v>
      </c>
      <c r="F197" s="447"/>
      <c r="G197" s="448">
        <f t="shared" si="9"/>
        <v>0</v>
      </c>
      <c r="H197" s="450"/>
      <c r="I197" s="444"/>
      <c r="J197" s="450"/>
      <c r="K197" s="444"/>
      <c r="L197" s="450"/>
      <c r="M197" s="444"/>
      <c r="N197" s="450"/>
      <c r="O197" s="450"/>
      <c r="P197" s="450"/>
      <c r="Q197" s="451" t="s">
        <v>374</v>
      </c>
      <c r="R197" s="451"/>
      <c r="S197" s="452"/>
      <c r="T197" s="452"/>
      <c r="U197" s="453"/>
      <c r="V197" s="454"/>
      <c r="W197" s="455" t="s">
        <v>406</v>
      </c>
      <c r="X197" s="455">
        <v>45523</v>
      </c>
      <c r="Y197" s="456" t="s">
        <v>377</v>
      </c>
      <c r="Z197" s="457"/>
      <c r="AA197" s="453"/>
    </row>
    <row r="198" spans="1:27" s="128" customFormat="1">
      <c r="A198" s="443">
        <v>5</v>
      </c>
      <c r="B198" s="444" t="s">
        <v>2579</v>
      </c>
      <c r="C198" s="445" t="s">
        <v>101</v>
      </c>
      <c r="D198" s="444" t="s">
        <v>2580</v>
      </c>
      <c r="E198" s="446">
        <v>3</v>
      </c>
      <c r="F198" s="447"/>
      <c r="G198" s="448">
        <f t="shared" si="9"/>
        <v>0</v>
      </c>
      <c r="H198" s="450"/>
      <c r="I198" s="444"/>
      <c r="J198" s="450"/>
      <c r="K198" s="444"/>
      <c r="L198" s="450"/>
      <c r="M198" s="444"/>
      <c r="N198" s="450"/>
      <c r="O198" s="450"/>
      <c r="P198" s="450"/>
      <c r="Q198" s="451" t="s">
        <v>374</v>
      </c>
      <c r="R198" s="451"/>
      <c r="S198" s="452"/>
      <c r="T198" s="452"/>
      <c r="U198" s="453"/>
      <c r="V198" s="454"/>
      <c r="W198" s="455" t="s">
        <v>406</v>
      </c>
      <c r="X198" s="455">
        <v>45523</v>
      </c>
      <c r="Y198" s="456" t="s">
        <v>377</v>
      </c>
      <c r="Z198" s="457"/>
      <c r="AA198" s="453"/>
    </row>
    <row r="199" spans="1:27" s="128" customFormat="1">
      <c r="A199" s="443">
        <v>6</v>
      </c>
      <c r="B199" s="444" t="s">
        <v>2585</v>
      </c>
      <c r="C199" s="445" t="s">
        <v>101</v>
      </c>
      <c r="D199" s="444" t="s">
        <v>2586</v>
      </c>
      <c r="E199" s="446">
        <v>2</v>
      </c>
      <c r="F199" s="447"/>
      <c r="G199" s="448">
        <f t="shared" si="9"/>
        <v>0</v>
      </c>
      <c r="H199" s="450"/>
      <c r="I199" s="444"/>
      <c r="J199" s="450"/>
      <c r="K199" s="444"/>
      <c r="L199" s="450"/>
      <c r="M199" s="444"/>
      <c r="N199" s="450"/>
      <c r="O199" s="450"/>
      <c r="P199" s="450"/>
      <c r="Q199" s="451" t="s">
        <v>374</v>
      </c>
      <c r="R199" s="451"/>
      <c r="S199" s="452"/>
      <c r="T199" s="452"/>
      <c r="U199" s="453"/>
      <c r="V199" s="454"/>
      <c r="W199" s="455" t="s">
        <v>406</v>
      </c>
      <c r="X199" s="455">
        <v>45523</v>
      </c>
      <c r="Y199" s="456" t="s">
        <v>377</v>
      </c>
      <c r="Z199" s="457"/>
      <c r="AA199" s="453"/>
    </row>
    <row r="200" spans="1:27" s="128" customFormat="1">
      <c r="A200" s="443">
        <v>7</v>
      </c>
      <c r="B200" s="444" t="s">
        <v>2583</v>
      </c>
      <c r="C200" s="445" t="s">
        <v>101</v>
      </c>
      <c r="D200" s="444" t="s">
        <v>2584</v>
      </c>
      <c r="E200" s="446">
        <v>3</v>
      </c>
      <c r="F200" s="447"/>
      <c r="G200" s="448">
        <f t="shared" si="9"/>
        <v>0</v>
      </c>
      <c r="H200" s="450"/>
      <c r="I200" s="444"/>
      <c r="J200" s="450"/>
      <c r="K200" s="444"/>
      <c r="L200" s="450"/>
      <c r="M200" s="444"/>
      <c r="N200" s="450"/>
      <c r="O200" s="450"/>
      <c r="P200" s="450"/>
      <c r="Q200" s="451" t="s">
        <v>374</v>
      </c>
      <c r="R200" s="451"/>
      <c r="S200" s="452"/>
      <c r="T200" s="452"/>
      <c r="U200" s="453"/>
      <c r="V200" s="454"/>
      <c r="W200" s="455" t="s">
        <v>406</v>
      </c>
      <c r="X200" s="455">
        <v>45523</v>
      </c>
      <c r="Y200" s="456" t="s">
        <v>377</v>
      </c>
      <c r="Z200" s="457"/>
      <c r="AA200" s="453"/>
    </row>
    <row r="201" spans="1:27" s="128" customFormat="1">
      <c r="A201" s="443">
        <v>8</v>
      </c>
      <c r="B201" s="444" t="s">
        <v>2577</v>
      </c>
      <c r="C201" s="445" t="s">
        <v>101</v>
      </c>
      <c r="D201" s="444" t="s">
        <v>2578</v>
      </c>
      <c r="E201" s="446">
        <v>8</v>
      </c>
      <c r="F201" s="447"/>
      <c r="G201" s="448">
        <f t="shared" si="9"/>
        <v>0</v>
      </c>
      <c r="H201" s="450"/>
      <c r="I201" s="444"/>
      <c r="J201" s="450"/>
      <c r="K201" s="444"/>
      <c r="L201" s="450"/>
      <c r="M201" s="444"/>
      <c r="N201" s="450"/>
      <c r="O201" s="450"/>
      <c r="P201" s="450"/>
      <c r="Q201" s="451" t="s">
        <v>374</v>
      </c>
      <c r="R201" s="451"/>
      <c r="S201" s="452"/>
      <c r="T201" s="452"/>
      <c r="U201" s="453"/>
      <c r="V201" s="454"/>
      <c r="W201" s="455" t="s">
        <v>406</v>
      </c>
      <c r="X201" s="455">
        <v>45523</v>
      </c>
      <c r="Y201" s="456" t="s">
        <v>377</v>
      </c>
      <c r="Z201" s="457"/>
      <c r="AA201" s="453"/>
    </row>
    <row r="202" spans="1:27" s="128" customFormat="1">
      <c r="A202" s="443">
        <v>9</v>
      </c>
      <c r="B202" s="444" t="s">
        <v>2579</v>
      </c>
      <c r="C202" s="445" t="s">
        <v>101</v>
      </c>
      <c r="D202" s="444" t="s">
        <v>2580</v>
      </c>
      <c r="E202" s="446">
        <v>2</v>
      </c>
      <c r="F202" s="447"/>
      <c r="G202" s="448">
        <f t="shared" si="9"/>
        <v>0</v>
      </c>
      <c r="H202" s="450"/>
      <c r="I202" s="444"/>
      <c r="J202" s="450"/>
      <c r="K202" s="444"/>
      <c r="L202" s="450"/>
      <c r="M202" s="444"/>
      <c r="N202" s="450"/>
      <c r="O202" s="450"/>
      <c r="P202" s="450"/>
      <c r="Q202" s="451" t="s">
        <v>374</v>
      </c>
      <c r="R202" s="451"/>
      <c r="S202" s="452"/>
      <c r="T202" s="452"/>
      <c r="U202" s="453"/>
      <c r="V202" s="454"/>
      <c r="W202" s="455" t="s">
        <v>406</v>
      </c>
      <c r="X202" s="455">
        <v>45523</v>
      </c>
      <c r="Y202" s="456" t="s">
        <v>377</v>
      </c>
      <c r="Z202" s="457"/>
      <c r="AA202" s="453"/>
    </row>
    <row r="203" spans="1:27" s="128" customFormat="1">
      <c r="A203" s="443">
        <v>10</v>
      </c>
      <c r="B203" s="444" t="s">
        <v>2585</v>
      </c>
      <c r="C203" s="445" t="s">
        <v>101</v>
      </c>
      <c r="D203" s="444" t="s">
        <v>2586</v>
      </c>
      <c r="E203" s="446">
        <v>2</v>
      </c>
      <c r="F203" s="447"/>
      <c r="G203" s="448">
        <f t="shared" si="9"/>
        <v>0</v>
      </c>
      <c r="H203" s="450"/>
      <c r="I203" s="444"/>
      <c r="J203" s="450"/>
      <c r="K203" s="444"/>
      <c r="L203" s="450"/>
      <c r="M203" s="444"/>
      <c r="N203" s="450"/>
      <c r="O203" s="450"/>
      <c r="P203" s="450"/>
      <c r="Q203" s="451" t="s">
        <v>374</v>
      </c>
      <c r="R203" s="451"/>
      <c r="S203" s="452"/>
      <c r="T203" s="452"/>
      <c r="U203" s="453"/>
      <c r="V203" s="454"/>
      <c r="W203" s="455" t="s">
        <v>406</v>
      </c>
      <c r="X203" s="455">
        <v>45523</v>
      </c>
      <c r="Y203" s="456" t="s">
        <v>377</v>
      </c>
      <c r="Z203" s="457"/>
      <c r="AA203" s="453"/>
    </row>
    <row r="204" spans="1:27" s="128" customFormat="1">
      <c r="A204" s="443">
        <v>11</v>
      </c>
      <c r="B204" s="444" t="s">
        <v>2583</v>
      </c>
      <c r="C204" s="445" t="s">
        <v>101</v>
      </c>
      <c r="D204" s="444" t="s">
        <v>2584</v>
      </c>
      <c r="E204" s="446">
        <v>2</v>
      </c>
      <c r="F204" s="447"/>
      <c r="G204" s="448">
        <f t="shared" si="9"/>
        <v>0</v>
      </c>
      <c r="H204" s="450"/>
      <c r="I204" s="444"/>
      <c r="J204" s="450"/>
      <c r="K204" s="444"/>
      <c r="L204" s="450"/>
      <c r="M204" s="444"/>
      <c r="N204" s="450"/>
      <c r="O204" s="450"/>
      <c r="P204" s="450"/>
      <c r="Q204" s="451" t="s">
        <v>374</v>
      </c>
      <c r="R204" s="451"/>
      <c r="S204" s="452"/>
      <c r="T204" s="452"/>
      <c r="U204" s="453"/>
      <c r="V204" s="454"/>
      <c r="W204" s="455" t="s">
        <v>406</v>
      </c>
      <c r="X204" s="455">
        <v>45523</v>
      </c>
      <c r="Y204" s="456" t="s">
        <v>377</v>
      </c>
      <c r="Z204" s="457"/>
      <c r="AA204" s="453"/>
    </row>
    <row r="205" spans="1:27" s="128" customFormat="1">
      <c r="A205" s="443">
        <v>12</v>
      </c>
      <c r="B205" s="444" t="s">
        <v>2593</v>
      </c>
      <c r="C205" s="445" t="s">
        <v>101</v>
      </c>
      <c r="D205" s="444" t="s">
        <v>2594</v>
      </c>
      <c r="E205" s="446">
        <v>2</v>
      </c>
      <c r="F205" s="447"/>
      <c r="G205" s="448">
        <f t="shared" si="9"/>
        <v>0</v>
      </c>
      <c r="H205" s="450"/>
      <c r="I205" s="444"/>
      <c r="J205" s="450"/>
      <c r="K205" s="444"/>
      <c r="L205" s="450"/>
      <c r="M205" s="444"/>
      <c r="N205" s="450"/>
      <c r="O205" s="450"/>
      <c r="P205" s="450"/>
      <c r="Q205" s="451" t="s">
        <v>374</v>
      </c>
      <c r="R205" s="451"/>
      <c r="S205" s="452"/>
      <c r="T205" s="452"/>
      <c r="U205" s="453"/>
      <c r="V205" s="454"/>
      <c r="W205" s="455" t="s">
        <v>406</v>
      </c>
      <c r="X205" s="455">
        <v>45523</v>
      </c>
      <c r="Y205" s="456" t="s">
        <v>377</v>
      </c>
      <c r="Z205" s="457"/>
      <c r="AA205" s="453"/>
    </row>
    <row r="206" spans="1:27" s="128" customFormat="1">
      <c r="A206" s="443">
        <v>13</v>
      </c>
      <c r="B206" s="444" t="s">
        <v>2577</v>
      </c>
      <c r="C206" s="445" t="s">
        <v>101</v>
      </c>
      <c r="D206" s="444" t="s">
        <v>2578</v>
      </c>
      <c r="E206" s="446">
        <v>4</v>
      </c>
      <c r="F206" s="447"/>
      <c r="G206" s="448">
        <f t="shared" si="9"/>
        <v>0</v>
      </c>
      <c r="H206" s="450"/>
      <c r="I206" s="444"/>
      <c r="J206" s="450"/>
      <c r="K206" s="444"/>
      <c r="L206" s="450"/>
      <c r="M206" s="444"/>
      <c r="N206" s="450"/>
      <c r="O206" s="450"/>
      <c r="P206" s="450"/>
      <c r="Q206" s="451" t="s">
        <v>374</v>
      </c>
      <c r="R206" s="451"/>
      <c r="S206" s="452"/>
      <c r="T206" s="452"/>
      <c r="U206" s="453"/>
      <c r="V206" s="454"/>
      <c r="W206" s="455" t="s">
        <v>406</v>
      </c>
      <c r="X206" s="455">
        <v>45523</v>
      </c>
      <c r="Y206" s="456" t="s">
        <v>377</v>
      </c>
      <c r="Z206" s="457"/>
      <c r="AA206" s="453"/>
    </row>
    <row r="207" spans="1:27" s="128" customFormat="1">
      <c r="A207" s="443">
        <v>14</v>
      </c>
      <c r="B207" s="444" t="s">
        <v>2579</v>
      </c>
      <c r="C207" s="445" t="s">
        <v>101</v>
      </c>
      <c r="D207" s="444" t="s">
        <v>2580</v>
      </c>
      <c r="E207" s="446">
        <v>2</v>
      </c>
      <c r="F207" s="447"/>
      <c r="G207" s="448">
        <f t="shared" si="9"/>
        <v>0</v>
      </c>
      <c r="H207" s="450"/>
      <c r="I207" s="444"/>
      <c r="J207" s="450"/>
      <c r="K207" s="444"/>
      <c r="L207" s="450"/>
      <c r="M207" s="444"/>
      <c r="N207" s="450"/>
      <c r="O207" s="450"/>
      <c r="P207" s="450"/>
      <c r="Q207" s="451" t="s">
        <v>374</v>
      </c>
      <c r="R207" s="451"/>
      <c r="S207" s="452"/>
      <c r="T207" s="452"/>
      <c r="U207" s="453"/>
      <c r="V207" s="454"/>
      <c r="W207" s="455" t="s">
        <v>406</v>
      </c>
      <c r="X207" s="455">
        <v>45523</v>
      </c>
      <c r="Y207" s="456" t="s">
        <v>377</v>
      </c>
      <c r="Z207" s="457"/>
      <c r="AA207" s="453"/>
    </row>
    <row r="208" spans="1:27" s="128" customFormat="1">
      <c r="A208" s="443">
        <v>15</v>
      </c>
      <c r="B208" s="444" t="s">
        <v>2585</v>
      </c>
      <c r="C208" s="445" t="s">
        <v>101</v>
      </c>
      <c r="D208" s="444" t="s">
        <v>2586</v>
      </c>
      <c r="E208" s="446">
        <v>2</v>
      </c>
      <c r="F208" s="447"/>
      <c r="G208" s="448">
        <f t="shared" si="9"/>
        <v>0</v>
      </c>
      <c r="H208" s="450"/>
      <c r="I208" s="444"/>
      <c r="J208" s="450"/>
      <c r="K208" s="444"/>
      <c r="L208" s="450"/>
      <c r="M208" s="444"/>
      <c r="N208" s="450"/>
      <c r="O208" s="450"/>
      <c r="P208" s="450"/>
      <c r="Q208" s="451" t="s">
        <v>374</v>
      </c>
      <c r="R208" s="451"/>
      <c r="S208" s="452"/>
      <c r="T208" s="452"/>
      <c r="U208" s="453"/>
      <c r="V208" s="454"/>
      <c r="W208" s="455" t="s">
        <v>406</v>
      </c>
      <c r="X208" s="455">
        <v>45523</v>
      </c>
      <c r="Y208" s="456" t="s">
        <v>377</v>
      </c>
      <c r="Z208" s="457"/>
      <c r="AA208" s="453"/>
    </row>
    <row r="209" spans="1:27" s="128" customFormat="1">
      <c r="A209" s="443">
        <v>16</v>
      </c>
      <c r="B209" s="444" t="s">
        <v>2583</v>
      </c>
      <c r="C209" s="445" t="s">
        <v>101</v>
      </c>
      <c r="D209" s="444" t="s">
        <v>2584</v>
      </c>
      <c r="E209" s="446">
        <v>2</v>
      </c>
      <c r="F209" s="447"/>
      <c r="G209" s="448">
        <f t="shared" si="9"/>
        <v>0</v>
      </c>
      <c r="H209" s="450"/>
      <c r="I209" s="444"/>
      <c r="J209" s="450"/>
      <c r="K209" s="444"/>
      <c r="L209" s="450"/>
      <c r="M209" s="444"/>
      <c r="N209" s="450"/>
      <c r="O209" s="450"/>
      <c r="P209" s="450"/>
      <c r="Q209" s="451" t="s">
        <v>374</v>
      </c>
      <c r="R209" s="451"/>
      <c r="S209" s="452"/>
      <c r="T209" s="452"/>
      <c r="U209" s="453"/>
      <c r="V209" s="454"/>
      <c r="W209" s="455" t="s">
        <v>406</v>
      </c>
      <c r="X209" s="455">
        <v>45523</v>
      </c>
      <c r="Y209" s="456" t="s">
        <v>377</v>
      </c>
      <c r="Z209" s="457"/>
      <c r="AA209" s="453"/>
    </row>
    <row r="210" spans="1:27" s="128" customFormat="1" ht="37.5">
      <c r="A210" s="443">
        <v>17</v>
      </c>
      <c r="B210" s="444" t="s">
        <v>2639</v>
      </c>
      <c r="C210" s="445" t="s">
        <v>101</v>
      </c>
      <c r="D210" s="444" t="s">
        <v>2640</v>
      </c>
      <c r="E210" s="446">
        <v>1</v>
      </c>
      <c r="F210" s="447"/>
      <c r="G210" s="448">
        <f t="shared" si="9"/>
        <v>0</v>
      </c>
      <c r="H210" s="450"/>
      <c r="I210" s="444"/>
      <c r="J210" s="450"/>
      <c r="K210" s="444" t="s">
        <v>2669</v>
      </c>
      <c r="L210" s="450" t="s">
        <v>921</v>
      </c>
      <c r="M210" s="444" t="s">
        <v>2670</v>
      </c>
      <c r="N210" s="450"/>
      <c r="O210" s="450"/>
      <c r="P210" s="450" t="s">
        <v>721</v>
      </c>
      <c r="Q210" s="451" t="s">
        <v>374</v>
      </c>
      <c r="R210" s="451" t="s">
        <v>2642</v>
      </c>
      <c r="S210" s="452" t="s">
        <v>806</v>
      </c>
      <c r="T210" s="452">
        <v>45568</v>
      </c>
      <c r="U210" s="453"/>
      <c r="V210" s="454"/>
      <c r="W210" s="455" t="s">
        <v>406</v>
      </c>
      <c r="X210" s="455">
        <v>45561</v>
      </c>
      <c r="Y210" s="456" t="s">
        <v>377</v>
      </c>
      <c r="Z210" s="457"/>
      <c r="AA210" s="453"/>
    </row>
    <row r="211" spans="1:27" s="128" customFormat="1" ht="37.5">
      <c r="A211" s="443">
        <v>18</v>
      </c>
      <c r="B211" s="444" t="s">
        <v>2608</v>
      </c>
      <c r="C211" s="445" t="s">
        <v>101</v>
      </c>
      <c r="D211" s="444" t="s">
        <v>2609</v>
      </c>
      <c r="E211" s="446">
        <v>2</v>
      </c>
      <c r="F211" s="447"/>
      <c r="G211" s="448">
        <f t="shared" si="9"/>
        <v>0</v>
      </c>
      <c r="H211" s="450"/>
      <c r="I211" s="444"/>
      <c r="J211" s="450"/>
      <c r="K211" s="444" t="s">
        <v>2669</v>
      </c>
      <c r="L211" s="450" t="s">
        <v>444</v>
      </c>
      <c r="M211" s="444" t="s">
        <v>444</v>
      </c>
      <c r="N211" s="450"/>
      <c r="O211" s="450"/>
      <c r="P211" s="450" t="s">
        <v>444</v>
      </c>
      <c r="Q211" s="451"/>
      <c r="R211" s="451"/>
      <c r="S211" s="452"/>
      <c r="T211" s="452" t="s">
        <v>712</v>
      </c>
      <c r="U211" s="453"/>
      <c r="V211" s="454"/>
      <c r="W211" s="455" t="s">
        <v>406</v>
      </c>
      <c r="X211" s="455">
        <v>45574</v>
      </c>
      <c r="Y211" s="456" t="s">
        <v>377</v>
      </c>
      <c r="Z211" s="457"/>
      <c r="AA211" s="453"/>
    </row>
    <row r="212" spans="1:27" s="128" customFormat="1" ht="37.5">
      <c r="A212" s="443">
        <v>19</v>
      </c>
      <c r="B212" s="444" t="s">
        <v>2604</v>
      </c>
      <c r="C212" s="445" t="s">
        <v>101</v>
      </c>
      <c r="D212" s="444" t="s">
        <v>2605</v>
      </c>
      <c r="E212" s="446">
        <v>4</v>
      </c>
      <c r="F212" s="447"/>
      <c r="G212" s="448">
        <f t="shared" si="9"/>
        <v>0</v>
      </c>
      <c r="H212" s="450"/>
      <c r="I212" s="444"/>
      <c r="J212" s="450"/>
      <c r="K212" s="444" t="s">
        <v>2669</v>
      </c>
      <c r="L212" s="450" t="s">
        <v>921</v>
      </c>
      <c r="M212" s="444" t="s">
        <v>2671</v>
      </c>
      <c r="N212" s="450"/>
      <c r="O212" s="450"/>
      <c r="P212" s="450" t="s">
        <v>721</v>
      </c>
      <c r="Q212" s="451" t="s">
        <v>374</v>
      </c>
      <c r="R212" s="451" t="s">
        <v>2607</v>
      </c>
      <c r="S212" s="452" t="s">
        <v>859</v>
      </c>
      <c r="T212" s="452" t="s">
        <v>712</v>
      </c>
      <c r="U212" s="453"/>
      <c r="V212" s="454"/>
      <c r="W212" s="455" t="s">
        <v>406</v>
      </c>
      <c r="X212" s="455">
        <v>45573</v>
      </c>
      <c r="Y212" s="456" t="s">
        <v>377</v>
      </c>
      <c r="Z212" s="457"/>
      <c r="AA212" s="453"/>
    </row>
    <row r="213" spans="1:27" s="128" customFormat="1" ht="37.5">
      <c r="A213" s="443">
        <v>20</v>
      </c>
      <c r="B213" s="444" t="s">
        <v>2647</v>
      </c>
      <c r="C213" s="445" t="s">
        <v>101</v>
      </c>
      <c r="D213" s="444" t="s">
        <v>2648</v>
      </c>
      <c r="E213" s="446">
        <v>1</v>
      </c>
      <c r="F213" s="447"/>
      <c r="G213" s="448">
        <f t="shared" si="9"/>
        <v>0</v>
      </c>
      <c r="H213" s="450"/>
      <c r="I213" s="444"/>
      <c r="J213" s="450"/>
      <c r="K213" s="444"/>
      <c r="L213" s="450"/>
      <c r="M213" s="444"/>
      <c r="N213" s="450"/>
      <c r="O213" s="450"/>
      <c r="P213" s="450"/>
      <c r="Q213" s="451" t="s">
        <v>374</v>
      </c>
      <c r="R213" s="451"/>
      <c r="S213" s="452"/>
      <c r="T213" s="452"/>
      <c r="U213" s="453"/>
      <c r="V213" s="454"/>
      <c r="W213" s="455" t="s">
        <v>406</v>
      </c>
      <c r="X213" s="455">
        <v>45523</v>
      </c>
      <c r="Y213" s="456" t="s">
        <v>377</v>
      </c>
      <c r="Z213" s="457"/>
      <c r="AA213" s="453"/>
    </row>
    <row r="214" spans="1:27" s="128" customFormat="1" ht="37.5">
      <c r="A214" s="443">
        <v>21</v>
      </c>
      <c r="B214" s="444" t="s">
        <v>2639</v>
      </c>
      <c r="C214" s="445" t="s">
        <v>101</v>
      </c>
      <c r="D214" s="444" t="s">
        <v>2640</v>
      </c>
      <c r="E214" s="446">
        <v>1</v>
      </c>
      <c r="F214" s="447"/>
      <c r="G214" s="448">
        <f t="shared" si="9"/>
        <v>0</v>
      </c>
      <c r="H214" s="450"/>
      <c r="I214" s="444"/>
      <c r="J214" s="450"/>
      <c r="K214" s="444" t="s">
        <v>2669</v>
      </c>
      <c r="L214" s="450" t="s">
        <v>921</v>
      </c>
      <c r="M214" s="444" t="s">
        <v>2670</v>
      </c>
      <c r="N214" s="450"/>
      <c r="O214" s="450"/>
      <c r="P214" s="450" t="s">
        <v>721</v>
      </c>
      <c r="Q214" s="451" t="s">
        <v>374</v>
      </c>
      <c r="R214" s="451" t="s">
        <v>2642</v>
      </c>
      <c r="S214" s="452" t="s">
        <v>806</v>
      </c>
      <c r="T214" s="452">
        <v>45568</v>
      </c>
      <c r="U214" s="453"/>
      <c r="V214" s="454"/>
      <c r="W214" s="455" t="s">
        <v>406</v>
      </c>
      <c r="X214" s="455">
        <v>45561</v>
      </c>
      <c r="Y214" s="456" t="s">
        <v>377</v>
      </c>
      <c r="Z214" s="457"/>
      <c r="AA214" s="453"/>
    </row>
    <row r="215" spans="1:27" s="128" customFormat="1">
      <c r="A215" s="443">
        <v>22</v>
      </c>
      <c r="B215" s="444" t="s">
        <v>2608</v>
      </c>
      <c r="C215" s="445" t="s">
        <v>101</v>
      </c>
      <c r="D215" s="444" t="s">
        <v>2609</v>
      </c>
      <c r="E215" s="446">
        <v>2</v>
      </c>
      <c r="F215" s="447"/>
      <c r="G215" s="448">
        <f t="shared" si="9"/>
        <v>0</v>
      </c>
      <c r="H215" s="450"/>
      <c r="I215" s="444"/>
      <c r="J215" s="450"/>
      <c r="K215" s="444"/>
      <c r="L215" s="450"/>
      <c r="M215" s="444"/>
      <c r="N215" s="450"/>
      <c r="O215" s="450"/>
      <c r="P215" s="450"/>
      <c r="Q215" s="451"/>
      <c r="R215" s="451"/>
      <c r="S215" s="452"/>
      <c r="T215" s="452" t="s">
        <v>712</v>
      </c>
      <c r="U215" s="453"/>
      <c r="V215" s="454"/>
      <c r="W215" s="455" t="s">
        <v>406</v>
      </c>
      <c r="X215" s="455">
        <v>45574</v>
      </c>
      <c r="Y215" s="456" t="s">
        <v>377</v>
      </c>
      <c r="Z215" s="457"/>
      <c r="AA215" s="453"/>
    </row>
    <row r="216" spans="1:27" s="128" customFormat="1" ht="37.5">
      <c r="A216" s="443">
        <v>23</v>
      </c>
      <c r="B216" s="444" t="s">
        <v>2604</v>
      </c>
      <c r="C216" s="445" t="s">
        <v>101</v>
      </c>
      <c r="D216" s="444" t="s">
        <v>2605</v>
      </c>
      <c r="E216" s="446">
        <v>4</v>
      </c>
      <c r="F216" s="447"/>
      <c r="G216" s="448">
        <f t="shared" si="9"/>
        <v>0</v>
      </c>
      <c r="H216" s="450"/>
      <c r="I216" s="444"/>
      <c r="J216" s="450"/>
      <c r="K216" s="444" t="s">
        <v>2669</v>
      </c>
      <c r="L216" s="450" t="s">
        <v>921</v>
      </c>
      <c r="M216" s="444" t="s">
        <v>2671</v>
      </c>
      <c r="N216" s="450"/>
      <c r="O216" s="450"/>
      <c r="P216" s="450" t="s">
        <v>721</v>
      </c>
      <c r="Q216" s="451" t="s">
        <v>374</v>
      </c>
      <c r="R216" s="451" t="s">
        <v>2607</v>
      </c>
      <c r="S216" s="452" t="s">
        <v>859</v>
      </c>
      <c r="T216" s="452" t="s">
        <v>712</v>
      </c>
      <c r="U216" s="453"/>
      <c r="V216" s="454"/>
      <c r="W216" s="455" t="s">
        <v>406</v>
      </c>
      <c r="X216" s="455">
        <v>45573</v>
      </c>
      <c r="Y216" s="456" t="s">
        <v>377</v>
      </c>
      <c r="Z216" s="457"/>
      <c r="AA216" s="453"/>
    </row>
    <row r="217" spans="1:27" s="128" customFormat="1" ht="37.5">
      <c r="A217" s="443">
        <v>24</v>
      </c>
      <c r="B217" s="444" t="s">
        <v>2647</v>
      </c>
      <c r="C217" s="445" t="s">
        <v>101</v>
      </c>
      <c r="D217" s="444" t="s">
        <v>2648</v>
      </c>
      <c r="E217" s="446">
        <v>1</v>
      </c>
      <c r="F217" s="447"/>
      <c r="G217" s="448">
        <f t="shared" si="9"/>
        <v>0</v>
      </c>
      <c r="H217" s="450"/>
      <c r="I217" s="444"/>
      <c r="J217" s="450"/>
      <c r="K217" s="444"/>
      <c r="L217" s="450"/>
      <c r="M217" s="444"/>
      <c r="N217" s="450"/>
      <c r="O217" s="450"/>
      <c r="P217" s="450"/>
      <c r="Q217" s="451" t="s">
        <v>374</v>
      </c>
      <c r="R217" s="451"/>
      <c r="S217" s="452"/>
      <c r="T217" s="452"/>
      <c r="U217" s="453"/>
      <c r="V217" s="454"/>
      <c r="W217" s="455" t="s">
        <v>406</v>
      </c>
      <c r="X217" s="455">
        <v>45523</v>
      </c>
      <c r="Y217" s="456" t="s">
        <v>377</v>
      </c>
      <c r="Z217" s="457"/>
      <c r="AA217" s="453"/>
    </row>
    <row r="218" spans="1:27" s="128" customFormat="1" ht="37.5">
      <c r="A218" s="443">
        <v>25</v>
      </c>
      <c r="B218" s="444" t="s">
        <v>2645</v>
      </c>
      <c r="C218" s="445" t="s">
        <v>101</v>
      </c>
      <c r="D218" s="444" t="s">
        <v>2646</v>
      </c>
      <c r="E218" s="446">
        <v>1</v>
      </c>
      <c r="F218" s="447"/>
      <c r="G218" s="448">
        <f t="shared" si="9"/>
        <v>0</v>
      </c>
      <c r="H218" s="450"/>
      <c r="I218" s="444"/>
      <c r="J218" s="450"/>
      <c r="K218" s="444" t="s">
        <v>2669</v>
      </c>
      <c r="L218" s="450" t="s">
        <v>921</v>
      </c>
      <c r="M218" s="444" t="s">
        <v>2672</v>
      </c>
      <c r="N218" s="450"/>
      <c r="O218" s="450"/>
      <c r="P218" s="450" t="s">
        <v>721</v>
      </c>
      <c r="Q218" s="451" t="s">
        <v>374</v>
      </c>
      <c r="R218" s="451" t="s">
        <v>269</v>
      </c>
      <c r="S218" s="452" t="s">
        <v>806</v>
      </c>
      <c r="T218" s="452"/>
      <c r="U218" s="453"/>
      <c r="V218" s="454"/>
      <c r="W218" s="455" t="s">
        <v>406</v>
      </c>
      <c r="X218" s="452">
        <v>45568</v>
      </c>
      <c r="Y218" s="456" t="s">
        <v>377</v>
      </c>
      <c r="Z218" s="457"/>
      <c r="AA218" s="453"/>
    </row>
    <row r="219" spans="1:27" s="128" customFormat="1" ht="37.5">
      <c r="A219" s="443">
        <v>26</v>
      </c>
      <c r="B219" s="444" t="s">
        <v>2649</v>
      </c>
      <c r="C219" s="445" t="s">
        <v>101</v>
      </c>
      <c r="D219" s="444" t="s">
        <v>2650</v>
      </c>
      <c r="E219" s="446">
        <v>1</v>
      </c>
      <c r="F219" s="447"/>
      <c r="G219" s="448">
        <f t="shared" si="9"/>
        <v>0</v>
      </c>
      <c r="H219" s="450"/>
      <c r="I219" s="444"/>
      <c r="J219" s="450"/>
      <c r="K219" s="444" t="s">
        <v>2669</v>
      </c>
      <c r="L219" s="450" t="s">
        <v>921</v>
      </c>
      <c r="M219" s="444" t="s">
        <v>2670</v>
      </c>
      <c r="N219" s="450"/>
      <c r="O219" s="450"/>
      <c r="P219" s="450" t="s">
        <v>721</v>
      </c>
      <c r="Q219" s="451" t="s">
        <v>374</v>
      </c>
      <c r="R219" s="451" t="s">
        <v>2642</v>
      </c>
      <c r="S219" s="452" t="s">
        <v>806</v>
      </c>
      <c r="T219" s="452">
        <v>45568</v>
      </c>
      <c r="U219" s="453"/>
      <c r="V219" s="454"/>
      <c r="W219" s="455" t="s">
        <v>406</v>
      </c>
      <c r="X219" s="452" t="s">
        <v>806</v>
      </c>
      <c r="Y219" s="456" t="s">
        <v>377</v>
      </c>
      <c r="Z219" s="457"/>
      <c r="AA219" s="453"/>
    </row>
    <row r="220" spans="1:27" s="128" customFormat="1">
      <c r="A220" s="443">
        <v>27</v>
      </c>
      <c r="B220" s="444" t="s">
        <v>2608</v>
      </c>
      <c r="C220" s="445" t="s">
        <v>101</v>
      </c>
      <c r="D220" s="444" t="s">
        <v>2609</v>
      </c>
      <c r="E220" s="446">
        <v>2</v>
      </c>
      <c r="F220" s="447"/>
      <c r="G220" s="448">
        <f t="shared" si="9"/>
        <v>0</v>
      </c>
      <c r="H220" s="450"/>
      <c r="I220" s="444"/>
      <c r="J220" s="450"/>
      <c r="K220" s="444"/>
      <c r="L220" s="450"/>
      <c r="M220" s="444"/>
      <c r="N220" s="450"/>
      <c r="O220" s="450"/>
      <c r="P220" s="450"/>
      <c r="Q220" s="451"/>
      <c r="R220" s="451"/>
      <c r="S220" s="452"/>
      <c r="T220" s="452" t="s">
        <v>712</v>
      </c>
      <c r="U220" s="453"/>
      <c r="V220" s="454"/>
      <c r="W220" s="455" t="s">
        <v>406</v>
      </c>
      <c r="X220" s="452" t="s">
        <v>1075</v>
      </c>
      <c r="Y220" s="456" t="s">
        <v>377</v>
      </c>
      <c r="Z220" s="457"/>
      <c r="AA220" s="453"/>
    </row>
    <row r="221" spans="1:27" s="128" customFormat="1" ht="37.5">
      <c r="A221" s="443">
        <v>28</v>
      </c>
      <c r="B221" s="444" t="s">
        <v>2604</v>
      </c>
      <c r="C221" s="445" t="s">
        <v>101</v>
      </c>
      <c r="D221" s="444" t="s">
        <v>2605</v>
      </c>
      <c r="E221" s="446">
        <v>4</v>
      </c>
      <c r="F221" s="447"/>
      <c r="G221" s="448">
        <f t="shared" si="9"/>
        <v>0</v>
      </c>
      <c r="H221" s="450"/>
      <c r="I221" s="444"/>
      <c r="J221" s="450"/>
      <c r="K221" s="444" t="s">
        <v>2669</v>
      </c>
      <c r="L221" s="450" t="s">
        <v>921</v>
      </c>
      <c r="M221" s="444" t="s">
        <v>2671</v>
      </c>
      <c r="N221" s="450"/>
      <c r="O221" s="450"/>
      <c r="P221" s="450" t="s">
        <v>721</v>
      </c>
      <c r="Q221" s="451" t="s">
        <v>374</v>
      </c>
      <c r="R221" s="451" t="s">
        <v>2607</v>
      </c>
      <c r="S221" s="452" t="s">
        <v>859</v>
      </c>
      <c r="T221" s="452" t="s">
        <v>712</v>
      </c>
      <c r="U221" s="453"/>
      <c r="V221" s="454"/>
      <c r="W221" s="455" t="s">
        <v>406</v>
      </c>
      <c r="X221" s="452" t="s">
        <v>1075</v>
      </c>
      <c r="Y221" s="456" t="s">
        <v>377</v>
      </c>
      <c r="Z221" s="457"/>
      <c r="AA221" s="453"/>
    </row>
    <row r="222" spans="1:27" s="128" customFormat="1" ht="37.5">
      <c r="A222" s="443">
        <v>29</v>
      </c>
      <c r="B222" s="444" t="s">
        <v>2645</v>
      </c>
      <c r="C222" s="445" t="s">
        <v>101</v>
      </c>
      <c r="D222" s="444" t="s">
        <v>2646</v>
      </c>
      <c r="E222" s="446">
        <v>1</v>
      </c>
      <c r="F222" s="447"/>
      <c r="G222" s="448">
        <f t="shared" si="9"/>
        <v>0</v>
      </c>
      <c r="H222" s="450"/>
      <c r="I222" s="444"/>
      <c r="J222" s="450"/>
      <c r="K222" s="444" t="s">
        <v>2669</v>
      </c>
      <c r="L222" s="450" t="s">
        <v>921</v>
      </c>
      <c r="M222" s="444" t="s">
        <v>2672</v>
      </c>
      <c r="N222" s="450"/>
      <c r="O222" s="450"/>
      <c r="P222" s="450" t="s">
        <v>721</v>
      </c>
      <c r="Q222" s="451" t="s">
        <v>374</v>
      </c>
      <c r="R222" s="451" t="s">
        <v>269</v>
      </c>
      <c r="S222" s="452" t="s">
        <v>806</v>
      </c>
      <c r="T222" s="452">
        <v>45568</v>
      </c>
      <c r="U222" s="453"/>
      <c r="V222" s="454"/>
      <c r="W222" s="455" t="s">
        <v>406</v>
      </c>
      <c r="X222" s="452">
        <v>45551</v>
      </c>
      <c r="Y222" s="456" t="s">
        <v>377</v>
      </c>
      <c r="Z222" s="457"/>
      <c r="AA222" s="453"/>
    </row>
    <row r="223" spans="1:27" s="128" customFormat="1">
      <c r="A223" s="443">
        <v>30</v>
      </c>
      <c r="B223" s="444" t="s">
        <v>2673</v>
      </c>
      <c r="C223" s="445" t="s">
        <v>101</v>
      </c>
      <c r="D223" s="444" t="s">
        <v>2662</v>
      </c>
      <c r="E223" s="446">
        <v>1</v>
      </c>
      <c r="F223" s="447"/>
      <c r="G223" s="448">
        <f t="shared" si="9"/>
        <v>0</v>
      </c>
      <c r="H223" s="450"/>
      <c r="I223" s="444"/>
      <c r="J223" s="450"/>
      <c r="K223" s="444"/>
      <c r="L223" s="450"/>
      <c r="M223" s="444"/>
      <c r="N223" s="450"/>
      <c r="O223" s="450"/>
      <c r="P223" s="450"/>
      <c r="Q223" s="451" t="s">
        <v>374</v>
      </c>
      <c r="R223" s="451"/>
      <c r="S223" s="452"/>
      <c r="T223" s="452"/>
      <c r="U223" s="453"/>
      <c r="V223" s="454"/>
      <c r="W223" s="455" t="s">
        <v>406</v>
      </c>
      <c r="X223" s="455">
        <v>45523</v>
      </c>
      <c r="Y223" s="456" t="s">
        <v>377</v>
      </c>
      <c r="Z223" s="457"/>
      <c r="AA223" s="453"/>
    </row>
    <row r="224" spans="1:27" s="128" customFormat="1">
      <c r="A224" s="443">
        <v>31</v>
      </c>
      <c r="B224" s="444" t="s">
        <v>2674</v>
      </c>
      <c r="C224" s="445" t="s">
        <v>101</v>
      </c>
      <c r="D224" s="444" t="s">
        <v>2663</v>
      </c>
      <c r="E224" s="446">
        <v>1</v>
      </c>
      <c r="F224" s="447"/>
      <c r="G224" s="448">
        <f t="shared" si="9"/>
        <v>0</v>
      </c>
      <c r="H224" s="450"/>
      <c r="I224" s="444"/>
      <c r="J224" s="450"/>
      <c r="K224" s="444"/>
      <c r="L224" s="450"/>
      <c r="M224" s="444"/>
      <c r="N224" s="450"/>
      <c r="O224" s="450"/>
      <c r="P224" s="450"/>
      <c r="Q224" s="451" t="s">
        <v>374</v>
      </c>
      <c r="R224" s="451"/>
      <c r="S224" s="452"/>
      <c r="T224" s="452"/>
      <c r="U224" s="453"/>
      <c r="V224" s="454"/>
      <c r="W224" s="455" t="s">
        <v>406</v>
      </c>
      <c r="X224" s="455">
        <v>45523</v>
      </c>
      <c r="Y224" s="456" t="s">
        <v>377</v>
      </c>
      <c r="Z224" s="457"/>
      <c r="AA224" s="453"/>
    </row>
    <row r="225" spans="1:27" s="128" customFormat="1">
      <c r="A225" s="443">
        <v>32</v>
      </c>
      <c r="B225" s="444" t="s">
        <v>1356</v>
      </c>
      <c r="C225" s="445" t="s">
        <v>101</v>
      </c>
      <c r="D225" s="444" t="s">
        <v>1357</v>
      </c>
      <c r="E225" s="446">
        <v>1</v>
      </c>
      <c r="F225" s="447"/>
      <c r="G225" s="448">
        <f t="shared" si="9"/>
        <v>0</v>
      </c>
      <c r="H225" s="450"/>
      <c r="I225" s="444"/>
      <c r="J225" s="450"/>
      <c r="K225" s="444"/>
      <c r="L225" s="450"/>
      <c r="M225" s="444"/>
      <c r="N225" s="450"/>
      <c r="O225" s="450"/>
      <c r="P225" s="450"/>
      <c r="Q225" s="451" t="s">
        <v>374</v>
      </c>
      <c r="R225" s="451"/>
      <c r="S225" s="452"/>
      <c r="T225" s="452"/>
      <c r="U225" s="453"/>
      <c r="V225" s="454"/>
      <c r="W225" s="455" t="s">
        <v>406</v>
      </c>
      <c r="X225" s="455">
        <v>45523</v>
      </c>
      <c r="Y225" s="456" t="s">
        <v>377</v>
      </c>
      <c r="Z225" s="457"/>
      <c r="AA225" s="453"/>
    </row>
    <row r="226" spans="1:27" s="128" customFormat="1" ht="37.5">
      <c r="A226" s="443">
        <v>33</v>
      </c>
      <c r="B226" s="444" t="s">
        <v>2604</v>
      </c>
      <c r="C226" s="445" t="s">
        <v>101</v>
      </c>
      <c r="D226" s="444" t="s">
        <v>2605</v>
      </c>
      <c r="E226" s="446">
        <v>4</v>
      </c>
      <c r="F226" s="447"/>
      <c r="G226" s="448">
        <f t="shared" si="9"/>
        <v>0</v>
      </c>
      <c r="H226" s="450"/>
      <c r="I226" s="444"/>
      <c r="J226" s="450"/>
      <c r="K226" s="444" t="s">
        <v>2669</v>
      </c>
      <c r="L226" s="450" t="s">
        <v>921</v>
      </c>
      <c r="M226" s="444" t="s">
        <v>2671</v>
      </c>
      <c r="N226" s="450"/>
      <c r="O226" s="450"/>
      <c r="P226" s="450" t="s">
        <v>721</v>
      </c>
      <c r="Q226" s="451" t="s">
        <v>374</v>
      </c>
      <c r="R226" s="451" t="s">
        <v>2607</v>
      </c>
      <c r="S226" s="452" t="s">
        <v>859</v>
      </c>
      <c r="T226" s="452" t="s">
        <v>712</v>
      </c>
      <c r="U226" s="453"/>
      <c r="V226" s="454"/>
      <c r="W226" s="455" t="s">
        <v>406</v>
      </c>
      <c r="X226" s="455">
        <v>45573</v>
      </c>
      <c r="Y226" s="456" t="s">
        <v>377</v>
      </c>
      <c r="Z226" s="457"/>
      <c r="AA226" s="453"/>
    </row>
    <row r="227" spans="1:27" s="128" customFormat="1">
      <c r="A227" s="443">
        <v>34</v>
      </c>
      <c r="B227" s="444" t="s">
        <v>2608</v>
      </c>
      <c r="C227" s="445" t="s">
        <v>101</v>
      </c>
      <c r="D227" s="444" t="s">
        <v>2609</v>
      </c>
      <c r="E227" s="446">
        <v>2</v>
      </c>
      <c r="F227" s="447"/>
      <c r="G227" s="448">
        <f t="shared" si="9"/>
        <v>0</v>
      </c>
      <c r="H227" s="450"/>
      <c r="I227" s="444"/>
      <c r="J227" s="450"/>
      <c r="K227" s="444"/>
      <c r="L227" s="450"/>
      <c r="M227" s="444"/>
      <c r="N227" s="450"/>
      <c r="O227" s="450"/>
      <c r="P227" s="450"/>
      <c r="Q227" s="451"/>
      <c r="R227" s="451"/>
      <c r="S227" s="452"/>
      <c r="T227" s="452" t="s">
        <v>712</v>
      </c>
      <c r="U227" s="453"/>
      <c r="V227" s="454"/>
      <c r="W227" s="455" t="s">
        <v>406</v>
      </c>
      <c r="X227" s="455">
        <v>45574</v>
      </c>
      <c r="Y227" s="456" t="s">
        <v>377</v>
      </c>
      <c r="Z227" s="457"/>
      <c r="AA227" s="453"/>
    </row>
    <row r="228" spans="1:27" s="128" customFormat="1" ht="37.5">
      <c r="A228" s="443">
        <v>35</v>
      </c>
      <c r="B228" s="444" t="s">
        <v>2623</v>
      </c>
      <c r="C228" s="445" t="s">
        <v>101</v>
      </c>
      <c r="D228" s="444" t="s">
        <v>2624</v>
      </c>
      <c r="E228" s="446">
        <v>10</v>
      </c>
      <c r="F228" s="447"/>
      <c r="G228" s="448">
        <f t="shared" si="9"/>
        <v>0</v>
      </c>
      <c r="H228" s="450"/>
      <c r="I228" s="444"/>
      <c r="J228" s="450"/>
      <c r="K228" s="444" t="s">
        <v>2669</v>
      </c>
      <c r="L228" s="450" t="s">
        <v>921</v>
      </c>
      <c r="M228" s="444" t="s">
        <v>2675</v>
      </c>
      <c r="N228" s="450"/>
      <c r="O228" s="450"/>
      <c r="P228" s="450" t="s">
        <v>1091</v>
      </c>
      <c r="Q228" s="451" t="s">
        <v>374</v>
      </c>
      <c r="R228" s="451" t="s">
        <v>2186</v>
      </c>
      <c r="S228" s="452" t="s">
        <v>2014</v>
      </c>
      <c r="T228" s="452"/>
      <c r="U228" s="453"/>
      <c r="V228" s="454"/>
      <c r="W228" s="455" t="s">
        <v>406</v>
      </c>
      <c r="X228" s="455">
        <v>45601</v>
      </c>
      <c r="Y228" s="456" t="s">
        <v>377</v>
      </c>
      <c r="Z228" s="457"/>
      <c r="AA228" s="453" t="s">
        <v>2446</v>
      </c>
    </row>
    <row r="229" spans="1:27" s="128" customFormat="1" ht="37.5">
      <c r="A229" s="443">
        <v>36</v>
      </c>
      <c r="B229" s="444" t="s">
        <v>2630</v>
      </c>
      <c r="C229" s="445" t="s">
        <v>101</v>
      </c>
      <c r="D229" s="444" t="s">
        <v>2631</v>
      </c>
      <c r="E229" s="446">
        <v>10</v>
      </c>
      <c r="F229" s="447"/>
      <c r="G229" s="448">
        <f t="shared" si="9"/>
        <v>0</v>
      </c>
      <c r="H229" s="450"/>
      <c r="I229" s="444"/>
      <c r="J229" s="450"/>
      <c r="K229" s="444" t="s">
        <v>2676</v>
      </c>
      <c r="L229" s="450" t="s">
        <v>548</v>
      </c>
      <c r="M229" s="444" t="s">
        <v>2677</v>
      </c>
      <c r="N229" s="450"/>
      <c r="O229" s="450"/>
      <c r="P229" s="450" t="s">
        <v>416</v>
      </c>
      <c r="Q229" s="451" t="s">
        <v>374</v>
      </c>
      <c r="R229" s="451" t="s">
        <v>2186</v>
      </c>
      <c r="S229" s="452" t="s">
        <v>1577</v>
      </c>
      <c r="T229" s="452"/>
      <c r="U229" s="453"/>
      <c r="V229" s="454"/>
      <c r="W229" s="455" t="s">
        <v>406</v>
      </c>
      <c r="X229" s="455">
        <v>45569</v>
      </c>
      <c r="Y229" s="456" t="s">
        <v>377</v>
      </c>
      <c r="Z229" s="457"/>
      <c r="AA229" s="453"/>
    </row>
    <row r="230" spans="1:27" s="128" customFormat="1" ht="37.5">
      <c r="A230" s="443">
        <v>37</v>
      </c>
      <c r="B230" s="444" t="s">
        <v>2651</v>
      </c>
      <c r="C230" s="445" t="s">
        <v>101</v>
      </c>
      <c r="D230" s="444" t="s">
        <v>2652</v>
      </c>
      <c r="E230" s="446">
        <v>5</v>
      </c>
      <c r="F230" s="447"/>
      <c r="G230" s="448">
        <f t="shared" si="9"/>
        <v>0</v>
      </c>
      <c r="H230" s="450"/>
      <c r="I230" s="444"/>
      <c r="J230" s="450"/>
      <c r="K230" s="444" t="s">
        <v>2669</v>
      </c>
      <c r="L230" s="450" t="s">
        <v>921</v>
      </c>
      <c r="M230" s="444" t="s">
        <v>2675</v>
      </c>
      <c r="N230" s="450"/>
      <c r="O230" s="450"/>
      <c r="P230" s="450" t="s">
        <v>1091</v>
      </c>
      <c r="Q230" s="451" t="s">
        <v>374</v>
      </c>
      <c r="R230" s="451" t="s">
        <v>2186</v>
      </c>
      <c r="S230" s="452" t="s">
        <v>2014</v>
      </c>
      <c r="T230" s="452"/>
      <c r="U230" s="453"/>
      <c r="V230" s="454"/>
      <c r="W230" s="455" t="s">
        <v>406</v>
      </c>
      <c r="X230" s="455">
        <v>45574</v>
      </c>
      <c r="Y230" s="456" t="s">
        <v>377</v>
      </c>
      <c r="Z230" s="457"/>
      <c r="AA230" s="453"/>
    </row>
    <row r="231" spans="1:27" s="128" customFormat="1">
      <c r="A231" s="405">
        <v>38</v>
      </c>
      <c r="B231" s="407" t="s">
        <v>2653</v>
      </c>
      <c r="C231" s="406" t="s">
        <v>101</v>
      </c>
      <c r="D231" s="407" t="s">
        <v>2654</v>
      </c>
      <c r="E231" s="408">
        <v>2</v>
      </c>
      <c r="F231" s="409"/>
      <c r="G231" s="410">
        <f>E231*F231</f>
        <v>0</v>
      </c>
      <c r="H231" s="412"/>
      <c r="I231" s="407"/>
      <c r="J231" s="412"/>
      <c r="K231" s="407"/>
      <c r="L231" s="412"/>
      <c r="M231" s="407"/>
      <c r="N231" s="412"/>
      <c r="O231" s="412"/>
      <c r="P231" s="412"/>
      <c r="Q231" s="413"/>
      <c r="R231" s="413"/>
      <c r="S231" s="414"/>
      <c r="T231" s="414" t="s">
        <v>712</v>
      </c>
      <c r="U231" s="415"/>
      <c r="V231" s="416"/>
      <c r="W231" s="417"/>
      <c r="X231" s="417"/>
      <c r="Y231" s="418" t="s">
        <v>377</v>
      </c>
      <c r="Z231" s="419"/>
      <c r="AA231" s="415"/>
    </row>
    <row r="232" spans="1:27">
      <c r="A232" s="389"/>
      <c r="B232" s="390" t="s">
        <v>2678</v>
      </c>
      <c r="C232" s="391"/>
      <c r="D232" s="392"/>
      <c r="E232" s="393"/>
      <c r="F232" s="394"/>
      <c r="G232" s="395">
        <f t="shared" si="3"/>
        <v>0</v>
      </c>
      <c r="H232" s="420"/>
      <c r="I232" s="392"/>
      <c r="J232" s="420"/>
      <c r="K232" s="392"/>
      <c r="L232" s="397"/>
      <c r="M232" s="392"/>
      <c r="N232" s="397"/>
      <c r="O232" s="397"/>
      <c r="P232" s="397"/>
      <c r="Q232" s="398"/>
      <c r="R232" s="398"/>
      <c r="S232" s="399"/>
      <c r="T232" s="399"/>
      <c r="U232" s="400"/>
      <c r="V232" s="401"/>
      <c r="W232" s="402"/>
      <c r="X232" s="402"/>
      <c r="Y232" s="403"/>
      <c r="Z232" s="404"/>
      <c r="AA232" s="493"/>
    </row>
    <row r="233" spans="1:27" s="128" customFormat="1">
      <c r="A233" s="443">
        <v>1</v>
      </c>
      <c r="B233" s="444" t="s">
        <v>2569</v>
      </c>
      <c r="C233" s="445" t="s">
        <v>103</v>
      </c>
      <c r="D233" s="444" t="s">
        <v>2668</v>
      </c>
      <c r="E233" s="446">
        <v>1</v>
      </c>
      <c r="F233" s="447"/>
      <c r="G233" s="448">
        <f t="shared" ref="G233:G264" si="10">E233*F233</f>
        <v>0</v>
      </c>
      <c r="H233" s="450"/>
      <c r="I233" s="444"/>
      <c r="J233" s="450"/>
      <c r="K233" s="444"/>
      <c r="L233" s="450"/>
      <c r="M233" s="444"/>
      <c r="N233" s="450"/>
      <c r="O233" s="450"/>
      <c r="P233" s="450"/>
      <c r="Q233" s="451" t="s">
        <v>374</v>
      </c>
      <c r="R233" s="451"/>
      <c r="S233" s="452"/>
      <c r="T233" s="452"/>
      <c r="U233" s="453"/>
      <c r="V233" s="454"/>
      <c r="W233" s="455" t="s">
        <v>406</v>
      </c>
      <c r="X233" s="455">
        <v>45524</v>
      </c>
      <c r="Y233" s="456" t="s">
        <v>377</v>
      </c>
      <c r="Z233" s="457"/>
      <c r="AA233" s="453"/>
    </row>
    <row r="234" spans="1:27" s="128" customFormat="1">
      <c r="A234" s="443">
        <v>2</v>
      </c>
      <c r="B234" s="444" t="s">
        <v>2575</v>
      </c>
      <c r="C234" s="445" t="s">
        <v>103</v>
      </c>
      <c r="D234" s="444" t="s">
        <v>2576</v>
      </c>
      <c r="E234" s="446">
        <v>1</v>
      </c>
      <c r="F234" s="447"/>
      <c r="G234" s="448">
        <f t="shared" si="10"/>
        <v>0</v>
      </c>
      <c r="H234" s="450"/>
      <c r="I234" s="444"/>
      <c r="J234" s="450"/>
      <c r="K234" s="444"/>
      <c r="L234" s="450"/>
      <c r="M234" s="444"/>
      <c r="N234" s="450"/>
      <c r="O234" s="450"/>
      <c r="P234" s="450"/>
      <c r="Q234" s="451" t="s">
        <v>374</v>
      </c>
      <c r="R234" s="451"/>
      <c r="S234" s="452"/>
      <c r="T234" s="452"/>
      <c r="U234" s="453"/>
      <c r="V234" s="454"/>
      <c r="W234" s="455" t="s">
        <v>406</v>
      </c>
      <c r="X234" s="455">
        <v>45524</v>
      </c>
      <c r="Y234" s="456" t="s">
        <v>377</v>
      </c>
      <c r="Z234" s="457"/>
      <c r="AA234" s="453"/>
    </row>
    <row r="235" spans="1:27" s="128" customFormat="1">
      <c r="A235" s="443">
        <v>3</v>
      </c>
      <c r="B235" s="444" t="s">
        <v>2577</v>
      </c>
      <c r="C235" s="445" t="s">
        <v>103</v>
      </c>
      <c r="D235" s="444" t="s">
        <v>2578</v>
      </c>
      <c r="E235" s="446">
        <v>4</v>
      </c>
      <c r="F235" s="447"/>
      <c r="G235" s="448">
        <f t="shared" si="10"/>
        <v>0</v>
      </c>
      <c r="H235" s="450"/>
      <c r="I235" s="444"/>
      <c r="J235" s="450"/>
      <c r="K235" s="444"/>
      <c r="L235" s="450"/>
      <c r="M235" s="444"/>
      <c r="N235" s="450"/>
      <c r="O235" s="450"/>
      <c r="P235" s="450"/>
      <c r="Q235" s="451" t="s">
        <v>374</v>
      </c>
      <c r="R235" s="451"/>
      <c r="S235" s="452"/>
      <c r="T235" s="452"/>
      <c r="U235" s="453"/>
      <c r="V235" s="454"/>
      <c r="W235" s="455" t="s">
        <v>406</v>
      </c>
      <c r="X235" s="455">
        <v>45524</v>
      </c>
      <c r="Y235" s="456" t="s">
        <v>377</v>
      </c>
      <c r="Z235" s="457"/>
      <c r="AA235" s="453"/>
    </row>
    <row r="236" spans="1:27" s="128" customFormat="1">
      <c r="A236" s="443">
        <v>4</v>
      </c>
      <c r="B236" s="444" t="s">
        <v>2581</v>
      </c>
      <c r="C236" s="445" t="s">
        <v>103</v>
      </c>
      <c r="D236" s="444" t="s">
        <v>2582</v>
      </c>
      <c r="E236" s="446">
        <v>2</v>
      </c>
      <c r="F236" s="447"/>
      <c r="G236" s="448">
        <f t="shared" si="10"/>
        <v>0</v>
      </c>
      <c r="H236" s="450"/>
      <c r="I236" s="444"/>
      <c r="J236" s="450"/>
      <c r="K236" s="444"/>
      <c r="L236" s="450"/>
      <c r="M236" s="444"/>
      <c r="N236" s="450"/>
      <c r="O236" s="450"/>
      <c r="P236" s="450"/>
      <c r="Q236" s="451" t="s">
        <v>374</v>
      </c>
      <c r="R236" s="451"/>
      <c r="S236" s="452"/>
      <c r="T236" s="452"/>
      <c r="U236" s="453"/>
      <c r="V236" s="454"/>
      <c r="W236" s="455" t="s">
        <v>406</v>
      </c>
      <c r="X236" s="455">
        <v>45524</v>
      </c>
      <c r="Y236" s="456" t="s">
        <v>377</v>
      </c>
      <c r="Z236" s="457"/>
      <c r="AA236" s="453"/>
    </row>
    <row r="237" spans="1:27" s="128" customFormat="1">
      <c r="A237" s="443">
        <v>5</v>
      </c>
      <c r="B237" s="444" t="s">
        <v>2579</v>
      </c>
      <c r="C237" s="445" t="s">
        <v>103</v>
      </c>
      <c r="D237" s="444" t="s">
        <v>2580</v>
      </c>
      <c r="E237" s="446">
        <v>3</v>
      </c>
      <c r="F237" s="447"/>
      <c r="G237" s="448">
        <f t="shared" si="10"/>
        <v>0</v>
      </c>
      <c r="H237" s="450"/>
      <c r="I237" s="444"/>
      <c r="J237" s="450"/>
      <c r="K237" s="444"/>
      <c r="L237" s="450"/>
      <c r="M237" s="444"/>
      <c r="N237" s="450"/>
      <c r="O237" s="450"/>
      <c r="P237" s="450"/>
      <c r="Q237" s="451" t="s">
        <v>374</v>
      </c>
      <c r="R237" s="451"/>
      <c r="S237" s="452"/>
      <c r="T237" s="452"/>
      <c r="U237" s="453"/>
      <c r="V237" s="454"/>
      <c r="W237" s="455" t="s">
        <v>406</v>
      </c>
      <c r="X237" s="455">
        <v>45524</v>
      </c>
      <c r="Y237" s="456" t="s">
        <v>377</v>
      </c>
      <c r="Z237" s="457"/>
      <c r="AA237" s="453"/>
    </row>
    <row r="238" spans="1:27" s="128" customFormat="1">
      <c r="A238" s="443">
        <v>6</v>
      </c>
      <c r="B238" s="444" t="s">
        <v>2585</v>
      </c>
      <c r="C238" s="445" t="s">
        <v>103</v>
      </c>
      <c r="D238" s="444" t="s">
        <v>2586</v>
      </c>
      <c r="E238" s="446">
        <v>2</v>
      </c>
      <c r="F238" s="447"/>
      <c r="G238" s="448">
        <f t="shared" si="10"/>
        <v>0</v>
      </c>
      <c r="H238" s="450"/>
      <c r="I238" s="444"/>
      <c r="J238" s="450"/>
      <c r="K238" s="444"/>
      <c r="L238" s="450"/>
      <c r="M238" s="444"/>
      <c r="N238" s="450"/>
      <c r="O238" s="450"/>
      <c r="P238" s="450"/>
      <c r="Q238" s="451" t="s">
        <v>374</v>
      </c>
      <c r="R238" s="451"/>
      <c r="S238" s="452"/>
      <c r="T238" s="452"/>
      <c r="U238" s="453"/>
      <c r="V238" s="454"/>
      <c r="W238" s="455" t="s">
        <v>406</v>
      </c>
      <c r="X238" s="455">
        <v>45524</v>
      </c>
      <c r="Y238" s="456" t="s">
        <v>377</v>
      </c>
      <c r="Z238" s="457"/>
      <c r="AA238" s="453"/>
    </row>
    <row r="239" spans="1:27" s="128" customFormat="1">
      <c r="A239" s="443">
        <v>7</v>
      </c>
      <c r="B239" s="444" t="s">
        <v>2583</v>
      </c>
      <c r="C239" s="445" t="s">
        <v>103</v>
      </c>
      <c r="D239" s="444" t="s">
        <v>2584</v>
      </c>
      <c r="E239" s="446">
        <v>3</v>
      </c>
      <c r="F239" s="447"/>
      <c r="G239" s="448">
        <f t="shared" si="10"/>
        <v>0</v>
      </c>
      <c r="H239" s="450"/>
      <c r="I239" s="444"/>
      <c r="J239" s="450"/>
      <c r="K239" s="444"/>
      <c r="L239" s="450"/>
      <c r="M239" s="444"/>
      <c r="N239" s="450"/>
      <c r="O239" s="450"/>
      <c r="P239" s="450"/>
      <c r="Q239" s="451" t="s">
        <v>374</v>
      </c>
      <c r="R239" s="451"/>
      <c r="S239" s="452"/>
      <c r="T239" s="452"/>
      <c r="U239" s="453"/>
      <c r="V239" s="454"/>
      <c r="W239" s="455" t="s">
        <v>406</v>
      </c>
      <c r="X239" s="455">
        <v>45524</v>
      </c>
      <c r="Y239" s="456" t="s">
        <v>377</v>
      </c>
      <c r="Z239" s="457"/>
      <c r="AA239" s="453"/>
    </row>
    <row r="240" spans="1:27" s="128" customFormat="1">
      <c r="A240" s="443">
        <v>8</v>
      </c>
      <c r="B240" s="444" t="s">
        <v>2577</v>
      </c>
      <c r="C240" s="445" t="s">
        <v>103</v>
      </c>
      <c r="D240" s="444" t="s">
        <v>2578</v>
      </c>
      <c r="E240" s="446">
        <v>4</v>
      </c>
      <c r="F240" s="447"/>
      <c r="G240" s="448">
        <f t="shared" si="10"/>
        <v>0</v>
      </c>
      <c r="H240" s="450"/>
      <c r="I240" s="444"/>
      <c r="J240" s="450"/>
      <c r="K240" s="444"/>
      <c r="L240" s="450"/>
      <c r="M240" s="444"/>
      <c r="N240" s="450"/>
      <c r="O240" s="450"/>
      <c r="P240" s="450"/>
      <c r="Q240" s="451" t="s">
        <v>374</v>
      </c>
      <c r="R240" s="451"/>
      <c r="S240" s="452"/>
      <c r="T240" s="452"/>
      <c r="U240" s="453"/>
      <c r="V240" s="454"/>
      <c r="W240" s="455" t="s">
        <v>406</v>
      </c>
      <c r="X240" s="455">
        <v>45524</v>
      </c>
      <c r="Y240" s="456" t="s">
        <v>377</v>
      </c>
      <c r="Z240" s="457"/>
      <c r="AA240" s="453"/>
    </row>
    <row r="241" spans="1:27" s="128" customFormat="1">
      <c r="A241" s="443">
        <v>9</v>
      </c>
      <c r="B241" s="444" t="s">
        <v>2579</v>
      </c>
      <c r="C241" s="445" t="s">
        <v>103</v>
      </c>
      <c r="D241" s="444" t="s">
        <v>2580</v>
      </c>
      <c r="E241" s="446">
        <v>2</v>
      </c>
      <c r="F241" s="447"/>
      <c r="G241" s="448">
        <f t="shared" si="10"/>
        <v>0</v>
      </c>
      <c r="H241" s="450"/>
      <c r="I241" s="444"/>
      <c r="J241" s="450"/>
      <c r="K241" s="444"/>
      <c r="L241" s="450"/>
      <c r="M241" s="444"/>
      <c r="N241" s="450"/>
      <c r="O241" s="450"/>
      <c r="P241" s="450"/>
      <c r="Q241" s="451" t="s">
        <v>374</v>
      </c>
      <c r="R241" s="451"/>
      <c r="S241" s="452"/>
      <c r="T241" s="452"/>
      <c r="U241" s="453"/>
      <c r="V241" s="454"/>
      <c r="W241" s="455" t="s">
        <v>406</v>
      </c>
      <c r="X241" s="455">
        <v>45524</v>
      </c>
      <c r="Y241" s="456" t="s">
        <v>377</v>
      </c>
      <c r="Z241" s="457"/>
      <c r="AA241" s="453"/>
    </row>
    <row r="242" spans="1:27" s="128" customFormat="1">
      <c r="A242" s="443">
        <v>10</v>
      </c>
      <c r="B242" s="444" t="s">
        <v>2585</v>
      </c>
      <c r="C242" s="445" t="s">
        <v>103</v>
      </c>
      <c r="D242" s="444" t="s">
        <v>2586</v>
      </c>
      <c r="E242" s="446">
        <v>2</v>
      </c>
      <c r="F242" s="447"/>
      <c r="G242" s="448">
        <f t="shared" si="10"/>
        <v>0</v>
      </c>
      <c r="H242" s="450"/>
      <c r="I242" s="444"/>
      <c r="J242" s="450"/>
      <c r="K242" s="444"/>
      <c r="L242" s="450"/>
      <c r="M242" s="444"/>
      <c r="N242" s="450"/>
      <c r="O242" s="450"/>
      <c r="P242" s="450"/>
      <c r="Q242" s="451" t="s">
        <v>374</v>
      </c>
      <c r="R242" s="451"/>
      <c r="S242" s="452"/>
      <c r="T242" s="452"/>
      <c r="U242" s="453"/>
      <c r="V242" s="454"/>
      <c r="W242" s="455" t="s">
        <v>406</v>
      </c>
      <c r="X242" s="455">
        <v>45524</v>
      </c>
      <c r="Y242" s="456" t="s">
        <v>377</v>
      </c>
      <c r="Z242" s="457"/>
      <c r="AA242" s="453"/>
    </row>
    <row r="243" spans="1:27" s="128" customFormat="1">
      <c r="A243" s="443">
        <v>11</v>
      </c>
      <c r="B243" s="444" t="s">
        <v>2583</v>
      </c>
      <c r="C243" s="445" t="s">
        <v>103</v>
      </c>
      <c r="D243" s="444" t="s">
        <v>2584</v>
      </c>
      <c r="E243" s="446">
        <v>2</v>
      </c>
      <c r="F243" s="447"/>
      <c r="G243" s="448">
        <f t="shared" si="10"/>
        <v>0</v>
      </c>
      <c r="H243" s="450"/>
      <c r="I243" s="444"/>
      <c r="J243" s="450"/>
      <c r="K243" s="444"/>
      <c r="L243" s="450"/>
      <c r="M243" s="444"/>
      <c r="N243" s="450"/>
      <c r="O243" s="450"/>
      <c r="P243" s="450"/>
      <c r="Q243" s="451" t="s">
        <v>374</v>
      </c>
      <c r="R243" s="451"/>
      <c r="S243" s="452"/>
      <c r="T243" s="452"/>
      <c r="U243" s="453"/>
      <c r="V243" s="454"/>
      <c r="W243" s="455" t="s">
        <v>406</v>
      </c>
      <c r="X243" s="455">
        <v>45524</v>
      </c>
      <c r="Y243" s="456" t="s">
        <v>377</v>
      </c>
      <c r="Z243" s="457"/>
      <c r="AA243" s="453"/>
    </row>
    <row r="244" spans="1:27" s="128" customFormat="1">
      <c r="A244" s="443">
        <v>12</v>
      </c>
      <c r="B244" s="444" t="s">
        <v>2577</v>
      </c>
      <c r="C244" s="445" t="s">
        <v>103</v>
      </c>
      <c r="D244" s="444" t="s">
        <v>2578</v>
      </c>
      <c r="E244" s="446">
        <v>4</v>
      </c>
      <c r="F244" s="447"/>
      <c r="G244" s="448">
        <f t="shared" si="10"/>
        <v>0</v>
      </c>
      <c r="H244" s="450"/>
      <c r="I244" s="444"/>
      <c r="J244" s="450"/>
      <c r="K244" s="444"/>
      <c r="L244" s="450"/>
      <c r="M244" s="444"/>
      <c r="N244" s="450"/>
      <c r="O244" s="450"/>
      <c r="P244" s="450"/>
      <c r="Q244" s="451" t="s">
        <v>374</v>
      </c>
      <c r="R244" s="451"/>
      <c r="S244" s="452"/>
      <c r="T244" s="452"/>
      <c r="U244" s="453"/>
      <c r="V244" s="454"/>
      <c r="W244" s="455" t="s">
        <v>406</v>
      </c>
      <c r="X244" s="455">
        <v>45524</v>
      </c>
      <c r="Y244" s="456" t="s">
        <v>377</v>
      </c>
      <c r="Z244" s="457"/>
      <c r="AA244" s="453"/>
    </row>
    <row r="245" spans="1:27" s="128" customFormat="1">
      <c r="A245" s="443">
        <v>13</v>
      </c>
      <c r="B245" s="444" t="s">
        <v>2579</v>
      </c>
      <c r="C245" s="445" t="s">
        <v>103</v>
      </c>
      <c r="D245" s="444" t="s">
        <v>2580</v>
      </c>
      <c r="E245" s="446">
        <v>2</v>
      </c>
      <c r="F245" s="447"/>
      <c r="G245" s="448">
        <f t="shared" si="10"/>
        <v>0</v>
      </c>
      <c r="H245" s="450"/>
      <c r="I245" s="444"/>
      <c r="J245" s="450"/>
      <c r="K245" s="444"/>
      <c r="L245" s="450"/>
      <c r="M245" s="444"/>
      <c r="N245" s="450"/>
      <c r="O245" s="450"/>
      <c r="P245" s="450"/>
      <c r="Q245" s="451" t="s">
        <v>374</v>
      </c>
      <c r="R245" s="451"/>
      <c r="S245" s="452"/>
      <c r="T245" s="452"/>
      <c r="U245" s="453"/>
      <c r="V245" s="454"/>
      <c r="W245" s="455" t="s">
        <v>406</v>
      </c>
      <c r="X245" s="455">
        <v>45524</v>
      </c>
      <c r="Y245" s="456" t="s">
        <v>377</v>
      </c>
      <c r="Z245" s="457"/>
      <c r="AA245" s="453"/>
    </row>
    <row r="246" spans="1:27" s="128" customFormat="1">
      <c r="A246" s="443">
        <v>14</v>
      </c>
      <c r="B246" s="444" t="s">
        <v>2585</v>
      </c>
      <c r="C246" s="445" t="s">
        <v>103</v>
      </c>
      <c r="D246" s="444" t="s">
        <v>2586</v>
      </c>
      <c r="E246" s="446">
        <v>2</v>
      </c>
      <c r="F246" s="447"/>
      <c r="G246" s="448">
        <f t="shared" si="10"/>
        <v>0</v>
      </c>
      <c r="H246" s="450"/>
      <c r="I246" s="444"/>
      <c r="J246" s="450"/>
      <c r="K246" s="444"/>
      <c r="L246" s="450"/>
      <c r="M246" s="444"/>
      <c r="N246" s="450"/>
      <c r="O246" s="450"/>
      <c r="P246" s="450"/>
      <c r="Q246" s="451" t="s">
        <v>374</v>
      </c>
      <c r="R246" s="451"/>
      <c r="S246" s="452"/>
      <c r="T246" s="452"/>
      <c r="U246" s="453"/>
      <c r="V246" s="454"/>
      <c r="W246" s="455" t="s">
        <v>406</v>
      </c>
      <c r="X246" s="455">
        <v>45524</v>
      </c>
      <c r="Y246" s="456" t="s">
        <v>377</v>
      </c>
      <c r="Z246" s="457"/>
      <c r="AA246" s="453"/>
    </row>
    <row r="247" spans="1:27" s="128" customFormat="1">
      <c r="A247" s="443">
        <v>15</v>
      </c>
      <c r="B247" s="444" t="s">
        <v>2583</v>
      </c>
      <c r="C247" s="445" t="s">
        <v>103</v>
      </c>
      <c r="D247" s="444" t="s">
        <v>2584</v>
      </c>
      <c r="E247" s="446">
        <v>2</v>
      </c>
      <c r="F247" s="447"/>
      <c r="G247" s="448">
        <f t="shared" si="10"/>
        <v>0</v>
      </c>
      <c r="H247" s="450"/>
      <c r="I247" s="444"/>
      <c r="J247" s="450"/>
      <c r="K247" s="444"/>
      <c r="L247" s="450"/>
      <c r="M247" s="444"/>
      <c r="N247" s="450"/>
      <c r="O247" s="450"/>
      <c r="P247" s="450"/>
      <c r="Q247" s="451" t="s">
        <v>374</v>
      </c>
      <c r="R247" s="451"/>
      <c r="S247" s="452"/>
      <c r="T247" s="452"/>
      <c r="U247" s="453"/>
      <c r="V247" s="454"/>
      <c r="W247" s="455" t="s">
        <v>406</v>
      </c>
      <c r="X247" s="455">
        <v>45524</v>
      </c>
      <c r="Y247" s="456" t="s">
        <v>377</v>
      </c>
      <c r="Z247" s="457"/>
      <c r="AA247" s="453"/>
    </row>
    <row r="248" spans="1:27" s="128" customFormat="1" ht="37.5">
      <c r="A248" s="443">
        <v>16</v>
      </c>
      <c r="B248" s="444" t="s">
        <v>2639</v>
      </c>
      <c r="C248" s="445" t="s">
        <v>103</v>
      </c>
      <c r="D248" s="444" t="s">
        <v>2640</v>
      </c>
      <c r="E248" s="446">
        <v>1</v>
      </c>
      <c r="F248" s="447"/>
      <c r="G248" s="448">
        <f t="shared" si="10"/>
        <v>0</v>
      </c>
      <c r="H248" s="450"/>
      <c r="I248" s="444"/>
      <c r="J248" s="450"/>
      <c r="K248" s="444" t="s">
        <v>2679</v>
      </c>
      <c r="L248" s="450" t="s">
        <v>921</v>
      </c>
      <c r="M248" s="444" t="s">
        <v>2680</v>
      </c>
      <c r="N248" s="450"/>
      <c r="O248" s="450"/>
      <c r="P248" s="450" t="s">
        <v>923</v>
      </c>
      <c r="Q248" s="451" t="s">
        <v>374</v>
      </c>
      <c r="R248" s="451" t="s">
        <v>2642</v>
      </c>
      <c r="S248" s="452" t="s">
        <v>806</v>
      </c>
      <c r="T248" s="452">
        <v>45568</v>
      </c>
      <c r="U248" s="453"/>
      <c r="V248" s="454"/>
      <c r="W248" s="455" t="s">
        <v>406</v>
      </c>
      <c r="X248" s="455">
        <v>45561</v>
      </c>
      <c r="Y248" s="456" t="s">
        <v>377</v>
      </c>
      <c r="Z248" s="457"/>
      <c r="AA248" s="453"/>
    </row>
    <row r="249" spans="1:27" s="128" customFormat="1" ht="37.5">
      <c r="A249" s="443">
        <v>17</v>
      </c>
      <c r="B249" s="444" t="s">
        <v>2608</v>
      </c>
      <c r="C249" s="445" t="s">
        <v>103</v>
      </c>
      <c r="D249" s="444" t="s">
        <v>2609</v>
      </c>
      <c r="E249" s="446">
        <v>2</v>
      </c>
      <c r="F249" s="447"/>
      <c r="G249" s="448">
        <f t="shared" si="10"/>
        <v>0</v>
      </c>
      <c r="H249" s="450"/>
      <c r="I249" s="444"/>
      <c r="J249" s="450"/>
      <c r="K249" s="444" t="s">
        <v>2681</v>
      </c>
      <c r="L249" s="450" t="s">
        <v>444</v>
      </c>
      <c r="M249" s="444" t="s">
        <v>444</v>
      </c>
      <c r="N249" s="450"/>
      <c r="O249" s="450"/>
      <c r="P249" s="450" t="s">
        <v>444</v>
      </c>
      <c r="Q249" s="451"/>
      <c r="R249" s="451"/>
      <c r="S249" s="452"/>
      <c r="T249" s="452" t="s">
        <v>712</v>
      </c>
      <c r="U249" s="453"/>
      <c r="V249" s="454"/>
      <c r="W249" s="455" t="s">
        <v>406</v>
      </c>
      <c r="X249" s="455">
        <v>45583</v>
      </c>
      <c r="Y249" s="456" t="s">
        <v>377</v>
      </c>
      <c r="Z249" s="457"/>
      <c r="AA249" s="453"/>
    </row>
    <row r="250" spans="1:27" s="128" customFormat="1" ht="37.5">
      <c r="A250" s="443">
        <v>18</v>
      </c>
      <c r="B250" s="444" t="s">
        <v>2604</v>
      </c>
      <c r="C250" s="445" t="s">
        <v>103</v>
      </c>
      <c r="D250" s="444" t="s">
        <v>2605</v>
      </c>
      <c r="E250" s="446">
        <v>4</v>
      </c>
      <c r="F250" s="447"/>
      <c r="G250" s="448">
        <f t="shared" si="10"/>
        <v>0</v>
      </c>
      <c r="H250" s="450"/>
      <c r="I250" s="444"/>
      <c r="J250" s="450"/>
      <c r="K250" s="444" t="s">
        <v>2681</v>
      </c>
      <c r="L250" s="450" t="s">
        <v>921</v>
      </c>
      <c r="M250" s="444" t="s">
        <v>2682</v>
      </c>
      <c r="N250" s="450"/>
      <c r="O250" s="450"/>
      <c r="P250" s="450" t="s">
        <v>721</v>
      </c>
      <c r="Q250" s="451" t="s">
        <v>374</v>
      </c>
      <c r="R250" s="451" t="s">
        <v>2607</v>
      </c>
      <c r="S250" s="452" t="s">
        <v>859</v>
      </c>
      <c r="T250" s="452" t="s">
        <v>712</v>
      </c>
      <c r="U250" s="453"/>
      <c r="V250" s="454"/>
      <c r="W250" s="455" t="s">
        <v>406</v>
      </c>
      <c r="X250" s="455">
        <v>45573</v>
      </c>
      <c r="Y250" s="456" t="s">
        <v>377</v>
      </c>
      <c r="Z250" s="457"/>
      <c r="AA250" s="453"/>
    </row>
    <row r="251" spans="1:27" s="128" customFormat="1" ht="37.5">
      <c r="A251" s="443">
        <v>19</v>
      </c>
      <c r="B251" s="444" t="s">
        <v>2647</v>
      </c>
      <c r="C251" s="445" t="s">
        <v>103</v>
      </c>
      <c r="D251" s="444" t="s">
        <v>2648</v>
      </c>
      <c r="E251" s="446">
        <v>1</v>
      </c>
      <c r="F251" s="447"/>
      <c r="G251" s="448">
        <f t="shared" si="10"/>
        <v>0</v>
      </c>
      <c r="H251" s="450"/>
      <c r="I251" s="444"/>
      <c r="J251" s="450"/>
      <c r="K251" s="444"/>
      <c r="L251" s="450"/>
      <c r="M251" s="444"/>
      <c r="N251" s="450"/>
      <c r="O251" s="450"/>
      <c r="P251" s="450"/>
      <c r="Q251" s="451" t="s">
        <v>374</v>
      </c>
      <c r="R251" s="451"/>
      <c r="S251" s="452"/>
      <c r="T251" s="452"/>
      <c r="U251" s="453"/>
      <c r="V251" s="454"/>
      <c r="W251" s="455" t="s">
        <v>406</v>
      </c>
      <c r="X251" s="455">
        <v>45524</v>
      </c>
      <c r="Y251" s="456" t="s">
        <v>377</v>
      </c>
      <c r="Z251" s="457"/>
      <c r="AA251" s="453"/>
    </row>
    <row r="252" spans="1:27" s="128" customFormat="1" ht="37.5">
      <c r="A252" s="443">
        <v>20</v>
      </c>
      <c r="B252" s="444" t="s">
        <v>2639</v>
      </c>
      <c r="C252" s="445" t="s">
        <v>103</v>
      </c>
      <c r="D252" s="444" t="s">
        <v>2640</v>
      </c>
      <c r="E252" s="446">
        <v>1</v>
      </c>
      <c r="F252" s="447"/>
      <c r="G252" s="448">
        <f t="shared" si="10"/>
        <v>0</v>
      </c>
      <c r="H252" s="450"/>
      <c r="I252" s="444"/>
      <c r="J252" s="450"/>
      <c r="K252" s="444" t="s">
        <v>2679</v>
      </c>
      <c r="L252" s="450" t="s">
        <v>921</v>
      </c>
      <c r="M252" s="444" t="s">
        <v>2680</v>
      </c>
      <c r="N252" s="450"/>
      <c r="O252" s="450"/>
      <c r="P252" s="450" t="s">
        <v>923</v>
      </c>
      <c r="Q252" s="451" t="s">
        <v>374</v>
      </c>
      <c r="R252" s="451" t="s">
        <v>2642</v>
      </c>
      <c r="S252" s="452" t="s">
        <v>806</v>
      </c>
      <c r="T252" s="452">
        <v>45568</v>
      </c>
      <c r="U252" s="453"/>
      <c r="V252" s="454"/>
      <c r="W252" s="455" t="s">
        <v>406</v>
      </c>
      <c r="X252" s="455">
        <v>45561</v>
      </c>
      <c r="Y252" s="456" t="s">
        <v>377</v>
      </c>
      <c r="Z252" s="457"/>
      <c r="AA252" s="453"/>
    </row>
    <row r="253" spans="1:27" s="128" customFormat="1">
      <c r="A253" s="443">
        <v>21</v>
      </c>
      <c r="B253" s="444" t="s">
        <v>2608</v>
      </c>
      <c r="C253" s="445" t="s">
        <v>103</v>
      </c>
      <c r="D253" s="444" t="s">
        <v>2609</v>
      </c>
      <c r="E253" s="446">
        <v>2</v>
      </c>
      <c r="F253" s="447"/>
      <c r="G253" s="448">
        <f t="shared" si="10"/>
        <v>0</v>
      </c>
      <c r="H253" s="450"/>
      <c r="I253" s="444"/>
      <c r="J253" s="450"/>
      <c r="K253" s="444"/>
      <c r="L253" s="450"/>
      <c r="M253" s="444"/>
      <c r="N253" s="450"/>
      <c r="O253" s="450"/>
      <c r="P253" s="450"/>
      <c r="Q253" s="451"/>
      <c r="R253" s="451"/>
      <c r="S253" s="452"/>
      <c r="T253" s="452" t="s">
        <v>712</v>
      </c>
      <c r="U253" s="453"/>
      <c r="V253" s="454"/>
      <c r="W253" s="455" t="s">
        <v>406</v>
      </c>
      <c r="X253" s="455">
        <v>45583</v>
      </c>
      <c r="Y253" s="456" t="s">
        <v>377</v>
      </c>
      <c r="Z253" s="457"/>
      <c r="AA253" s="453"/>
    </row>
    <row r="254" spans="1:27" s="128" customFormat="1" ht="37.5">
      <c r="A254" s="443">
        <v>22</v>
      </c>
      <c r="B254" s="444" t="s">
        <v>2604</v>
      </c>
      <c r="C254" s="445" t="s">
        <v>103</v>
      </c>
      <c r="D254" s="444" t="s">
        <v>2605</v>
      </c>
      <c r="E254" s="446">
        <v>4</v>
      </c>
      <c r="F254" s="447"/>
      <c r="G254" s="448">
        <f t="shared" si="10"/>
        <v>0</v>
      </c>
      <c r="H254" s="450"/>
      <c r="I254" s="444"/>
      <c r="J254" s="450"/>
      <c r="K254" s="444" t="s">
        <v>2681</v>
      </c>
      <c r="L254" s="450" t="s">
        <v>921</v>
      </c>
      <c r="M254" s="444" t="s">
        <v>2682</v>
      </c>
      <c r="N254" s="450"/>
      <c r="O254" s="450"/>
      <c r="P254" s="450" t="s">
        <v>721</v>
      </c>
      <c r="Q254" s="451" t="s">
        <v>374</v>
      </c>
      <c r="R254" s="451" t="s">
        <v>2607</v>
      </c>
      <c r="S254" s="452" t="s">
        <v>859</v>
      </c>
      <c r="T254" s="452" t="s">
        <v>712</v>
      </c>
      <c r="U254" s="453"/>
      <c r="V254" s="454"/>
      <c r="W254" s="455" t="s">
        <v>406</v>
      </c>
      <c r="X254" s="455">
        <v>45573</v>
      </c>
      <c r="Y254" s="456" t="s">
        <v>377</v>
      </c>
      <c r="Z254" s="457"/>
      <c r="AA254" s="453"/>
    </row>
    <row r="255" spans="1:27" s="128" customFormat="1" ht="37.5">
      <c r="A255" s="443">
        <v>23</v>
      </c>
      <c r="B255" s="444" t="s">
        <v>2647</v>
      </c>
      <c r="C255" s="445" t="s">
        <v>103</v>
      </c>
      <c r="D255" s="444" t="s">
        <v>2648</v>
      </c>
      <c r="E255" s="446">
        <v>1</v>
      </c>
      <c r="F255" s="447"/>
      <c r="G255" s="448">
        <f t="shared" si="10"/>
        <v>0</v>
      </c>
      <c r="H255" s="450"/>
      <c r="I255" s="444"/>
      <c r="J255" s="450"/>
      <c r="K255" s="444"/>
      <c r="L255" s="450"/>
      <c r="M255" s="444"/>
      <c r="N255" s="450"/>
      <c r="O255" s="450"/>
      <c r="P255" s="450"/>
      <c r="Q255" s="451" t="s">
        <v>374</v>
      </c>
      <c r="R255" s="451"/>
      <c r="S255" s="452"/>
      <c r="T255" s="452"/>
      <c r="U255" s="453"/>
      <c r="V255" s="454"/>
      <c r="W255" s="455" t="s">
        <v>406</v>
      </c>
      <c r="X255" s="455">
        <v>45524</v>
      </c>
      <c r="Y255" s="456" t="s">
        <v>377</v>
      </c>
      <c r="Z255" s="457"/>
      <c r="AA255" s="453"/>
    </row>
    <row r="256" spans="1:27" s="128" customFormat="1" ht="37.5">
      <c r="A256" s="443">
        <v>24</v>
      </c>
      <c r="B256" s="444" t="s">
        <v>2645</v>
      </c>
      <c r="C256" s="445" t="s">
        <v>103</v>
      </c>
      <c r="D256" s="444" t="s">
        <v>2646</v>
      </c>
      <c r="E256" s="446">
        <v>1</v>
      </c>
      <c r="F256" s="447"/>
      <c r="G256" s="448">
        <f t="shared" si="10"/>
        <v>0</v>
      </c>
      <c r="H256" s="450"/>
      <c r="I256" s="444"/>
      <c r="J256" s="450"/>
      <c r="K256" s="444" t="s">
        <v>2679</v>
      </c>
      <c r="L256" s="450" t="s">
        <v>921</v>
      </c>
      <c r="M256" s="444" t="s">
        <v>2683</v>
      </c>
      <c r="N256" s="450"/>
      <c r="O256" s="450"/>
      <c r="P256" s="450" t="s">
        <v>923</v>
      </c>
      <c r="Q256" s="451" t="s">
        <v>374</v>
      </c>
      <c r="R256" s="451" t="s">
        <v>269</v>
      </c>
      <c r="S256" s="452" t="s">
        <v>756</v>
      </c>
      <c r="T256" s="452">
        <v>45568</v>
      </c>
      <c r="U256" s="453"/>
      <c r="V256" s="454"/>
      <c r="W256" s="455" t="s">
        <v>406</v>
      </c>
      <c r="X256" s="455">
        <v>45567</v>
      </c>
      <c r="Y256" s="456" t="s">
        <v>377</v>
      </c>
      <c r="Z256" s="457"/>
      <c r="AA256" s="453"/>
    </row>
    <row r="257" spans="1:27" s="128" customFormat="1" ht="37.5">
      <c r="A257" s="443">
        <v>25</v>
      </c>
      <c r="B257" s="444" t="s">
        <v>2673</v>
      </c>
      <c r="C257" s="445" t="s">
        <v>103</v>
      </c>
      <c r="D257" s="444" t="s">
        <v>2662</v>
      </c>
      <c r="E257" s="446">
        <v>1</v>
      </c>
      <c r="F257" s="447"/>
      <c r="G257" s="448">
        <f t="shared" si="10"/>
        <v>0</v>
      </c>
      <c r="H257" s="450"/>
      <c r="I257" s="444"/>
      <c r="J257" s="450"/>
      <c r="K257" s="444" t="s">
        <v>2684</v>
      </c>
      <c r="L257" s="450" t="s">
        <v>422</v>
      </c>
      <c r="M257" s="444" t="s">
        <v>2685</v>
      </c>
      <c r="N257" s="450"/>
      <c r="O257" s="450"/>
      <c r="P257" s="450" t="s">
        <v>711</v>
      </c>
      <c r="Q257" s="451" t="s">
        <v>374</v>
      </c>
      <c r="R257" s="451" t="s">
        <v>247</v>
      </c>
      <c r="S257" s="452" t="s">
        <v>797</v>
      </c>
      <c r="T257" s="452"/>
      <c r="U257" s="453"/>
      <c r="V257" s="454"/>
      <c r="W257" s="455" t="s">
        <v>406</v>
      </c>
      <c r="X257" s="455">
        <v>45524</v>
      </c>
      <c r="Y257" s="456" t="s">
        <v>377</v>
      </c>
      <c r="Z257" s="457"/>
      <c r="AA257" s="453"/>
    </row>
    <row r="258" spans="1:27" s="128" customFormat="1" ht="37.5">
      <c r="A258" s="443">
        <v>26</v>
      </c>
      <c r="B258" s="444" t="s">
        <v>2674</v>
      </c>
      <c r="C258" s="445" t="s">
        <v>103</v>
      </c>
      <c r="D258" s="444" t="s">
        <v>2663</v>
      </c>
      <c r="E258" s="446">
        <v>1</v>
      </c>
      <c r="F258" s="447"/>
      <c r="G258" s="448">
        <f t="shared" si="10"/>
        <v>0</v>
      </c>
      <c r="H258" s="450"/>
      <c r="I258" s="444"/>
      <c r="J258" s="450"/>
      <c r="K258" s="444" t="s">
        <v>2684</v>
      </c>
      <c r="L258" s="450" t="s">
        <v>422</v>
      </c>
      <c r="M258" s="444" t="s">
        <v>2685</v>
      </c>
      <c r="N258" s="450"/>
      <c r="O258" s="450"/>
      <c r="P258" s="450" t="s">
        <v>711</v>
      </c>
      <c r="Q258" s="451" t="s">
        <v>374</v>
      </c>
      <c r="R258" s="451" t="s">
        <v>247</v>
      </c>
      <c r="S258" s="452" t="s">
        <v>797</v>
      </c>
      <c r="T258" s="452"/>
      <c r="U258" s="453"/>
      <c r="V258" s="454"/>
      <c r="W258" s="455" t="s">
        <v>406</v>
      </c>
      <c r="X258" s="455">
        <v>45524</v>
      </c>
      <c r="Y258" s="456" t="s">
        <v>377</v>
      </c>
      <c r="Z258" s="457"/>
      <c r="AA258" s="453"/>
    </row>
    <row r="259" spans="1:27" s="128" customFormat="1" ht="37.5">
      <c r="A259" s="443">
        <v>27</v>
      </c>
      <c r="B259" s="444" t="s">
        <v>2645</v>
      </c>
      <c r="C259" s="445" t="s">
        <v>103</v>
      </c>
      <c r="D259" s="444" t="s">
        <v>2646</v>
      </c>
      <c r="E259" s="446">
        <v>1</v>
      </c>
      <c r="F259" s="447"/>
      <c r="G259" s="448">
        <f t="shared" si="10"/>
        <v>0</v>
      </c>
      <c r="H259" s="450"/>
      <c r="I259" s="444"/>
      <c r="J259" s="450"/>
      <c r="K259" s="444" t="s">
        <v>2679</v>
      </c>
      <c r="L259" s="450" t="s">
        <v>921</v>
      </c>
      <c r="M259" s="444" t="s">
        <v>2683</v>
      </c>
      <c r="N259" s="450"/>
      <c r="O259" s="450"/>
      <c r="P259" s="450" t="s">
        <v>923</v>
      </c>
      <c r="Q259" s="451" t="s">
        <v>374</v>
      </c>
      <c r="R259" s="451" t="s">
        <v>269</v>
      </c>
      <c r="S259" s="452" t="s">
        <v>756</v>
      </c>
      <c r="T259" s="452">
        <v>45568</v>
      </c>
      <c r="U259" s="453"/>
      <c r="V259" s="454"/>
      <c r="W259" s="455" t="s">
        <v>406</v>
      </c>
      <c r="X259" s="455">
        <v>45567</v>
      </c>
      <c r="Y259" s="456" t="s">
        <v>377</v>
      </c>
      <c r="Z259" s="457"/>
      <c r="AA259" s="453"/>
    </row>
    <row r="260" spans="1:27" s="128" customFormat="1" ht="37.5">
      <c r="A260" s="443">
        <v>28</v>
      </c>
      <c r="B260" s="444" t="s">
        <v>2636</v>
      </c>
      <c r="C260" s="445" t="s">
        <v>103</v>
      </c>
      <c r="D260" s="444" t="s">
        <v>2637</v>
      </c>
      <c r="E260" s="446">
        <v>1</v>
      </c>
      <c r="F260" s="447"/>
      <c r="G260" s="448">
        <f t="shared" si="10"/>
        <v>0</v>
      </c>
      <c r="H260" s="450"/>
      <c r="I260" s="444"/>
      <c r="J260" s="450"/>
      <c r="K260" s="444" t="s">
        <v>2681</v>
      </c>
      <c r="L260" s="450" t="s">
        <v>921</v>
      </c>
      <c r="M260" s="444" t="s">
        <v>2686</v>
      </c>
      <c r="N260" s="450"/>
      <c r="O260" s="450"/>
      <c r="P260" s="450" t="s">
        <v>721</v>
      </c>
      <c r="Q260" s="451" t="s">
        <v>374</v>
      </c>
      <c r="R260" s="451" t="s">
        <v>905</v>
      </c>
      <c r="S260" s="452" t="s">
        <v>859</v>
      </c>
      <c r="T260" s="452">
        <v>45596</v>
      </c>
      <c r="U260" s="453"/>
      <c r="V260" s="454"/>
      <c r="W260" s="455" t="s">
        <v>406</v>
      </c>
      <c r="X260" s="455">
        <v>45580</v>
      </c>
      <c r="Y260" s="456" t="s">
        <v>377</v>
      </c>
      <c r="Z260" s="457"/>
      <c r="AA260" s="453"/>
    </row>
    <row r="261" spans="1:27" s="128" customFormat="1" ht="37.5">
      <c r="A261" s="443">
        <v>29</v>
      </c>
      <c r="B261" s="444" t="s">
        <v>2604</v>
      </c>
      <c r="C261" s="445" t="s">
        <v>103</v>
      </c>
      <c r="D261" s="444" t="s">
        <v>2605</v>
      </c>
      <c r="E261" s="446">
        <v>4</v>
      </c>
      <c r="F261" s="447"/>
      <c r="G261" s="448">
        <f t="shared" si="10"/>
        <v>0</v>
      </c>
      <c r="H261" s="450"/>
      <c r="I261" s="444"/>
      <c r="J261" s="450"/>
      <c r="K261" s="444" t="s">
        <v>2681</v>
      </c>
      <c r="L261" s="450" t="s">
        <v>921</v>
      </c>
      <c r="M261" s="444" t="s">
        <v>2682</v>
      </c>
      <c r="N261" s="450"/>
      <c r="O261" s="450"/>
      <c r="P261" s="450" t="s">
        <v>721</v>
      </c>
      <c r="Q261" s="451" t="s">
        <v>374</v>
      </c>
      <c r="R261" s="451" t="s">
        <v>2607</v>
      </c>
      <c r="S261" s="452" t="s">
        <v>859</v>
      </c>
      <c r="T261" s="452" t="s">
        <v>712</v>
      </c>
      <c r="U261" s="453"/>
      <c r="V261" s="454"/>
      <c r="W261" s="455" t="s">
        <v>406</v>
      </c>
      <c r="X261" s="455">
        <v>45573</v>
      </c>
      <c r="Y261" s="456" t="s">
        <v>377</v>
      </c>
      <c r="Z261" s="457"/>
      <c r="AA261" s="453"/>
    </row>
    <row r="262" spans="1:27" s="128" customFormat="1">
      <c r="A262" s="443">
        <v>30</v>
      </c>
      <c r="B262" s="444" t="s">
        <v>2608</v>
      </c>
      <c r="C262" s="445" t="s">
        <v>103</v>
      </c>
      <c r="D262" s="444" t="s">
        <v>2609</v>
      </c>
      <c r="E262" s="446">
        <v>2</v>
      </c>
      <c r="F262" s="447"/>
      <c r="G262" s="448">
        <f t="shared" si="10"/>
        <v>0</v>
      </c>
      <c r="H262" s="450"/>
      <c r="I262" s="444"/>
      <c r="J262" s="450"/>
      <c r="K262" s="444"/>
      <c r="L262" s="450"/>
      <c r="M262" s="444"/>
      <c r="N262" s="450"/>
      <c r="O262" s="450"/>
      <c r="P262" s="450"/>
      <c r="Q262" s="451"/>
      <c r="R262" s="451"/>
      <c r="S262" s="452"/>
      <c r="T262" s="452" t="s">
        <v>712</v>
      </c>
      <c r="U262" s="453"/>
      <c r="V262" s="454"/>
      <c r="W262" s="455" t="s">
        <v>406</v>
      </c>
      <c r="X262" s="455">
        <v>45583</v>
      </c>
      <c r="Y262" s="456" t="s">
        <v>377</v>
      </c>
      <c r="Z262" s="457"/>
      <c r="AA262" s="453"/>
    </row>
    <row r="263" spans="1:27" s="128" customFormat="1" ht="37.5">
      <c r="A263" s="443">
        <v>31</v>
      </c>
      <c r="B263" s="444" t="s">
        <v>2623</v>
      </c>
      <c r="C263" s="445" t="s">
        <v>103</v>
      </c>
      <c r="D263" s="444" t="s">
        <v>2624</v>
      </c>
      <c r="E263" s="446">
        <v>6</v>
      </c>
      <c r="F263" s="447"/>
      <c r="G263" s="448">
        <f t="shared" si="10"/>
        <v>0</v>
      </c>
      <c r="H263" s="450"/>
      <c r="I263" s="444"/>
      <c r="J263" s="450"/>
      <c r="K263" s="444" t="s">
        <v>2679</v>
      </c>
      <c r="L263" s="450" t="s">
        <v>921</v>
      </c>
      <c r="M263" s="444" t="s">
        <v>2687</v>
      </c>
      <c r="N263" s="450"/>
      <c r="O263" s="450"/>
      <c r="P263" s="450" t="s">
        <v>1091</v>
      </c>
      <c r="Q263" s="451" t="s">
        <v>374</v>
      </c>
      <c r="R263" s="451" t="s">
        <v>2186</v>
      </c>
      <c r="S263" s="452" t="s">
        <v>2014</v>
      </c>
      <c r="T263" s="452"/>
      <c r="U263" s="453"/>
      <c r="V263" s="454"/>
      <c r="W263" s="455" t="s">
        <v>406</v>
      </c>
      <c r="X263" s="455">
        <v>45601</v>
      </c>
      <c r="Y263" s="456" t="s">
        <v>377</v>
      </c>
      <c r="Z263" s="457"/>
      <c r="AA263" s="453" t="s">
        <v>2446</v>
      </c>
    </row>
    <row r="264" spans="1:27" s="128" customFormat="1" ht="37.5">
      <c r="A264" s="443">
        <v>32</v>
      </c>
      <c r="B264" s="444" t="s">
        <v>2630</v>
      </c>
      <c r="C264" s="445" t="s">
        <v>103</v>
      </c>
      <c r="D264" s="444" t="s">
        <v>2631</v>
      </c>
      <c r="E264" s="446">
        <v>6</v>
      </c>
      <c r="F264" s="447"/>
      <c r="G264" s="448">
        <f t="shared" si="10"/>
        <v>0</v>
      </c>
      <c r="H264" s="450"/>
      <c r="I264" s="444"/>
      <c r="J264" s="450"/>
      <c r="K264" s="444" t="s">
        <v>2679</v>
      </c>
      <c r="L264" s="450" t="s">
        <v>921</v>
      </c>
      <c r="M264" s="444" t="s">
        <v>2687</v>
      </c>
      <c r="N264" s="450"/>
      <c r="O264" s="450"/>
      <c r="P264" s="450" t="s">
        <v>1091</v>
      </c>
      <c r="Q264" s="451" t="s">
        <v>374</v>
      </c>
      <c r="R264" s="451" t="s">
        <v>2186</v>
      </c>
      <c r="S264" s="452" t="s">
        <v>2014</v>
      </c>
      <c r="T264" s="452"/>
      <c r="U264" s="453"/>
      <c r="V264" s="454"/>
      <c r="W264" s="455" t="s">
        <v>406</v>
      </c>
      <c r="X264" s="455">
        <v>45581</v>
      </c>
      <c r="Y264" s="456" t="s">
        <v>377</v>
      </c>
      <c r="Z264" s="457"/>
      <c r="AA264" s="453"/>
    </row>
    <row r="265" spans="1:27" s="128" customFormat="1">
      <c r="A265" s="405">
        <v>33</v>
      </c>
      <c r="B265" s="407" t="s">
        <v>2653</v>
      </c>
      <c r="C265" s="406" t="s">
        <v>103</v>
      </c>
      <c r="D265" s="407" t="s">
        <v>2654</v>
      </c>
      <c r="E265" s="408">
        <v>2</v>
      </c>
      <c r="F265" s="409"/>
      <c r="G265" s="410">
        <f>E265*F265</f>
        <v>0</v>
      </c>
      <c r="H265" s="412"/>
      <c r="I265" s="407"/>
      <c r="J265" s="412"/>
      <c r="K265" s="407"/>
      <c r="L265" s="412"/>
      <c r="M265" s="407"/>
      <c r="N265" s="412"/>
      <c r="O265" s="412"/>
      <c r="P265" s="412"/>
      <c r="Q265" s="413"/>
      <c r="R265" s="413"/>
      <c r="S265" s="414"/>
      <c r="T265" s="414" t="s">
        <v>712</v>
      </c>
      <c r="U265" s="415"/>
      <c r="V265" s="416"/>
      <c r="W265" s="417"/>
      <c r="X265" s="417"/>
      <c r="Y265" s="418" t="s">
        <v>377</v>
      </c>
      <c r="Z265" s="419"/>
      <c r="AA265" s="415"/>
    </row>
    <row r="266" spans="1:27">
      <c r="A266" s="389"/>
      <c r="B266" s="390" t="s">
        <v>2688</v>
      </c>
      <c r="C266" s="391"/>
      <c r="D266" s="392"/>
      <c r="E266" s="393"/>
      <c r="F266" s="394"/>
      <c r="G266" s="395">
        <f t="shared" si="3"/>
        <v>0</v>
      </c>
      <c r="H266" s="420"/>
      <c r="I266" s="392"/>
      <c r="J266" s="420"/>
      <c r="K266" s="392"/>
      <c r="L266" s="397"/>
      <c r="M266" s="392"/>
      <c r="N266" s="397"/>
      <c r="O266" s="397"/>
      <c r="P266" s="397"/>
      <c r="Q266" s="398"/>
      <c r="R266" s="398"/>
      <c r="S266" s="399"/>
      <c r="T266" s="399"/>
      <c r="U266" s="400"/>
      <c r="V266" s="401"/>
      <c r="W266" s="402"/>
      <c r="X266" s="402"/>
      <c r="Y266" s="403"/>
      <c r="Z266" s="404"/>
      <c r="AA266" s="493"/>
    </row>
    <row r="267" spans="1:27" s="128" customFormat="1" ht="37.5">
      <c r="A267" s="443">
        <v>1</v>
      </c>
      <c r="B267" s="444" t="s">
        <v>2639</v>
      </c>
      <c r="C267" s="445" t="s">
        <v>105</v>
      </c>
      <c r="D267" s="444" t="s">
        <v>2640</v>
      </c>
      <c r="E267" s="446">
        <v>1</v>
      </c>
      <c r="F267" s="447"/>
      <c r="G267" s="448">
        <f t="shared" ref="G267:G285" si="11">E267*F267</f>
        <v>0</v>
      </c>
      <c r="H267" s="450"/>
      <c r="I267" s="444"/>
      <c r="J267" s="450"/>
      <c r="K267" s="444" t="s">
        <v>2689</v>
      </c>
      <c r="L267" s="450" t="s">
        <v>921</v>
      </c>
      <c r="M267" s="444" t="s">
        <v>2690</v>
      </c>
      <c r="N267" s="450"/>
      <c r="O267" s="450"/>
      <c r="P267" s="450" t="s">
        <v>721</v>
      </c>
      <c r="Q267" s="451" t="s">
        <v>374</v>
      </c>
      <c r="R267" s="451" t="s">
        <v>2642</v>
      </c>
      <c r="S267" s="452" t="s">
        <v>806</v>
      </c>
      <c r="T267" s="452">
        <v>45568</v>
      </c>
      <c r="U267" s="453"/>
      <c r="V267" s="454"/>
      <c r="W267" s="455" t="s">
        <v>406</v>
      </c>
      <c r="X267" s="455">
        <v>45561</v>
      </c>
      <c r="Y267" s="456" t="s">
        <v>377</v>
      </c>
      <c r="Z267" s="457"/>
      <c r="AA267" s="453"/>
    </row>
    <row r="268" spans="1:27" s="128" customFormat="1" ht="37.5">
      <c r="A268" s="443">
        <v>2</v>
      </c>
      <c r="B268" s="444" t="s">
        <v>2608</v>
      </c>
      <c r="C268" s="445" t="s">
        <v>105</v>
      </c>
      <c r="D268" s="444" t="s">
        <v>2609</v>
      </c>
      <c r="E268" s="446">
        <v>2</v>
      </c>
      <c r="F268" s="447"/>
      <c r="G268" s="448">
        <f t="shared" si="11"/>
        <v>0</v>
      </c>
      <c r="H268" s="450"/>
      <c r="I268" s="444"/>
      <c r="J268" s="450"/>
      <c r="K268" s="444" t="s">
        <v>2689</v>
      </c>
      <c r="L268" s="450" t="s">
        <v>444</v>
      </c>
      <c r="M268" s="444" t="s">
        <v>444</v>
      </c>
      <c r="N268" s="450"/>
      <c r="O268" s="450"/>
      <c r="P268" s="450" t="s">
        <v>444</v>
      </c>
      <c r="Q268" s="451"/>
      <c r="R268" s="451"/>
      <c r="S268" s="452"/>
      <c r="T268" s="452" t="s">
        <v>712</v>
      </c>
      <c r="U268" s="453"/>
      <c r="V268" s="454"/>
      <c r="W268" s="455" t="s">
        <v>406</v>
      </c>
      <c r="X268" s="455">
        <v>45583</v>
      </c>
      <c r="Y268" s="456" t="s">
        <v>377</v>
      </c>
      <c r="Z268" s="457"/>
      <c r="AA268" s="453"/>
    </row>
    <row r="269" spans="1:27" s="128" customFormat="1" ht="37.5">
      <c r="A269" s="443">
        <v>3</v>
      </c>
      <c r="B269" s="444" t="s">
        <v>2604</v>
      </c>
      <c r="C269" s="445" t="s">
        <v>105</v>
      </c>
      <c r="D269" s="444" t="s">
        <v>2605</v>
      </c>
      <c r="E269" s="446">
        <v>4</v>
      </c>
      <c r="F269" s="447"/>
      <c r="G269" s="448">
        <f t="shared" si="11"/>
        <v>0</v>
      </c>
      <c r="H269" s="450"/>
      <c r="I269" s="444"/>
      <c r="J269" s="450"/>
      <c r="K269" s="444" t="s">
        <v>2689</v>
      </c>
      <c r="L269" s="450" t="s">
        <v>921</v>
      </c>
      <c r="M269" s="444" t="s">
        <v>2691</v>
      </c>
      <c r="N269" s="450"/>
      <c r="O269" s="450"/>
      <c r="P269" s="450" t="s">
        <v>721</v>
      </c>
      <c r="Q269" s="451" t="s">
        <v>374</v>
      </c>
      <c r="R269" s="451" t="s">
        <v>2607</v>
      </c>
      <c r="S269" s="452" t="s">
        <v>859</v>
      </c>
      <c r="T269" s="452" t="s">
        <v>712</v>
      </c>
      <c r="U269" s="453"/>
      <c r="V269" s="454"/>
      <c r="W269" s="455" t="s">
        <v>406</v>
      </c>
      <c r="X269" s="455">
        <v>45573</v>
      </c>
      <c r="Y269" s="456" t="s">
        <v>377</v>
      </c>
      <c r="Z269" s="457"/>
      <c r="AA269" s="453"/>
    </row>
    <row r="270" spans="1:27" s="128" customFormat="1" ht="37.5">
      <c r="A270" s="443">
        <v>4</v>
      </c>
      <c r="B270" s="444" t="s">
        <v>2647</v>
      </c>
      <c r="C270" s="445" t="s">
        <v>105</v>
      </c>
      <c r="D270" s="444" t="s">
        <v>2648</v>
      </c>
      <c r="E270" s="446">
        <v>1</v>
      </c>
      <c r="F270" s="447"/>
      <c r="G270" s="448">
        <f t="shared" si="11"/>
        <v>0</v>
      </c>
      <c r="H270" s="450"/>
      <c r="I270" s="444"/>
      <c r="J270" s="450"/>
      <c r="K270" s="444"/>
      <c r="L270" s="450"/>
      <c r="M270" s="444"/>
      <c r="N270" s="450"/>
      <c r="O270" s="450"/>
      <c r="P270" s="450"/>
      <c r="Q270" s="451" t="s">
        <v>374</v>
      </c>
      <c r="R270" s="451"/>
      <c r="S270" s="452"/>
      <c r="T270" s="452"/>
      <c r="U270" s="453"/>
      <c r="V270" s="454"/>
      <c r="W270" s="455" t="s">
        <v>406</v>
      </c>
      <c r="X270" s="455">
        <v>45525</v>
      </c>
      <c r="Y270" s="456" t="s">
        <v>377</v>
      </c>
      <c r="Z270" s="457"/>
      <c r="AA270" s="453"/>
    </row>
    <row r="271" spans="1:27" s="128" customFormat="1" ht="37.5">
      <c r="A271" s="443">
        <v>5</v>
      </c>
      <c r="B271" s="444" t="s">
        <v>2639</v>
      </c>
      <c r="C271" s="445" t="s">
        <v>105</v>
      </c>
      <c r="D271" s="444" t="s">
        <v>2640</v>
      </c>
      <c r="E271" s="446">
        <v>1</v>
      </c>
      <c r="F271" s="447"/>
      <c r="G271" s="448">
        <f t="shared" si="11"/>
        <v>0</v>
      </c>
      <c r="H271" s="450"/>
      <c r="I271" s="444"/>
      <c r="J271" s="450"/>
      <c r="K271" s="444" t="s">
        <v>2689</v>
      </c>
      <c r="L271" s="450" t="s">
        <v>921</v>
      </c>
      <c r="M271" s="444" t="s">
        <v>2690</v>
      </c>
      <c r="N271" s="450"/>
      <c r="O271" s="450"/>
      <c r="P271" s="450" t="s">
        <v>721</v>
      </c>
      <c r="Q271" s="451" t="s">
        <v>374</v>
      </c>
      <c r="R271" s="451" t="s">
        <v>2642</v>
      </c>
      <c r="S271" s="452" t="s">
        <v>806</v>
      </c>
      <c r="T271" s="452">
        <v>45568</v>
      </c>
      <c r="U271" s="453"/>
      <c r="V271" s="454"/>
      <c r="W271" s="455" t="s">
        <v>406</v>
      </c>
      <c r="X271" s="455">
        <v>45561</v>
      </c>
      <c r="Y271" s="456" t="s">
        <v>377</v>
      </c>
      <c r="Z271" s="457"/>
      <c r="AA271" s="453"/>
    </row>
    <row r="272" spans="1:27" s="128" customFormat="1">
      <c r="A272" s="443">
        <v>6</v>
      </c>
      <c r="B272" s="444" t="s">
        <v>2608</v>
      </c>
      <c r="C272" s="445" t="s">
        <v>105</v>
      </c>
      <c r="D272" s="444" t="s">
        <v>2609</v>
      </c>
      <c r="E272" s="446">
        <v>2</v>
      </c>
      <c r="F272" s="447"/>
      <c r="G272" s="448">
        <f t="shared" si="11"/>
        <v>0</v>
      </c>
      <c r="H272" s="450"/>
      <c r="I272" s="444"/>
      <c r="J272" s="450"/>
      <c r="K272" s="444"/>
      <c r="L272" s="450"/>
      <c r="M272" s="444"/>
      <c r="N272" s="450"/>
      <c r="O272" s="450"/>
      <c r="P272" s="450"/>
      <c r="Q272" s="451"/>
      <c r="R272" s="451"/>
      <c r="S272" s="452"/>
      <c r="T272" s="452" t="s">
        <v>712</v>
      </c>
      <c r="U272" s="453"/>
      <c r="V272" s="454"/>
      <c r="W272" s="455" t="s">
        <v>406</v>
      </c>
      <c r="X272" s="455">
        <v>45583</v>
      </c>
      <c r="Y272" s="456" t="s">
        <v>377</v>
      </c>
      <c r="Z272" s="457"/>
      <c r="AA272" s="453"/>
    </row>
    <row r="273" spans="1:27" s="128" customFormat="1" ht="37.5">
      <c r="A273" s="443">
        <v>7</v>
      </c>
      <c r="B273" s="444" t="s">
        <v>2604</v>
      </c>
      <c r="C273" s="445" t="s">
        <v>105</v>
      </c>
      <c r="D273" s="444" t="s">
        <v>2605</v>
      </c>
      <c r="E273" s="446">
        <v>4</v>
      </c>
      <c r="F273" s="447"/>
      <c r="G273" s="448">
        <f t="shared" si="11"/>
        <v>0</v>
      </c>
      <c r="H273" s="450"/>
      <c r="I273" s="444"/>
      <c r="J273" s="450"/>
      <c r="K273" s="444" t="s">
        <v>2689</v>
      </c>
      <c r="L273" s="450" t="s">
        <v>921</v>
      </c>
      <c r="M273" s="444" t="s">
        <v>2691</v>
      </c>
      <c r="N273" s="450"/>
      <c r="O273" s="450"/>
      <c r="P273" s="450" t="s">
        <v>721</v>
      </c>
      <c r="Q273" s="451" t="s">
        <v>374</v>
      </c>
      <c r="R273" s="451" t="s">
        <v>2607</v>
      </c>
      <c r="S273" s="452" t="s">
        <v>859</v>
      </c>
      <c r="T273" s="452" t="s">
        <v>712</v>
      </c>
      <c r="U273" s="453"/>
      <c r="V273" s="454"/>
      <c r="W273" s="455" t="s">
        <v>406</v>
      </c>
      <c r="X273" s="455">
        <v>45573</v>
      </c>
      <c r="Y273" s="456" t="s">
        <v>377</v>
      </c>
      <c r="Z273" s="457"/>
      <c r="AA273" s="453"/>
    </row>
    <row r="274" spans="1:27" s="128" customFormat="1" ht="37.5">
      <c r="A274" s="443">
        <v>8</v>
      </c>
      <c r="B274" s="444" t="s">
        <v>2647</v>
      </c>
      <c r="C274" s="445" t="s">
        <v>105</v>
      </c>
      <c r="D274" s="444" t="s">
        <v>2648</v>
      </c>
      <c r="E274" s="446">
        <v>1</v>
      </c>
      <c r="F274" s="447"/>
      <c r="G274" s="448">
        <f t="shared" si="11"/>
        <v>0</v>
      </c>
      <c r="H274" s="450"/>
      <c r="I274" s="444"/>
      <c r="J274" s="450"/>
      <c r="K274" s="444"/>
      <c r="L274" s="450"/>
      <c r="M274" s="444"/>
      <c r="N274" s="450"/>
      <c r="O274" s="450"/>
      <c r="P274" s="450"/>
      <c r="Q274" s="451" t="s">
        <v>374</v>
      </c>
      <c r="R274" s="451"/>
      <c r="S274" s="452"/>
      <c r="T274" s="452"/>
      <c r="U274" s="453"/>
      <c r="V274" s="454"/>
      <c r="W274" s="455" t="s">
        <v>406</v>
      </c>
      <c r="X274" s="455">
        <v>45525</v>
      </c>
      <c r="Y274" s="456" t="s">
        <v>377</v>
      </c>
      <c r="Z274" s="457"/>
      <c r="AA274" s="453"/>
    </row>
    <row r="275" spans="1:27" s="128" customFormat="1" ht="37.5">
      <c r="A275" s="443">
        <v>9</v>
      </c>
      <c r="B275" s="444" t="s">
        <v>2645</v>
      </c>
      <c r="C275" s="445" t="s">
        <v>105</v>
      </c>
      <c r="D275" s="444" t="s">
        <v>2646</v>
      </c>
      <c r="E275" s="446">
        <v>1</v>
      </c>
      <c r="F275" s="447"/>
      <c r="G275" s="448">
        <f t="shared" si="11"/>
        <v>0</v>
      </c>
      <c r="H275" s="450"/>
      <c r="I275" s="444"/>
      <c r="J275" s="450"/>
      <c r="K275" s="444" t="s">
        <v>2692</v>
      </c>
      <c r="L275" s="450" t="s">
        <v>921</v>
      </c>
      <c r="M275" s="444" t="s">
        <v>2693</v>
      </c>
      <c r="N275" s="450"/>
      <c r="O275" s="450"/>
      <c r="P275" s="450" t="s">
        <v>923</v>
      </c>
      <c r="Q275" s="451" t="s">
        <v>374</v>
      </c>
      <c r="R275" s="451" t="s">
        <v>269</v>
      </c>
      <c r="S275" s="452" t="s">
        <v>756</v>
      </c>
      <c r="T275" s="452"/>
      <c r="U275" s="453"/>
      <c r="V275" s="454"/>
      <c r="W275" s="455" t="s">
        <v>406</v>
      </c>
      <c r="X275" s="452">
        <v>45568</v>
      </c>
      <c r="Y275" s="456" t="s">
        <v>377</v>
      </c>
      <c r="Z275" s="457"/>
      <c r="AA275" s="453"/>
    </row>
    <row r="276" spans="1:27" s="128" customFormat="1">
      <c r="A276" s="443">
        <v>10</v>
      </c>
      <c r="B276" s="444" t="s">
        <v>2608</v>
      </c>
      <c r="C276" s="445" t="s">
        <v>105</v>
      </c>
      <c r="D276" s="444" t="s">
        <v>2609</v>
      </c>
      <c r="E276" s="446">
        <v>2</v>
      </c>
      <c r="F276" s="447"/>
      <c r="G276" s="448">
        <f t="shared" si="11"/>
        <v>0</v>
      </c>
      <c r="H276" s="450"/>
      <c r="I276" s="444"/>
      <c r="J276" s="450"/>
      <c r="K276" s="444"/>
      <c r="L276" s="450"/>
      <c r="M276" s="444"/>
      <c r="N276" s="450"/>
      <c r="O276" s="450"/>
      <c r="P276" s="450"/>
      <c r="Q276" s="451"/>
      <c r="R276" s="451"/>
      <c r="S276" s="452"/>
      <c r="T276" s="452" t="s">
        <v>712</v>
      </c>
      <c r="U276" s="453"/>
      <c r="V276" s="454"/>
      <c r="W276" s="455" t="s">
        <v>406</v>
      </c>
      <c r="X276" s="455">
        <v>45583</v>
      </c>
      <c r="Y276" s="456" t="s">
        <v>377</v>
      </c>
      <c r="Z276" s="457"/>
      <c r="AA276" s="453"/>
    </row>
    <row r="277" spans="1:27" s="128" customFormat="1" ht="37.5">
      <c r="A277" s="443">
        <v>11</v>
      </c>
      <c r="B277" s="444" t="s">
        <v>2604</v>
      </c>
      <c r="C277" s="445" t="s">
        <v>105</v>
      </c>
      <c r="D277" s="444" t="s">
        <v>2605</v>
      </c>
      <c r="E277" s="446">
        <v>4</v>
      </c>
      <c r="F277" s="447"/>
      <c r="G277" s="448">
        <f t="shared" si="11"/>
        <v>0</v>
      </c>
      <c r="H277" s="450"/>
      <c r="I277" s="444"/>
      <c r="J277" s="450"/>
      <c r="K277" s="444" t="s">
        <v>2689</v>
      </c>
      <c r="L277" s="450" t="s">
        <v>921</v>
      </c>
      <c r="M277" s="444" t="s">
        <v>2691</v>
      </c>
      <c r="N277" s="450"/>
      <c r="O277" s="450"/>
      <c r="P277" s="450" t="s">
        <v>721</v>
      </c>
      <c r="Q277" s="451" t="s">
        <v>374</v>
      </c>
      <c r="R277" s="451" t="s">
        <v>2607</v>
      </c>
      <c r="S277" s="452" t="s">
        <v>859</v>
      </c>
      <c r="T277" s="452" t="s">
        <v>712</v>
      </c>
      <c r="U277" s="453"/>
      <c r="V277" s="454"/>
      <c r="W277" s="455" t="s">
        <v>406</v>
      </c>
      <c r="X277" s="452" t="s">
        <v>1075</v>
      </c>
      <c r="Y277" s="456" t="s">
        <v>377</v>
      </c>
      <c r="Z277" s="457"/>
      <c r="AA277" s="453"/>
    </row>
    <row r="278" spans="1:27" s="128" customFormat="1">
      <c r="A278" s="443">
        <v>12</v>
      </c>
      <c r="B278" s="444" t="s">
        <v>2673</v>
      </c>
      <c r="C278" s="445" t="s">
        <v>105</v>
      </c>
      <c r="D278" s="444" t="s">
        <v>2662</v>
      </c>
      <c r="E278" s="446">
        <v>2</v>
      </c>
      <c r="F278" s="447"/>
      <c r="G278" s="448">
        <f t="shared" si="11"/>
        <v>0</v>
      </c>
      <c r="H278" s="450"/>
      <c r="I278" s="444"/>
      <c r="J278" s="450"/>
      <c r="K278" s="444"/>
      <c r="L278" s="450"/>
      <c r="M278" s="444"/>
      <c r="N278" s="450"/>
      <c r="O278" s="450"/>
      <c r="P278" s="450"/>
      <c r="Q278" s="451" t="s">
        <v>374</v>
      </c>
      <c r="R278" s="451"/>
      <c r="S278" s="452"/>
      <c r="T278" s="452"/>
      <c r="U278" s="453"/>
      <c r="V278" s="454"/>
      <c r="W278" s="455" t="s">
        <v>406</v>
      </c>
      <c r="X278" s="452" t="s">
        <v>1075</v>
      </c>
      <c r="Y278" s="456" t="s">
        <v>377</v>
      </c>
      <c r="Z278" s="457"/>
      <c r="AA278" s="453"/>
    </row>
    <row r="279" spans="1:27" s="128" customFormat="1">
      <c r="A279" s="443">
        <v>13</v>
      </c>
      <c r="B279" s="444" t="s">
        <v>2674</v>
      </c>
      <c r="C279" s="445" t="s">
        <v>105</v>
      </c>
      <c r="D279" s="444" t="s">
        <v>2663</v>
      </c>
      <c r="E279" s="446">
        <v>2</v>
      </c>
      <c r="F279" s="447"/>
      <c r="G279" s="448">
        <f t="shared" si="11"/>
        <v>0</v>
      </c>
      <c r="H279" s="450"/>
      <c r="I279" s="444"/>
      <c r="J279" s="450"/>
      <c r="K279" s="444"/>
      <c r="L279" s="450"/>
      <c r="M279" s="444"/>
      <c r="N279" s="450"/>
      <c r="O279" s="450"/>
      <c r="P279" s="450"/>
      <c r="Q279" s="451" t="s">
        <v>374</v>
      </c>
      <c r="R279" s="451"/>
      <c r="S279" s="452"/>
      <c r="T279" s="452"/>
      <c r="U279" s="453"/>
      <c r="V279" s="454"/>
      <c r="W279" s="455" t="s">
        <v>406</v>
      </c>
      <c r="X279" s="455">
        <v>45525</v>
      </c>
      <c r="Y279" s="456" t="s">
        <v>377</v>
      </c>
      <c r="Z279" s="457"/>
      <c r="AA279" s="453"/>
    </row>
    <row r="280" spans="1:27" s="128" customFormat="1">
      <c r="A280" s="443">
        <v>14</v>
      </c>
      <c r="B280" s="444" t="s">
        <v>1356</v>
      </c>
      <c r="C280" s="445" t="s">
        <v>105</v>
      </c>
      <c r="D280" s="444" t="s">
        <v>1357</v>
      </c>
      <c r="E280" s="446">
        <v>1</v>
      </c>
      <c r="F280" s="447"/>
      <c r="G280" s="448">
        <f t="shared" si="11"/>
        <v>0</v>
      </c>
      <c r="H280" s="450"/>
      <c r="I280" s="444"/>
      <c r="J280" s="450"/>
      <c r="K280" s="444"/>
      <c r="L280" s="450"/>
      <c r="M280" s="444"/>
      <c r="N280" s="450"/>
      <c r="O280" s="450"/>
      <c r="P280" s="450"/>
      <c r="Q280" s="451" t="s">
        <v>374</v>
      </c>
      <c r="R280" s="451"/>
      <c r="S280" s="452"/>
      <c r="T280" s="452"/>
      <c r="U280" s="453"/>
      <c r="V280" s="454"/>
      <c r="W280" s="455" t="s">
        <v>406</v>
      </c>
      <c r="X280" s="455">
        <v>45525</v>
      </c>
      <c r="Y280" s="456" t="s">
        <v>377</v>
      </c>
      <c r="Z280" s="457"/>
      <c r="AA280" s="453"/>
    </row>
    <row r="281" spans="1:27" s="128" customFormat="1" ht="37.5">
      <c r="A281" s="443">
        <v>15</v>
      </c>
      <c r="B281" s="444" t="s">
        <v>2604</v>
      </c>
      <c r="C281" s="445" t="s">
        <v>105</v>
      </c>
      <c r="D281" s="444" t="s">
        <v>2605</v>
      </c>
      <c r="E281" s="446">
        <v>4</v>
      </c>
      <c r="F281" s="447"/>
      <c r="G281" s="448">
        <f t="shared" si="11"/>
        <v>0</v>
      </c>
      <c r="H281" s="450"/>
      <c r="I281" s="444"/>
      <c r="J281" s="450"/>
      <c r="K281" s="444" t="s">
        <v>2689</v>
      </c>
      <c r="L281" s="450" t="s">
        <v>921</v>
      </c>
      <c r="M281" s="444" t="s">
        <v>2691</v>
      </c>
      <c r="N281" s="450"/>
      <c r="O281" s="450"/>
      <c r="P281" s="450" t="s">
        <v>721</v>
      </c>
      <c r="Q281" s="451" t="s">
        <v>374</v>
      </c>
      <c r="R281" s="451" t="s">
        <v>2607</v>
      </c>
      <c r="S281" s="452" t="s">
        <v>859</v>
      </c>
      <c r="T281" s="452" t="s">
        <v>712</v>
      </c>
      <c r="U281" s="453"/>
      <c r="V281" s="454"/>
      <c r="W281" s="455" t="s">
        <v>406</v>
      </c>
      <c r="X281" s="455">
        <v>45573</v>
      </c>
      <c r="Y281" s="456" t="s">
        <v>377</v>
      </c>
      <c r="Z281" s="457"/>
      <c r="AA281" s="453"/>
    </row>
    <row r="282" spans="1:27" s="128" customFormat="1">
      <c r="A282" s="443">
        <v>16</v>
      </c>
      <c r="B282" s="444" t="s">
        <v>2608</v>
      </c>
      <c r="C282" s="445" t="s">
        <v>105</v>
      </c>
      <c r="D282" s="444" t="s">
        <v>2609</v>
      </c>
      <c r="E282" s="446">
        <v>2</v>
      </c>
      <c r="F282" s="447"/>
      <c r="G282" s="448">
        <f t="shared" si="11"/>
        <v>0</v>
      </c>
      <c r="H282" s="450"/>
      <c r="I282" s="444"/>
      <c r="J282" s="450"/>
      <c r="K282" s="444"/>
      <c r="L282" s="450"/>
      <c r="M282" s="444"/>
      <c r="N282" s="450"/>
      <c r="O282" s="450"/>
      <c r="P282" s="450"/>
      <c r="Q282" s="451"/>
      <c r="R282" s="451"/>
      <c r="S282" s="452"/>
      <c r="T282" s="452" t="s">
        <v>712</v>
      </c>
      <c r="U282" s="453"/>
      <c r="V282" s="454"/>
      <c r="W282" s="455" t="s">
        <v>406</v>
      </c>
      <c r="X282" s="455">
        <v>45583</v>
      </c>
      <c r="Y282" s="456" t="s">
        <v>377</v>
      </c>
      <c r="Z282" s="457"/>
      <c r="AA282" s="453"/>
    </row>
    <row r="283" spans="1:27" s="128" customFormat="1" ht="37.5">
      <c r="A283" s="443">
        <v>17</v>
      </c>
      <c r="B283" s="444" t="s">
        <v>2623</v>
      </c>
      <c r="C283" s="445" t="s">
        <v>105</v>
      </c>
      <c r="D283" s="444" t="s">
        <v>2624</v>
      </c>
      <c r="E283" s="446">
        <v>25</v>
      </c>
      <c r="F283" s="447"/>
      <c r="G283" s="448">
        <f t="shared" si="11"/>
        <v>0</v>
      </c>
      <c r="H283" s="450"/>
      <c r="I283" s="444"/>
      <c r="J283" s="450"/>
      <c r="K283" s="444" t="s">
        <v>2692</v>
      </c>
      <c r="L283" s="450" t="s">
        <v>921</v>
      </c>
      <c r="M283" s="444" t="s">
        <v>2694</v>
      </c>
      <c r="N283" s="450"/>
      <c r="O283" s="450"/>
      <c r="P283" s="450" t="s">
        <v>1091</v>
      </c>
      <c r="Q283" s="451" t="s">
        <v>374</v>
      </c>
      <c r="R283" s="451" t="s">
        <v>2186</v>
      </c>
      <c r="S283" s="452" t="s">
        <v>2014</v>
      </c>
      <c r="T283" s="452"/>
      <c r="U283" s="453"/>
      <c r="V283" s="454"/>
      <c r="W283" s="455" t="s">
        <v>406</v>
      </c>
      <c r="X283" s="455">
        <v>45601</v>
      </c>
      <c r="Y283" s="456" t="s">
        <v>377</v>
      </c>
      <c r="Z283" s="457"/>
      <c r="AA283" s="453" t="s">
        <v>2446</v>
      </c>
    </row>
    <row r="284" spans="1:27" s="128" customFormat="1" ht="37.5">
      <c r="A284" s="443">
        <v>18</v>
      </c>
      <c r="B284" s="444" t="s">
        <v>2630</v>
      </c>
      <c r="C284" s="445" t="s">
        <v>105</v>
      </c>
      <c r="D284" s="444" t="s">
        <v>2631</v>
      </c>
      <c r="E284" s="446">
        <v>25</v>
      </c>
      <c r="F284" s="447"/>
      <c r="G284" s="448">
        <f t="shared" si="11"/>
        <v>0</v>
      </c>
      <c r="H284" s="450"/>
      <c r="I284" s="444"/>
      <c r="J284" s="450"/>
      <c r="K284" s="444" t="s">
        <v>2692</v>
      </c>
      <c r="L284" s="450" t="s">
        <v>921</v>
      </c>
      <c r="M284" s="444" t="s">
        <v>2694</v>
      </c>
      <c r="N284" s="450"/>
      <c r="O284" s="450"/>
      <c r="P284" s="450" t="s">
        <v>1091</v>
      </c>
      <c r="Q284" s="451" t="s">
        <v>374</v>
      </c>
      <c r="R284" s="451" t="s">
        <v>2186</v>
      </c>
      <c r="S284" s="452" t="s">
        <v>2014</v>
      </c>
      <c r="T284" s="452"/>
      <c r="U284" s="453"/>
      <c r="V284" s="454"/>
      <c r="W284" s="455" t="s">
        <v>406</v>
      </c>
      <c r="X284" s="455">
        <v>45574</v>
      </c>
      <c r="Y284" s="456" t="s">
        <v>377</v>
      </c>
      <c r="Z284" s="457"/>
      <c r="AA284" s="453"/>
    </row>
    <row r="285" spans="1:27" s="128" customFormat="1" ht="37.5">
      <c r="A285" s="443">
        <v>19</v>
      </c>
      <c r="B285" s="444" t="s">
        <v>2651</v>
      </c>
      <c r="C285" s="445" t="s">
        <v>105</v>
      </c>
      <c r="D285" s="444" t="s">
        <v>2652</v>
      </c>
      <c r="E285" s="446">
        <v>5</v>
      </c>
      <c r="F285" s="447"/>
      <c r="G285" s="448">
        <f t="shared" si="11"/>
        <v>0</v>
      </c>
      <c r="H285" s="450"/>
      <c r="I285" s="444"/>
      <c r="J285" s="450"/>
      <c r="K285" s="444" t="s">
        <v>2692</v>
      </c>
      <c r="L285" s="450" t="s">
        <v>921</v>
      </c>
      <c r="M285" s="444" t="s">
        <v>2694</v>
      </c>
      <c r="N285" s="450"/>
      <c r="O285" s="450"/>
      <c r="P285" s="450" t="s">
        <v>1091</v>
      </c>
      <c r="Q285" s="451" t="s">
        <v>374</v>
      </c>
      <c r="R285" s="451" t="s">
        <v>2186</v>
      </c>
      <c r="S285" s="452" t="s">
        <v>2014</v>
      </c>
      <c r="T285" s="452"/>
      <c r="U285" s="453"/>
      <c r="V285" s="454"/>
      <c r="W285" s="455" t="s">
        <v>406</v>
      </c>
      <c r="X285" s="455">
        <v>45574</v>
      </c>
      <c r="Y285" s="456" t="s">
        <v>377</v>
      </c>
      <c r="Z285" s="457"/>
      <c r="AA285" s="453"/>
    </row>
    <row r="286" spans="1:27" s="128" customFormat="1">
      <c r="A286" s="405">
        <v>20</v>
      </c>
      <c r="B286" s="407" t="s">
        <v>2653</v>
      </c>
      <c r="C286" s="406" t="s">
        <v>105</v>
      </c>
      <c r="D286" s="407" t="s">
        <v>2654</v>
      </c>
      <c r="E286" s="408">
        <v>1</v>
      </c>
      <c r="F286" s="409"/>
      <c r="G286" s="410">
        <f>E286*F286</f>
        <v>0</v>
      </c>
      <c r="H286" s="412"/>
      <c r="I286" s="407"/>
      <c r="J286" s="412"/>
      <c r="K286" s="407"/>
      <c r="L286" s="412"/>
      <c r="M286" s="407"/>
      <c r="N286" s="412"/>
      <c r="O286" s="412"/>
      <c r="P286" s="412"/>
      <c r="Q286" s="413"/>
      <c r="R286" s="413"/>
      <c r="S286" s="414"/>
      <c r="T286" s="414" t="s">
        <v>712</v>
      </c>
      <c r="U286" s="415"/>
      <c r="V286" s="416"/>
      <c r="W286" s="417"/>
      <c r="X286" s="417"/>
      <c r="Y286" s="418" t="s">
        <v>377</v>
      </c>
      <c r="Z286" s="419"/>
      <c r="AA286" s="415"/>
    </row>
    <row r="287" spans="1:27">
      <c r="A287" s="389"/>
      <c r="B287" s="390" t="s">
        <v>2695</v>
      </c>
      <c r="C287" s="391"/>
      <c r="D287" s="392"/>
      <c r="E287" s="393"/>
      <c r="F287" s="394"/>
      <c r="G287" s="395">
        <f t="shared" si="3"/>
        <v>0</v>
      </c>
      <c r="H287" s="420"/>
      <c r="I287" s="392"/>
      <c r="J287" s="420"/>
      <c r="K287" s="392"/>
      <c r="L287" s="397"/>
      <c r="M287" s="392"/>
      <c r="N287" s="397"/>
      <c r="O287" s="397"/>
      <c r="P287" s="397"/>
      <c r="Q287" s="398"/>
      <c r="R287" s="398"/>
      <c r="S287" s="399"/>
      <c r="T287" s="399"/>
      <c r="U287" s="400"/>
      <c r="V287" s="401"/>
      <c r="W287" s="402"/>
      <c r="X287" s="402"/>
      <c r="Y287" s="403"/>
      <c r="Z287" s="404"/>
      <c r="AA287" s="493"/>
    </row>
    <row r="288" spans="1:27" s="128" customFormat="1">
      <c r="A288" s="443">
        <v>1</v>
      </c>
      <c r="B288" s="444" t="s">
        <v>2569</v>
      </c>
      <c r="C288" s="445" t="s">
        <v>107</v>
      </c>
      <c r="D288" s="444" t="s">
        <v>2668</v>
      </c>
      <c r="E288" s="446">
        <v>1</v>
      </c>
      <c r="F288" s="447"/>
      <c r="G288" s="448">
        <f t="shared" ref="G288:G330" si="12">E288*F288</f>
        <v>0</v>
      </c>
      <c r="H288" s="450"/>
      <c r="I288" s="444"/>
      <c r="J288" s="450"/>
      <c r="K288" s="444"/>
      <c r="L288" s="450"/>
      <c r="M288" s="444"/>
      <c r="N288" s="450"/>
      <c r="O288" s="450"/>
      <c r="P288" s="450"/>
      <c r="Q288" s="451" t="s">
        <v>374</v>
      </c>
      <c r="R288" s="451"/>
      <c r="S288" s="452"/>
      <c r="T288" s="452"/>
      <c r="U288" s="453"/>
      <c r="V288" s="454"/>
      <c r="W288" s="455" t="s">
        <v>406</v>
      </c>
      <c r="X288" s="455">
        <v>45525</v>
      </c>
      <c r="Y288" s="456" t="s">
        <v>377</v>
      </c>
      <c r="Z288" s="457"/>
      <c r="AA288" s="453"/>
    </row>
    <row r="289" spans="1:27" s="128" customFormat="1">
      <c r="A289" s="443">
        <v>2</v>
      </c>
      <c r="B289" s="444" t="s">
        <v>2575</v>
      </c>
      <c r="C289" s="445" t="s">
        <v>107</v>
      </c>
      <c r="D289" s="444" t="s">
        <v>2576</v>
      </c>
      <c r="E289" s="446">
        <v>1</v>
      </c>
      <c r="F289" s="447"/>
      <c r="G289" s="448">
        <f t="shared" si="12"/>
        <v>0</v>
      </c>
      <c r="H289" s="450"/>
      <c r="I289" s="444"/>
      <c r="J289" s="450"/>
      <c r="K289" s="444"/>
      <c r="L289" s="450"/>
      <c r="M289" s="444"/>
      <c r="N289" s="450"/>
      <c r="O289" s="450"/>
      <c r="P289" s="450"/>
      <c r="Q289" s="451" t="s">
        <v>374</v>
      </c>
      <c r="R289" s="451"/>
      <c r="S289" s="452"/>
      <c r="T289" s="452"/>
      <c r="U289" s="453"/>
      <c r="V289" s="454"/>
      <c r="W289" s="455" t="s">
        <v>406</v>
      </c>
      <c r="X289" s="455">
        <v>45525</v>
      </c>
      <c r="Y289" s="456" t="s">
        <v>377</v>
      </c>
      <c r="Z289" s="457"/>
      <c r="AA289" s="453"/>
    </row>
    <row r="290" spans="1:27" s="128" customFormat="1">
      <c r="A290" s="443">
        <v>3</v>
      </c>
      <c r="B290" s="444" t="s">
        <v>2577</v>
      </c>
      <c r="C290" s="445" t="s">
        <v>107</v>
      </c>
      <c r="D290" s="444" t="s">
        <v>2578</v>
      </c>
      <c r="E290" s="446">
        <v>6</v>
      </c>
      <c r="F290" s="447"/>
      <c r="G290" s="448">
        <f t="shared" si="12"/>
        <v>0</v>
      </c>
      <c r="H290" s="450"/>
      <c r="I290" s="444"/>
      <c r="J290" s="450"/>
      <c r="K290" s="444"/>
      <c r="L290" s="450"/>
      <c r="M290" s="444"/>
      <c r="N290" s="450"/>
      <c r="O290" s="450"/>
      <c r="P290" s="450"/>
      <c r="Q290" s="451" t="s">
        <v>374</v>
      </c>
      <c r="R290" s="451"/>
      <c r="S290" s="452"/>
      <c r="T290" s="452"/>
      <c r="U290" s="453"/>
      <c r="V290" s="454"/>
      <c r="W290" s="455" t="s">
        <v>406</v>
      </c>
      <c r="X290" s="455">
        <v>45525</v>
      </c>
      <c r="Y290" s="456" t="s">
        <v>377</v>
      </c>
      <c r="Z290" s="457"/>
      <c r="AA290" s="453"/>
    </row>
    <row r="291" spans="1:27" s="128" customFormat="1">
      <c r="A291" s="443">
        <v>4</v>
      </c>
      <c r="B291" s="444" t="s">
        <v>2581</v>
      </c>
      <c r="C291" s="445" t="s">
        <v>107</v>
      </c>
      <c r="D291" s="444" t="s">
        <v>2582</v>
      </c>
      <c r="E291" s="446">
        <v>3</v>
      </c>
      <c r="F291" s="447"/>
      <c r="G291" s="448">
        <f t="shared" si="12"/>
        <v>0</v>
      </c>
      <c r="H291" s="450"/>
      <c r="I291" s="444"/>
      <c r="J291" s="450"/>
      <c r="K291" s="444"/>
      <c r="L291" s="450"/>
      <c r="M291" s="444"/>
      <c r="N291" s="450"/>
      <c r="O291" s="450"/>
      <c r="P291" s="450"/>
      <c r="Q291" s="451" t="s">
        <v>374</v>
      </c>
      <c r="R291" s="451"/>
      <c r="S291" s="452"/>
      <c r="T291" s="452"/>
      <c r="U291" s="453"/>
      <c r="V291" s="454"/>
      <c r="W291" s="455" t="s">
        <v>406</v>
      </c>
      <c r="X291" s="455">
        <v>45525</v>
      </c>
      <c r="Y291" s="456" t="s">
        <v>377</v>
      </c>
      <c r="Z291" s="457"/>
      <c r="AA291" s="453"/>
    </row>
    <row r="292" spans="1:27" s="128" customFormat="1">
      <c r="A292" s="443">
        <v>5</v>
      </c>
      <c r="B292" s="444" t="s">
        <v>2579</v>
      </c>
      <c r="C292" s="445" t="s">
        <v>107</v>
      </c>
      <c r="D292" s="444" t="s">
        <v>2580</v>
      </c>
      <c r="E292" s="446">
        <v>3</v>
      </c>
      <c r="F292" s="447"/>
      <c r="G292" s="448">
        <f t="shared" si="12"/>
        <v>0</v>
      </c>
      <c r="H292" s="450"/>
      <c r="I292" s="444"/>
      <c r="J292" s="450"/>
      <c r="K292" s="444"/>
      <c r="L292" s="450"/>
      <c r="M292" s="444"/>
      <c r="N292" s="450"/>
      <c r="O292" s="450"/>
      <c r="P292" s="450"/>
      <c r="Q292" s="451" t="s">
        <v>374</v>
      </c>
      <c r="R292" s="451"/>
      <c r="S292" s="452"/>
      <c r="T292" s="452"/>
      <c r="U292" s="453"/>
      <c r="V292" s="454"/>
      <c r="W292" s="455" t="s">
        <v>406</v>
      </c>
      <c r="X292" s="455">
        <v>45525</v>
      </c>
      <c r="Y292" s="456" t="s">
        <v>377</v>
      </c>
      <c r="Z292" s="457"/>
      <c r="AA292" s="453"/>
    </row>
    <row r="293" spans="1:27" s="128" customFormat="1">
      <c r="A293" s="443">
        <v>6</v>
      </c>
      <c r="B293" s="444" t="s">
        <v>2585</v>
      </c>
      <c r="C293" s="445" t="s">
        <v>107</v>
      </c>
      <c r="D293" s="444" t="s">
        <v>2586</v>
      </c>
      <c r="E293" s="446">
        <v>2</v>
      </c>
      <c r="F293" s="447"/>
      <c r="G293" s="448">
        <f t="shared" si="12"/>
        <v>0</v>
      </c>
      <c r="H293" s="450"/>
      <c r="I293" s="444"/>
      <c r="J293" s="450"/>
      <c r="K293" s="444"/>
      <c r="L293" s="450"/>
      <c r="M293" s="444"/>
      <c r="N293" s="450"/>
      <c r="O293" s="450"/>
      <c r="P293" s="450"/>
      <c r="Q293" s="451" t="s">
        <v>374</v>
      </c>
      <c r="R293" s="451"/>
      <c r="S293" s="452"/>
      <c r="T293" s="452"/>
      <c r="U293" s="453"/>
      <c r="V293" s="454"/>
      <c r="W293" s="455" t="s">
        <v>406</v>
      </c>
      <c r="X293" s="455">
        <v>45525</v>
      </c>
      <c r="Y293" s="456" t="s">
        <v>377</v>
      </c>
      <c r="Z293" s="457"/>
      <c r="AA293" s="453"/>
    </row>
    <row r="294" spans="1:27" s="128" customFormat="1">
      <c r="A294" s="443">
        <v>7</v>
      </c>
      <c r="B294" s="444" t="s">
        <v>2593</v>
      </c>
      <c r="C294" s="445" t="s">
        <v>107</v>
      </c>
      <c r="D294" s="444" t="s">
        <v>2594</v>
      </c>
      <c r="E294" s="446">
        <v>3</v>
      </c>
      <c r="F294" s="447"/>
      <c r="G294" s="448">
        <f t="shared" si="12"/>
        <v>0</v>
      </c>
      <c r="H294" s="450"/>
      <c r="I294" s="444"/>
      <c r="J294" s="450"/>
      <c r="K294" s="444"/>
      <c r="L294" s="450"/>
      <c r="M294" s="444"/>
      <c r="N294" s="450"/>
      <c r="O294" s="450"/>
      <c r="P294" s="450"/>
      <c r="Q294" s="451" t="s">
        <v>374</v>
      </c>
      <c r="R294" s="451"/>
      <c r="S294" s="452"/>
      <c r="T294" s="452"/>
      <c r="U294" s="453"/>
      <c r="V294" s="454"/>
      <c r="W294" s="455" t="s">
        <v>406</v>
      </c>
      <c r="X294" s="455">
        <v>45525</v>
      </c>
      <c r="Y294" s="456" t="s">
        <v>377</v>
      </c>
      <c r="Z294" s="457"/>
      <c r="AA294" s="453"/>
    </row>
    <row r="295" spans="1:27" s="128" customFormat="1">
      <c r="A295" s="443">
        <v>8</v>
      </c>
      <c r="B295" s="444" t="s">
        <v>2577</v>
      </c>
      <c r="C295" s="445" t="s">
        <v>107</v>
      </c>
      <c r="D295" s="444" t="s">
        <v>2578</v>
      </c>
      <c r="E295" s="446">
        <v>12</v>
      </c>
      <c r="F295" s="447"/>
      <c r="G295" s="448">
        <f t="shared" si="12"/>
        <v>0</v>
      </c>
      <c r="H295" s="450"/>
      <c r="I295" s="444"/>
      <c r="J295" s="450"/>
      <c r="K295" s="444"/>
      <c r="L295" s="450"/>
      <c r="M295" s="444"/>
      <c r="N295" s="450"/>
      <c r="O295" s="450"/>
      <c r="P295" s="450"/>
      <c r="Q295" s="451" t="s">
        <v>374</v>
      </c>
      <c r="R295" s="451"/>
      <c r="S295" s="452"/>
      <c r="T295" s="452"/>
      <c r="U295" s="453"/>
      <c r="V295" s="454"/>
      <c r="W295" s="455" t="s">
        <v>406</v>
      </c>
      <c r="X295" s="455">
        <v>45525</v>
      </c>
      <c r="Y295" s="456" t="s">
        <v>377</v>
      </c>
      <c r="Z295" s="457"/>
      <c r="AA295" s="453"/>
    </row>
    <row r="296" spans="1:27" s="128" customFormat="1">
      <c r="A296" s="443">
        <v>9</v>
      </c>
      <c r="B296" s="444" t="s">
        <v>2579</v>
      </c>
      <c r="C296" s="445" t="s">
        <v>107</v>
      </c>
      <c r="D296" s="444" t="s">
        <v>2580</v>
      </c>
      <c r="E296" s="446">
        <v>2</v>
      </c>
      <c r="F296" s="447"/>
      <c r="G296" s="448">
        <f t="shared" si="12"/>
        <v>0</v>
      </c>
      <c r="H296" s="450"/>
      <c r="I296" s="444"/>
      <c r="J296" s="450"/>
      <c r="K296" s="444"/>
      <c r="L296" s="450"/>
      <c r="M296" s="444"/>
      <c r="N296" s="450"/>
      <c r="O296" s="450"/>
      <c r="P296" s="450"/>
      <c r="Q296" s="451" t="s">
        <v>374</v>
      </c>
      <c r="R296" s="451"/>
      <c r="S296" s="452"/>
      <c r="T296" s="452"/>
      <c r="U296" s="453"/>
      <c r="V296" s="454"/>
      <c r="W296" s="455" t="s">
        <v>406</v>
      </c>
      <c r="X296" s="455">
        <v>45525</v>
      </c>
      <c r="Y296" s="456" t="s">
        <v>377</v>
      </c>
      <c r="Z296" s="457"/>
      <c r="AA296" s="453"/>
    </row>
    <row r="297" spans="1:27" s="128" customFormat="1">
      <c r="A297" s="443">
        <v>10</v>
      </c>
      <c r="B297" s="444" t="s">
        <v>2585</v>
      </c>
      <c r="C297" s="445" t="s">
        <v>107</v>
      </c>
      <c r="D297" s="444" t="s">
        <v>2586</v>
      </c>
      <c r="E297" s="446">
        <v>2</v>
      </c>
      <c r="F297" s="447"/>
      <c r="G297" s="448">
        <f t="shared" si="12"/>
        <v>0</v>
      </c>
      <c r="H297" s="450"/>
      <c r="I297" s="444"/>
      <c r="J297" s="450"/>
      <c r="K297" s="444"/>
      <c r="L297" s="450"/>
      <c r="M297" s="444"/>
      <c r="N297" s="450"/>
      <c r="O297" s="450"/>
      <c r="P297" s="450"/>
      <c r="Q297" s="451" t="s">
        <v>374</v>
      </c>
      <c r="R297" s="451"/>
      <c r="S297" s="452"/>
      <c r="T297" s="452"/>
      <c r="U297" s="453"/>
      <c r="V297" s="454"/>
      <c r="W297" s="455" t="s">
        <v>406</v>
      </c>
      <c r="X297" s="455">
        <v>45525</v>
      </c>
      <c r="Y297" s="456" t="s">
        <v>377</v>
      </c>
      <c r="Z297" s="457"/>
      <c r="AA297" s="453"/>
    </row>
    <row r="298" spans="1:27" s="128" customFormat="1">
      <c r="A298" s="443">
        <v>11</v>
      </c>
      <c r="B298" s="444" t="s">
        <v>2583</v>
      </c>
      <c r="C298" s="445" t="s">
        <v>107</v>
      </c>
      <c r="D298" s="444" t="s">
        <v>2584</v>
      </c>
      <c r="E298" s="446">
        <v>2</v>
      </c>
      <c r="F298" s="447"/>
      <c r="G298" s="448">
        <f t="shared" si="12"/>
        <v>0</v>
      </c>
      <c r="H298" s="450"/>
      <c r="I298" s="444"/>
      <c r="J298" s="450"/>
      <c r="K298" s="444"/>
      <c r="L298" s="450"/>
      <c r="M298" s="444"/>
      <c r="N298" s="450"/>
      <c r="O298" s="450"/>
      <c r="P298" s="450"/>
      <c r="Q298" s="451" t="s">
        <v>374</v>
      </c>
      <c r="R298" s="451"/>
      <c r="S298" s="452"/>
      <c r="T298" s="452"/>
      <c r="U298" s="453"/>
      <c r="V298" s="454"/>
      <c r="W298" s="455" t="s">
        <v>406</v>
      </c>
      <c r="X298" s="455">
        <v>45525</v>
      </c>
      <c r="Y298" s="456" t="s">
        <v>377</v>
      </c>
      <c r="Z298" s="457"/>
      <c r="AA298" s="453"/>
    </row>
    <row r="299" spans="1:27" s="128" customFormat="1">
      <c r="A299" s="443">
        <v>12</v>
      </c>
      <c r="B299" s="444" t="s">
        <v>2593</v>
      </c>
      <c r="C299" s="445" t="s">
        <v>107</v>
      </c>
      <c r="D299" s="444" t="s">
        <v>2594</v>
      </c>
      <c r="E299" s="446">
        <v>4</v>
      </c>
      <c r="F299" s="447"/>
      <c r="G299" s="448">
        <f t="shared" si="12"/>
        <v>0</v>
      </c>
      <c r="H299" s="450"/>
      <c r="I299" s="444"/>
      <c r="J299" s="450"/>
      <c r="K299" s="444"/>
      <c r="L299" s="450"/>
      <c r="M299" s="444"/>
      <c r="N299" s="450"/>
      <c r="O299" s="450"/>
      <c r="P299" s="450"/>
      <c r="Q299" s="451" t="s">
        <v>374</v>
      </c>
      <c r="R299" s="451"/>
      <c r="S299" s="452"/>
      <c r="T299" s="452"/>
      <c r="U299" s="453"/>
      <c r="V299" s="454"/>
      <c r="W299" s="455" t="s">
        <v>406</v>
      </c>
      <c r="X299" s="455">
        <v>45525</v>
      </c>
      <c r="Y299" s="456" t="s">
        <v>377</v>
      </c>
      <c r="Z299" s="457"/>
      <c r="AA299" s="453"/>
    </row>
    <row r="300" spans="1:27" s="128" customFormat="1">
      <c r="A300" s="443">
        <v>13</v>
      </c>
      <c r="B300" s="444" t="s">
        <v>2577</v>
      </c>
      <c r="C300" s="445" t="s">
        <v>107</v>
      </c>
      <c r="D300" s="444" t="s">
        <v>2578</v>
      </c>
      <c r="E300" s="446">
        <v>4</v>
      </c>
      <c r="F300" s="447"/>
      <c r="G300" s="448">
        <f t="shared" si="12"/>
        <v>0</v>
      </c>
      <c r="H300" s="450"/>
      <c r="I300" s="444"/>
      <c r="J300" s="450"/>
      <c r="K300" s="444"/>
      <c r="L300" s="450"/>
      <c r="M300" s="444"/>
      <c r="N300" s="450"/>
      <c r="O300" s="450"/>
      <c r="P300" s="450"/>
      <c r="Q300" s="451" t="s">
        <v>374</v>
      </c>
      <c r="R300" s="451"/>
      <c r="S300" s="452"/>
      <c r="T300" s="452"/>
      <c r="U300" s="453"/>
      <c r="V300" s="454"/>
      <c r="W300" s="455" t="s">
        <v>406</v>
      </c>
      <c r="X300" s="455">
        <v>45525</v>
      </c>
      <c r="Y300" s="456" t="s">
        <v>377</v>
      </c>
      <c r="Z300" s="457"/>
      <c r="AA300" s="453"/>
    </row>
    <row r="301" spans="1:27" s="128" customFormat="1">
      <c r="A301" s="443">
        <v>14</v>
      </c>
      <c r="B301" s="444" t="s">
        <v>2579</v>
      </c>
      <c r="C301" s="445" t="s">
        <v>107</v>
      </c>
      <c r="D301" s="444" t="s">
        <v>2580</v>
      </c>
      <c r="E301" s="446">
        <v>2</v>
      </c>
      <c r="F301" s="447"/>
      <c r="G301" s="448">
        <f t="shared" si="12"/>
        <v>0</v>
      </c>
      <c r="H301" s="450"/>
      <c r="I301" s="444"/>
      <c r="J301" s="450"/>
      <c r="K301" s="444"/>
      <c r="L301" s="450"/>
      <c r="M301" s="444"/>
      <c r="N301" s="450"/>
      <c r="O301" s="450"/>
      <c r="P301" s="450"/>
      <c r="Q301" s="451" t="s">
        <v>374</v>
      </c>
      <c r="R301" s="451"/>
      <c r="S301" s="452"/>
      <c r="T301" s="452"/>
      <c r="U301" s="453"/>
      <c r="V301" s="454"/>
      <c r="W301" s="455" t="s">
        <v>406</v>
      </c>
      <c r="X301" s="455">
        <v>45525</v>
      </c>
      <c r="Y301" s="456" t="s">
        <v>377</v>
      </c>
      <c r="Z301" s="457"/>
      <c r="AA301" s="453"/>
    </row>
    <row r="302" spans="1:27" s="128" customFormat="1">
      <c r="A302" s="443">
        <v>15</v>
      </c>
      <c r="B302" s="444" t="s">
        <v>2585</v>
      </c>
      <c r="C302" s="445" t="s">
        <v>107</v>
      </c>
      <c r="D302" s="444" t="s">
        <v>2586</v>
      </c>
      <c r="E302" s="446">
        <v>2</v>
      </c>
      <c r="F302" s="447"/>
      <c r="G302" s="448">
        <f t="shared" si="12"/>
        <v>0</v>
      </c>
      <c r="H302" s="450"/>
      <c r="I302" s="444"/>
      <c r="J302" s="450"/>
      <c r="K302" s="444"/>
      <c r="L302" s="450"/>
      <c r="M302" s="444"/>
      <c r="N302" s="450"/>
      <c r="O302" s="450"/>
      <c r="P302" s="450"/>
      <c r="Q302" s="451" t="s">
        <v>374</v>
      </c>
      <c r="R302" s="451"/>
      <c r="S302" s="452"/>
      <c r="T302" s="452"/>
      <c r="U302" s="453"/>
      <c r="V302" s="454"/>
      <c r="W302" s="455" t="s">
        <v>406</v>
      </c>
      <c r="X302" s="455">
        <v>45525</v>
      </c>
      <c r="Y302" s="456" t="s">
        <v>377</v>
      </c>
      <c r="Z302" s="457"/>
      <c r="AA302" s="453"/>
    </row>
    <row r="303" spans="1:27" s="128" customFormat="1">
      <c r="A303" s="443">
        <v>16</v>
      </c>
      <c r="B303" s="444" t="s">
        <v>2583</v>
      </c>
      <c r="C303" s="445" t="s">
        <v>107</v>
      </c>
      <c r="D303" s="444" t="s">
        <v>2584</v>
      </c>
      <c r="E303" s="446">
        <v>2</v>
      </c>
      <c r="F303" s="447"/>
      <c r="G303" s="448">
        <f t="shared" si="12"/>
        <v>0</v>
      </c>
      <c r="H303" s="450"/>
      <c r="I303" s="444"/>
      <c r="J303" s="450"/>
      <c r="K303" s="444"/>
      <c r="L303" s="450"/>
      <c r="M303" s="444"/>
      <c r="N303" s="450"/>
      <c r="O303" s="450"/>
      <c r="P303" s="450"/>
      <c r="Q303" s="451" t="s">
        <v>374</v>
      </c>
      <c r="R303" s="451"/>
      <c r="S303" s="452"/>
      <c r="T303" s="452"/>
      <c r="U303" s="453"/>
      <c r="V303" s="454"/>
      <c r="W303" s="455" t="s">
        <v>406</v>
      </c>
      <c r="X303" s="455">
        <v>45525</v>
      </c>
      <c r="Y303" s="456" t="s">
        <v>377</v>
      </c>
      <c r="Z303" s="457"/>
      <c r="AA303" s="453"/>
    </row>
    <row r="304" spans="1:27" s="128" customFormat="1" ht="37.5">
      <c r="A304" s="443">
        <v>17</v>
      </c>
      <c r="B304" s="444" t="s">
        <v>2649</v>
      </c>
      <c r="C304" s="445" t="s">
        <v>107</v>
      </c>
      <c r="D304" s="444" t="s">
        <v>2650</v>
      </c>
      <c r="E304" s="446">
        <v>1</v>
      </c>
      <c r="F304" s="447"/>
      <c r="G304" s="448">
        <f t="shared" si="12"/>
        <v>0</v>
      </c>
      <c r="H304" s="450"/>
      <c r="I304" s="444"/>
      <c r="J304" s="450"/>
      <c r="K304" s="444" t="s">
        <v>2696</v>
      </c>
      <c r="L304" s="450" t="s">
        <v>921</v>
      </c>
      <c r="M304" s="444" t="s">
        <v>2697</v>
      </c>
      <c r="N304" s="450"/>
      <c r="O304" s="450"/>
      <c r="P304" s="450" t="s">
        <v>923</v>
      </c>
      <c r="Q304" s="451" t="s">
        <v>374</v>
      </c>
      <c r="R304" s="451" t="s">
        <v>2642</v>
      </c>
      <c r="S304" s="452" t="s">
        <v>756</v>
      </c>
      <c r="T304" s="452">
        <v>45568</v>
      </c>
      <c r="U304" s="453"/>
      <c r="V304" s="454"/>
      <c r="W304" s="455" t="s">
        <v>406</v>
      </c>
      <c r="X304" s="455">
        <v>45561</v>
      </c>
      <c r="Y304" s="456" t="s">
        <v>377</v>
      </c>
      <c r="Z304" s="457"/>
      <c r="AA304" s="453"/>
    </row>
    <row r="305" spans="1:27" s="128" customFormat="1" ht="37.5">
      <c r="A305" s="443">
        <v>18</v>
      </c>
      <c r="B305" s="444" t="s">
        <v>2608</v>
      </c>
      <c r="C305" s="445" t="s">
        <v>107</v>
      </c>
      <c r="D305" s="444" t="s">
        <v>2609</v>
      </c>
      <c r="E305" s="446">
        <v>2</v>
      </c>
      <c r="F305" s="447"/>
      <c r="G305" s="448">
        <f t="shared" si="12"/>
        <v>0</v>
      </c>
      <c r="H305" s="450"/>
      <c r="I305" s="444"/>
      <c r="J305" s="450"/>
      <c r="K305" s="444" t="s">
        <v>2698</v>
      </c>
      <c r="L305" s="450" t="s">
        <v>444</v>
      </c>
      <c r="M305" s="444" t="s">
        <v>444</v>
      </c>
      <c r="N305" s="450"/>
      <c r="O305" s="450"/>
      <c r="P305" s="450" t="s">
        <v>444</v>
      </c>
      <c r="Q305" s="451" t="s">
        <v>374</v>
      </c>
      <c r="R305" s="451"/>
      <c r="S305" s="452"/>
      <c r="T305" s="452" t="s">
        <v>712</v>
      </c>
      <c r="U305" s="453"/>
      <c r="V305" s="454"/>
      <c r="W305" s="455" t="s">
        <v>406</v>
      </c>
      <c r="X305" s="455">
        <v>45583</v>
      </c>
      <c r="Y305" s="456" t="s">
        <v>377</v>
      </c>
      <c r="Z305" s="457"/>
      <c r="AA305" s="453"/>
    </row>
    <row r="306" spans="1:27" s="128" customFormat="1" ht="37.5">
      <c r="A306" s="443">
        <v>19</v>
      </c>
      <c r="B306" s="444" t="s">
        <v>2604</v>
      </c>
      <c r="C306" s="445" t="s">
        <v>107</v>
      </c>
      <c r="D306" s="444" t="s">
        <v>2605</v>
      </c>
      <c r="E306" s="446">
        <v>4</v>
      </c>
      <c r="F306" s="447"/>
      <c r="G306" s="448">
        <f t="shared" si="12"/>
        <v>0</v>
      </c>
      <c r="H306" s="450"/>
      <c r="I306" s="444"/>
      <c r="J306" s="450"/>
      <c r="K306" s="444" t="s">
        <v>2698</v>
      </c>
      <c r="L306" s="450" t="s">
        <v>921</v>
      </c>
      <c r="M306" s="444" t="s">
        <v>2699</v>
      </c>
      <c r="N306" s="450"/>
      <c r="O306" s="450"/>
      <c r="P306" s="450" t="s">
        <v>721</v>
      </c>
      <c r="Q306" s="451" t="s">
        <v>374</v>
      </c>
      <c r="R306" s="451" t="s">
        <v>2607</v>
      </c>
      <c r="S306" s="452" t="s">
        <v>859</v>
      </c>
      <c r="T306" s="452" t="s">
        <v>712</v>
      </c>
      <c r="U306" s="453"/>
      <c r="V306" s="454"/>
      <c r="W306" s="455" t="s">
        <v>406</v>
      </c>
      <c r="X306" s="455">
        <v>45573</v>
      </c>
      <c r="Y306" s="456" t="s">
        <v>377</v>
      </c>
      <c r="Z306" s="457"/>
      <c r="AA306" s="453"/>
    </row>
    <row r="307" spans="1:27" s="128" customFormat="1" ht="37.5">
      <c r="A307" s="443">
        <v>20</v>
      </c>
      <c r="B307" s="444" t="s">
        <v>2647</v>
      </c>
      <c r="C307" s="445" t="s">
        <v>107</v>
      </c>
      <c r="D307" s="444" t="s">
        <v>2648</v>
      </c>
      <c r="E307" s="446">
        <v>1</v>
      </c>
      <c r="F307" s="447"/>
      <c r="G307" s="448">
        <f t="shared" si="12"/>
        <v>0</v>
      </c>
      <c r="H307" s="450"/>
      <c r="I307" s="444"/>
      <c r="J307" s="450"/>
      <c r="K307" s="444"/>
      <c r="L307" s="450"/>
      <c r="M307" s="444"/>
      <c r="N307" s="450"/>
      <c r="O307" s="450"/>
      <c r="P307" s="450"/>
      <c r="Q307" s="451" t="s">
        <v>374</v>
      </c>
      <c r="R307" s="451"/>
      <c r="S307" s="452"/>
      <c r="T307" s="452"/>
      <c r="U307" s="453"/>
      <c r="V307" s="454"/>
      <c r="W307" s="455" t="s">
        <v>406</v>
      </c>
      <c r="X307" s="455">
        <v>45525</v>
      </c>
      <c r="Y307" s="456" t="s">
        <v>377</v>
      </c>
      <c r="Z307" s="457"/>
      <c r="AA307" s="453"/>
    </row>
    <row r="308" spans="1:27" s="128" customFormat="1">
      <c r="A308" s="443">
        <v>21</v>
      </c>
      <c r="B308" s="444" t="s">
        <v>2639</v>
      </c>
      <c r="C308" s="445" t="s">
        <v>107</v>
      </c>
      <c r="D308" s="444" t="s">
        <v>2640</v>
      </c>
      <c r="E308" s="446">
        <v>1</v>
      </c>
      <c r="F308" s="447"/>
      <c r="G308" s="448">
        <f t="shared" si="12"/>
        <v>0</v>
      </c>
      <c r="H308" s="450"/>
      <c r="I308" s="444"/>
      <c r="J308" s="450"/>
      <c r="K308" s="444"/>
      <c r="L308" s="450"/>
      <c r="M308" s="444"/>
      <c r="N308" s="450"/>
      <c r="O308" s="450"/>
      <c r="P308" s="450"/>
      <c r="Q308" s="451" t="s">
        <v>374</v>
      </c>
      <c r="R308" s="451"/>
      <c r="S308" s="452"/>
      <c r="T308" s="452">
        <v>45607</v>
      </c>
      <c r="U308" s="453"/>
      <c r="V308" s="454"/>
      <c r="W308" s="455" t="s">
        <v>406</v>
      </c>
      <c r="X308" s="455">
        <v>45607</v>
      </c>
      <c r="Y308" s="456" t="s">
        <v>377</v>
      </c>
      <c r="Z308" s="457" t="s">
        <v>2700</v>
      </c>
      <c r="AA308" s="453"/>
    </row>
    <row r="309" spans="1:27" s="128" customFormat="1">
      <c r="A309" s="443">
        <v>22</v>
      </c>
      <c r="B309" s="444" t="s">
        <v>2608</v>
      </c>
      <c r="C309" s="445" t="s">
        <v>107</v>
      </c>
      <c r="D309" s="444" t="s">
        <v>2609</v>
      </c>
      <c r="E309" s="446">
        <v>2</v>
      </c>
      <c r="F309" s="447"/>
      <c r="G309" s="448">
        <f t="shared" si="12"/>
        <v>0</v>
      </c>
      <c r="H309" s="450"/>
      <c r="I309" s="444"/>
      <c r="J309" s="450"/>
      <c r="K309" s="444"/>
      <c r="L309" s="450"/>
      <c r="M309" s="444"/>
      <c r="N309" s="450"/>
      <c r="O309" s="450"/>
      <c r="P309" s="450"/>
      <c r="Q309" s="451" t="s">
        <v>374</v>
      </c>
      <c r="R309" s="451"/>
      <c r="S309" s="452"/>
      <c r="T309" s="452" t="s">
        <v>712</v>
      </c>
      <c r="U309" s="453"/>
      <c r="V309" s="454"/>
      <c r="W309" s="455" t="s">
        <v>406</v>
      </c>
      <c r="X309" s="455">
        <v>45583</v>
      </c>
      <c r="Y309" s="456" t="s">
        <v>377</v>
      </c>
      <c r="Z309" s="457"/>
      <c r="AA309" s="453"/>
    </row>
    <row r="310" spans="1:27" s="128" customFormat="1" ht="37.5">
      <c r="A310" s="443">
        <v>23</v>
      </c>
      <c r="B310" s="444" t="s">
        <v>2604</v>
      </c>
      <c r="C310" s="445" t="s">
        <v>107</v>
      </c>
      <c r="D310" s="444" t="s">
        <v>2605</v>
      </c>
      <c r="E310" s="446">
        <v>4</v>
      </c>
      <c r="F310" s="447"/>
      <c r="G310" s="448">
        <f t="shared" si="12"/>
        <v>0</v>
      </c>
      <c r="H310" s="450"/>
      <c r="I310" s="444"/>
      <c r="J310" s="450"/>
      <c r="K310" s="444" t="s">
        <v>2698</v>
      </c>
      <c r="L310" s="450" t="s">
        <v>921</v>
      </c>
      <c r="M310" s="444" t="s">
        <v>2699</v>
      </c>
      <c r="N310" s="450"/>
      <c r="O310" s="450"/>
      <c r="P310" s="450" t="s">
        <v>721</v>
      </c>
      <c r="Q310" s="451" t="s">
        <v>374</v>
      </c>
      <c r="R310" s="451" t="s">
        <v>2607</v>
      </c>
      <c r="S310" s="452" t="s">
        <v>859</v>
      </c>
      <c r="T310" s="452" t="s">
        <v>712</v>
      </c>
      <c r="U310" s="453"/>
      <c r="V310" s="454"/>
      <c r="W310" s="455" t="s">
        <v>406</v>
      </c>
      <c r="X310" s="455">
        <v>45573</v>
      </c>
      <c r="Y310" s="456" t="s">
        <v>377</v>
      </c>
      <c r="Z310" s="457"/>
      <c r="AA310" s="453"/>
    </row>
    <row r="311" spans="1:27" s="128" customFormat="1" ht="37.5">
      <c r="A311" s="443">
        <v>24</v>
      </c>
      <c r="B311" s="444" t="s">
        <v>2647</v>
      </c>
      <c r="C311" s="445" t="s">
        <v>107</v>
      </c>
      <c r="D311" s="444" t="s">
        <v>2648</v>
      </c>
      <c r="E311" s="446">
        <v>1</v>
      </c>
      <c r="F311" s="447"/>
      <c r="G311" s="448">
        <f t="shared" si="12"/>
        <v>0</v>
      </c>
      <c r="H311" s="450"/>
      <c r="I311" s="444"/>
      <c r="J311" s="450"/>
      <c r="K311" s="444"/>
      <c r="L311" s="450"/>
      <c r="M311" s="444"/>
      <c r="N311" s="450"/>
      <c r="O311" s="450"/>
      <c r="P311" s="450"/>
      <c r="Q311" s="451" t="s">
        <v>374</v>
      </c>
      <c r="R311" s="451"/>
      <c r="S311" s="452"/>
      <c r="T311" s="452"/>
      <c r="U311" s="453"/>
      <c r="V311" s="454"/>
      <c r="W311" s="455" t="s">
        <v>406</v>
      </c>
      <c r="X311" s="455">
        <v>45525</v>
      </c>
      <c r="Y311" s="456" t="s">
        <v>377</v>
      </c>
      <c r="Z311" s="457"/>
      <c r="AA311" s="453"/>
    </row>
    <row r="312" spans="1:27" s="128" customFormat="1" ht="37.5">
      <c r="A312" s="443">
        <v>25</v>
      </c>
      <c r="B312" s="444" t="s">
        <v>2645</v>
      </c>
      <c r="C312" s="445" t="s">
        <v>107</v>
      </c>
      <c r="D312" s="444" t="s">
        <v>2646</v>
      </c>
      <c r="E312" s="446">
        <v>1</v>
      </c>
      <c r="F312" s="447"/>
      <c r="G312" s="448">
        <f t="shared" si="12"/>
        <v>0</v>
      </c>
      <c r="H312" s="450"/>
      <c r="I312" s="444"/>
      <c r="J312" s="450"/>
      <c r="K312" s="444" t="s">
        <v>2696</v>
      </c>
      <c r="L312" s="450" t="s">
        <v>921</v>
      </c>
      <c r="M312" s="444" t="s">
        <v>2701</v>
      </c>
      <c r="N312" s="450"/>
      <c r="O312" s="450"/>
      <c r="P312" s="450" t="s">
        <v>923</v>
      </c>
      <c r="Q312" s="451" t="s">
        <v>374</v>
      </c>
      <c r="R312" s="451" t="s">
        <v>269</v>
      </c>
      <c r="S312" s="452" t="s">
        <v>756</v>
      </c>
      <c r="T312" s="452">
        <v>45568</v>
      </c>
      <c r="U312" s="453"/>
      <c r="V312" s="454"/>
      <c r="W312" s="455" t="s">
        <v>406</v>
      </c>
      <c r="X312" s="455">
        <v>45567</v>
      </c>
      <c r="Y312" s="456" t="s">
        <v>377</v>
      </c>
      <c r="Z312" s="457"/>
      <c r="AA312" s="453"/>
    </row>
    <row r="313" spans="1:27" s="128" customFormat="1" ht="37.5">
      <c r="A313" s="443">
        <v>26</v>
      </c>
      <c r="B313" s="444" t="s">
        <v>2649</v>
      </c>
      <c r="C313" s="445" t="s">
        <v>107</v>
      </c>
      <c r="D313" s="444" t="s">
        <v>2650</v>
      </c>
      <c r="E313" s="446">
        <v>1</v>
      </c>
      <c r="F313" s="447"/>
      <c r="G313" s="448">
        <f t="shared" si="12"/>
        <v>0</v>
      </c>
      <c r="H313" s="450"/>
      <c r="I313" s="444"/>
      <c r="J313" s="450"/>
      <c r="K313" s="444" t="s">
        <v>2696</v>
      </c>
      <c r="L313" s="450" t="s">
        <v>921</v>
      </c>
      <c r="M313" s="444" t="s">
        <v>2697</v>
      </c>
      <c r="N313" s="450"/>
      <c r="O313" s="450"/>
      <c r="P313" s="450" t="s">
        <v>923</v>
      </c>
      <c r="Q313" s="451" t="s">
        <v>374</v>
      </c>
      <c r="R313" s="451" t="s">
        <v>2642</v>
      </c>
      <c r="S313" s="452" t="s">
        <v>756</v>
      </c>
      <c r="T313" s="452">
        <v>45568</v>
      </c>
      <c r="U313" s="453"/>
      <c r="V313" s="454"/>
      <c r="W313" s="455" t="s">
        <v>406</v>
      </c>
      <c r="X313" s="455">
        <v>45561</v>
      </c>
      <c r="Y313" s="456" t="s">
        <v>377</v>
      </c>
      <c r="Z313" s="457"/>
      <c r="AA313" s="453"/>
    </row>
    <row r="314" spans="1:27" s="128" customFormat="1">
      <c r="A314" s="443">
        <v>27</v>
      </c>
      <c r="B314" s="444" t="s">
        <v>2608</v>
      </c>
      <c r="C314" s="445" t="s">
        <v>107</v>
      </c>
      <c r="D314" s="444" t="s">
        <v>2609</v>
      </c>
      <c r="E314" s="446">
        <v>2</v>
      </c>
      <c r="F314" s="447"/>
      <c r="G314" s="448">
        <f t="shared" si="12"/>
        <v>0</v>
      </c>
      <c r="H314" s="450"/>
      <c r="I314" s="444"/>
      <c r="J314" s="450"/>
      <c r="K314" s="444"/>
      <c r="L314" s="450"/>
      <c r="M314" s="444"/>
      <c r="N314" s="450"/>
      <c r="O314" s="450"/>
      <c r="P314" s="450"/>
      <c r="Q314" s="451" t="s">
        <v>374</v>
      </c>
      <c r="R314" s="451"/>
      <c r="S314" s="452"/>
      <c r="T314" s="452" t="s">
        <v>712</v>
      </c>
      <c r="U314" s="453"/>
      <c r="V314" s="454"/>
      <c r="W314" s="455" t="s">
        <v>406</v>
      </c>
      <c r="X314" s="455">
        <v>45583</v>
      </c>
      <c r="Y314" s="456" t="s">
        <v>377</v>
      </c>
      <c r="Z314" s="457"/>
      <c r="AA314" s="453"/>
    </row>
    <row r="315" spans="1:27" s="128" customFormat="1" ht="37.5">
      <c r="A315" s="443">
        <v>28</v>
      </c>
      <c r="B315" s="444" t="s">
        <v>2604</v>
      </c>
      <c r="C315" s="445" t="s">
        <v>107</v>
      </c>
      <c r="D315" s="444" t="s">
        <v>2605</v>
      </c>
      <c r="E315" s="446">
        <v>4</v>
      </c>
      <c r="F315" s="447"/>
      <c r="G315" s="448">
        <f t="shared" si="12"/>
        <v>0</v>
      </c>
      <c r="H315" s="450"/>
      <c r="I315" s="444"/>
      <c r="J315" s="450"/>
      <c r="K315" s="444" t="s">
        <v>2698</v>
      </c>
      <c r="L315" s="450" t="s">
        <v>921</v>
      </c>
      <c r="M315" s="444" t="s">
        <v>2699</v>
      </c>
      <c r="N315" s="450"/>
      <c r="O315" s="450"/>
      <c r="P315" s="450" t="s">
        <v>721</v>
      </c>
      <c r="Q315" s="451" t="s">
        <v>374</v>
      </c>
      <c r="R315" s="451" t="s">
        <v>2607</v>
      </c>
      <c r="S315" s="452" t="s">
        <v>859</v>
      </c>
      <c r="T315" s="452" t="s">
        <v>712</v>
      </c>
      <c r="U315" s="453"/>
      <c r="V315" s="454"/>
      <c r="W315" s="455" t="s">
        <v>406</v>
      </c>
      <c r="X315" s="455">
        <v>45573</v>
      </c>
      <c r="Y315" s="456" t="s">
        <v>377</v>
      </c>
      <c r="Z315" s="457"/>
      <c r="AA315" s="453"/>
    </row>
    <row r="316" spans="1:27" s="128" customFormat="1" ht="37.5">
      <c r="A316" s="443">
        <v>29</v>
      </c>
      <c r="B316" s="444" t="s">
        <v>2647</v>
      </c>
      <c r="C316" s="445" t="s">
        <v>107</v>
      </c>
      <c r="D316" s="444" t="s">
        <v>2648</v>
      </c>
      <c r="E316" s="446">
        <v>1</v>
      </c>
      <c r="F316" s="447"/>
      <c r="G316" s="448">
        <f t="shared" si="12"/>
        <v>0</v>
      </c>
      <c r="H316" s="450"/>
      <c r="I316" s="444"/>
      <c r="J316" s="450"/>
      <c r="K316" s="444"/>
      <c r="L316" s="450"/>
      <c r="M316" s="444"/>
      <c r="N316" s="450"/>
      <c r="O316" s="450"/>
      <c r="P316" s="450"/>
      <c r="Q316" s="451" t="s">
        <v>374</v>
      </c>
      <c r="R316" s="451"/>
      <c r="S316" s="452"/>
      <c r="T316" s="452"/>
      <c r="U316" s="453"/>
      <c r="V316" s="454"/>
      <c r="W316" s="455" t="s">
        <v>406</v>
      </c>
      <c r="X316" s="455">
        <v>45525</v>
      </c>
      <c r="Y316" s="456" t="s">
        <v>377</v>
      </c>
      <c r="Z316" s="457"/>
      <c r="AA316" s="453"/>
    </row>
    <row r="317" spans="1:27" s="128" customFormat="1" ht="37.5">
      <c r="A317" s="443">
        <v>30</v>
      </c>
      <c r="B317" s="444" t="s">
        <v>2645</v>
      </c>
      <c r="C317" s="445" t="s">
        <v>107</v>
      </c>
      <c r="D317" s="444" t="s">
        <v>2646</v>
      </c>
      <c r="E317" s="446">
        <v>1</v>
      </c>
      <c r="F317" s="447"/>
      <c r="G317" s="448">
        <f t="shared" si="12"/>
        <v>0</v>
      </c>
      <c r="H317" s="450"/>
      <c r="I317" s="444"/>
      <c r="J317" s="450"/>
      <c r="K317" s="444" t="s">
        <v>2696</v>
      </c>
      <c r="L317" s="450" t="s">
        <v>921</v>
      </c>
      <c r="M317" s="444" t="s">
        <v>2701</v>
      </c>
      <c r="N317" s="450"/>
      <c r="O317" s="450"/>
      <c r="P317" s="450" t="s">
        <v>923</v>
      </c>
      <c r="Q317" s="451" t="s">
        <v>374</v>
      </c>
      <c r="R317" s="451" t="s">
        <v>269</v>
      </c>
      <c r="S317" s="452" t="s">
        <v>756</v>
      </c>
      <c r="T317" s="452">
        <v>45568</v>
      </c>
      <c r="U317" s="453"/>
      <c r="V317" s="454"/>
      <c r="W317" s="455" t="s">
        <v>406</v>
      </c>
      <c r="X317" s="455">
        <v>45567</v>
      </c>
      <c r="Y317" s="456" t="s">
        <v>377</v>
      </c>
      <c r="Z317" s="457"/>
      <c r="AA317" s="453"/>
    </row>
    <row r="318" spans="1:27" s="128" customFormat="1">
      <c r="A318" s="443">
        <v>31</v>
      </c>
      <c r="B318" s="444" t="s">
        <v>2602</v>
      </c>
      <c r="C318" s="445" t="s">
        <v>107</v>
      </c>
      <c r="D318" s="444" t="s">
        <v>2603</v>
      </c>
      <c r="E318" s="446">
        <v>1</v>
      </c>
      <c r="F318" s="447"/>
      <c r="G318" s="448">
        <f t="shared" si="12"/>
        <v>0</v>
      </c>
      <c r="H318" s="450"/>
      <c r="I318" s="444"/>
      <c r="J318" s="450"/>
      <c r="K318" s="444"/>
      <c r="L318" s="450"/>
      <c r="M318" s="444"/>
      <c r="N318" s="450"/>
      <c r="O318" s="450"/>
      <c r="P318" s="450"/>
      <c r="Q318" s="451" t="s">
        <v>374</v>
      </c>
      <c r="R318" s="451"/>
      <c r="S318" s="452"/>
      <c r="T318" s="452"/>
      <c r="U318" s="453"/>
      <c r="V318" s="454"/>
      <c r="W318" s="455" t="s">
        <v>406</v>
      </c>
      <c r="X318" s="455">
        <v>45525</v>
      </c>
      <c r="Y318" s="456" t="s">
        <v>377</v>
      </c>
      <c r="Z318" s="457"/>
      <c r="AA318" s="453"/>
    </row>
    <row r="319" spans="1:27" s="128" customFormat="1" ht="37.5">
      <c r="A319" s="443">
        <v>32</v>
      </c>
      <c r="B319" s="444" t="s">
        <v>2645</v>
      </c>
      <c r="C319" s="445" t="s">
        <v>107</v>
      </c>
      <c r="D319" s="444" t="s">
        <v>2646</v>
      </c>
      <c r="E319" s="446">
        <v>1</v>
      </c>
      <c r="F319" s="447"/>
      <c r="G319" s="448">
        <f t="shared" si="12"/>
        <v>0</v>
      </c>
      <c r="H319" s="450"/>
      <c r="I319" s="444"/>
      <c r="J319" s="450"/>
      <c r="K319" s="444" t="s">
        <v>2696</v>
      </c>
      <c r="L319" s="450" t="s">
        <v>921</v>
      </c>
      <c r="M319" s="444" t="s">
        <v>2701</v>
      </c>
      <c r="N319" s="450"/>
      <c r="O319" s="450"/>
      <c r="P319" s="450" t="s">
        <v>923</v>
      </c>
      <c r="Q319" s="451" t="s">
        <v>374</v>
      </c>
      <c r="R319" s="451" t="s">
        <v>269</v>
      </c>
      <c r="S319" s="452" t="s">
        <v>756</v>
      </c>
      <c r="T319" s="452">
        <v>45568</v>
      </c>
      <c r="U319" s="453"/>
      <c r="V319" s="454"/>
      <c r="W319" s="455" t="s">
        <v>406</v>
      </c>
      <c r="X319" s="455">
        <v>45567</v>
      </c>
      <c r="Y319" s="456" t="s">
        <v>377</v>
      </c>
      <c r="Z319" s="457"/>
      <c r="AA319" s="453"/>
    </row>
    <row r="320" spans="1:27" s="128" customFormat="1">
      <c r="A320" s="443">
        <v>33</v>
      </c>
      <c r="B320" s="444" t="s">
        <v>2620</v>
      </c>
      <c r="C320" s="445" t="s">
        <v>107</v>
      </c>
      <c r="D320" s="444" t="s">
        <v>2621</v>
      </c>
      <c r="E320" s="446">
        <v>1</v>
      </c>
      <c r="F320" s="447"/>
      <c r="G320" s="448">
        <f t="shared" si="12"/>
        <v>0</v>
      </c>
      <c r="H320" s="450"/>
      <c r="I320" s="444"/>
      <c r="J320" s="450"/>
      <c r="K320" s="444"/>
      <c r="L320" s="450"/>
      <c r="M320" s="444"/>
      <c r="N320" s="450"/>
      <c r="O320" s="450"/>
      <c r="P320" s="450"/>
      <c r="Q320" s="451" t="s">
        <v>374</v>
      </c>
      <c r="R320" s="451"/>
      <c r="S320" s="452"/>
      <c r="T320" s="452"/>
      <c r="U320" s="453"/>
      <c r="V320" s="454"/>
      <c r="W320" s="455" t="s">
        <v>406</v>
      </c>
      <c r="X320" s="455">
        <v>45565</v>
      </c>
      <c r="Y320" s="456" t="s">
        <v>377</v>
      </c>
      <c r="Z320" s="457"/>
      <c r="AA320" s="453"/>
    </row>
    <row r="321" spans="1:27" s="128" customFormat="1" ht="37.5">
      <c r="A321" s="443">
        <v>34</v>
      </c>
      <c r="B321" s="444" t="s">
        <v>2604</v>
      </c>
      <c r="C321" s="445" t="s">
        <v>107</v>
      </c>
      <c r="D321" s="444" t="s">
        <v>2605</v>
      </c>
      <c r="E321" s="446">
        <v>4</v>
      </c>
      <c r="F321" s="447"/>
      <c r="G321" s="448">
        <f t="shared" si="12"/>
        <v>0</v>
      </c>
      <c r="H321" s="450"/>
      <c r="I321" s="444"/>
      <c r="J321" s="450"/>
      <c r="K321" s="444" t="s">
        <v>2698</v>
      </c>
      <c r="L321" s="450" t="s">
        <v>921</v>
      </c>
      <c r="M321" s="444" t="s">
        <v>2699</v>
      </c>
      <c r="N321" s="450"/>
      <c r="O321" s="450"/>
      <c r="P321" s="450" t="s">
        <v>721</v>
      </c>
      <c r="Q321" s="451" t="s">
        <v>374</v>
      </c>
      <c r="R321" s="451" t="s">
        <v>2607</v>
      </c>
      <c r="S321" s="452" t="s">
        <v>859</v>
      </c>
      <c r="T321" s="452" t="s">
        <v>712</v>
      </c>
      <c r="U321" s="453"/>
      <c r="V321" s="454"/>
      <c r="W321" s="455" t="s">
        <v>406</v>
      </c>
      <c r="X321" s="455">
        <v>45573</v>
      </c>
      <c r="Y321" s="456" t="s">
        <v>377</v>
      </c>
      <c r="Z321" s="457"/>
      <c r="AA321" s="453"/>
    </row>
    <row r="322" spans="1:27" s="128" customFormat="1">
      <c r="A322" s="443">
        <v>35</v>
      </c>
      <c r="B322" s="444" t="s">
        <v>2608</v>
      </c>
      <c r="C322" s="445" t="s">
        <v>107</v>
      </c>
      <c r="D322" s="444" t="s">
        <v>2609</v>
      </c>
      <c r="E322" s="446">
        <v>2</v>
      </c>
      <c r="F322" s="447"/>
      <c r="G322" s="448">
        <f t="shared" si="12"/>
        <v>0</v>
      </c>
      <c r="H322" s="450"/>
      <c r="I322" s="444"/>
      <c r="J322" s="450"/>
      <c r="K322" s="444"/>
      <c r="L322" s="450"/>
      <c r="M322" s="444"/>
      <c r="N322" s="450"/>
      <c r="O322" s="450"/>
      <c r="P322" s="450"/>
      <c r="Q322" s="451" t="s">
        <v>374</v>
      </c>
      <c r="R322" s="451"/>
      <c r="S322" s="452"/>
      <c r="T322" s="452" t="s">
        <v>712</v>
      </c>
      <c r="U322" s="453"/>
      <c r="V322" s="454"/>
      <c r="W322" s="455" t="s">
        <v>406</v>
      </c>
      <c r="X322" s="455">
        <v>45583</v>
      </c>
      <c r="Y322" s="456" t="s">
        <v>377</v>
      </c>
      <c r="Z322" s="457"/>
      <c r="AA322" s="453"/>
    </row>
    <row r="323" spans="1:27" s="128" customFormat="1" ht="37.5">
      <c r="A323" s="443">
        <v>36</v>
      </c>
      <c r="B323" s="444" t="s">
        <v>2623</v>
      </c>
      <c r="C323" s="445" t="s">
        <v>107</v>
      </c>
      <c r="D323" s="444" t="s">
        <v>2624</v>
      </c>
      <c r="E323" s="446">
        <v>16</v>
      </c>
      <c r="F323" s="447"/>
      <c r="G323" s="448">
        <f t="shared" si="12"/>
        <v>0</v>
      </c>
      <c r="H323" s="450"/>
      <c r="I323" s="444"/>
      <c r="J323" s="450"/>
      <c r="K323" s="444" t="s">
        <v>2696</v>
      </c>
      <c r="L323" s="450" t="s">
        <v>921</v>
      </c>
      <c r="M323" s="444" t="s">
        <v>2702</v>
      </c>
      <c r="N323" s="450"/>
      <c r="O323" s="450"/>
      <c r="P323" s="450" t="s">
        <v>1091</v>
      </c>
      <c r="Q323" s="451" t="s">
        <v>374</v>
      </c>
      <c r="R323" s="451" t="s">
        <v>2186</v>
      </c>
      <c r="S323" s="452" t="s">
        <v>2014</v>
      </c>
      <c r="T323" s="452"/>
      <c r="U323" s="453"/>
      <c r="V323" s="454"/>
      <c r="W323" s="455" t="s">
        <v>406</v>
      </c>
      <c r="X323" s="455">
        <v>45601</v>
      </c>
      <c r="Y323" s="456" t="s">
        <v>377</v>
      </c>
      <c r="Z323" s="457"/>
      <c r="AA323" s="453" t="s">
        <v>2446</v>
      </c>
    </row>
    <row r="324" spans="1:27" s="128" customFormat="1" ht="37.5">
      <c r="A324" s="443">
        <v>37</v>
      </c>
      <c r="B324" s="444" t="s">
        <v>2630</v>
      </c>
      <c r="C324" s="445" t="s">
        <v>107</v>
      </c>
      <c r="D324" s="444" t="s">
        <v>2631</v>
      </c>
      <c r="E324" s="446">
        <v>16</v>
      </c>
      <c r="F324" s="447"/>
      <c r="G324" s="448">
        <f t="shared" si="12"/>
        <v>0</v>
      </c>
      <c r="H324" s="450"/>
      <c r="I324" s="444"/>
      <c r="J324" s="450"/>
      <c r="K324" s="444" t="s">
        <v>2696</v>
      </c>
      <c r="L324" s="450" t="s">
        <v>921</v>
      </c>
      <c r="M324" s="444" t="s">
        <v>2702</v>
      </c>
      <c r="N324" s="450"/>
      <c r="O324" s="450"/>
      <c r="P324" s="450" t="s">
        <v>1091</v>
      </c>
      <c r="Q324" s="451" t="s">
        <v>374</v>
      </c>
      <c r="R324" s="451" t="s">
        <v>2186</v>
      </c>
      <c r="S324" s="452" t="s">
        <v>2014</v>
      </c>
      <c r="T324" s="452"/>
      <c r="U324" s="453"/>
      <c r="V324" s="454"/>
      <c r="W324" s="455" t="s">
        <v>406</v>
      </c>
      <c r="X324" s="455">
        <v>45581</v>
      </c>
      <c r="Y324" s="456" t="s">
        <v>377</v>
      </c>
      <c r="Z324" s="457"/>
      <c r="AA324" s="453"/>
    </row>
    <row r="325" spans="1:27" s="128" customFormat="1">
      <c r="A325" s="443">
        <v>38</v>
      </c>
      <c r="B325" s="444" t="s">
        <v>1356</v>
      </c>
      <c r="C325" s="445" t="s">
        <v>107</v>
      </c>
      <c r="D325" s="444" t="s">
        <v>1357</v>
      </c>
      <c r="E325" s="446">
        <v>1</v>
      </c>
      <c r="F325" s="447"/>
      <c r="G325" s="448">
        <f t="shared" si="12"/>
        <v>0</v>
      </c>
      <c r="H325" s="450"/>
      <c r="I325" s="444"/>
      <c r="J325" s="450"/>
      <c r="K325" s="444"/>
      <c r="L325" s="450"/>
      <c r="M325" s="444"/>
      <c r="N325" s="450"/>
      <c r="O325" s="450"/>
      <c r="P325" s="450"/>
      <c r="Q325" s="451" t="s">
        <v>374</v>
      </c>
      <c r="R325" s="451"/>
      <c r="S325" s="452"/>
      <c r="T325" s="452"/>
      <c r="U325" s="453"/>
      <c r="V325" s="454"/>
      <c r="W325" s="455" t="s">
        <v>406</v>
      </c>
      <c r="X325" s="455">
        <v>45525</v>
      </c>
      <c r="Y325" s="456" t="s">
        <v>377</v>
      </c>
      <c r="Z325" s="457"/>
      <c r="AA325" s="453"/>
    </row>
    <row r="326" spans="1:27" s="128" customFormat="1" ht="37.5">
      <c r="A326" s="443">
        <v>39</v>
      </c>
      <c r="B326" s="444" t="s">
        <v>2604</v>
      </c>
      <c r="C326" s="445" t="s">
        <v>107</v>
      </c>
      <c r="D326" s="444" t="s">
        <v>2605</v>
      </c>
      <c r="E326" s="446">
        <v>4</v>
      </c>
      <c r="F326" s="447"/>
      <c r="G326" s="448">
        <f t="shared" si="12"/>
        <v>0</v>
      </c>
      <c r="H326" s="450"/>
      <c r="I326" s="444"/>
      <c r="J326" s="450"/>
      <c r="K326" s="444" t="s">
        <v>2698</v>
      </c>
      <c r="L326" s="450" t="s">
        <v>921</v>
      </c>
      <c r="M326" s="444" t="s">
        <v>2699</v>
      </c>
      <c r="N326" s="450"/>
      <c r="O326" s="450"/>
      <c r="P326" s="450" t="s">
        <v>721</v>
      </c>
      <c r="Q326" s="451" t="s">
        <v>374</v>
      </c>
      <c r="R326" s="451" t="s">
        <v>2607</v>
      </c>
      <c r="S326" s="452" t="s">
        <v>859</v>
      </c>
      <c r="T326" s="452" t="s">
        <v>712</v>
      </c>
      <c r="U326" s="453"/>
      <c r="V326" s="454"/>
      <c r="W326" s="455" t="s">
        <v>406</v>
      </c>
      <c r="X326" s="455">
        <v>45573</v>
      </c>
      <c r="Y326" s="456" t="s">
        <v>377</v>
      </c>
      <c r="Z326" s="457"/>
      <c r="AA326" s="453"/>
    </row>
    <row r="327" spans="1:27" s="128" customFormat="1">
      <c r="A327" s="443">
        <v>40</v>
      </c>
      <c r="B327" s="444" t="s">
        <v>2608</v>
      </c>
      <c r="C327" s="445" t="s">
        <v>107</v>
      </c>
      <c r="D327" s="444" t="s">
        <v>2609</v>
      </c>
      <c r="E327" s="446">
        <v>2</v>
      </c>
      <c r="F327" s="447"/>
      <c r="G327" s="448">
        <f t="shared" si="12"/>
        <v>0</v>
      </c>
      <c r="H327" s="450"/>
      <c r="I327" s="444"/>
      <c r="J327" s="450"/>
      <c r="K327" s="444"/>
      <c r="L327" s="450"/>
      <c r="M327" s="444"/>
      <c r="N327" s="450"/>
      <c r="O327" s="450"/>
      <c r="P327" s="450"/>
      <c r="Q327" s="451" t="s">
        <v>374</v>
      </c>
      <c r="R327" s="451"/>
      <c r="S327" s="452"/>
      <c r="T327" s="452" t="s">
        <v>712</v>
      </c>
      <c r="U327" s="453"/>
      <c r="V327" s="454"/>
      <c r="W327" s="455" t="s">
        <v>406</v>
      </c>
      <c r="X327" s="455">
        <v>45583</v>
      </c>
      <c r="Y327" s="456" t="s">
        <v>377</v>
      </c>
      <c r="Z327" s="457"/>
      <c r="AA327" s="453"/>
    </row>
    <row r="328" spans="1:27" s="128" customFormat="1" ht="37.5">
      <c r="A328" s="443">
        <v>41</v>
      </c>
      <c r="B328" s="444" t="s">
        <v>2623</v>
      </c>
      <c r="C328" s="445" t="s">
        <v>107</v>
      </c>
      <c r="D328" s="444" t="s">
        <v>2624</v>
      </c>
      <c r="E328" s="446">
        <v>25</v>
      </c>
      <c r="F328" s="447"/>
      <c r="G328" s="448">
        <f t="shared" si="12"/>
        <v>0</v>
      </c>
      <c r="H328" s="450"/>
      <c r="I328" s="444"/>
      <c r="J328" s="450"/>
      <c r="K328" s="444" t="s">
        <v>2696</v>
      </c>
      <c r="L328" s="450" t="s">
        <v>921</v>
      </c>
      <c r="M328" s="444" t="s">
        <v>2702</v>
      </c>
      <c r="N328" s="450"/>
      <c r="O328" s="450"/>
      <c r="P328" s="450" t="s">
        <v>1091</v>
      </c>
      <c r="Q328" s="451" t="s">
        <v>374</v>
      </c>
      <c r="R328" s="451" t="s">
        <v>2186</v>
      </c>
      <c r="S328" s="452" t="s">
        <v>2014</v>
      </c>
      <c r="T328" s="452"/>
      <c r="U328" s="453"/>
      <c r="V328" s="454"/>
      <c r="W328" s="455" t="s">
        <v>406</v>
      </c>
      <c r="X328" s="455">
        <v>45601</v>
      </c>
      <c r="Y328" s="456" t="s">
        <v>377</v>
      </c>
      <c r="Z328" s="457"/>
      <c r="AA328" s="453" t="s">
        <v>2446</v>
      </c>
    </row>
    <row r="329" spans="1:27" s="128" customFormat="1" ht="37.5">
      <c r="A329" s="443">
        <v>42</v>
      </c>
      <c r="B329" s="444" t="s">
        <v>2630</v>
      </c>
      <c r="C329" s="445" t="s">
        <v>107</v>
      </c>
      <c r="D329" s="444" t="s">
        <v>2631</v>
      </c>
      <c r="E329" s="446">
        <v>25</v>
      </c>
      <c r="F329" s="447"/>
      <c r="G329" s="448">
        <f t="shared" si="12"/>
        <v>0</v>
      </c>
      <c r="H329" s="450"/>
      <c r="I329" s="444"/>
      <c r="J329" s="450"/>
      <c r="K329" s="444" t="s">
        <v>2696</v>
      </c>
      <c r="L329" s="450" t="s">
        <v>921</v>
      </c>
      <c r="M329" s="444" t="s">
        <v>2702</v>
      </c>
      <c r="N329" s="450"/>
      <c r="O329" s="450"/>
      <c r="P329" s="450" t="s">
        <v>1091</v>
      </c>
      <c r="Q329" s="451" t="s">
        <v>374</v>
      </c>
      <c r="R329" s="451" t="s">
        <v>2186</v>
      </c>
      <c r="S329" s="452" t="s">
        <v>2014</v>
      </c>
      <c r="T329" s="452"/>
      <c r="U329" s="453"/>
      <c r="V329" s="454"/>
      <c r="W329" s="455" t="s">
        <v>406</v>
      </c>
      <c r="X329" s="455">
        <v>45574</v>
      </c>
      <c r="Y329" s="456" t="s">
        <v>377</v>
      </c>
      <c r="Z329" s="457"/>
      <c r="AA329" s="453"/>
    </row>
    <row r="330" spans="1:27" s="128" customFormat="1" ht="37.5">
      <c r="A330" s="443">
        <v>43</v>
      </c>
      <c r="B330" s="444" t="s">
        <v>2651</v>
      </c>
      <c r="C330" s="445" t="s">
        <v>107</v>
      </c>
      <c r="D330" s="444" t="s">
        <v>2652</v>
      </c>
      <c r="E330" s="446">
        <v>5</v>
      </c>
      <c r="F330" s="447"/>
      <c r="G330" s="448">
        <f t="shared" si="12"/>
        <v>0</v>
      </c>
      <c r="H330" s="450"/>
      <c r="I330" s="444"/>
      <c r="J330" s="450"/>
      <c r="K330" s="444" t="s">
        <v>2698</v>
      </c>
      <c r="L330" s="450" t="s">
        <v>921</v>
      </c>
      <c r="M330" s="444" t="s">
        <v>2703</v>
      </c>
      <c r="N330" s="450"/>
      <c r="O330" s="450"/>
      <c r="P330" s="450" t="s">
        <v>1091</v>
      </c>
      <c r="Q330" s="451" t="s">
        <v>374</v>
      </c>
      <c r="R330" s="451" t="s">
        <v>2186</v>
      </c>
      <c r="S330" s="452" t="s">
        <v>2014</v>
      </c>
      <c r="T330" s="452"/>
      <c r="U330" s="453"/>
      <c r="V330" s="454"/>
      <c r="W330" s="455" t="s">
        <v>406</v>
      </c>
      <c r="X330" s="455">
        <v>45574</v>
      </c>
      <c r="Y330" s="456" t="s">
        <v>377</v>
      </c>
      <c r="Z330" s="457"/>
      <c r="AA330" s="453"/>
    </row>
    <row r="331" spans="1:27" s="128" customFormat="1">
      <c r="A331" s="443">
        <v>44</v>
      </c>
      <c r="B331" s="444" t="s">
        <v>2653</v>
      </c>
      <c r="C331" s="445" t="s">
        <v>107</v>
      </c>
      <c r="D331" s="444" t="s">
        <v>2654</v>
      </c>
      <c r="E331" s="446">
        <v>3</v>
      </c>
      <c r="F331" s="447"/>
      <c r="G331" s="448">
        <f>E331*F331</f>
        <v>0</v>
      </c>
      <c r="H331" s="450"/>
      <c r="I331" s="444"/>
      <c r="J331" s="450"/>
      <c r="K331" s="444"/>
      <c r="L331" s="450"/>
      <c r="M331" s="444"/>
      <c r="N331" s="450"/>
      <c r="O331" s="450"/>
      <c r="P331" s="450"/>
      <c r="Q331" s="451" t="s">
        <v>374</v>
      </c>
      <c r="R331" s="451"/>
      <c r="S331" s="452"/>
      <c r="T331" s="452" t="s">
        <v>481</v>
      </c>
      <c r="U331" s="453"/>
      <c r="V331" s="454"/>
      <c r="W331" s="455" t="s">
        <v>406</v>
      </c>
      <c r="X331" s="455">
        <v>45610</v>
      </c>
      <c r="Y331" s="456" t="s">
        <v>377</v>
      </c>
      <c r="Z331" s="457"/>
      <c r="AA331" s="453"/>
    </row>
    <row r="332" spans="1:27">
      <c r="A332" s="389"/>
      <c r="B332" s="390" t="s">
        <v>2704</v>
      </c>
      <c r="C332" s="391"/>
      <c r="D332" s="392"/>
      <c r="E332" s="393"/>
      <c r="F332" s="394"/>
      <c r="G332" s="395">
        <f t="shared" si="3"/>
        <v>0</v>
      </c>
      <c r="H332" s="420"/>
      <c r="I332" s="392"/>
      <c r="J332" s="420"/>
      <c r="K332" s="392"/>
      <c r="L332" s="397"/>
      <c r="M332" s="392"/>
      <c r="N332" s="397"/>
      <c r="O332" s="397"/>
      <c r="P332" s="397"/>
      <c r="Q332" s="398"/>
      <c r="R332" s="398"/>
      <c r="S332" s="399"/>
      <c r="T332" s="399"/>
      <c r="U332" s="400"/>
      <c r="V332" s="401"/>
      <c r="W332" s="402"/>
      <c r="X332" s="402"/>
      <c r="Y332" s="403"/>
      <c r="Z332" s="404"/>
      <c r="AA332" s="493"/>
    </row>
    <row r="333" spans="1:27">
      <c r="A333" s="389"/>
      <c r="B333" s="390" t="s">
        <v>2705</v>
      </c>
      <c r="C333" s="391"/>
      <c r="D333" s="392"/>
      <c r="E333" s="393"/>
      <c r="F333" s="394"/>
      <c r="G333" s="395">
        <f t="shared" si="3"/>
        <v>0</v>
      </c>
      <c r="H333" s="420"/>
      <c r="I333" s="392"/>
      <c r="J333" s="420"/>
      <c r="K333" s="392"/>
      <c r="L333" s="397"/>
      <c r="M333" s="392"/>
      <c r="N333" s="397"/>
      <c r="O333" s="397"/>
      <c r="P333" s="397"/>
      <c r="Q333" s="398"/>
      <c r="R333" s="398"/>
      <c r="S333" s="399"/>
      <c r="T333" s="399"/>
      <c r="U333" s="400"/>
      <c r="V333" s="401"/>
      <c r="W333" s="402"/>
      <c r="X333" s="402"/>
      <c r="Y333" s="403"/>
      <c r="Z333" s="404"/>
      <c r="AA333" s="493"/>
    </row>
    <row r="334" spans="1:27" s="128" customFormat="1" ht="37.5">
      <c r="A334" s="443">
        <v>1</v>
      </c>
      <c r="B334" s="444" t="s">
        <v>2645</v>
      </c>
      <c r="C334" s="445" t="s">
        <v>111</v>
      </c>
      <c r="D334" s="444" t="s">
        <v>2646</v>
      </c>
      <c r="E334" s="446">
        <v>1</v>
      </c>
      <c r="F334" s="447"/>
      <c r="G334" s="448">
        <f t="shared" ref="G334:G347" si="13">E334*F334</f>
        <v>0</v>
      </c>
      <c r="H334" s="450"/>
      <c r="I334" s="444"/>
      <c r="J334" s="450"/>
      <c r="K334" s="444" t="s">
        <v>2706</v>
      </c>
      <c r="L334" s="450" t="s">
        <v>2707</v>
      </c>
      <c r="M334" s="444" t="s">
        <v>2708</v>
      </c>
      <c r="N334" s="450"/>
      <c r="O334" s="450"/>
      <c r="P334" s="450" t="s">
        <v>2709</v>
      </c>
      <c r="Q334" s="451" t="s">
        <v>374</v>
      </c>
      <c r="R334" s="451" t="s">
        <v>269</v>
      </c>
      <c r="S334" s="452" t="s">
        <v>1075</v>
      </c>
      <c r="T334" s="452"/>
      <c r="U334" s="453"/>
      <c r="V334" s="454"/>
      <c r="W334" s="455" t="s">
        <v>406</v>
      </c>
      <c r="X334" s="452">
        <v>45551</v>
      </c>
      <c r="Y334" s="456" t="s">
        <v>377</v>
      </c>
      <c r="Z334" s="457"/>
      <c r="AA334" s="453"/>
    </row>
    <row r="335" spans="1:27" s="128" customFormat="1" ht="37.5">
      <c r="A335" s="443">
        <v>2</v>
      </c>
      <c r="B335" s="444" t="s">
        <v>2636</v>
      </c>
      <c r="C335" s="445" t="s">
        <v>111</v>
      </c>
      <c r="D335" s="444" t="s">
        <v>2637</v>
      </c>
      <c r="E335" s="446">
        <v>1</v>
      </c>
      <c r="F335" s="447"/>
      <c r="G335" s="448">
        <f t="shared" si="13"/>
        <v>0</v>
      </c>
      <c r="H335" s="450"/>
      <c r="I335" s="444"/>
      <c r="J335" s="450"/>
      <c r="K335" s="444" t="s">
        <v>2706</v>
      </c>
      <c r="L335" s="450" t="s">
        <v>2707</v>
      </c>
      <c r="M335" s="444" t="s">
        <v>2710</v>
      </c>
      <c r="N335" s="450"/>
      <c r="O335" s="450"/>
      <c r="P335" s="450" t="s">
        <v>2709</v>
      </c>
      <c r="Q335" s="451" t="s">
        <v>374</v>
      </c>
      <c r="R335" s="451" t="s">
        <v>905</v>
      </c>
      <c r="S335" s="452" t="s">
        <v>1577</v>
      </c>
      <c r="T335" s="452">
        <v>45579</v>
      </c>
      <c r="U335" s="453"/>
      <c r="V335" s="454"/>
      <c r="W335" s="455" t="s">
        <v>376</v>
      </c>
      <c r="X335" s="452" t="s">
        <v>806</v>
      </c>
      <c r="Y335" s="456" t="s">
        <v>377</v>
      </c>
      <c r="Z335" s="457"/>
      <c r="AA335" s="453"/>
    </row>
    <row r="336" spans="1:27" s="128" customFormat="1">
      <c r="A336" s="443">
        <v>3</v>
      </c>
      <c r="B336" s="444" t="s">
        <v>2604</v>
      </c>
      <c r="C336" s="445" t="s">
        <v>111</v>
      </c>
      <c r="D336" s="444" t="s">
        <v>2605</v>
      </c>
      <c r="E336" s="446">
        <v>4</v>
      </c>
      <c r="F336" s="447"/>
      <c r="G336" s="448">
        <f t="shared" si="13"/>
        <v>0</v>
      </c>
      <c r="H336" s="450"/>
      <c r="I336" s="444"/>
      <c r="J336" s="450"/>
      <c r="K336" s="444"/>
      <c r="L336" s="450"/>
      <c r="M336" s="444"/>
      <c r="N336" s="450"/>
      <c r="O336" s="450"/>
      <c r="P336" s="450"/>
      <c r="Q336" s="451" t="s">
        <v>374</v>
      </c>
      <c r="R336" s="451"/>
      <c r="S336" s="452"/>
      <c r="T336" s="452" t="s">
        <v>712</v>
      </c>
      <c r="U336" s="453"/>
      <c r="V336" s="454"/>
      <c r="W336" s="455" t="s">
        <v>406</v>
      </c>
      <c r="X336" s="452" t="s">
        <v>1075</v>
      </c>
      <c r="Y336" s="456" t="s">
        <v>377</v>
      </c>
      <c r="Z336" s="457"/>
      <c r="AA336" s="453"/>
    </row>
    <row r="337" spans="1:27" s="128" customFormat="1">
      <c r="A337" s="443">
        <v>4</v>
      </c>
      <c r="B337" s="444" t="s">
        <v>2608</v>
      </c>
      <c r="C337" s="445" t="s">
        <v>111</v>
      </c>
      <c r="D337" s="444" t="s">
        <v>2609</v>
      </c>
      <c r="E337" s="446">
        <v>2</v>
      </c>
      <c r="F337" s="447"/>
      <c r="G337" s="448">
        <f t="shared" si="13"/>
        <v>0</v>
      </c>
      <c r="H337" s="450"/>
      <c r="I337" s="444"/>
      <c r="J337" s="450"/>
      <c r="K337" s="444"/>
      <c r="L337" s="450"/>
      <c r="M337" s="444"/>
      <c r="N337" s="450"/>
      <c r="O337" s="450"/>
      <c r="P337" s="450"/>
      <c r="Q337" s="451"/>
      <c r="R337" s="451"/>
      <c r="S337" s="452"/>
      <c r="T337" s="452" t="s">
        <v>712</v>
      </c>
      <c r="U337" s="453"/>
      <c r="V337" s="454"/>
      <c r="W337" s="455" t="s">
        <v>406</v>
      </c>
      <c r="X337" s="455">
        <v>45583</v>
      </c>
      <c r="Y337" s="456" t="s">
        <v>377</v>
      </c>
      <c r="Z337" s="457"/>
      <c r="AA337" s="453"/>
    </row>
    <row r="338" spans="1:27" s="128" customFormat="1" ht="37.5">
      <c r="A338" s="443">
        <v>5</v>
      </c>
      <c r="B338" s="444" t="s">
        <v>2623</v>
      </c>
      <c r="C338" s="445" t="s">
        <v>111</v>
      </c>
      <c r="D338" s="444" t="s">
        <v>2624</v>
      </c>
      <c r="E338" s="446">
        <v>10</v>
      </c>
      <c r="F338" s="447"/>
      <c r="G338" s="448">
        <f t="shared" si="13"/>
        <v>0</v>
      </c>
      <c r="H338" s="450"/>
      <c r="I338" s="444"/>
      <c r="J338" s="450"/>
      <c r="K338" s="444" t="s">
        <v>2706</v>
      </c>
      <c r="L338" s="450" t="s">
        <v>2707</v>
      </c>
      <c r="M338" s="444" t="s">
        <v>2711</v>
      </c>
      <c r="N338" s="450"/>
      <c r="O338" s="450"/>
      <c r="P338" s="450" t="s">
        <v>1091</v>
      </c>
      <c r="Q338" s="451" t="s">
        <v>374</v>
      </c>
      <c r="R338" s="451" t="s">
        <v>2186</v>
      </c>
      <c r="S338" s="452" t="s">
        <v>2014</v>
      </c>
      <c r="T338" s="452"/>
      <c r="U338" s="453"/>
      <c r="V338" s="454"/>
      <c r="W338" s="455" t="s">
        <v>406</v>
      </c>
      <c r="X338" s="455">
        <v>45601</v>
      </c>
      <c r="Y338" s="456" t="s">
        <v>377</v>
      </c>
      <c r="Z338" s="457"/>
      <c r="AA338" s="453" t="s">
        <v>2446</v>
      </c>
    </row>
    <row r="339" spans="1:27" s="128" customFormat="1" ht="37.5">
      <c r="A339" s="443">
        <v>6</v>
      </c>
      <c r="B339" s="444" t="s">
        <v>2630</v>
      </c>
      <c r="C339" s="445" t="s">
        <v>111</v>
      </c>
      <c r="D339" s="444" t="s">
        <v>2631</v>
      </c>
      <c r="E339" s="446">
        <v>10</v>
      </c>
      <c r="F339" s="447"/>
      <c r="G339" s="448">
        <f t="shared" si="13"/>
        <v>0</v>
      </c>
      <c r="H339" s="450"/>
      <c r="I339" s="444"/>
      <c r="J339" s="450"/>
      <c r="K339" s="444" t="s">
        <v>2706</v>
      </c>
      <c r="L339" s="450" t="s">
        <v>2707</v>
      </c>
      <c r="M339" s="444" t="s">
        <v>2711</v>
      </c>
      <c r="N339" s="450"/>
      <c r="O339" s="450"/>
      <c r="P339" s="450" t="s">
        <v>1091</v>
      </c>
      <c r="Q339" s="451" t="s">
        <v>374</v>
      </c>
      <c r="R339" s="451" t="s">
        <v>2186</v>
      </c>
      <c r="S339" s="452" t="s">
        <v>2014</v>
      </c>
      <c r="T339" s="452"/>
      <c r="U339" s="453"/>
      <c r="V339" s="454"/>
      <c r="W339" s="455" t="s">
        <v>406</v>
      </c>
      <c r="X339" s="455">
        <v>45574</v>
      </c>
      <c r="Y339" s="456" t="s">
        <v>377</v>
      </c>
      <c r="Z339" s="457"/>
      <c r="AA339" s="453"/>
    </row>
    <row r="340" spans="1:27" s="128" customFormat="1">
      <c r="A340" s="405">
        <v>7</v>
      </c>
      <c r="B340" s="407" t="s">
        <v>2651</v>
      </c>
      <c r="C340" s="406" t="s">
        <v>111</v>
      </c>
      <c r="D340" s="407" t="s">
        <v>2652</v>
      </c>
      <c r="E340" s="408">
        <v>1</v>
      </c>
      <c r="F340" s="409"/>
      <c r="G340" s="410">
        <f t="shared" si="13"/>
        <v>0</v>
      </c>
      <c r="H340" s="412"/>
      <c r="I340" s="407"/>
      <c r="J340" s="412"/>
      <c r="K340" s="407"/>
      <c r="L340" s="412"/>
      <c r="M340" s="407"/>
      <c r="N340" s="412"/>
      <c r="O340" s="412"/>
      <c r="P340" s="412"/>
      <c r="Q340" s="413"/>
      <c r="R340" s="413"/>
      <c r="S340" s="414"/>
      <c r="T340" s="414" t="s">
        <v>712</v>
      </c>
      <c r="U340" s="415"/>
      <c r="V340" s="416"/>
      <c r="W340" s="417"/>
      <c r="X340" s="417"/>
      <c r="Y340" s="418" t="s">
        <v>377</v>
      </c>
      <c r="Z340" s="419"/>
      <c r="AA340" s="415"/>
    </row>
    <row r="341" spans="1:27" s="128" customFormat="1" ht="37.5">
      <c r="A341" s="443">
        <v>8</v>
      </c>
      <c r="B341" s="444" t="s">
        <v>2645</v>
      </c>
      <c r="C341" s="445" t="s">
        <v>111</v>
      </c>
      <c r="D341" s="444" t="s">
        <v>2646</v>
      </c>
      <c r="E341" s="446">
        <v>1</v>
      </c>
      <c r="F341" s="447"/>
      <c r="G341" s="448">
        <f t="shared" si="13"/>
        <v>0</v>
      </c>
      <c r="H341" s="450"/>
      <c r="I341" s="444"/>
      <c r="J341" s="450"/>
      <c r="K341" s="444" t="s">
        <v>2706</v>
      </c>
      <c r="L341" s="450" t="s">
        <v>2707</v>
      </c>
      <c r="M341" s="444" t="s">
        <v>2708</v>
      </c>
      <c r="N341" s="450"/>
      <c r="O341" s="450"/>
      <c r="P341" s="450" t="s">
        <v>2709</v>
      </c>
      <c r="Q341" s="451" t="s">
        <v>374</v>
      </c>
      <c r="R341" s="451" t="s">
        <v>269</v>
      </c>
      <c r="S341" s="452" t="s">
        <v>1075</v>
      </c>
      <c r="T341" s="452"/>
      <c r="U341" s="453"/>
      <c r="V341" s="454"/>
      <c r="W341" s="455" t="s">
        <v>406</v>
      </c>
      <c r="X341" s="455">
        <v>45539</v>
      </c>
      <c r="Y341" s="456" t="s">
        <v>377</v>
      </c>
      <c r="Z341" s="457"/>
      <c r="AA341" s="453"/>
    </row>
    <row r="342" spans="1:27" s="128" customFormat="1" ht="37.5">
      <c r="A342" s="443">
        <v>9</v>
      </c>
      <c r="B342" s="444" t="s">
        <v>2636</v>
      </c>
      <c r="C342" s="445" t="s">
        <v>111</v>
      </c>
      <c r="D342" s="444" t="s">
        <v>2637</v>
      </c>
      <c r="E342" s="446">
        <v>1</v>
      </c>
      <c r="F342" s="447"/>
      <c r="G342" s="448">
        <f t="shared" si="13"/>
        <v>0</v>
      </c>
      <c r="H342" s="450"/>
      <c r="I342" s="444"/>
      <c r="J342" s="450"/>
      <c r="K342" s="444" t="s">
        <v>2706</v>
      </c>
      <c r="L342" s="450" t="s">
        <v>2707</v>
      </c>
      <c r="M342" s="444" t="s">
        <v>2710</v>
      </c>
      <c r="N342" s="450"/>
      <c r="O342" s="450"/>
      <c r="P342" s="450" t="s">
        <v>2709</v>
      </c>
      <c r="Q342" s="451" t="s">
        <v>374</v>
      </c>
      <c r="R342" s="451" t="s">
        <v>905</v>
      </c>
      <c r="S342" s="452" t="s">
        <v>1577</v>
      </c>
      <c r="T342" s="452">
        <v>45579</v>
      </c>
      <c r="U342" s="453"/>
      <c r="V342" s="454"/>
      <c r="W342" s="455" t="s">
        <v>376</v>
      </c>
      <c r="X342" s="455">
        <v>45559</v>
      </c>
      <c r="Y342" s="456" t="s">
        <v>377</v>
      </c>
      <c r="Z342" s="457"/>
      <c r="AA342" s="453"/>
    </row>
    <row r="343" spans="1:27" s="128" customFormat="1">
      <c r="A343" s="443">
        <v>10</v>
      </c>
      <c r="B343" s="444" t="s">
        <v>2604</v>
      </c>
      <c r="C343" s="445" t="s">
        <v>111</v>
      </c>
      <c r="D343" s="444" t="s">
        <v>2605</v>
      </c>
      <c r="E343" s="446">
        <v>4</v>
      </c>
      <c r="F343" s="447"/>
      <c r="G343" s="448">
        <f t="shared" si="13"/>
        <v>0</v>
      </c>
      <c r="H343" s="450"/>
      <c r="I343" s="444"/>
      <c r="J343" s="450"/>
      <c r="K343" s="444"/>
      <c r="L343" s="450"/>
      <c r="M343" s="444"/>
      <c r="N343" s="450"/>
      <c r="O343" s="450"/>
      <c r="P343" s="450"/>
      <c r="Q343" s="451" t="s">
        <v>374</v>
      </c>
      <c r="R343" s="451"/>
      <c r="S343" s="452"/>
      <c r="T343" s="452" t="s">
        <v>712</v>
      </c>
      <c r="U343" s="453"/>
      <c r="V343" s="454"/>
      <c r="W343" s="455" t="s">
        <v>406</v>
      </c>
      <c r="X343" s="455">
        <v>45560</v>
      </c>
      <c r="Y343" s="456" t="s">
        <v>377</v>
      </c>
      <c r="Z343" s="457"/>
      <c r="AA343" s="453"/>
    </row>
    <row r="344" spans="1:27" s="128" customFormat="1">
      <c r="A344" s="443">
        <v>11</v>
      </c>
      <c r="B344" s="444" t="s">
        <v>2608</v>
      </c>
      <c r="C344" s="445" t="s">
        <v>111</v>
      </c>
      <c r="D344" s="444" t="s">
        <v>2609</v>
      </c>
      <c r="E344" s="446">
        <v>2</v>
      </c>
      <c r="F344" s="447"/>
      <c r="G344" s="448">
        <f t="shared" si="13"/>
        <v>0</v>
      </c>
      <c r="H344" s="450"/>
      <c r="I344" s="444"/>
      <c r="J344" s="450"/>
      <c r="K344" s="444"/>
      <c r="L344" s="450"/>
      <c r="M344" s="444"/>
      <c r="N344" s="450"/>
      <c r="O344" s="450"/>
      <c r="P344" s="450"/>
      <c r="Q344" s="451"/>
      <c r="R344" s="451"/>
      <c r="S344" s="452"/>
      <c r="T344" s="452" t="s">
        <v>712</v>
      </c>
      <c r="U344" s="453"/>
      <c r="V344" s="454"/>
      <c r="W344" s="455" t="s">
        <v>406</v>
      </c>
      <c r="X344" s="455">
        <v>45583</v>
      </c>
      <c r="Y344" s="456" t="s">
        <v>377</v>
      </c>
      <c r="Z344" s="457"/>
      <c r="AA344" s="453"/>
    </row>
    <row r="345" spans="1:27" s="128" customFormat="1" ht="37.5">
      <c r="A345" s="443">
        <v>12</v>
      </c>
      <c r="B345" s="444" t="s">
        <v>2623</v>
      </c>
      <c r="C345" s="445" t="s">
        <v>111</v>
      </c>
      <c r="D345" s="444" t="s">
        <v>2624</v>
      </c>
      <c r="E345" s="446">
        <v>10</v>
      </c>
      <c r="F345" s="447"/>
      <c r="G345" s="448">
        <f t="shared" si="13"/>
        <v>0</v>
      </c>
      <c r="H345" s="450"/>
      <c r="I345" s="444"/>
      <c r="J345" s="450"/>
      <c r="K345" s="444" t="s">
        <v>2706</v>
      </c>
      <c r="L345" s="450" t="s">
        <v>2707</v>
      </c>
      <c r="M345" s="444" t="s">
        <v>2711</v>
      </c>
      <c r="N345" s="450"/>
      <c r="O345" s="450"/>
      <c r="P345" s="450" t="s">
        <v>1091</v>
      </c>
      <c r="Q345" s="451" t="s">
        <v>374</v>
      </c>
      <c r="R345" s="451" t="s">
        <v>2186</v>
      </c>
      <c r="S345" s="452" t="s">
        <v>2014</v>
      </c>
      <c r="T345" s="452">
        <v>45631</v>
      </c>
      <c r="U345" s="453"/>
      <c r="V345" s="454"/>
      <c r="W345" s="455" t="s">
        <v>406</v>
      </c>
      <c r="X345" s="455">
        <v>45601</v>
      </c>
      <c r="Y345" s="456" t="s">
        <v>377</v>
      </c>
      <c r="Z345" s="457"/>
      <c r="AA345" s="453" t="s">
        <v>2446</v>
      </c>
    </row>
    <row r="346" spans="1:27" s="128" customFormat="1" ht="37.5">
      <c r="A346" s="443">
        <v>13</v>
      </c>
      <c r="B346" s="444" t="s">
        <v>2630</v>
      </c>
      <c r="C346" s="445" t="s">
        <v>111</v>
      </c>
      <c r="D346" s="444" t="s">
        <v>2631</v>
      </c>
      <c r="E346" s="446">
        <v>10</v>
      </c>
      <c r="F346" s="447"/>
      <c r="G346" s="448">
        <f t="shared" si="13"/>
        <v>0</v>
      </c>
      <c r="H346" s="450"/>
      <c r="I346" s="444"/>
      <c r="J346" s="450"/>
      <c r="K346" s="444" t="s">
        <v>2706</v>
      </c>
      <c r="L346" s="450" t="s">
        <v>2707</v>
      </c>
      <c r="M346" s="444" t="s">
        <v>2711</v>
      </c>
      <c r="N346" s="450"/>
      <c r="O346" s="450"/>
      <c r="P346" s="450" t="s">
        <v>1091</v>
      </c>
      <c r="Q346" s="451" t="s">
        <v>374</v>
      </c>
      <c r="R346" s="451" t="s">
        <v>2186</v>
      </c>
      <c r="S346" s="452" t="s">
        <v>2014</v>
      </c>
      <c r="T346" s="452">
        <v>45579</v>
      </c>
      <c r="U346" s="453"/>
      <c r="V346" s="454"/>
      <c r="W346" s="455" t="s">
        <v>406</v>
      </c>
      <c r="X346" s="455">
        <v>45574</v>
      </c>
      <c r="Y346" s="456" t="s">
        <v>377</v>
      </c>
      <c r="Z346" s="457"/>
      <c r="AA346" s="453"/>
    </row>
    <row r="347" spans="1:27" s="128" customFormat="1">
      <c r="A347" s="405">
        <v>14</v>
      </c>
      <c r="B347" s="407" t="s">
        <v>2651</v>
      </c>
      <c r="C347" s="406" t="s">
        <v>111</v>
      </c>
      <c r="D347" s="407" t="s">
        <v>2652</v>
      </c>
      <c r="E347" s="408">
        <v>1</v>
      </c>
      <c r="F347" s="409"/>
      <c r="G347" s="410">
        <f t="shared" si="13"/>
        <v>0</v>
      </c>
      <c r="H347" s="412"/>
      <c r="I347" s="407"/>
      <c r="J347" s="412"/>
      <c r="K347" s="407"/>
      <c r="L347" s="412"/>
      <c r="M347" s="407"/>
      <c r="N347" s="412"/>
      <c r="O347" s="412"/>
      <c r="P347" s="412"/>
      <c r="Q347" s="413"/>
      <c r="R347" s="413"/>
      <c r="S347" s="414"/>
      <c r="T347" s="414" t="s">
        <v>712</v>
      </c>
      <c r="U347" s="415"/>
      <c r="V347" s="416"/>
      <c r="W347" s="417"/>
      <c r="X347" s="417"/>
      <c r="Y347" s="418" t="s">
        <v>377</v>
      </c>
      <c r="Z347" s="419"/>
      <c r="AA347" s="415"/>
    </row>
    <row r="348" spans="1:27">
      <c r="A348" s="389"/>
      <c r="B348" s="390" t="s">
        <v>2712</v>
      </c>
      <c r="C348" s="391"/>
      <c r="D348" s="392"/>
      <c r="E348" s="393"/>
      <c r="F348" s="394"/>
      <c r="G348" s="395">
        <f t="shared" si="3"/>
        <v>0</v>
      </c>
      <c r="H348" s="420"/>
      <c r="I348" s="392"/>
      <c r="J348" s="420"/>
      <c r="K348" s="392"/>
      <c r="L348" s="397"/>
      <c r="M348" s="392"/>
      <c r="N348" s="397"/>
      <c r="O348" s="397"/>
      <c r="P348" s="397"/>
      <c r="Q348" s="398"/>
      <c r="R348" s="398"/>
      <c r="S348" s="399"/>
      <c r="T348" s="399"/>
      <c r="U348" s="400"/>
      <c r="V348" s="401"/>
      <c r="W348" s="402"/>
      <c r="X348" s="402"/>
      <c r="Y348" s="403"/>
      <c r="Z348" s="404"/>
      <c r="AA348" s="493"/>
    </row>
    <row r="349" spans="1:27" s="128" customFormat="1">
      <c r="A349" s="443">
        <v>1</v>
      </c>
      <c r="B349" s="444" t="s">
        <v>2639</v>
      </c>
      <c r="C349" s="445" t="s">
        <v>113</v>
      </c>
      <c r="D349" s="444" t="s">
        <v>2640</v>
      </c>
      <c r="E349" s="446">
        <v>1</v>
      </c>
      <c r="F349" s="447"/>
      <c r="G349" s="448">
        <f t="shared" ref="G349:G364" si="14">E349*F349</f>
        <v>0</v>
      </c>
      <c r="H349" s="450"/>
      <c r="I349" s="444"/>
      <c r="J349" s="450"/>
      <c r="K349" s="444"/>
      <c r="L349" s="450"/>
      <c r="M349" s="444"/>
      <c r="N349" s="450"/>
      <c r="O349" s="450"/>
      <c r="P349" s="450"/>
      <c r="Q349" s="451" t="s">
        <v>374</v>
      </c>
      <c r="R349" s="451"/>
      <c r="S349" s="452"/>
      <c r="T349" s="452">
        <v>45579</v>
      </c>
      <c r="U349" s="453"/>
      <c r="V349" s="454"/>
      <c r="W349" s="455" t="s">
        <v>406</v>
      </c>
      <c r="X349" s="455">
        <v>45580</v>
      </c>
      <c r="Y349" s="456" t="s">
        <v>377</v>
      </c>
      <c r="Z349" s="457"/>
      <c r="AA349" s="453"/>
    </row>
    <row r="350" spans="1:27" s="128" customFormat="1">
      <c r="A350" s="443">
        <v>2</v>
      </c>
      <c r="B350" s="444" t="s">
        <v>2608</v>
      </c>
      <c r="C350" s="445" t="s">
        <v>113</v>
      </c>
      <c r="D350" s="444" t="s">
        <v>2609</v>
      </c>
      <c r="E350" s="446">
        <v>2</v>
      </c>
      <c r="F350" s="447"/>
      <c r="G350" s="448">
        <f t="shared" si="14"/>
        <v>0</v>
      </c>
      <c r="H350" s="450"/>
      <c r="I350" s="444"/>
      <c r="J350" s="450"/>
      <c r="K350" s="444"/>
      <c r="L350" s="450"/>
      <c r="M350" s="444"/>
      <c r="N350" s="450"/>
      <c r="O350" s="450"/>
      <c r="P350" s="450"/>
      <c r="Q350" s="451"/>
      <c r="R350" s="451"/>
      <c r="S350" s="452"/>
      <c r="T350" s="452" t="s">
        <v>712</v>
      </c>
      <c r="U350" s="453"/>
      <c r="V350" s="454"/>
      <c r="W350" s="455" t="s">
        <v>406</v>
      </c>
      <c r="X350" s="455">
        <v>45583</v>
      </c>
      <c r="Y350" s="456" t="s">
        <v>377</v>
      </c>
      <c r="Z350" s="457"/>
      <c r="AA350" s="453"/>
    </row>
    <row r="351" spans="1:27" s="128" customFormat="1">
      <c r="A351" s="443">
        <v>3</v>
      </c>
      <c r="B351" s="444" t="s">
        <v>2604</v>
      </c>
      <c r="C351" s="445" t="s">
        <v>113</v>
      </c>
      <c r="D351" s="444" t="s">
        <v>2605</v>
      </c>
      <c r="E351" s="446">
        <v>4</v>
      </c>
      <c r="F351" s="447"/>
      <c r="G351" s="448">
        <f t="shared" si="14"/>
        <v>0</v>
      </c>
      <c r="H351" s="450"/>
      <c r="I351" s="444"/>
      <c r="J351" s="450"/>
      <c r="K351" s="444"/>
      <c r="L351" s="450"/>
      <c r="M351" s="444"/>
      <c r="N351" s="450"/>
      <c r="O351" s="450"/>
      <c r="P351" s="450"/>
      <c r="Q351" s="451" t="s">
        <v>374</v>
      </c>
      <c r="R351" s="451"/>
      <c r="S351" s="452"/>
      <c r="T351" s="452" t="s">
        <v>712</v>
      </c>
      <c r="U351" s="453"/>
      <c r="V351" s="454"/>
      <c r="W351" s="455" t="s">
        <v>406</v>
      </c>
      <c r="X351" s="455">
        <v>45560</v>
      </c>
      <c r="Y351" s="456" t="s">
        <v>377</v>
      </c>
      <c r="Z351" s="457"/>
      <c r="AA351" s="453"/>
    </row>
    <row r="352" spans="1:27" s="128" customFormat="1" ht="37.5">
      <c r="A352" s="443">
        <v>4</v>
      </c>
      <c r="B352" s="444" t="s">
        <v>2647</v>
      </c>
      <c r="C352" s="445" t="s">
        <v>113</v>
      </c>
      <c r="D352" s="444" t="s">
        <v>2648</v>
      </c>
      <c r="E352" s="446">
        <v>1</v>
      </c>
      <c r="F352" s="447"/>
      <c r="G352" s="448">
        <f t="shared" si="14"/>
        <v>0</v>
      </c>
      <c r="H352" s="450"/>
      <c r="I352" s="444"/>
      <c r="J352" s="450"/>
      <c r="K352" s="444"/>
      <c r="L352" s="450"/>
      <c r="M352" s="444"/>
      <c r="N352" s="450"/>
      <c r="O352" s="450"/>
      <c r="P352" s="450"/>
      <c r="Q352" s="451" t="s">
        <v>374</v>
      </c>
      <c r="R352" s="451"/>
      <c r="S352" s="452"/>
      <c r="T352" s="452"/>
      <c r="U352" s="453"/>
      <c r="V352" s="454"/>
      <c r="W352" s="455" t="s">
        <v>406</v>
      </c>
      <c r="X352" s="455">
        <v>45525</v>
      </c>
      <c r="Y352" s="456" t="s">
        <v>377</v>
      </c>
      <c r="Z352" s="457"/>
      <c r="AA352" s="453"/>
    </row>
    <row r="353" spans="1:27" s="128" customFormat="1" ht="37.5">
      <c r="A353" s="443">
        <v>5</v>
      </c>
      <c r="B353" s="444" t="s">
        <v>2645</v>
      </c>
      <c r="C353" s="445" t="s">
        <v>113</v>
      </c>
      <c r="D353" s="444" t="s">
        <v>2646</v>
      </c>
      <c r="E353" s="446">
        <v>1</v>
      </c>
      <c r="F353" s="447"/>
      <c r="G353" s="448">
        <f t="shared" si="14"/>
        <v>0</v>
      </c>
      <c r="H353" s="450"/>
      <c r="I353" s="444"/>
      <c r="J353" s="450"/>
      <c r="K353" s="444" t="s">
        <v>2713</v>
      </c>
      <c r="L353" s="450" t="s">
        <v>2714</v>
      </c>
      <c r="M353" s="444" t="s">
        <v>2715</v>
      </c>
      <c r="N353" s="450"/>
      <c r="O353" s="450"/>
      <c r="P353" s="450" t="s">
        <v>1074</v>
      </c>
      <c r="Q353" s="451" t="s">
        <v>374</v>
      </c>
      <c r="R353" s="451" t="s">
        <v>269</v>
      </c>
      <c r="S353" s="452" t="s">
        <v>1075</v>
      </c>
      <c r="T353" s="452"/>
      <c r="U353" s="453"/>
      <c r="V353" s="454"/>
      <c r="W353" s="455" t="s">
        <v>406</v>
      </c>
      <c r="X353" s="452">
        <v>45551</v>
      </c>
      <c r="Y353" s="456" t="s">
        <v>377</v>
      </c>
      <c r="Z353" s="457"/>
      <c r="AA353" s="453"/>
    </row>
    <row r="354" spans="1:27" s="128" customFormat="1">
      <c r="A354" s="443">
        <v>6</v>
      </c>
      <c r="B354" s="444" t="s">
        <v>2649</v>
      </c>
      <c r="C354" s="445" t="s">
        <v>113</v>
      </c>
      <c r="D354" s="444" t="s">
        <v>2650</v>
      </c>
      <c r="E354" s="446">
        <v>1</v>
      </c>
      <c r="F354" s="447"/>
      <c r="G354" s="448">
        <f t="shared" si="14"/>
        <v>0</v>
      </c>
      <c r="H354" s="450"/>
      <c r="I354" s="444"/>
      <c r="J354" s="450"/>
      <c r="K354" s="444"/>
      <c r="L354" s="450"/>
      <c r="M354" s="444"/>
      <c r="N354" s="450"/>
      <c r="O354" s="450"/>
      <c r="P354" s="450"/>
      <c r="Q354" s="451" t="s">
        <v>374</v>
      </c>
      <c r="R354" s="451"/>
      <c r="S354" s="452"/>
      <c r="T354" s="452"/>
      <c r="U354" s="453"/>
      <c r="V354" s="454"/>
      <c r="W354" s="455" t="s">
        <v>406</v>
      </c>
      <c r="X354" s="452" t="s">
        <v>806</v>
      </c>
      <c r="Y354" s="456" t="s">
        <v>377</v>
      </c>
      <c r="Z354" s="457"/>
      <c r="AA354" s="453"/>
    </row>
    <row r="355" spans="1:27" s="128" customFormat="1">
      <c r="A355" s="443">
        <v>7</v>
      </c>
      <c r="B355" s="444" t="s">
        <v>2608</v>
      </c>
      <c r="C355" s="445" t="s">
        <v>113</v>
      </c>
      <c r="D355" s="444" t="s">
        <v>2609</v>
      </c>
      <c r="E355" s="446">
        <v>2</v>
      </c>
      <c r="F355" s="447"/>
      <c r="G355" s="448">
        <f t="shared" si="14"/>
        <v>0</v>
      </c>
      <c r="H355" s="450"/>
      <c r="I355" s="444"/>
      <c r="J355" s="450"/>
      <c r="K355" s="444"/>
      <c r="L355" s="450"/>
      <c r="M355" s="444"/>
      <c r="N355" s="450"/>
      <c r="O355" s="450"/>
      <c r="P355" s="450"/>
      <c r="Q355" s="451"/>
      <c r="R355" s="451"/>
      <c r="S355" s="452"/>
      <c r="T355" s="452" t="s">
        <v>712</v>
      </c>
      <c r="U355" s="453"/>
      <c r="V355" s="454"/>
      <c r="W355" s="455" t="s">
        <v>406</v>
      </c>
      <c r="X355" s="455">
        <v>45583</v>
      </c>
      <c r="Y355" s="456" t="s">
        <v>377</v>
      </c>
      <c r="Z355" s="457"/>
      <c r="AA355" s="453"/>
    </row>
    <row r="356" spans="1:27" s="128" customFormat="1">
      <c r="A356" s="443">
        <v>8</v>
      </c>
      <c r="B356" s="444" t="s">
        <v>2604</v>
      </c>
      <c r="C356" s="445" t="s">
        <v>113</v>
      </c>
      <c r="D356" s="444" t="s">
        <v>2605</v>
      </c>
      <c r="E356" s="446">
        <v>4</v>
      </c>
      <c r="F356" s="447"/>
      <c r="G356" s="448">
        <f t="shared" si="14"/>
        <v>0</v>
      </c>
      <c r="H356" s="450"/>
      <c r="I356" s="444"/>
      <c r="J356" s="450"/>
      <c r="K356" s="444"/>
      <c r="L356" s="450"/>
      <c r="M356" s="444"/>
      <c r="N356" s="450"/>
      <c r="O356" s="450"/>
      <c r="P356" s="450"/>
      <c r="Q356" s="451" t="s">
        <v>374</v>
      </c>
      <c r="R356" s="451"/>
      <c r="S356" s="452"/>
      <c r="T356" s="452" t="s">
        <v>712</v>
      </c>
      <c r="U356" s="453"/>
      <c r="V356" s="454"/>
      <c r="W356" s="455" t="s">
        <v>406</v>
      </c>
      <c r="X356" s="452" t="s">
        <v>1075</v>
      </c>
      <c r="Y356" s="456" t="s">
        <v>377</v>
      </c>
      <c r="Z356" s="457"/>
      <c r="AA356" s="453"/>
    </row>
    <row r="357" spans="1:27" s="128" customFormat="1" ht="37.5">
      <c r="A357" s="443">
        <v>9</v>
      </c>
      <c r="B357" s="444" t="s">
        <v>2647</v>
      </c>
      <c r="C357" s="445" t="s">
        <v>113</v>
      </c>
      <c r="D357" s="444" t="s">
        <v>2648</v>
      </c>
      <c r="E357" s="446">
        <v>1</v>
      </c>
      <c r="F357" s="447"/>
      <c r="G357" s="448">
        <f t="shared" si="14"/>
        <v>0</v>
      </c>
      <c r="H357" s="450"/>
      <c r="I357" s="444"/>
      <c r="J357" s="450"/>
      <c r="K357" s="444"/>
      <c r="L357" s="450"/>
      <c r="M357" s="444"/>
      <c r="N357" s="450"/>
      <c r="O357" s="450"/>
      <c r="P357" s="450"/>
      <c r="Q357" s="451" t="s">
        <v>374</v>
      </c>
      <c r="R357" s="451"/>
      <c r="S357" s="452"/>
      <c r="T357" s="452"/>
      <c r="U357" s="453"/>
      <c r="V357" s="454"/>
      <c r="W357" s="455" t="s">
        <v>406</v>
      </c>
      <c r="X357" s="455">
        <v>45525</v>
      </c>
      <c r="Y357" s="456" t="s">
        <v>377</v>
      </c>
      <c r="Z357" s="457"/>
      <c r="AA357" s="453"/>
    </row>
    <row r="358" spans="1:27" s="128" customFormat="1" ht="37.5">
      <c r="A358" s="443">
        <v>10</v>
      </c>
      <c r="B358" s="444" t="s">
        <v>2645</v>
      </c>
      <c r="C358" s="445" t="s">
        <v>113</v>
      </c>
      <c r="D358" s="444" t="s">
        <v>2646</v>
      </c>
      <c r="E358" s="446">
        <v>1</v>
      </c>
      <c r="F358" s="447"/>
      <c r="G358" s="448">
        <f t="shared" si="14"/>
        <v>0</v>
      </c>
      <c r="H358" s="450"/>
      <c r="I358" s="444"/>
      <c r="J358" s="450"/>
      <c r="K358" s="444" t="s">
        <v>2713</v>
      </c>
      <c r="L358" s="450" t="s">
        <v>2714</v>
      </c>
      <c r="M358" s="444" t="s">
        <v>2715</v>
      </c>
      <c r="N358" s="450"/>
      <c r="O358" s="450"/>
      <c r="P358" s="450" t="s">
        <v>1074</v>
      </c>
      <c r="Q358" s="451" t="s">
        <v>374</v>
      </c>
      <c r="R358" s="451" t="s">
        <v>269</v>
      </c>
      <c r="S358" s="452" t="s">
        <v>1075</v>
      </c>
      <c r="T358" s="452"/>
      <c r="U358" s="453"/>
      <c r="V358" s="454"/>
      <c r="W358" s="455" t="s">
        <v>406</v>
      </c>
      <c r="X358" s="452">
        <v>45551</v>
      </c>
      <c r="Y358" s="456" t="s">
        <v>377</v>
      </c>
      <c r="Z358" s="457"/>
      <c r="AA358" s="453"/>
    </row>
    <row r="359" spans="1:27" s="128" customFormat="1">
      <c r="A359" s="443">
        <v>11</v>
      </c>
      <c r="B359" s="444" t="s">
        <v>2636</v>
      </c>
      <c r="C359" s="445" t="s">
        <v>113</v>
      </c>
      <c r="D359" s="444" t="s">
        <v>2637</v>
      </c>
      <c r="E359" s="446">
        <v>1</v>
      </c>
      <c r="F359" s="447"/>
      <c r="G359" s="448">
        <f t="shared" si="14"/>
        <v>0</v>
      </c>
      <c r="H359" s="450"/>
      <c r="I359" s="444"/>
      <c r="J359" s="450"/>
      <c r="K359" s="444"/>
      <c r="L359" s="450"/>
      <c r="M359" s="444"/>
      <c r="N359" s="450"/>
      <c r="O359" s="450"/>
      <c r="P359" s="450"/>
      <c r="Q359" s="451" t="s">
        <v>374</v>
      </c>
      <c r="R359" s="451"/>
      <c r="S359" s="452"/>
      <c r="T359" s="452"/>
      <c r="U359" s="453"/>
      <c r="V359" s="454"/>
      <c r="W359" s="455" t="s">
        <v>406</v>
      </c>
      <c r="X359" s="455">
        <v>45582</v>
      </c>
      <c r="Y359" s="456" t="s">
        <v>377</v>
      </c>
      <c r="Z359" s="457"/>
      <c r="AA359" s="453"/>
    </row>
    <row r="360" spans="1:27" s="128" customFormat="1">
      <c r="A360" s="443">
        <v>12</v>
      </c>
      <c r="B360" s="444" t="s">
        <v>2604</v>
      </c>
      <c r="C360" s="445" t="s">
        <v>113</v>
      </c>
      <c r="D360" s="444" t="s">
        <v>2605</v>
      </c>
      <c r="E360" s="446">
        <v>4</v>
      </c>
      <c r="F360" s="447"/>
      <c r="G360" s="448">
        <f t="shared" si="14"/>
        <v>0</v>
      </c>
      <c r="H360" s="450"/>
      <c r="I360" s="444"/>
      <c r="J360" s="450"/>
      <c r="K360" s="444"/>
      <c r="L360" s="450"/>
      <c r="M360" s="444"/>
      <c r="N360" s="450"/>
      <c r="O360" s="450"/>
      <c r="P360" s="450"/>
      <c r="Q360" s="451" t="s">
        <v>374</v>
      </c>
      <c r="R360" s="451"/>
      <c r="S360" s="452"/>
      <c r="T360" s="452" t="s">
        <v>712</v>
      </c>
      <c r="U360" s="453"/>
      <c r="V360" s="454"/>
      <c r="W360" s="455" t="s">
        <v>406</v>
      </c>
      <c r="X360" s="455">
        <v>45560</v>
      </c>
      <c r="Y360" s="456" t="s">
        <v>377</v>
      </c>
      <c r="Z360" s="457"/>
      <c r="AA360" s="453"/>
    </row>
    <row r="361" spans="1:27" s="128" customFormat="1">
      <c r="A361" s="443">
        <v>13</v>
      </c>
      <c r="B361" s="444" t="s">
        <v>2608</v>
      </c>
      <c r="C361" s="445" t="s">
        <v>113</v>
      </c>
      <c r="D361" s="444" t="s">
        <v>2609</v>
      </c>
      <c r="E361" s="446">
        <v>2</v>
      </c>
      <c r="F361" s="447"/>
      <c r="G361" s="448">
        <f t="shared" si="14"/>
        <v>0</v>
      </c>
      <c r="H361" s="450"/>
      <c r="I361" s="444"/>
      <c r="J361" s="450"/>
      <c r="K361" s="444"/>
      <c r="L361" s="450"/>
      <c r="M361" s="444"/>
      <c r="N361" s="450"/>
      <c r="O361" s="450"/>
      <c r="P361" s="450"/>
      <c r="Q361" s="451"/>
      <c r="R361" s="451"/>
      <c r="S361" s="452"/>
      <c r="T361" s="452" t="s">
        <v>712</v>
      </c>
      <c r="U361" s="453"/>
      <c r="V361" s="454"/>
      <c r="W361" s="455" t="s">
        <v>406</v>
      </c>
      <c r="X361" s="455">
        <v>45583</v>
      </c>
      <c r="Y361" s="456" t="s">
        <v>377</v>
      </c>
      <c r="Z361" s="457"/>
      <c r="AA361" s="453"/>
    </row>
    <row r="362" spans="1:27" s="128" customFormat="1" ht="37.5">
      <c r="A362" s="405">
        <v>14</v>
      </c>
      <c r="B362" s="407" t="s">
        <v>2623</v>
      </c>
      <c r="C362" s="406" t="s">
        <v>113</v>
      </c>
      <c r="D362" s="407" t="s">
        <v>2624</v>
      </c>
      <c r="E362" s="408">
        <v>10</v>
      </c>
      <c r="F362" s="409"/>
      <c r="G362" s="410">
        <f t="shared" si="14"/>
        <v>0</v>
      </c>
      <c r="H362" s="412"/>
      <c r="I362" s="407"/>
      <c r="J362" s="412"/>
      <c r="K362" s="407" t="s">
        <v>2713</v>
      </c>
      <c r="L362" s="412" t="s">
        <v>2714</v>
      </c>
      <c r="M362" s="407" t="s">
        <v>2716</v>
      </c>
      <c r="N362" s="412"/>
      <c r="O362" s="412"/>
      <c r="P362" s="412" t="s">
        <v>1091</v>
      </c>
      <c r="Q362" s="413" t="s">
        <v>374</v>
      </c>
      <c r="R362" s="413" t="s">
        <v>2186</v>
      </c>
      <c r="S362" s="414" t="s">
        <v>2014</v>
      </c>
      <c r="T362" s="414" t="s">
        <v>481</v>
      </c>
      <c r="U362" s="415"/>
      <c r="V362" s="416"/>
      <c r="W362" s="417"/>
      <c r="X362" s="417"/>
      <c r="Y362" s="418" t="s">
        <v>377</v>
      </c>
      <c r="Z362" s="419" t="s">
        <v>2717</v>
      </c>
      <c r="AA362" s="415" t="s">
        <v>2446</v>
      </c>
    </row>
    <row r="363" spans="1:27" s="128" customFormat="1" ht="37.5">
      <c r="A363" s="443">
        <v>15</v>
      </c>
      <c r="B363" s="444" t="s">
        <v>2630</v>
      </c>
      <c r="C363" s="445" t="s">
        <v>113</v>
      </c>
      <c r="D363" s="444" t="s">
        <v>2631</v>
      </c>
      <c r="E363" s="446">
        <v>10</v>
      </c>
      <c r="F363" s="447"/>
      <c r="G363" s="448">
        <f t="shared" si="14"/>
        <v>0</v>
      </c>
      <c r="H363" s="450"/>
      <c r="I363" s="444"/>
      <c r="J363" s="450"/>
      <c r="K363" s="444" t="s">
        <v>2713</v>
      </c>
      <c r="L363" s="450" t="s">
        <v>2714</v>
      </c>
      <c r="M363" s="444" t="s">
        <v>2716</v>
      </c>
      <c r="N363" s="450"/>
      <c r="O363" s="450"/>
      <c r="P363" s="450" t="s">
        <v>1091</v>
      </c>
      <c r="Q363" s="451" t="s">
        <v>374</v>
      </c>
      <c r="R363" s="451" t="s">
        <v>2186</v>
      </c>
      <c r="S363" s="452" t="s">
        <v>2014</v>
      </c>
      <c r="T363" s="452"/>
      <c r="U363" s="453"/>
      <c r="V363" s="454"/>
      <c r="W363" s="455" t="s">
        <v>406</v>
      </c>
      <c r="X363" s="455">
        <v>45574</v>
      </c>
      <c r="Y363" s="456" t="s">
        <v>377</v>
      </c>
      <c r="Z363" s="457"/>
      <c r="AA363" s="453"/>
    </row>
    <row r="364" spans="1:27" s="128" customFormat="1">
      <c r="A364" s="405">
        <v>16</v>
      </c>
      <c r="B364" s="407" t="s">
        <v>2651</v>
      </c>
      <c r="C364" s="406" t="s">
        <v>113</v>
      </c>
      <c r="D364" s="407" t="s">
        <v>2652</v>
      </c>
      <c r="E364" s="408">
        <v>5</v>
      </c>
      <c r="F364" s="409"/>
      <c r="G364" s="410">
        <f t="shared" si="14"/>
        <v>0</v>
      </c>
      <c r="H364" s="412"/>
      <c r="I364" s="407"/>
      <c r="J364" s="412"/>
      <c r="K364" s="407"/>
      <c r="L364" s="412"/>
      <c r="M364" s="407"/>
      <c r="N364" s="412"/>
      <c r="O364" s="412"/>
      <c r="P364" s="412"/>
      <c r="Q364" s="413"/>
      <c r="R364" s="413"/>
      <c r="S364" s="414"/>
      <c r="T364" s="414" t="s">
        <v>712</v>
      </c>
      <c r="U364" s="415"/>
      <c r="V364" s="416"/>
      <c r="W364" s="417"/>
      <c r="X364" s="417"/>
      <c r="Y364" s="418" t="s">
        <v>377</v>
      </c>
      <c r="Z364" s="419"/>
      <c r="AA364" s="415"/>
    </row>
    <row r="365" spans="1:27" s="128" customFormat="1">
      <c r="A365" s="405">
        <v>17</v>
      </c>
      <c r="B365" s="407" t="s">
        <v>2653</v>
      </c>
      <c r="C365" s="406" t="s">
        <v>113</v>
      </c>
      <c r="D365" s="407" t="s">
        <v>2654</v>
      </c>
      <c r="E365" s="408">
        <v>1</v>
      </c>
      <c r="F365" s="409"/>
      <c r="G365" s="410">
        <f>E365*F365</f>
        <v>0</v>
      </c>
      <c r="H365" s="412"/>
      <c r="I365" s="407"/>
      <c r="J365" s="412"/>
      <c r="K365" s="407"/>
      <c r="L365" s="412"/>
      <c r="M365" s="407"/>
      <c r="N365" s="412"/>
      <c r="O365" s="412"/>
      <c r="P365" s="412"/>
      <c r="Q365" s="413"/>
      <c r="R365" s="413"/>
      <c r="S365" s="414"/>
      <c r="T365" s="414" t="s">
        <v>712</v>
      </c>
      <c r="U365" s="415"/>
      <c r="V365" s="416"/>
      <c r="W365" s="417"/>
      <c r="X365" s="417"/>
      <c r="Y365" s="418" t="s">
        <v>377</v>
      </c>
      <c r="Z365" s="419"/>
      <c r="AA365" s="415"/>
    </row>
    <row r="366" spans="1:27">
      <c r="A366" s="389"/>
      <c r="B366" s="390" t="s">
        <v>2718</v>
      </c>
      <c r="C366" s="391"/>
      <c r="D366" s="392"/>
      <c r="E366" s="393"/>
      <c r="F366" s="394"/>
      <c r="G366" s="395">
        <f t="shared" si="3"/>
        <v>0</v>
      </c>
      <c r="H366" s="420"/>
      <c r="I366" s="392"/>
      <c r="J366" s="420"/>
      <c r="K366" s="392"/>
      <c r="L366" s="397"/>
      <c r="M366" s="392"/>
      <c r="N366" s="397"/>
      <c r="O366" s="397"/>
      <c r="P366" s="397"/>
      <c r="Q366" s="398"/>
      <c r="R366" s="398"/>
      <c r="S366" s="399"/>
      <c r="T366" s="399"/>
      <c r="U366" s="400"/>
      <c r="V366" s="401"/>
      <c r="W366" s="402"/>
      <c r="X366" s="402"/>
      <c r="Y366" s="403"/>
      <c r="Z366" s="404"/>
      <c r="AA366" s="493"/>
    </row>
    <row r="367" spans="1:27" s="128" customFormat="1" ht="37.5">
      <c r="A367" s="443">
        <v>1</v>
      </c>
      <c r="B367" s="444" t="s">
        <v>2719</v>
      </c>
      <c r="C367" s="445" t="s">
        <v>115</v>
      </c>
      <c r="D367" s="444" t="s">
        <v>2720</v>
      </c>
      <c r="E367" s="446">
        <v>1</v>
      </c>
      <c r="F367" s="447"/>
      <c r="G367" s="448">
        <f t="shared" ref="G367:G398" si="15">E367*F367</f>
        <v>0</v>
      </c>
      <c r="H367" s="450"/>
      <c r="I367" s="444"/>
      <c r="J367" s="450"/>
      <c r="K367" s="444" t="s">
        <v>2721</v>
      </c>
      <c r="L367" s="450" t="s">
        <v>979</v>
      </c>
      <c r="M367" s="444" t="s">
        <v>2722</v>
      </c>
      <c r="N367" s="450"/>
      <c r="O367" s="450"/>
      <c r="P367" s="450" t="s">
        <v>1890</v>
      </c>
      <c r="Q367" s="451" t="s">
        <v>374</v>
      </c>
      <c r="R367" s="451" t="s">
        <v>2723</v>
      </c>
      <c r="S367" s="452" t="s">
        <v>895</v>
      </c>
      <c r="T367" s="452"/>
      <c r="U367" s="453"/>
      <c r="V367" s="454"/>
      <c r="W367" s="455" t="s">
        <v>406</v>
      </c>
      <c r="X367" s="455">
        <v>45582</v>
      </c>
      <c r="Y367" s="456" t="s">
        <v>377</v>
      </c>
      <c r="Z367" s="457"/>
      <c r="AA367" s="453"/>
    </row>
    <row r="368" spans="1:27" s="128" customFormat="1" ht="37.5">
      <c r="A368" s="443">
        <v>2</v>
      </c>
      <c r="B368" s="444" t="s">
        <v>2724</v>
      </c>
      <c r="C368" s="445" t="s">
        <v>115</v>
      </c>
      <c r="D368" s="444" t="s">
        <v>2725</v>
      </c>
      <c r="E368" s="446">
        <v>1</v>
      </c>
      <c r="F368" s="447"/>
      <c r="G368" s="448">
        <f t="shared" si="15"/>
        <v>0</v>
      </c>
      <c r="H368" s="450"/>
      <c r="I368" s="444"/>
      <c r="J368" s="450"/>
      <c r="K368" s="444" t="s">
        <v>2721</v>
      </c>
      <c r="L368" s="450" t="s">
        <v>979</v>
      </c>
      <c r="M368" s="444" t="s">
        <v>2722</v>
      </c>
      <c r="N368" s="450"/>
      <c r="O368" s="450"/>
      <c r="P368" s="450" t="s">
        <v>1890</v>
      </c>
      <c r="Q368" s="451" t="s">
        <v>374</v>
      </c>
      <c r="R368" s="451" t="s">
        <v>2723</v>
      </c>
      <c r="S368" s="452" t="s">
        <v>895</v>
      </c>
      <c r="T368" s="452"/>
      <c r="U368" s="453"/>
      <c r="V368" s="454"/>
      <c r="W368" s="455" t="s">
        <v>406</v>
      </c>
      <c r="X368" s="455">
        <v>45582</v>
      </c>
      <c r="Y368" s="456" t="s">
        <v>377</v>
      </c>
      <c r="Z368" s="457"/>
      <c r="AA368" s="453"/>
    </row>
    <row r="369" spans="1:27" s="128" customFormat="1">
      <c r="A369" s="443">
        <v>3</v>
      </c>
      <c r="B369" s="444" t="s">
        <v>2726</v>
      </c>
      <c r="C369" s="445" t="s">
        <v>115</v>
      </c>
      <c r="D369" s="444" t="s">
        <v>2727</v>
      </c>
      <c r="E369" s="446">
        <v>1</v>
      </c>
      <c r="F369" s="447"/>
      <c r="G369" s="448">
        <f t="shared" si="15"/>
        <v>0</v>
      </c>
      <c r="H369" s="450"/>
      <c r="I369" s="444"/>
      <c r="J369" s="450"/>
      <c r="K369" s="444"/>
      <c r="L369" s="450"/>
      <c r="M369" s="444"/>
      <c r="N369" s="450"/>
      <c r="O369" s="450"/>
      <c r="P369" s="450"/>
      <c r="Q369" s="451" t="s">
        <v>374</v>
      </c>
      <c r="R369" s="451"/>
      <c r="S369" s="452"/>
      <c r="T369" s="452"/>
      <c r="U369" s="453"/>
      <c r="V369" s="454"/>
      <c r="W369" s="455" t="s">
        <v>406</v>
      </c>
      <c r="X369" s="455">
        <v>45526</v>
      </c>
      <c r="Y369" s="456" t="s">
        <v>377</v>
      </c>
      <c r="Z369" s="457"/>
      <c r="AA369" s="453"/>
    </row>
    <row r="370" spans="1:27" s="128" customFormat="1">
      <c r="A370" s="443">
        <v>4</v>
      </c>
      <c r="B370" s="444" t="s">
        <v>2728</v>
      </c>
      <c r="C370" s="445" t="s">
        <v>115</v>
      </c>
      <c r="D370" s="444" t="s">
        <v>2729</v>
      </c>
      <c r="E370" s="446">
        <v>1</v>
      </c>
      <c r="F370" s="447"/>
      <c r="G370" s="448">
        <f t="shared" si="15"/>
        <v>0</v>
      </c>
      <c r="H370" s="450"/>
      <c r="I370" s="444"/>
      <c r="J370" s="450"/>
      <c r="K370" s="444"/>
      <c r="L370" s="450"/>
      <c r="M370" s="444"/>
      <c r="N370" s="450"/>
      <c r="O370" s="450"/>
      <c r="P370" s="450"/>
      <c r="Q370" s="451" t="s">
        <v>374</v>
      </c>
      <c r="R370" s="451"/>
      <c r="S370" s="452"/>
      <c r="T370" s="452"/>
      <c r="U370" s="453"/>
      <c r="V370" s="454"/>
      <c r="W370" s="455" t="s">
        <v>406</v>
      </c>
      <c r="X370" s="455">
        <v>45526</v>
      </c>
      <c r="Y370" s="456" t="s">
        <v>377</v>
      </c>
      <c r="Z370" s="457"/>
      <c r="AA370" s="453"/>
    </row>
    <row r="371" spans="1:27" s="128" customFormat="1">
      <c r="A371" s="443">
        <v>5</v>
      </c>
      <c r="B371" s="444" t="s">
        <v>2730</v>
      </c>
      <c r="C371" s="445" t="s">
        <v>115</v>
      </c>
      <c r="D371" s="444" t="s">
        <v>2731</v>
      </c>
      <c r="E371" s="446">
        <v>1</v>
      </c>
      <c r="F371" s="447"/>
      <c r="G371" s="448">
        <f t="shared" si="15"/>
        <v>0</v>
      </c>
      <c r="H371" s="450"/>
      <c r="I371" s="444"/>
      <c r="J371" s="450"/>
      <c r="K371" s="444"/>
      <c r="L371" s="450"/>
      <c r="M371" s="444"/>
      <c r="N371" s="450"/>
      <c r="O371" s="450"/>
      <c r="P371" s="450"/>
      <c r="Q371" s="451" t="s">
        <v>374</v>
      </c>
      <c r="R371" s="451"/>
      <c r="S371" s="452"/>
      <c r="T371" s="452"/>
      <c r="U371" s="453"/>
      <c r="V371" s="454"/>
      <c r="W371" s="455" t="s">
        <v>406</v>
      </c>
      <c r="X371" s="455">
        <v>45526</v>
      </c>
      <c r="Y371" s="456" t="s">
        <v>377</v>
      </c>
      <c r="Z371" s="457"/>
      <c r="AA371" s="453"/>
    </row>
    <row r="372" spans="1:27" s="128" customFormat="1">
      <c r="A372" s="443">
        <v>6</v>
      </c>
      <c r="B372" s="444" t="s">
        <v>2732</v>
      </c>
      <c r="C372" s="445" t="s">
        <v>115</v>
      </c>
      <c r="D372" s="444" t="s">
        <v>2733</v>
      </c>
      <c r="E372" s="446">
        <v>1</v>
      </c>
      <c r="F372" s="447"/>
      <c r="G372" s="448">
        <f t="shared" si="15"/>
        <v>0</v>
      </c>
      <c r="H372" s="450"/>
      <c r="I372" s="444"/>
      <c r="J372" s="450"/>
      <c r="K372" s="444"/>
      <c r="L372" s="450"/>
      <c r="M372" s="444"/>
      <c r="N372" s="450"/>
      <c r="O372" s="450"/>
      <c r="P372" s="450"/>
      <c r="Q372" s="451" t="s">
        <v>374</v>
      </c>
      <c r="R372" s="451"/>
      <c r="S372" s="452"/>
      <c r="T372" s="452"/>
      <c r="U372" s="453"/>
      <c r="V372" s="454"/>
      <c r="W372" s="455" t="s">
        <v>406</v>
      </c>
      <c r="X372" s="455">
        <v>45526</v>
      </c>
      <c r="Y372" s="456" t="s">
        <v>377</v>
      </c>
      <c r="Z372" s="457"/>
      <c r="AA372" s="453"/>
    </row>
    <row r="373" spans="1:27" s="128" customFormat="1" ht="37.5">
      <c r="A373" s="443">
        <v>7</v>
      </c>
      <c r="B373" s="444" t="s">
        <v>2734</v>
      </c>
      <c r="C373" s="445" t="s">
        <v>115</v>
      </c>
      <c r="D373" s="444" t="s">
        <v>2735</v>
      </c>
      <c r="E373" s="446">
        <v>1</v>
      </c>
      <c r="F373" s="447"/>
      <c r="G373" s="448">
        <f t="shared" si="15"/>
        <v>0</v>
      </c>
      <c r="H373" s="450"/>
      <c r="I373" s="444"/>
      <c r="J373" s="450"/>
      <c r="K373" s="444" t="s">
        <v>2721</v>
      </c>
      <c r="L373" s="450" t="s">
        <v>979</v>
      </c>
      <c r="M373" s="444" t="s">
        <v>2722</v>
      </c>
      <c r="N373" s="450"/>
      <c r="O373" s="450"/>
      <c r="P373" s="450" t="s">
        <v>1890</v>
      </c>
      <c r="Q373" s="451" t="s">
        <v>374</v>
      </c>
      <c r="R373" s="451" t="s">
        <v>2723</v>
      </c>
      <c r="S373" s="452" t="s">
        <v>2736</v>
      </c>
      <c r="T373" s="452"/>
      <c r="U373" s="453"/>
      <c r="V373" s="454"/>
      <c r="W373" s="455" t="s">
        <v>406</v>
      </c>
      <c r="X373" s="455">
        <v>45582</v>
      </c>
      <c r="Y373" s="456" t="s">
        <v>377</v>
      </c>
      <c r="Z373" s="457"/>
      <c r="AA373" s="453"/>
    </row>
    <row r="374" spans="1:27" s="128" customFormat="1">
      <c r="A374" s="443">
        <v>8</v>
      </c>
      <c r="B374" s="444" t="s">
        <v>2737</v>
      </c>
      <c r="C374" s="445" t="s">
        <v>115</v>
      </c>
      <c r="D374" s="444" t="s">
        <v>2738</v>
      </c>
      <c r="E374" s="446">
        <v>1</v>
      </c>
      <c r="F374" s="447"/>
      <c r="G374" s="448">
        <f t="shared" si="15"/>
        <v>0</v>
      </c>
      <c r="H374" s="450"/>
      <c r="I374" s="444"/>
      <c r="J374" s="450"/>
      <c r="K374" s="444"/>
      <c r="L374" s="450"/>
      <c r="M374" s="444"/>
      <c r="N374" s="450"/>
      <c r="O374" s="450"/>
      <c r="P374" s="450"/>
      <c r="Q374" s="451" t="s">
        <v>374</v>
      </c>
      <c r="R374" s="451"/>
      <c r="S374" s="452"/>
      <c r="T374" s="452"/>
      <c r="U374" s="453"/>
      <c r="V374" s="454"/>
      <c r="W374" s="455" t="s">
        <v>406</v>
      </c>
      <c r="X374" s="455">
        <v>45526</v>
      </c>
      <c r="Y374" s="456" t="s">
        <v>377</v>
      </c>
      <c r="Z374" s="457"/>
      <c r="AA374" s="453"/>
    </row>
    <row r="375" spans="1:27" s="128" customFormat="1">
      <c r="A375" s="443">
        <v>9</v>
      </c>
      <c r="B375" s="444" t="s">
        <v>2577</v>
      </c>
      <c r="C375" s="445" t="s">
        <v>115</v>
      </c>
      <c r="D375" s="444" t="s">
        <v>2578</v>
      </c>
      <c r="E375" s="446">
        <v>8</v>
      </c>
      <c r="F375" s="447"/>
      <c r="G375" s="448">
        <f t="shared" si="15"/>
        <v>0</v>
      </c>
      <c r="H375" s="450"/>
      <c r="I375" s="444"/>
      <c r="J375" s="450"/>
      <c r="K375" s="444"/>
      <c r="L375" s="450"/>
      <c r="M375" s="444"/>
      <c r="N375" s="450"/>
      <c r="O375" s="450"/>
      <c r="P375" s="450"/>
      <c r="Q375" s="451" t="s">
        <v>374</v>
      </c>
      <c r="R375" s="451"/>
      <c r="S375" s="452"/>
      <c r="T375" s="452"/>
      <c r="U375" s="453"/>
      <c r="V375" s="454"/>
      <c r="W375" s="455" t="s">
        <v>406</v>
      </c>
      <c r="X375" s="455">
        <v>45526</v>
      </c>
      <c r="Y375" s="456" t="s">
        <v>377</v>
      </c>
      <c r="Z375" s="457"/>
      <c r="AA375" s="453"/>
    </row>
    <row r="376" spans="1:27" s="128" customFormat="1">
      <c r="A376" s="443">
        <v>10</v>
      </c>
      <c r="B376" s="444" t="s">
        <v>2581</v>
      </c>
      <c r="C376" s="445" t="s">
        <v>115</v>
      </c>
      <c r="D376" s="444" t="s">
        <v>2582</v>
      </c>
      <c r="E376" s="446">
        <v>2</v>
      </c>
      <c r="F376" s="447"/>
      <c r="G376" s="448">
        <f t="shared" si="15"/>
        <v>0</v>
      </c>
      <c r="H376" s="450"/>
      <c r="I376" s="444"/>
      <c r="J376" s="450"/>
      <c r="K376" s="444"/>
      <c r="L376" s="450"/>
      <c r="M376" s="444"/>
      <c r="N376" s="450"/>
      <c r="O376" s="450"/>
      <c r="P376" s="450"/>
      <c r="Q376" s="451" t="s">
        <v>374</v>
      </c>
      <c r="R376" s="451"/>
      <c r="S376" s="452"/>
      <c r="T376" s="452"/>
      <c r="U376" s="453"/>
      <c r="V376" s="454"/>
      <c r="W376" s="455" t="s">
        <v>406</v>
      </c>
      <c r="X376" s="455">
        <v>45526</v>
      </c>
      <c r="Y376" s="456" t="s">
        <v>377</v>
      </c>
      <c r="Z376" s="457"/>
      <c r="AA376" s="453"/>
    </row>
    <row r="377" spans="1:27" s="128" customFormat="1">
      <c r="A377" s="443">
        <v>11</v>
      </c>
      <c r="B377" s="444" t="s">
        <v>2585</v>
      </c>
      <c r="C377" s="445" t="s">
        <v>115</v>
      </c>
      <c r="D377" s="444" t="s">
        <v>2586</v>
      </c>
      <c r="E377" s="446">
        <v>4</v>
      </c>
      <c r="F377" s="447"/>
      <c r="G377" s="448">
        <f t="shared" si="15"/>
        <v>0</v>
      </c>
      <c r="H377" s="450"/>
      <c r="I377" s="444"/>
      <c r="J377" s="450"/>
      <c r="K377" s="444"/>
      <c r="L377" s="450"/>
      <c r="M377" s="444"/>
      <c r="N377" s="450"/>
      <c r="O377" s="450"/>
      <c r="P377" s="450"/>
      <c r="Q377" s="451" t="s">
        <v>374</v>
      </c>
      <c r="R377" s="451"/>
      <c r="S377" s="452"/>
      <c r="T377" s="452"/>
      <c r="U377" s="453"/>
      <c r="V377" s="454"/>
      <c r="W377" s="455" t="s">
        <v>406</v>
      </c>
      <c r="X377" s="455">
        <v>45526</v>
      </c>
      <c r="Y377" s="456" t="s">
        <v>377</v>
      </c>
      <c r="Z377" s="457"/>
      <c r="AA377" s="453"/>
    </row>
    <row r="378" spans="1:27" s="128" customFormat="1">
      <c r="A378" s="443">
        <v>12</v>
      </c>
      <c r="B378" s="444" t="s">
        <v>2579</v>
      </c>
      <c r="C378" s="445" t="s">
        <v>115</v>
      </c>
      <c r="D378" s="444" t="s">
        <v>2580</v>
      </c>
      <c r="E378" s="446">
        <v>7</v>
      </c>
      <c r="F378" s="447"/>
      <c r="G378" s="448">
        <f t="shared" si="15"/>
        <v>0</v>
      </c>
      <c r="H378" s="450"/>
      <c r="I378" s="444"/>
      <c r="J378" s="450"/>
      <c r="K378" s="444"/>
      <c r="L378" s="450"/>
      <c r="M378" s="444"/>
      <c r="N378" s="450"/>
      <c r="O378" s="450"/>
      <c r="P378" s="450"/>
      <c r="Q378" s="451" t="s">
        <v>374</v>
      </c>
      <c r="R378" s="451"/>
      <c r="S378" s="452"/>
      <c r="T378" s="452"/>
      <c r="U378" s="453"/>
      <c r="V378" s="454"/>
      <c r="W378" s="455" t="s">
        <v>406</v>
      </c>
      <c r="X378" s="455">
        <v>45526</v>
      </c>
      <c r="Y378" s="456" t="s">
        <v>377</v>
      </c>
      <c r="Z378" s="457"/>
      <c r="AA378" s="453"/>
    </row>
    <row r="379" spans="1:27" s="128" customFormat="1">
      <c r="A379" s="443">
        <v>13</v>
      </c>
      <c r="B379" s="444" t="s">
        <v>2583</v>
      </c>
      <c r="C379" s="445" t="s">
        <v>115</v>
      </c>
      <c r="D379" s="444" t="s">
        <v>2584</v>
      </c>
      <c r="E379" s="446">
        <v>3</v>
      </c>
      <c r="F379" s="447"/>
      <c r="G379" s="448">
        <f t="shared" si="15"/>
        <v>0</v>
      </c>
      <c r="H379" s="450"/>
      <c r="I379" s="444"/>
      <c r="J379" s="450"/>
      <c r="K379" s="444"/>
      <c r="L379" s="450"/>
      <c r="M379" s="444"/>
      <c r="N379" s="450"/>
      <c r="O379" s="450"/>
      <c r="P379" s="450"/>
      <c r="Q379" s="451" t="s">
        <v>374</v>
      </c>
      <c r="R379" s="451"/>
      <c r="S379" s="452"/>
      <c r="T379" s="452"/>
      <c r="U379" s="453"/>
      <c r="V379" s="454"/>
      <c r="W379" s="455" t="s">
        <v>406</v>
      </c>
      <c r="X379" s="455">
        <v>45526</v>
      </c>
      <c r="Y379" s="456" t="s">
        <v>377</v>
      </c>
      <c r="Z379" s="457"/>
      <c r="AA379" s="453"/>
    </row>
    <row r="380" spans="1:27" s="128" customFormat="1">
      <c r="A380" s="443">
        <v>14</v>
      </c>
      <c r="B380" s="444" t="s">
        <v>2575</v>
      </c>
      <c r="C380" s="445" t="s">
        <v>115</v>
      </c>
      <c r="D380" s="444" t="s">
        <v>2576</v>
      </c>
      <c r="E380" s="446">
        <v>1</v>
      </c>
      <c r="F380" s="447"/>
      <c r="G380" s="448">
        <f t="shared" si="15"/>
        <v>0</v>
      </c>
      <c r="H380" s="450"/>
      <c r="I380" s="444"/>
      <c r="J380" s="450"/>
      <c r="K380" s="444"/>
      <c r="L380" s="450"/>
      <c r="M380" s="444"/>
      <c r="N380" s="450"/>
      <c r="O380" s="450"/>
      <c r="P380" s="450"/>
      <c r="Q380" s="451" t="s">
        <v>374</v>
      </c>
      <c r="R380" s="451"/>
      <c r="S380" s="452"/>
      <c r="T380" s="452"/>
      <c r="U380" s="453"/>
      <c r="V380" s="454"/>
      <c r="W380" s="455" t="s">
        <v>406</v>
      </c>
      <c r="X380" s="455">
        <v>45526</v>
      </c>
      <c r="Y380" s="456" t="s">
        <v>377</v>
      </c>
      <c r="Z380" s="457"/>
      <c r="AA380" s="453"/>
    </row>
    <row r="381" spans="1:27" s="128" customFormat="1">
      <c r="A381" s="443">
        <v>15</v>
      </c>
      <c r="B381" s="444" t="s">
        <v>2739</v>
      </c>
      <c r="C381" s="445" t="s">
        <v>115</v>
      </c>
      <c r="D381" s="444" t="s">
        <v>2740</v>
      </c>
      <c r="E381" s="446">
        <v>1</v>
      </c>
      <c r="F381" s="447"/>
      <c r="G381" s="448">
        <f t="shared" si="15"/>
        <v>0</v>
      </c>
      <c r="H381" s="450"/>
      <c r="I381" s="444"/>
      <c r="J381" s="450"/>
      <c r="K381" s="444"/>
      <c r="L381" s="450"/>
      <c r="M381" s="444"/>
      <c r="N381" s="450"/>
      <c r="O381" s="450"/>
      <c r="P381" s="450"/>
      <c r="Q381" s="451" t="s">
        <v>374</v>
      </c>
      <c r="R381" s="451"/>
      <c r="S381" s="452"/>
      <c r="T381" s="452"/>
      <c r="U381" s="453"/>
      <c r="V381" s="454"/>
      <c r="W381" s="455" t="s">
        <v>406</v>
      </c>
      <c r="X381" s="455">
        <v>45526</v>
      </c>
      <c r="Y381" s="456" t="s">
        <v>377</v>
      </c>
      <c r="Z381" s="457"/>
      <c r="AA381" s="453"/>
    </row>
    <row r="382" spans="1:27" s="128" customFormat="1">
      <c r="A382" s="443">
        <v>16</v>
      </c>
      <c r="B382" s="444" t="s">
        <v>2741</v>
      </c>
      <c r="C382" s="445" t="s">
        <v>115</v>
      </c>
      <c r="D382" s="444" t="s">
        <v>2742</v>
      </c>
      <c r="E382" s="446">
        <v>1</v>
      </c>
      <c r="F382" s="447"/>
      <c r="G382" s="448">
        <f t="shared" si="15"/>
        <v>0</v>
      </c>
      <c r="H382" s="450"/>
      <c r="I382" s="444"/>
      <c r="J382" s="450"/>
      <c r="K382" s="444"/>
      <c r="L382" s="450"/>
      <c r="M382" s="444"/>
      <c r="N382" s="450"/>
      <c r="O382" s="450"/>
      <c r="P382" s="450"/>
      <c r="Q382" s="451" t="s">
        <v>374</v>
      </c>
      <c r="R382" s="451"/>
      <c r="S382" s="452"/>
      <c r="T382" s="452"/>
      <c r="U382" s="453"/>
      <c r="V382" s="454"/>
      <c r="W382" s="455" t="s">
        <v>406</v>
      </c>
      <c r="X382" s="455">
        <v>45526</v>
      </c>
      <c r="Y382" s="456" t="s">
        <v>377</v>
      </c>
      <c r="Z382" s="457"/>
      <c r="AA382" s="453"/>
    </row>
    <row r="383" spans="1:27" s="128" customFormat="1">
      <c r="A383" s="443">
        <v>17</v>
      </c>
      <c r="B383" s="444" t="s">
        <v>2743</v>
      </c>
      <c r="C383" s="445" t="s">
        <v>115</v>
      </c>
      <c r="D383" s="444" t="s">
        <v>2744</v>
      </c>
      <c r="E383" s="446">
        <v>2</v>
      </c>
      <c r="F383" s="447"/>
      <c r="G383" s="448">
        <f t="shared" si="15"/>
        <v>0</v>
      </c>
      <c r="H383" s="450"/>
      <c r="I383" s="444"/>
      <c r="J383" s="450"/>
      <c r="K383" s="444"/>
      <c r="L383" s="450"/>
      <c r="M383" s="444"/>
      <c r="N383" s="450"/>
      <c r="O383" s="450"/>
      <c r="P383" s="450"/>
      <c r="Q383" s="451" t="s">
        <v>374</v>
      </c>
      <c r="R383" s="451"/>
      <c r="S383" s="452"/>
      <c r="T383" s="452"/>
      <c r="U383" s="453"/>
      <c r="V383" s="454"/>
      <c r="W383" s="455" t="s">
        <v>406</v>
      </c>
      <c r="X383" s="455">
        <v>45526</v>
      </c>
      <c r="Y383" s="456" t="s">
        <v>377</v>
      </c>
      <c r="Z383" s="457"/>
      <c r="AA383" s="453"/>
    </row>
    <row r="384" spans="1:27" s="128" customFormat="1">
      <c r="A384" s="443">
        <v>18</v>
      </c>
      <c r="B384" s="444" t="s">
        <v>2745</v>
      </c>
      <c r="C384" s="445" t="s">
        <v>115</v>
      </c>
      <c r="D384" s="444" t="s">
        <v>2746</v>
      </c>
      <c r="E384" s="446">
        <v>2</v>
      </c>
      <c r="F384" s="447"/>
      <c r="G384" s="448">
        <f t="shared" si="15"/>
        <v>0</v>
      </c>
      <c r="H384" s="450"/>
      <c r="I384" s="444"/>
      <c r="J384" s="450"/>
      <c r="K384" s="444"/>
      <c r="L384" s="450"/>
      <c r="M384" s="444"/>
      <c r="N384" s="450"/>
      <c r="O384" s="450"/>
      <c r="P384" s="450"/>
      <c r="Q384" s="451" t="s">
        <v>374</v>
      </c>
      <c r="R384" s="451"/>
      <c r="S384" s="452"/>
      <c r="T384" s="452"/>
      <c r="U384" s="453"/>
      <c r="V384" s="454"/>
      <c r="W384" s="455" t="s">
        <v>406</v>
      </c>
      <c r="X384" s="455">
        <v>45526</v>
      </c>
      <c r="Y384" s="456" t="s">
        <v>377</v>
      </c>
      <c r="Z384" s="457"/>
      <c r="AA384" s="453"/>
    </row>
    <row r="385" spans="1:27" s="128" customFormat="1">
      <c r="A385" s="443">
        <v>19</v>
      </c>
      <c r="B385" s="444" t="s">
        <v>2747</v>
      </c>
      <c r="C385" s="445" t="s">
        <v>115</v>
      </c>
      <c r="D385" s="444" t="s">
        <v>2748</v>
      </c>
      <c r="E385" s="446">
        <v>1</v>
      </c>
      <c r="F385" s="447"/>
      <c r="G385" s="448">
        <f t="shared" si="15"/>
        <v>0</v>
      </c>
      <c r="H385" s="450"/>
      <c r="I385" s="444"/>
      <c r="J385" s="450"/>
      <c r="K385" s="444"/>
      <c r="L385" s="450"/>
      <c r="M385" s="444"/>
      <c r="N385" s="450"/>
      <c r="O385" s="450"/>
      <c r="P385" s="450"/>
      <c r="Q385" s="451" t="s">
        <v>374</v>
      </c>
      <c r="R385" s="451"/>
      <c r="S385" s="452"/>
      <c r="T385" s="452"/>
      <c r="U385" s="453"/>
      <c r="V385" s="454"/>
      <c r="W385" s="455" t="s">
        <v>406</v>
      </c>
      <c r="X385" s="455">
        <v>45526</v>
      </c>
      <c r="Y385" s="456" t="s">
        <v>377</v>
      </c>
      <c r="Z385" s="457"/>
      <c r="AA385" s="453"/>
    </row>
    <row r="386" spans="1:27" s="128" customFormat="1">
      <c r="A386" s="443">
        <v>20</v>
      </c>
      <c r="B386" s="444" t="s">
        <v>2749</v>
      </c>
      <c r="C386" s="445" t="s">
        <v>115</v>
      </c>
      <c r="D386" s="444" t="s">
        <v>2750</v>
      </c>
      <c r="E386" s="446">
        <v>1</v>
      </c>
      <c r="F386" s="447"/>
      <c r="G386" s="448">
        <f t="shared" si="15"/>
        <v>0</v>
      </c>
      <c r="H386" s="450"/>
      <c r="I386" s="444"/>
      <c r="J386" s="450"/>
      <c r="K386" s="444"/>
      <c r="L386" s="450"/>
      <c r="M386" s="444"/>
      <c r="N386" s="450"/>
      <c r="O386" s="450"/>
      <c r="P386" s="450"/>
      <c r="Q386" s="451" t="s">
        <v>374</v>
      </c>
      <c r="R386" s="451"/>
      <c r="S386" s="452"/>
      <c r="T386" s="452"/>
      <c r="U386" s="453"/>
      <c r="V386" s="454"/>
      <c r="W386" s="455" t="s">
        <v>406</v>
      </c>
      <c r="X386" s="455">
        <v>45526</v>
      </c>
      <c r="Y386" s="456" t="s">
        <v>377</v>
      </c>
      <c r="Z386" s="457"/>
      <c r="AA386" s="453"/>
    </row>
    <row r="387" spans="1:27" s="128" customFormat="1">
      <c r="A387" s="443">
        <v>21</v>
      </c>
      <c r="B387" s="444" t="s">
        <v>2751</v>
      </c>
      <c r="C387" s="445" t="s">
        <v>115</v>
      </c>
      <c r="D387" s="444" t="s">
        <v>2752</v>
      </c>
      <c r="E387" s="446">
        <v>1</v>
      </c>
      <c r="F387" s="447"/>
      <c r="G387" s="448">
        <f t="shared" si="15"/>
        <v>0</v>
      </c>
      <c r="H387" s="450"/>
      <c r="I387" s="444"/>
      <c r="J387" s="450"/>
      <c r="K387" s="444"/>
      <c r="L387" s="450"/>
      <c r="M387" s="444"/>
      <c r="N387" s="450"/>
      <c r="O387" s="450"/>
      <c r="P387" s="450"/>
      <c r="Q387" s="451" t="s">
        <v>374</v>
      </c>
      <c r="R387" s="451"/>
      <c r="S387" s="452"/>
      <c r="T387" s="452"/>
      <c r="U387" s="453"/>
      <c r="V387" s="454"/>
      <c r="W387" s="455" t="s">
        <v>406</v>
      </c>
      <c r="X387" s="455">
        <v>45526</v>
      </c>
      <c r="Y387" s="456" t="s">
        <v>377</v>
      </c>
      <c r="Z387" s="457"/>
      <c r="AA387" s="453"/>
    </row>
    <row r="388" spans="1:27" s="128" customFormat="1">
      <c r="A388" s="443">
        <v>22</v>
      </c>
      <c r="B388" s="444" t="s">
        <v>2602</v>
      </c>
      <c r="C388" s="445" t="s">
        <v>115</v>
      </c>
      <c r="D388" s="444" t="s">
        <v>2603</v>
      </c>
      <c r="E388" s="446">
        <v>1</v>
      </c>
      <c r="F388" s="447"/>
      <c r="G388" s="448">
        <f t="shared" si="15"/>
        <v>0</v>
      </c>
      <c r="H388" s="450"/>
      <c r="I388" s="444"/>
      <c r="J388" s="450"/>
      <c r="K388" s="444"/>
      <c r="L388" s="450"/>
      <c r="M388" s="444"/>
      <c r="N388" s="450"/>
      <c r="O388" s="450"/>
      <c r="P388" s="450"/>
      <c r="Q388" s="451" t="s">
        <v>374</v>
      </c>
      <c r="R388" s="451"/>
      <c r="S388" s="452"/>
      <c r="T388" s="452"/>
      <c r="U388" s="453"/>
      <c r="V388" s="454"/>
      <c r="W388" s="455" t="s">
        <v>406</v>
      </c>
      <c r="X388" s="455">
        <v>45526</v>
      </c>
      <c r="Y388" s="456" t="s">
        <v>377</v>
      </c>
      <c r="Z388" s="457"/>
      <c r="AA388" s="453"/>
    </row>
    <row r="389" spans="1:27" s="128" customFormat="1">
      <c r="A389" s="443">
        <v>23</v>
      </c>
      <c r="B389" s="444" t="s">
        <v>2753</v>
      </c>
      <c r="C389" s="445" t="s">
        <v>115</v>
      </c>
      <c r="D389" s="444" t="s">
        <v>2754</v>
      </c>
      <c r="E389" s="446">
        <v>2</v>
      </c>
      <c r="F389" s="447"/>
      <c r="G389" s="448">
        <f t="shared" si="15"/>
        <v>0</v>
      </c>
      <c r="H389" s="450"/>
      <c r="I389" s="444"/>
      <c r="J389" s="450"/>
      <c r="K389" s="444"/>
      <c r="L389" s="450"/>
      <c r="M389" s="444"/>
      <c r="N389" s="450"/>
      <c r="O389" s="450"/>
      <c r="P389" s="450"/>
      <c r="Q389" s="451" t="s">
        <v>374</v>
      </c>
      <c r="R389" s="451"/>
      <c r="S389" s="452"/>
      <c r="T389" s="452"/>
      <c r="U389" s="453"/>
      <c r="V389" s="454"/>
      <c r="W389" s="455" t="s">
        <v>406</v>
      </c>
      <c r="X389" s="455">
        <v>45526</v>
      </c>
      <c r="Y389" s="456" t="s">
        <v>377</v>
      </c>
      <c r="Z389" s="457"/>
      <c r="AA389" s="453"/>
    </row>
    <row r="390" spans="1:27" s="128" customFormat="1" ht="37.5">
      <c r="A390" s="405">
        <v>24</v>
      </c>
      <c r="B390" s="407" t="s">
        <v>2755</v>
      </c>
      <c r="C390" s="406" t="s">
        <v>115</v>
      </c>
      <c r="D390" s="407" t="s">
        <v>2756</v>
      </c>
      <c r="E390" s="408">
        <v>1</v>
      </c>
      <c r="F390" s="409"/>
      <c r="G390" s="410">
        <f t="shared" si="15"/>
        <v>0</v>
      </c>
      <c r="H390" s="412"/>
      <c r="I390" s="407"/>
      <c r="J390" s="412"/>
      <c r="K390" s="407" t="s">
        <v>2721</v>
      </c>
      <c r="L390" s="412" t="s">
        <v>979</v>
      </c>
      <c r="M390" s="407" t="s">
        <v>2757</v>
      </c>
      <c r="N390" s="412"/>
      <c r="O390" s="412"/>
      <c r="P390" s="412" t="s">
        <v>1890</v>
      </c>
      <c r="Q390" s="413" t="s">
        <v>726</v>
      </c>
      <c r="R390" s="413" t="s">
        <v>2642</v>
      </c>
      <c r="S390" s="414" t="s">
        <v>797</v>
      </c>
      <c r="T390" s="414"/>
      <c r="U390" s="415"/>
      <c r="V390" s="416"/>
      <c r="W390" s="417"/>
      <c r="X390" s="417"/>
      <c r="Y390" s="418" t="s">
        <v>377</v>
      </c>
      <c r="Z390" s="419"/>
      <c r="AA390" s="415"/>
    </row>
    <row r="391" spans="1:27" s="128" customFormat="1" ht="37.5">
      <c r="A391" s="443">
        <v>25</v>
      </c>
      <c r="B391" s="444" t="s">
        <v>2724</v>
      </c>
      <c r="C391" s="445" t="s">
        <v>115</v>
      </c>
      <c r="D391" s="444" t="s">
        <v>2725</v>
      </c>
      <c r="E391" s="446">
        <v>1</v>
      </c>
      <c r="F391" s="447"/>
      <c r="G391" s="448">
        <f t="shared" si="15"/>
        <v>0</v>
      </c>
      <c r="H391" s="450"/>
      <c r="I391" s="444"/>
      <c r="J391" s="450"/>
      <c r="K391" s="444" t="s">
        <v>2721</v>
      </c>
      <c r="L391" s="450" t="s">
        <v>979</v>
      </c>
      <c r="M391" s="444" t="s">
        <v>2722</v>
      </c>
      <c r="N391" s="450"/>
      <c r="O391" s="450"/>
      <c r="P391" s="450" t="s">
        <v>1890</v>
      </c>
      <c r="Q391" s="451" t="s">
        <v>374</v>
      </c>
      <c r="R391" s="451" t="s">
        <v>2723</v>
      </c>
      <c r="S391" s="452" t="s">
        <v>895</v>
      </c>
      <c r="T391" s="452" t="s">
        <v>712</v>
      </c>
      <c r="U391" s="453"/>
      <c r="V391" s="454"/>
      <c r="W391" s="455" t="s">
        <v>406</v>
      </c>
      <c r="X391" s="455">
        <v>45582</v>
      </c>
      <c r="Y391" s="456" t="s">
        <v>377</v>
      </c>
      <c r="Z391" s="457"/>
      <c r="AA391" s="453"/>
    </row>
    <row r="392" spans="1:27" s="128" customFormat="1" ht="37.5">
      <c r="A392" s="443">
        <v>26</v>
      </c>
      <c r="B392" s="444" t="s">
        <v>2719</v>
      </c>
      <c r="C392" s="445" t="s">
        <v>115</v>
      </c>
      <c r="D392" s="444" t="s">
        <v>2720</v>
      </c>
      <c r="E392" s="446">
        <v>1</v>
      </c>
      <c r="F392" s="447"/>
      <c r="G392" s="448">
        <f t="shared" si="15"/>
        <v>0</v>
      </c>
      <c r="H392" s="450"/>
      <c r="I392" s="444"/>
      <c r="J392" s="450"/>
      <c r="K392" s="444" t="s">
        <v>2721</v>
      </c>
      <c r="L392" s="450" t="s">
        <v>979</v>
      </c>
      <c r="M392" s="444" t="s">
        <v>2722</v>
      </c>
      <c r="N392" s="450"/>
      <c r="O392" s="450"/>
      <c r="P392" s="450" t="s">
        <v>1890</v>
      </c>
      <c r="Q392" s="451" t="s">
        <v>374</v>
      </c>
      <c r="R392" s="451" t="s">
        <v>2723</v>
      </c>
      <c r="S392" s="452" t="s">
        <v>895</v>
      </c>
      <c r="T392" s="452" t="s">
        <v>712</v>
      </c>
      <c r="U392" s="453"/>
      <c r="V392" s="454"/>
      <c r="W392" s="455" t="s">
        <v>406</v>
      </c>
      <c r="X392" s="455">
        <v>45582</v>
      </c>
      <c r="Y392" s="456" t="s">
        <v>377</v>
      </c>
      <c r="Z392" s="457"/>
      <c r="AA392" s="453"/>
    </row>
    <row r="393" spans="1:27" s="128" customFormat="1" ht="37.5">
      <c r="A393" s="443">
        <v>27</v>
      </c>
      <c r="B393" s="444" t="s">
        <v>2758</v>
      </c>
      <c r="C393" s="445" t="s">
        <v>115</v>
      </c>
      <c r="D393" s="444" t="s">
        <v>2759</v>
      </c>
      <c r="E393" s="446">
        <v>2</v>
      </c>
      <c r="F393" s="447"/>
      <c r="G393" s="448">
        <f t="shared" si="15"/>
        <v>0</v>
      </c>
      <c r="H393" s="450"/>
      <c r="I393" s="444"/>
      <c r="J393" s="450"/>
      <c r="K393" s="444"/>
      <c r="L393" s="450"/>
      <c r="M393" s="444"/>
      <c r="N393" s="450"/>
      <c r="O393" s="450"/>
      <c r="P393" s="450"/>
      <c r="Q393" s="451" t="s">
        <v>374</v>
      </c>
      <c r="R393" s="451"/>
      <c r="S393" s="452"/>
      <c r="T393" s="452"/>
      <c r="U393" s="453"/>
      <c r="V393" s="454"/>
      <c r="W393" s="455" t="s">
        <v>406</v>
      </c>
      <c r="X393" s="455">
        <v>45526</v>
      </c>
      <c r="Y393" s="456" t="s">
        <v>377</v>
      </c>
      <c r="Z393" s="457"/>
      <c r="AA393" s="453"/>
    </row>
    <row r="394" spans="1:27" s="128" customFormat="1" ht="37.5">
      <c r="A394" s="443">
        <v>28</v>
      </c>
      <c r="B394" s="444" t="s">
        <v>2760</v>
      </c>
      <c r="C394" s="445" t="s">
        <v>115</v>
      </c>
      <c r="D394" s="444" t="s">
        <v>2761</v>
      </c>
      <c r="E394" s="446">
        <v>2</v>
      </c>
      <c r="F394" s="447"/>
      <c r="G394" s="448">
        <f t="shared" si="15"/>
        <v>0</v>
      </c>
      <c r="H394" s="450"/>
      <c r="I394" s="444"/>
      <c r="J394" s="450"/>
      <c r="K394" s="444"/>
      <c r="L394" s="450"/>
      <c r="M394" s="444"/>
      <c r="N394" s="450"/>
      <c r="O394" s="450"/>
      <c r="P394" s="450"/>
      <c r="Q394" s="451" t="s">
        <v>374</v>
      </c>
      <c r="R394" s="451"/>
      <c r="S394" s="452"/>
      <c r="T394" s="452"/>
      <c r="U394" s="453"/>
      <c r="V394" s="454"/>
      <c r="W394" s="455" t="s">
        <v>406</v>
      </c>
      <c r="X394" s="455">
        <v>45526</v>
      </c>
      <c r="Y394" s="456" t="s">
        <v>377</v>
      </c>
      <c r="Z394" s="457"/>
      <c r="AA394" s="453"/>
    </row>
    <row r="395" spans="1:27" s="128" customFormat="1" ht="37.5">
      <c r="A395" s="443">
        <v>29</v>
      </c>
      <c r="B395" s="444" t="s">
        <v>2762</v>
      </c>
      <c r="C395" s="445" t="s">
        <v>115</v>
      </c>
      <c r="D395" s="444" t="s">
        <v>2763</v>
      </c>
      <c r="E395" s="446">
        <v>1</v>
      </c>
      <c r="F395" s="447"/>
      <c r="G395" s="448">
        <f t="shared" si="15"/>
        <v>0</v>
      </c>
      <c r="H395" s="450"/>
      <c r="I395" s="444"/>
      <c r="J395" s="450"/>
      <c r="K395" s="444"/>
      <c r="L395" s="450"/>
      <c r="M395" s="444"/>
      <c r="N395" s="450"/>
      <c r="O395" s="450"/>
      <c r="P395" s="450"/>
      <c r="Q395" s="451" t="s">
        <v>374</v>
      </c>
      <c r="R395" s="451"/>
      <c r="S395" s="452"/>
      <c r="T395" s="452"/>
      <c r="U395" s="453"/>
      <c r="V395" s="454"/>
      <c r="W395" s="455" t="s">
        <v>406</v>
      </c>
      <c r="X395" s="455">
        <v>45526</v>
      </c>
      <c r="Y395" s="456" t="s">
        <v>377</v>
      </c>
      <c r="Z395" s="457"/>
      <c r="AA395" s="453"/>
    </row>
    <row r="396" spans="1:27" s="128" customFormat="1" ht="37.5">
      <c r="A396" s="443">
        <v>30</v>
      </c>
      <c r="B396" s="444" t="s">
        <v>2764</v>
      </c>
      <c r="C396" s="445" t="s">
        <v>115</v>
      </c>
      <c r="D396" s="444" t="s">
        <v>2765</v>
      </c>
      <c r="E396" s="446">
        <v>1</v>
      </c>
      <c r="F396" s="447"/>
      <c r="G396" s="448">
        <f t="shared" si="15"/>
        <v>0</v>
      </c>
      <c r="H396" s="450"/>
      <c r="I396" s="444"/>
      <c r="J396" s="450"/>
      <c r="K396" s="444"/>
      <c r="L396" s="450"/>
      <c r="M396" s="444"/>
      <c r="N396" s="450"/>
      <c r="O396" s="450"/>
      <c r="P396" s="450"/>
      <c r="Q396" s="451" t="s">
        <v>374</v>
      </c>
      <c r="R396" s="451"/>
      <c r="S396" s="452"/>
      <c r="T396" s="452"/>
      <c r="U396" s="453"/>
      <c r="V396" s="454"/>
      <c r="W396" s="455" t="s">
        <v>406</v>
      </c>
      <c r="X396" s="455">
        <v>45526</v>
      </c>
      <c r="Y396" s="456" t="s">
        <v>377</v>
      </c>
      <c r="Z396" s="457"/>
      <c r="AA396" s="453"/>
    </row>
    <row r="397" spans="1:27" s="128" customFormat="1" ht="37.5">
      <c r="A397" s="443">
        <v>31</v>
      </c>
      <c r="B397" s="444" t="s">
        <v>2766</v>
      </c>
      <c r="C397" s="445" t="s">
        <v>115</v>
      </c>
      <c r="D397" s="444" t="s">
        <v>2767</v>
      </c>
      <c r="E397" s="446">
        <v>1</v>
      </c>
      <c r="F397" s="447"/>
      <c r="G397" s="448">
        <f t="shared" si="15"/>
        <v>0</v>
      </c>
      <c r="H397" s="450"/>
      <c r="I397" s="444"/>
      <c r="J397" s="450"/>
      <c r="K397" s="444"/>
      <c r="L397" s="450"/>
      <c r="M397" s="444"/>
      <c r="N397" s="450"/>
      <c r="O397" s="450"/>
      <c r="P397" s="450"/>
      <c r="Q397" s="451" t="s">
        <v>374</v>
      </c>
      <c r="R397" s="451"/>
      <c r="S397" s="452"/>
      <c r="T397" s="452"/>
      <c r="U397" s="453"/>
      <c r="V397" s="454"/>
      <c r="W397" s="455" t="s">
        <v>406</v>
      </c>
      <c r="X397" s="455">
        <v>45526</v>
      </c>
      <c r="Y397" s="456" t="s">
        <v>377</v>
      </c>
      <c r="Z397" s="457"/>
      <c r="AA397" s="453"/>
    </row>
    <row r="398" spans="1:27" s="128" customFormat="1" ht="37.5">
      <c r="A398" s="443">
        <v>32</v>
      </c>
      <c r="B398" s="444" t="s">
        <v>2768</v>
      </c>
      <c r="C398" s="445" t="s">
        <v>115</v>
      </c>
      <c r="D398" s="444" t="s">
        <v>2769</v>
      </c>
      <c r="E398" s="446">
        <v>1</v>
      </c>
      <c r="F398" s="447"/>
      <c r="G398" s="448">
        <f t="shared" si="15"/>
        <v>0</v>
      </c>
      <c r="H398" s="450"/>
      <c r="I398" s="444"/>
      <c r="J398" s="450"/>
      <c r="K398" s="444"/>
      <c r="L398" s="450"/>
      <c r="M398" s="444"/>
      <c r="N398" s="450"/>
      <c r="O398" s="450"/>
      <c r="P398" s="450"/>
      <c r="Q398" s="451" t="s">
        <v>374</v>
      </c>
      <c r="R398" s="451"/>
      <c r="S398" s="452"/>
      <c r="T398" s="452"/>
      <c r="U398" s="453"/>
      <c r="V398" s="454"/>
      <c r="W398" s="455" t="s">
        <v>406</v>
      </c>
      <c r="X398" s="455">
        <v>45526</v>
      </c>
      <c r="Y398" s="456" t="s">
        <v>377</v>
      </c>
      <c r="Z398" s="457"/>
      <c r="AA398" s="453"/>
    </row>
    <row r="399" spans="1:27" s="128" customFormat="1" ht="37.5">
      <c r="A399" s="443">
        <v>33</v>
      </c>
      <c r="B399" s="444" t="s">
        <v>2770</v>
      </c>
      <c r="C399" s="445" t="s">
        <v>115</v>
      </c>
      <c r="D399" s="444" t="s">
        <v>2771</v>
      </c>
      <c r="E399" s="446">
        <v>4</v>
      </c>
      <c r="F399" s="447"/>
      <c r="G399" s="448">
        <f t="shared" ref="G399:G430" si="16">E399*F399</f>
        <v>0</v>
      </c>
      <c r="H399" s="450"/>
      <c r="I399" s="444"/>
      <c r="J399" s="450"/>
      <c r="K399" s="444"/>
      <c r="L399" s="450"/>
      <c r="M399" s="444"/>
      <c r="N399" s="450"/>
      <c r="O399" s="450"/>
      <c r="P399" s="450"/>
      <c r="Q399" s="451" t="s">
        <v>374</v>
      </c>
      <c r="R399" s="451"/>
      <c r="S399" s="452"/>
      <c r="T399" s="452"/>
      <c r="U399" s="453"/>
      <c r="V399" s="454"/>
      <c r="W399" s="455" t="s">
        <v>406</v>
      </c>
      <c r="X399" s="455">
        <v>45526</v>
      </c>
      <c r="Y399" s="456" t="s">
        <v>377</v>
      </c>
      <c r="Z399" s="457"/>
      <c r="AA399" s="453"/>
    </row>
    <row r="400" spans="1:27" s="128" customFormat="1">
      <c r="A400" s="443">
        <v>34</v>
      </c>
      <c r="B400" s="444" t="s">
        <v>2569</v>
      </c>
      <c r="C400" s="445" t="s">
        <v>115</v>
      </c>
      <c r="D400" s="444" t="s">
        <v>2570</v>
      </c>
      <c r="E400" s="446">
        <v>1</v>
      </c>
      <c r="F400" s="447"/>
      <c r="G400" s="448">
        <f t="shared" si="16"/>
        <v>0</v>
      </c>
      <c r="H400" s="450"/>
      <c r="I400" s="444"/>
      <c r="J400" s="450"/>
      <c r="K400" s="444"/>
      <c r="L400" s="450"/>
      <c r="M400" s="444"/>
      <c r="N400" s="450"/>
      <c r="O400" s="450"/>
      <c r="P400" s="450"/>
      <c r="Q400" s="451" t="s">
        <v>374</v>
      </c>
      <c r="R400" s="451"/>
      <c r="S400" s="452"/>
      <c r="T400" s="452"/>
      <c r="U400" s="453"/>
      <c r="V400" s="454"/>
      <c r="W400" s="455" t="s">
        <v>406</v>
      </c>
      <c r="X400" s="455">
        <v>45526</v>
      </c>
      <c r="Y400" s="456" t="s">
        <v>377</v>
      </c>
      <c r="Z400" s="457"/>
      <c r="AA400" s="453"/>
    </row>
    <row r="401" spans="1:27" s="128" customFormat="1" ht="37.5">
      <c r="A401" s="443">
        <v>35</v>
      </c>
      <c r="B401" s="444" t="s">
        <v>2719</v>
      </c>
      <c r="C401" s="445" t="s">
        <v>115</v>
      </c>
      <c r="D401" s="444" t="s">
        <v>2720</v>
      </c>
      <c r="E401" s="446">
        <v>1</v>
      </c>
      <c r="F401" s="447"/>
      <c r="G401" s="448">
        <f t="shared" si="16"/>
        <v>0</v>
      </c>
      <c r="H401" s="450"/>
      <c r="I401" s="444"/>
      <c r="J401" s="450"/>
      <c r="K401" s="444" t="s">
        <v>2721</v>
      </c>
      <c r="L401" s="450" t="s">
        <v>979</v>
      </c>
      <c r="M401" s="444" t="s">
        <v>2722</v>
      </c>
      <c r="N401" s="450"/>
      <c r="O401" s="450"/>
      <c r="P401" s="450" t="s">
        <v>1890</v>
      </c>
      <c r="Q401" s="451" t="s">
        <v>374</v>
      </c>
      <c r="R401" s="451" t="s">
        <v>2723</v>
      </c>
      <c r="S401" s="452" t="s">
        <v>895</v>
      </c>
      <c r="T401" s="452" t="s">
        <v>712</v>
      </c>
      <c r="U401" s="453"/>
      <c r="V401" s="454"/>
      <c r="W401" s="455" t="s">
        <v>406</v>
      </c>
      <c r="X401" s="455">
        <v>45582</v>
      </c>
      <c r="Y401" s="456" t="s">
        <v>377</v>
      </c>
      <c r="Z401" s="457"/>
      <c r="AA401" s="453"/>
    </row>
    <row r="402" spans="1:27" s="128" customFormat="1" ht="37.5">
      <c r="A402" s="443">
        <v>36</v>
      </c>
      <c r="B402" s="444" t="s">
        <v>2724</v>
      </c>
      <c r="C402" s="445" t="s">
        <v>115</v>
      </c>
      <c r="D402" s="444" t="s">
        <v>2725</v>
      </c>
      <c r="E402" s="446">
        <v>1</v>
      </c>
      <c r="F402" s="447"/>
      <c r="G402" s="448">
        <f t="shared" si="16"/>
        <v>0</v>
      </c>
      <c r="H402" s="450"/>
      <c r="I402" s="444"/>
      <c r="J402" s="450"/>
      <c r="K402" s="444" t="s">
        <v>2721</v>
      </c>
      <c r="L402" s="450" t="s">
        <v>979</v>
      </c>
      <c r="M402" s="444" t="s">
        <v>2722</v>
      </c>
      <c r="N402" s="450"/>
      <c r="O402" s="450"/>
      <c r="P402" s="450" t="s">
        <v>1890</v>
      </c>
      <c r="Q402" s="451" t="s">
        <v>374</v>
      </c>
      <c r="R402" s="451" t="s">
        <v>2723</v>
      </c>
      <c r="S402" s="452" t="s">
        <v>895</v>
      </c>
      <c r="T402" s="452" t="s">
        <v>712</v>
      </c>
      <c r="U402" s="453"/>
      <c r="V402" s="454"/>
      <c r="W402" s="455" t="s">
        <v>406</v>
      </c>
      <c r="X402" s="455">
        <v>45582</v>
      </c>
      <c r="Y402" s="456" t="s">
        <v>377</v>
      </c>
      <c r="Z402" s="457"/>
      <c r="AA402" s="453"/>
    </row>
    <row r="403" spans="1:27" s="128" customFormat="1" ht="37.5">
      <c r="A403" s="443">
        <v>37</v>
      </c>
      <c r="B403" s="444" t="s">
        <v>2772</v>
      </c>
      <c r="C403" s="445" t="s">
        <v>115</v>
      </c>
      <c r="D403" s="444" t="s">
        <v>2773</v>
      </c>
      <c r="E403" s="446">
        <v>1</v>
      </c>
      <c r="F403" s="447"/>
      <c r="G403" s="448">
        <f t="shared" si="16"/>
        <v>0</v>
      </c>
      <c r="H403" s="450"/>
      <c r="I403" s="444"/>
      <c r="J403" s="450"/>
      <c r="K403" s="444"/>
      <c r="L403" s="450"/>
      <c r="M403" s="444"/>
      <c r="N403" s="450"/>
      <c r="O403" s="450"/>
      <c r="P403" s="450"/>
      <c r="Q403" s="451" t="s">
        <v>374</v>
      </c>
      <c r="R403" s="451"/>
      <c r="S403" s="452"/>
      <c r="T403" s="452"/>
      <c r="U403" s="453"/>
      <c r="V403" s="454"/>
      <c r="W403" s="455" t="s">
        <v>406</v>
      </c>
      <c r="X403" s="455">
        <v>45526</v>
      </c>
      <c r="Y403" s="456" t="s">
        <v>377</v>
      </c>
      <c r="Z403" s="457"/>
      <c r="AA403" s="453"/>
    </row>
    <row r="404" spans="1:27" s="128" customFormat="1">
      <c r="A404" s="443">
        <v>38</v>
      </c>
      <c r="B404" s="444" t="s">
        <v>2774</v>
      </c>
      <c r="C404" s="445" t="s">
        <v>115</v>
      </c>
      <c r="D404" s="444" t="s">
        <v>2775</v>
      </c>
      <c r="E404" s="446">
        <v>1</v>
      </c>
      <c r="F404" s="447"/>
      <c r="G404" s="448">
        <f t="shared" si="16"/>
        <v>0</v>
      </c>
      <c r="H404" s="450"/>
      <c r="I404" s="444"/>
      <c r="J404" s="450"/>
      <c r="K404" s="444"/>
      <c r="L404" s="450"/>
      <c r="M404" s="444"/>
      <c r="N404" s="450"/>
      <c r="O404" s="450"/>
      <c r="P404" s="450"/>
      <c r="Q404" s="451" t="s">
        <v>374</v>
      </c>
      <c r="R404" s="451"/>
      <c r="S404" s="452"/>
      <c r="T404" s="452"/>
      <c r="U404" s="453"/>
      <c r="V404" s="454"/>
      <c r="W404" s="455" t="s">
        <v>406</v>
      </c>
      <c r="X404" s="455">
        <v>45526</v>
      </c>
      <c r="Y404" s="456" t="s">
        <v>377</v>
      </c>
      <c r="Z404" s="457"/>
      <c r="AA404" s="453"/>
    </row>
    <row r="405" spans="1:27" s="128" customFormat="1">
      <c r="A405" s="443">
        <v>39</v>
      </c>
      <c r="B405" s="444" t="s">
        <v>1884</v>
      </c>
      <c r="C405" s="445" t="s">
        <v>115</v>
      </c>
      <c r="D405" s="444" t="s">
        <v>1885</v>
      </c>
      <c r="E405" s="446">
        <v>1</v>
      </c>
      <c r="F405" s="447"/>
      <c r="G405" s="448">
        <f t="shared" si="16"/>
        <v>0</v>
      </c>
      <c r="H405" s="450"/>
      <c r="I405" s="444"/>
      <c r="J405" s="450"/>
      <c r="K405" s="444"/>
      <c r="L405" s="450"/>
      <c r="M405" s="444"/>
      <c r="N405" s="450"/>
      <c r="O405" s="450"/>
      <c r="P405" s="450"/>
      <c r="Q405" s="451" t="s">
        <v>374</v>
      </c>
      <c r="R405" s="451"/>
      <c r="S405" s="452"/>
      <c r="T405" s="452"/>
      <c r="U405" s="453"/>
      <c r="V405" s="454"/>
      <c r="W405" s="455" t="s">
        <v>406</v>
      </c>
      <c r="X405" s="455">
        <v>45526</v>
      </c>
      <c r="Y405" s="456" t="s">
        <v>377</v>
      </c>
      <c r="Z405" s="457"/>
      <c r="AA405" s="453"/>
    </row>
    <row r="406" spans="1:27" s="128" customFormat="1" ht="37.5">
      <c r="A406" s="443">
        <v>40</v>
      </c>
      <c r="B406" s="444" t="s">
        <v>2776</v>
      </c>
      <c r="C406" s="445" t="s">
        <v>115</v>
      </c>
      <c r="D406" s="444" t="s">
        <v>2777</v>
      </c>
      <c r="E406" s="446">
        <v>2</v>
      </c>
      <c r="F406" s="447"/>
      <c r="G406" s="448">
        <f t="shared" si="16"/>
        <v>0</v>
      </c>
      <c r="H406" s="450"/>
      <c r="I406" s="444"/>
      <c r="J406" s="450"/>
      <c r="K406" s="444" t="s">
        <v>2721</v>
      </c>
      <c r="L406" s="450" t="s">
        <v>979</v>
      </c>
      <c r="M406" s="444" t="s">
        <v>2778</v>
      </c>
      <c r="N406" s="450"/>
      <c r="O406" s="450"/>
      <c r="P406" s="450" t="s">
        <v>1890</v>
      </c>
      <c r="Q406" s="451" t="s">
        <v>611</v>
      </c>
      <c r="R406" s="451" t="s">
        <v>247</v>
      </c>
      <c r="S406" s="452" t="s">
        <v>2779</v>
      </c>
      <c r="T406" s="452">
        <v>45581</v>
      </c>
      <c r="U406" s="453"/>
      <c r="V406" s="454"/>
      <c r="W406" s="455" t="s">
        <v>406</v>
      </c>
      <c r="X406" s="455">
        <v>45582</v>
      </c>
      <c r="Y406" s="456" t="s">
        <v>377</v>
      </c>
      <c r="Z406" s="457"/>
      <c r="AA406" s="453"/>
    </row>
    <row r="407" spans="1:27" s="128" customFormat="1" ht="37.5">
      <c r="A407" s="443">
        <v>41</v>
      </c>
      <c r="B407" s="444" t="s">
        <v>2780</v>
      </c>
      <c r="C407" s="445" t="s">
        <v>115</v>
      </c>
      <c r="D407" s="444" t="s">
        <v>2781</v>
      </c>
      <c r="E407" s="446">
        <v>1</v>
      </c>
      <c r="F407" s="447"/>
      <c r="G407" s="448">
        <f t="shared" si="16"/>
        <v>0</v>
      </c>
      <c r="H407" s="450"/>
      <c r="I407" s="444"/>
      <c r="J407" s="450"/>
      <c r="K407" s="444" t="s">
        <v>2721</v>
      </c>
      <c r="L407" s="450" t="s">
        <v>979</v>
      </c>
      <c r="M407" s="444" t="s">
        <v>2722</v>
      </c>
      <c r="N407" s="450"/>
      <c r="O407" s="450"/>
      <c r="P407" s="450" t="s">
        <v>1890</v>
      </c>
      <c r="Q407" s="451" t="s">
        <v>374</v>
      </c>
      <c r="R407" s="451" t="s">
        <v>2723</v>
      </c>
      <c r="S407" s="452" t="s">
        <v>895</v>
      </c>
      <c r="T407" s="452"/>
      <c r="U407" s="453"/>
      <c r="V407" s="454"/>
      <c r="W407" s="455" t="s">
        <v>406</v>
      </c>
      <c r="X407" s="455">
        <v>45582</v>
      </c>
      <c r="Y407" s="456" t="s">
        <v>377</v>
      </c>
      <c r="Z407" s="457"/>
      <c r="AA407" s="453"/>
    </row>
    <row r="408" spans="1:27" s="128" customFormat="1" ht="37.5">
      <c r="A408" s="443">
        <v>42</v>
      </c>
      <c r="B408" s="444" t="s">
        <v>2782</v>
      </c>
      <c r="C408" s="445" t="s">
        <v>115</v>
      </c>
      <c r="D408" s="444" t="s">
        <v>2783</v>
      </c>
      <c r="E408" s="446">
        <v>1</v>
      </c>
      <c r="F408" s="447"/>
      <c r="G408" s="448">
        <f t="shared" si="16"/>
        <v>0</v>
      </c>
      <c r="H408" s="450"/>
      <c r="I408" s="444"/>
      <c r="J408" s="450"/>
      <c r="K408" s="444" t="s">
        <v>2721</v>
      </c>
      <c r="L408" s="450" t="s">
        <v>979</v>
      </c>
      <c r="M408" s="444" t="s">
        <v>2722</v>
      </c>
      <c r="N408" s="450"/>
      <c r="O408" s="450"/>
      <c r="P408" s="450" t="s">
        <v>1890</v>
      </c>
      <c r="Q408" s="451" t="s">
        <v>374</v>
      </c>
      <c r="R408" s="451" t="s">
        <v>2723</v>
      </c>
      <c r="S408" s="452" t="s">
        <v>895</v>
      </c>
      <c r="T408" s="452"/>
      <c r="U408" s="453"/>
      <c r="V408" s="454"/>
      <c r="W408" s="455" t="s">
        <v>406</v>
      </c>
      <c r="X408" s="455">
        <v>45582</v>
      </c>
      <c r="Y408" s="456" t="s">
        <v>377</v>
      </c>
      <c r="Z408" s="457"/>
      <c r="AA408" s="453"/>
    </row>
    <row r="409" spans="1:27" s="128" customFormat="1" ht="37.5">
      <c r="A409" s="443">
        <v>43</v>
      </c>
      <c r="B409" s="444" t="s">
        <v>2784</v>
      </c>
      <c r="C409" s="445" t="s">
        <v>115</v>
      </c>
      <c r="D409" s="444" t="s">
        <v>2777</v>
      </c>
      <c r="E409" s="446">
        <v>1</v>
      </c>
      <c r="F409" s="447"/>
      <c r="G409" s="448">
        <f t="shared" si="16"/>
        <v>0</v>
      </c>
      <c r="H409" s="450"/>
      <c r="I409" s="444"/>
      <c r="J409" s="450"/>
      <c r="K409" s="444" t="s">
        <v>2721</v>
      </c>
      <c r="L409" s="450" t="s">
        <v>979</v>
      </c>
      <c r="M409" s="444" t="s">
        <v>2778</v>
      </c>
      <c r="N409" s="450"/>
      <c r="O409" s="450"/>
      <c r="P409" s="450" t="s">
        <v>1890</v>
      </c>
      <c r="Q409" s="451" t="s">
        <v>374</v>
      </c>
      <c r="R409" s="451" t="s">
        <v>247</v>
      </c>
      <c r="S409" s="452" t="s">
        <v>2779</v>
      </c>
      <c r="T409" s="452"/>
      <c r="U409" s="453"/>
      <c r="V409" s="454"/>
      <c r="W409" s="455" t="s">
        <v>406</v>
      </c>
      <c r="X409" s="455">
        <v>45576</v>
      </c>
      <c r="Y409" s="456" t="s">
        <v>377</v>
      </c>
      <c r="Z409" s="457"/>
      <c r="AA409" s="453"/>
    </row>
    <row r="410" spans="1:27" s="128" customFormat="1">
      <c r="A410" s="443">
        <v>44</v>
      </c>
      <c r="B410" s="444" t="s">
        <v>2569</v>
      </c>
      <c r="C410" s="445" t="s">
        <v>115</v>
      </c>
      <c r="D410" s="444" t="s">
        <v>2570</v>
      </c>
      <c r="E410" s="446">
        <v>1</v>
      </c>
      <c r="F410" s="447"/>
      <c r="G410" s="448">
        <f t="shared" si="16"/>
        <v>0</v>
      </c>
      <c r="H410" s="450"/>
      <c r="I410" s="444"/>
      <c r="J410" s="450"/>
      <c r="K410" s="444"/>
      <c r="L410" s="450"/>
      <c r="M410" s="444"/>
      <c r="N410" s="450"/>
      <c r="O410" s="450"/>
      <c r="P410" s="450"/>
      <c r="Q410" s="451" t="s">
        <v>374</v>
      </c>
      <c r="R410" s="451"/>
      <c r="S410" s="452"/>
      <c r="T410" s="452"/>
      <c r="U410" s="453"/>
      <c r="V410" s="454"/>
      <c r="W410" s="455" t="s">
        <v>406</v>
      </c>
      <c r="X410" s="455">
        <v>45526</v>
      </c>
      <c r="Y410" s="456" t="s">
        <v>377</v>
      </c>
      <c r="Z410" s="457"/>
      <c r="AA410" s="453"/>
    </row>
    <row r="411" spans="1:27" s="128" customFormat="1" ht="37.5">
      <c r="A411" s="443">
        <v>45</v>
      </c>
      <c r="B411" s="444" t="s">
        <v>2785</v>
      </c>
      <c r="C411" s="445" t="s">
        <v>115</v>
      </c>
      <c r="D411" s="444" t="s">
        <v>2786</v>
      </c>
      <c r="E411" s="446">
        <v>1</v>
      </c>
      <c r="F411" s="447"/>
      <c r="G411" s="448">
        <f t="shared" si="16"/>
        <v>0</v>
      </c>
      <c r="H411" s="450"/>
      <c r="I411" s="444"/>
      <c r="J411" s="450"/>
      <c r="K411" s="444" t="s">
        <v>2721</v>
      </c>
      <c r="L411" s="450" t="s">
        <v>979</v>
      </c>
      <c r="M411" s="444" t="s">
        <v>2757</v>
      </c>
      <c r="N411" s="450"/>
      <c r="O411" s="450"/>
      <c r="P411" s="450" t="s">
        <v>1890</v>
      </c>
      <c r="Q411" s="451" t="s">
        <v>374</v>
      </c>
      <c r="R411" s="451" t="s">
        <v>2642</v>
      </c>
      <c r="S411" s="452" t="s">
        <v>1577</v>
      </c>
      <c r="T411" s="452"/>
      <c r="U411" s="453"/>
      <c r="V411" s="454"/>
      <c r="W411" s="455" t="s">
        <v>406</v>
      </c>
      <c r="X411" s="455">
        <v>45575</v>
      </c>
      <c r="Y411" s="456" t="s">
        <v>377</v>
      </c>
      <c r="Z411" s="457"/>
      <c r="AA411" s="453"/>
    </row>
    <row r="412" spans="1:27" s="128" customFormat="1" ht="37.5">
      <c r="A412" s="443">
        <v>46</v>
      </c>
      <c r="B412" s="444" t="s">
        <v>2787</v>
      </c>
      <c r="C412" s="445" t="s">
        <v>115</v>
      </c>
      <c r="D412" s="444" t="s">
        <v>2788</v>
      </c>
      <c r="E412" s="446">
        <v>1</v>
      </c>
      <c r="F412" s="447"/>
      <c r="G412" s="448">
        <f t="shared" si="16"/>
        <v>0</v>
      </c>
      <c r="H412" s="450"/>
      <c r="I412" s="444"/>
      <c r="J412" s="450"/>
      <c r="K412" s="444" t="s">
        <v>2721</v>
      </c>
      <c r="L412" s="450" t="s">
        <v>979</v>
      </c>
      <c r="M412" s="444" t="s">
        <v>2789</v>
      </c>
      <c r="N412" s="450"/>
      <c r="O412" s="450"/>
      <c r="P412" s="450" t="s">
        <v>1890</v>
      </c>
      <c r="Q412" s="451" t="s">
        <v>374</v>
      </c>
      <c r="R412" s="451" t="s">
        <v>269</v>
      </c>
      <c r="S412" s="452" t="s">
        <v>2736</v>
      </c>
      <c r="T412" s="452"/>
      <c r="U412" s="453"/>
      <c r="V412" s="454"/>
      <c r="W412" s="455" t="s">
        <v>406</v>
      </c>
      <c r="X412" s="455">
        <v>45576</v>
      </c>
      <c r="Y412" s="456" t="s">
        <v>377</v>
      </c>
      <c r="Z412" s="457"/>
      <c r="AA412" s="453"/>
    </row>
    <row r="413" spans="1:27" s="128" customFormat="1" ht="37.5">
      <c r="A413" s="443">
        <v>47</v>
      </c>
      <c r="B413" s="444" t="s">
        <v>2587</v>
      </c>
      <c r="C413" s="445" t="s">
        <v>115</v>
      </c>
      <c r="D413" s="444" t="s">
        <v>2588</v>
      </c>
      <c r="E413" s="446">
        <v>1</v>
      </c>
      <c r="F413" s="447"/>
      <c r="G413" s="448">
        <f t="shared" si="16"/>
        <v>0</v>
      </c>
      <c r="H413" s="450"/>
      <c r="I413" s="444"/>
      <c r="J413" s="450"/>
      <c r="K413" s="444" t="s">
        <v>2721</v>
      </c>
      <c r="L413" s="450" t="s">
        <v>979</v>
      </c>
      <c r="M413" s="444" t="s">
        <v>2789</v>
      </c>
      <c r="N413" s="450"/>
      <c r="O413" s="450"/>
      <c r="P413" s="450" t="s">
        <v>1890</v>
      </c>
      <c r="Q413" s="451" t="s">
        <v>374</v>
      </c>
      <c r="R413" s="451" t="s">
        <v>269</v>
      </c>
      <c r="S413" s="452" t="s">
        <v>2736</v>
      </c>
      <c r="T413" s="452"/>
      <c r="U413" s="453"/>
      <c r="V413" s="454"/>
      <c r="W413" s="455" t="s">
        <v>406</v>
      </c>
      <c r="X413" s="455">
        <v>45576</v>
      </c>
      <c r="Y413" s="456" t="s">
        <v>377</v>
      </c>
      <c r="Z413" s="457"/>
      <c r="AA413" s="453"/>
    </row>
    <row r="414" spans="1:27" s="128" customFormat="1" ht="37.5">
      <c r="A414" s="443">
        <v>48</v>
      </c>
      <c r="B414" s="444" t="s">
        <v>2790</v>
      </c>
      <c r="C414" s="445" t="s">
        <v>115</v>
      </c>
      <c r="D414" s="444" t="s">
        <v>2592</v>
      </c>
      <c r="E414" s="446">
        <v>1</v>
      </c>
      <c r="F414" s="447"/>
      <c r="G414" s="448">
        <f t="shared" si="16"/>
        <v>0</v>
      </c>
      <c r="H414" s="450"/>
      <c r="I414" s="444"/>
      <c r="J414" s="450"/>
      <c r="K414" s="444" t="s">
        <v>2721</v>
      </c>
      <c r="L414" s="450" t="s">
        <v>979</v>
      </c>
      <c r="M414" s="444" t="s">
        <v>2789</v>
      </c>
      <c r="N414" s="450"/>
      <c r="O414" s="450"/>
      <c r="P414" s="450" t="s">
        <v>1890</v>
      </c>
      <c r="Q414" s="451" t="s">
        <v>374</v>
      </c>
      <c r="R414" s="451" t="s">
        <v>269</v>
      </c>
      <c r="S414" s="452" t="s">
        <v>2736</v>
      </c>
      <c r="T414" s="452"/>
      <c r="U414" s="453"/>
      <c r="V414" s="454"/>
      <c r="W414" s="455" t="s">
        <v>406</v>
      </c>
      <c r="X414" s="455">
        <v>45576</v>
      </c>
      <c r="Y414" s="456" t="s">
        <v>377</v>
      </c>
      <c r="Z414" s="457"/>
      <c r="AA414" s="453"/>
    </row>
    <row r="415" spans="1:27" s="128" customFormat="1" ht="37.5">
      <c r="A415" s="443">
        <v>49</v>
      </c>
      <c r="B415" s="444" t="s">
        <v>2791</v>
      </c>
      <c r="C415" s="445" t="s">
        <v>115</v>
      </c>
      <c r="D415" s="444" t="s">
        <v>2792</v>
      </c>
      <c r="E415" s="446">
        <v>1</v>
      </c>
      <c r="F415" s="447"/>
      <c r="G415" s="448">
        <f t="shared" si="16"/>
        <v>0</v>
      </c>
      <c r="H415" s="450"/>
      <c r="I415" s="444"/>
      <c r="J415" s="450"/>
      <c r="K415" s="444" t="s">
        <v>2721</v>
      </c>
      <c r="L415" s="450" t="s">
        <v>979</v>
      </c>
      <c r="M415" s="444" t="s">
        <v>2789</v>
      </c>
      <c r="N415" s="450"/>
      <c r="O415" s="450"/>
      <c r="P415" s="450" t="s">
        <v>1890</v>
      </c>
      <c r="Q415" s="451" t="s">
        <v>374</v>
      </c>
      <c r="R415" s="451" t="s">
        <v>269</v>
      </c>
      <c r="S415" s="452" t="s">
        <v>2736</v>
      </c>
      <c r="T415" s="452"/>
      <c r="U415" s="453"/>
      <c r="V415" s="454"/>
      <c r="W415" s="455" t="s">
        <v>406</v>
      </c>
      <c r="X415" s="455">
        <v>45576</v>
      </c>
      <c r="Y415" s="456" t="s">
        <v>377</v>
      </c>
      <c r="Z415" s="457"/>
      <c r="AA415" s="453"/>
    </row>
    <row r="416" spans="1:27" s="128" customFormat="1" ht="37.5">
      <c r="A416" s="443">
        <v>50</v>
      </c>
      <c r="B416" s="444" t="s">
        <v>2591</v>
      </c>
      <c r="C416" s="445" t="s">
        <v>115</v>
      </c>
      <c r="D416" s="444" t="s">
        <v>2592</v>
      </c>
      <c r="E416" s="446">
        <v>1</v>
      </c>
      <c r="F416" s="447"/>
      <c r="G416" s="448">
        <f t="shared" si="16"/>
        <v>0</v>
      </c>
      <c r="H416" s="450"/>
      <c r="I416" s="444"/>
      <c r="J416" s="450"/>
      <c r="K416" s="444" t="s">
        <v>2721</v>
      </c>
      <c r="L416" s="450" t="s">
        <v>979</v>
      </c>
      <c r="M416" s="444" t="s">
        <v>2789</v>
      </c>
      <c r="N416" s="450"/>
      <c r="O416" s="450"/>
      <c r="P416" s="450" t="s">
        <v>1890</v>
      </c>
      <c r="Q416" s="451" t="s">
        <v>374</v>
      </c>
      <c r="R416" s="451" t="s">
        <v>269</v>
      </c>
      <c r="S416" s="452" t="s">
        <v>2736</v>
      </c>
      <c r="T416" s="452">
        <v>45590</v>
      </c>
      <c r="U416" s="453"/>
      <c r="V416" s="454"/>
      <c r="W416" s="455" t="s">
        <v>406</v>
      </c>
      <c r="X416" s="455">
        <v>45576</v>
      </c>
      <c r="Y416" s="456" t="s">
        <v>377</v>
      </c>
      <c r="Z416" s="457"/>
      <c r="AA416" s="453"/>
    </row>
    <row r="417" spans="1:27" s="128" customFormat="1">
      <c r="A417" s="443">
        <v>51</v>
      </c>
      <c r="B417" s="444" t="s">
        <v>2577</v>
      </c>
      <c r="C417" s="445" t="s">
        <v>115</v>
      </c>
      <c r="D417" s="444" t="s">
        <v>2578</v>
      </c>
      <c r="E417" s="446">
        <v>4</v>
      </c>
      <c r="F417" s="447"/>
      <c r="G417" s="448">
        <f t="shared" si="16"/>
        <v>0</v>
      </c>
      <c r="H417" s="450"/>
      <c r="I417" s="444"/>
      <c r="J417" s="450"/>
      <c r="K417" s="444"/>
      <c r="L417" s="450"/>
      <c r="M417" s="444"/>
      <c r="N417" s="450"/>
      <c r="O417" s="450"/>
      <c r="P417" s="450"/>
      <c r="Q417" s="451" t="s">
        <v>374</v>
      </c>
      <c r="R417" s="451"/>
      <c r="S417" s="452"/>
      <c r="T417" s="452"/>
      <c r="U417" s="453"/>
      <c r="V417" s="454"/>
      <c r="W417" s="455" t="s">
        <v>406</v>
      </c>
      <c r="X417" s="455">
        <v>45526</v>
      </c>
      <c r="Y417" s="456" t="s">
        <v>377</v>
      </c>
      <c r="Z417" s="457"/>
      <c r="AA417" s="453"/>
    </row>
    <row r="418" spans="1:27" s="128" customFormat="1">
      <c r="A418" s="443">
        <v>52</v>
      </c>
      <c r="B418" s="444" t="s">
        <v>2581</v>
      </c>
      <c r="C418" s="445" t="s">
        <v>115</v>
      </c>
      <c r="D418" s="444" t="s">
        <v>2582</v>
      </c>
      <c r="E418" s="446">
        <v>2</v>
      </c>
      <c r="F418" s="447"/>
      <c r="G418" s="448">
        <f t="shared" si="16"/>
        <v>0</v>
      </c>
      <c r="H418" s="450"/>
      <c r="I418" s="444"/>
      <c r="J418" s="450"/>
      <c r="K418" s="444"/>
      <c r="L418" s="450"/>
      <c r="M418" s="444"/>
      <c r="N418" s="450"/>
      <c r="O418" s="450"/>
      <c r="P418" s="450"/>
      <c r="Q418" s="451" t="s">
        <v>374</v>
      </c>
      <c r="R418" s="451"/>
      <c r="S418" s="452"/>
      <c r="T418" s="452"/>
      <c r="U418" s="453"/>
      <c r="V418" s="454"/>
      <c r="W418" s="455" t="s">
        <v>406</v>
      </c>
      <c r="X418" s="455">
        <v>45526</v>
      </c>
      <c r="Y418" s="456" t="s">
        <v>377</v>
      </c>
      <c r="Z418" s="457"/>
      <c r="AA418" s="453"/>
    </row>
    <row r="419" spans="1:27" s="128" customFormat="1">
      <c r="A419" s="443">
        <v>53</v>
      </c>
      <c r="B419" s="444" t="s">
        <v>2579</v>
      </c>
      <c r="C419" s="445" t="s">
        <v>115</v>
      </c>
      <c r="D419" s="444" t="s">
        <v>2580</v>
      </c>
      <c r="E419" s="446">
        <v>3</v>
      </c>
      <c r="F419" s="447"/>
      <c r="G419" s="448">
        <f t="shared" si="16"/>
        <v>0</v>
      </c>
      <c r="H419" s="450"/>
      <c r="I419" s="444"/>
      <c r="J419" s="450"/>
      <c r="K419" s="444"/>
      <c r="L419" s="450"/>
      <c r="M419" s="444"/>
      <c r="N419" s="450"/>
      <c r="O419" s="450"/>
      <c r="P419" s="450"/>
      <c r="Q419" s="451" t="s">
        <v>374</v>
      </c>
      <c r="R419" s="451"/>
      <c r="S419" s="452"/>
      <c r="T419" s="452"/>
      <c r="U419" s="453"/>
      <c r="V419" s="454"/>
      <c r="W419" s="455" t="s">
        <v>406</v>
      </c>
      <c r="X419" s="455">
        <v>45526</v>
      </c>
      <c r="Y419" s="456" t="s">
        <v>377</v>
      </c>
      <c r="Z419" s="457"/>
      <c r="AA419" s="453"/>
    </row>
    <row r="420" spans="1:27" s="128" customFormat="1">
      <c r="A420" s="443">
        <v>54</v>
      </c>
      <c r="B420" s="444" t="s">
        <v>2585</v>
      </c>
      <c r="C420" s="445" t="s">
        <v>115</v>
      </c>
      <c r="D420" s="444" t="s">
        <v>2586</v>
      </c>
      <c r="E420" s="446">
        <v>2</v>
      </c>
      <c r="F420" s="447"/>
      <c r="G420" s="448">
        <f t="shared" si="16"/>
        <v>0</v>
      </c>
      <c r="H420" s="450"/>
      <c r="I420" s="444"/>
      <c r="J420" s="450"/>
      <c r="K420" s="444"/>
      <c r="L420" s="450"/>
      <c r="M420" s="444"/>
      <c r="N420" s="450"/>
      <c r="O420" s="450"/>
      <c r="P420" s="450"/>
      <c r="Q420" s="451" t="s">
        <v>374</v>
      </c>
      <c r="R420" s="451"/>
      <c r="S420" s="452"/>
      <c r="T420" s="452"/>
      <c r="U420" s="453"/>
      <c r="V420" s="454"/>
      <c r="W420" s="455" t="s">
        <v>406</v>
      </c>
      <c r="X420" s="455">
        <v>45526</v>
      </c>
      <c r="Y420" s="456" t="s">
        <v>377</v>
      </c>
      <c r="Z420" s="457"/>
      <c r="AA420" s="453"/>
    </row>
    <row r="421" spans="1:27" s="128" customFormat="1">
      <c r="A421" s="443">
        <v>55</v>
      </c>
      <c r="B421" s="444" t="s">
        <v>2793</v>
      </c>
      <c r="C421" s="445" t="s">
        <v>115</v>
      </c>
      <c r="D421" s="444" t="s">
        <v>2794</v>
      </c>
      <c r="E421" s="446">
        <v>1</v>
      </c>
      <c r="F421" s="447"/>
      <c r="G421" s="448">
        <f t="shared" si="16"/>
        <v>0</v>
      </c>
      <c r="H421" s="450"/>
      <c r="I421" s="444"/>
      <c r="J421" s="450"/>
      <c r="K421" s="444"/>
      <c r="L421" s="450"/>
      <c r="M421" s="444"/>
      <c r="N421" s="450"/>
      <c r="O421" s="450"/>
      <c r="P421" s="450"/>
      <c r="Q421" s="451" t="s">
        <v>374</v>
      </c>
      <c r="R421" s="451"/>
      <c r="S421" s="452"/>
      <c r="T421" s="452"/>
      <c r="U421" s="453"/>
      <c r="V421" s="454"/>
      <c r="W421" s="455" t="s">
        <v>406</v>
      </c>
      <c r="X421" s="455">
        <v>45526</v>
      </c>
      <c r="Y421" s="456" t="s">
        <v>377</v>
      </c>
      <c r="Z421" s="457"/>
      <c r="AA421" s="453"/>
    </row>
    <row r="422" spans="1:27" s="128" customFormat="1">
      <c r="A422" s="443">
        <v>56</v>
      </c>
      <c r="B422" s="444" t="s">
        <v>2577</v>
      </c>
      <c r="C422" s="445" t="s">
        <v>115</v>
      </c>
      <c r="D422" s="444" t="s">
        <v>2578</v>
      </c>
      <c r="E422" s="446">
        <v>3</v>
      </c>
      <c r="F422" s="447"/>
      <c r="G422" s="448">
        <f t="shared" si="16"/>
        <v>0</v>
      </c>
      <c r="H422" s="450"/>
      <c r="I422" s="444"/>
      <c r="J422" s="450"/>
      <c r="K422" s="444"/>
      <c r="L422" s="450"/>
      <c r="M422" s="444"/>
      <c r="N422" s="450"/>
      <c r="O422" s="450"/>
      <c r="P422" s="450"/>
      <c r="Q422" s="451" t="s">
        <v>374</v>
      </c>
      <c r="R422" s="451"/>
      <c r="S422" s="452"/>
      <c r="T422" s="452"/>
      <c r="U422" s="453"/>
      <c r="V422" s="454"/>
      <c r="W422" s="455" t="s">
        <v>406</v>
      </c>
      <c r="X422" s="455">
        <v>45526</v>
      </c>
      <c r="Y422" s="456" t="s">
        <v>377</v>
      </c>
      <c r="Z422" s="457"/>
      <c r="AA422" s="453"/>
    </row>
    <row r="423" spans="1:27" s="128" customFormat="1">
      <c r="A423" s="443">
        <v>57</v>
      </c>
      <c r="B423" s="444" t="s">
        <v>2579</v>
      </c>
      <c r="C423" s="445" t="s">
        <v>115</v>
      </c>
      <c r="D423" s="444" t="s">
        <v>2580</v>
      </c>
      <c r="E423" s="446">
        <v>1</v>
      </c>
      <c r="F423" s="447"/>
      <c r="G423" s="448">
        <f t="shared" si="16"/>
        <v>0</v>
      </c>
      <c r="H423" s="450"/>
      <c r="I423" s="444"/>
      <c r="J423" s="450"/>
      <c r="K423" s="444"/>
      <c r="L423" s="450"/>
      <c r="M423" s="444"/>
      <c r="N423" s="450"/>
      <c r="O423" s="450"/>
      <c r="P423" s="450"/>
      <c r="Q423" s="451" t="s">
        <v>374</v>
      </c>
      <c r="R423" s="451"/>
      <c r="S423" s="452"/>
      <c r="T423" s="452"/>
      <c r="U423" s="453"/>
      <c r="V423" s="454"/>
      <c r="W423" s="455" t="s">
        <v>406</v>
      </c>
      <c r="X423" s="455">
        <v>45526</v>
      </c>
      <c r="Y423" s="456" t="s">
        <v>377</v>
      </c>
      <c r="Z423" s="457"/>
      <c r="AA423" s="453"/>
    </row>
    <row r="424" spans="1:27" s="128" customFormat="1">
      <c r="A424" s="443">
        <v>58</v>
      </c>
      <c r="B424" s="444" t="s">
        <v>2585</v>
      </c>
      <c r="C424" s="445" t="s">
        <v>115</v>
      </c>
      <c r="D424" s="444" t="s">
        <v>2586</v>
      </c>
      <c r="E424" s="446">
        <v>2</v>
      </c>
      <c r="F424" s="447"/>
      <c r="G424" s="448">
        <f t="shared" si="16"/>
        <v>0</v>
      </c>
      <c r="H424" s="450"/>
      <c r="I424" s="444"/>
      <c r="J424" s="450"/>
      <c r="K424" s="444"/>
      <c r="L424" s="450"/>
      <c r="M424" s="444"/>
      <c r="N424" s="450"/>
      <c r="O424" s="450"/>
      <c r="P424" s="450"/>
      <c r="Q424" s="451" t="s">
        <v>374</v>
      </c>
      <c r="R424" s="451"/>
      <c r="S424" s="452"/>
      <c r="T424" s="452"/>
      <c r="U424" s="453"/>
      <c r="V424" s="454"/>
      <c r="W424" s="455" t="s">
        <v>406</v>
      </c>
      <c r="X424" s="455">
        <v>45526</v>
      </c>
      <c r="Y424" s="456" t="s">
        <v>377</v>
      </c>
      <c r="Z424" s="457"/>
      <c r="AA424" s="453"/>
    </row>
    <row r="425" spans="1:27" s="128" customFormat="1">
      <c r="A425" s="443">
        <v>59</v>
      </c>
      <c r="B425" s="444" t="s">
        <v>2593</v>
      </c>
      <c r="C425" s="445" t="s">
        <v>115</v>
      </c>
      <c r="D425" s="444" t="s">
        <v>2594</v>
      </c>
      <c r="E425" s="446">
        <v>1</v>
      </c>
      <c r="F425" s="447"/>
      <c r="G425" s="448">
        <f t="shared" si="16"/>
        <v>0</v>
      </c>
      <c r="H425" s="450"/>
      <c r="I425" s="444"/>
      <c r="J425" s="450"/>
      <c r="K425" s="444"/>
      <c r="L425" s="450"/>
      <c r="M425" s="444"/>
      <c r="N425" s="450"/>
      <c r="O425" s="450"/>
      <c r="P425" s="450"/>
      <c r="Q425" s="451" t="s">
        <v>374</v>
      </c>
      <c r="R425" s="451"/>
      <c r="S425" s="452"/>
      <c r="T425" s="452"/>
      <c r="U425" s="453"/>
      <c r="V425" s="454"/>
      <c r="W425" s="455" t="s">
        <v>406</v>
      </c>
      <c r="X425" s="455">
        <v>45526</v>
      </c>
      <c r="Y425" s="456" t="s">
        <v>377</v>
      </c>
      <c r="Z425" s="457"/>
      <c r="AA425" s="453"/>
    </row>
    <row r="426" spans="1:27" s="128" customFormat="1" ht="37.5">
      <c r="A426" s="443">
        <v>60</v>
      </c>
      <c r="B426" s="444" t="s">
        <v>2645</v>
      </c>
      <c r="C426" s="445" t="s">
        <v>115</v>
      </c>
      <c r="D426" s="444" t="s">
        <v>2646</v>
      </c>
      <c r="E426" s="446">
        <v>1</v>
      </c>
      <c r="F426" s="447"/>
      <c r="G426" s="448">
        <f t="shared" si="16"/>
        <v>0</v>
      </c>
      <c r="H426" s="450"/>
      <c r="I426" s="444"/>
      <c r="J426" s="450"/>
      <c r="K426" s="444" t="s">
        <v>2795</v>
      </c>
      <c r="L426" s="450" t="s">
        <v>756</v>
      </c>
      <c r="M426" s="444" t="s">
        <v>2796</v>
      </c>
      <c r="N426" s="450"/>
      <c r="O426" s="450"/>
      <c r="P426" s="450" t="s">
        <v>954</v>
      </c>
      <c r="Q426" s="451" t="s">
        <v>374</v>
      </c>
      <c r="R426" s="451" t="s">
        <v>269</v>
      </c>
      <c r="S426" s="452" t="s">
        <v>1128</v>
      </c>
      <c r="T426" s="452"/>
      <c r="U426" s="453"/>
      <c r="V426" s="454"/>
      <c r="W426" s="455" t="s">
        <v>406</v>
      </c>
      <c r="X426" s="455">
        <v>45576</v>
      </c>
      <c r="Y426" s="456" t="s">
        <v>377</v>
      </c>
      <c r="Z426" s="457"/>
      <c r="AA426" s="453"/>
    </row>
    <row r="427" spans="1:27" s="128" customFormat="1">
      <c r="A427" s="443">
        <v>61</v>
      </c>
      <c r="B427" s="444" t="s">
        <v>2793</v>
      </c>
      <c r="C427" s="445" t="s">
        <v>115</v>
      </c>
      <c r="D427" s="444" t="s">
        <v>2794</v>
      </c>
      <c r="E427" s="446">
        <v>1</v>
      </c>
      <c r="F427" s="447"/>
      <c r="G427" s="448">
        <f t="shared" si="16"/>
        <v>0</v>
      </c>
      <c r="H427" s="450"/>
      <c r="I427" s="444"/>
      <c r="J427" s="450"/>
      <c r="K427" s="444"/>
      <c r="L427" s="450"/>
      <c r="M427" s="444"/>
      <c r="N427" s="450"/>
      <c r="O427" s="450"/>
      <c r="P427" s="450"/>
      <c r="Q427" s="451" t="s">
        <v>374</v>
      </c>
      <c r="R427" s="451"/>
      <c r="S427" s="452"/>
      <c r="T427" s="452"/>
      <c r="U427" s="453"/>
      <c r="V427" s="454"/>
      <c r="W427" s="455" t="s">
        <v>406</v>
      </c>
      <c r="X427" s="455">
        <v>45526</v>
      </c>
      <c r="Y427" s="456" t="s">
        <v>377</v>
      </c>
      <c r="Z427" s="457"/>
      <c r="AA427" s="453"/>
    </row>
    <row r="428" spans="1:27" s="128" customFormat="1">
      <c r="A428" s="443">
        <v>62</v>
      </c>
      <c r="B428" s="444" t="s">
        <v>2577</v>
      </c>
      <c r="C428" s="445" t="s">
        <v>115</v>
      </c>
      <c r="D428" s="444" t="s">
        <v>2578</v>
      </c>
      <c r="E428" s="446">
        <v>3</v>
      </c>
      <c r="F428" s="447"/>
      <c r="G428" s="448">
        <f t="shared" si="16"/>
        <v>0</v>
      </c>
      <c r="H428" s="450"/>
      <c r="I428" s="444"/>
      <c r="J428" s="450"/>
      <c r="K428" s="444"/>
      <c r="L428" s="450"/>
      <c r="M428" s="444"/>
      <c r="N428" s="450"/>
      <c r="O428" s="450"/>
      <c r="P428" s="450"/>
      <c r="Q428" s="451" t="s">
        <v>374</v>
      </c>
      <c r="R428" s="451"/>
      <c r="S428" s="452"/>
      <c r="T428" s="452"/>
      <c r="U428" s="453"/>
      <c r="V428" s="454"/>
      <c r="W428" s="455" t="s">
        <v>406</v>
      </c>
      <c r="X428" s="455">
        <v>45526</v>
      </c>
      <c r="Y428" s="456" t="s">
        <v>377</v>
      </c>
      <c r="Z428" s="457"/>
      <c r="AA428" s="453"/>
    </row>
    <row r="429" spans="1:27" s="128" customFormat="1">
      <c r="A429" s="443">
        <v>63</v>
      </c>
      <c r="B429" s="444" t="s">
        <v>2579</v>
      </c>
      <c r="C429" s="445" t="s">
        <v>115</v>
      </c>
      <c r="D429" s="444" t="s">
        <v>2580</v>
      </c>
      <c r="E429" s="446">
        <v>1</v>
      </c>
      <c r="F429" s="447"/>
      <c r="G429" s="448">
        <f t="shared" si="16"/>
        <v>0</v>
      </c>
      <c r="H429" s="450"/>
      <c r="I429" s="444"/>
      <c r="J429" s="450"/>
      <c r="K429" s="444"/>
      <c r="L429" s="450"/>
      <c r="M429" s="444"/>
      <c r="N429" s="450"/>
      <c r="O429" s="450"/>
      <c r="P429" s="450"/>
      <c r="Q429" s="451" t="s">
        <v>374</v>
      </c>
      <c r="R429" s="451"/>
      <c r="S429" s="452"/>
      <c r="T429" s="452"/>
      <c r="U429" s="453"/>
      <c r="V429" s="454"/>
      <c r="W429" s="455" t="s">
        <v>406</v>
      </c>
      <c r="X429" s="455">
        <v>45526</v>
      </c>
      <c r="Y429" s="456" t="s">
        <v>377</v>
      </c>
      <c r="Z429" s="457"/>
      <c r="AA429" s="453"/>
    </row>
    <row r="430" spans="1:27" s="128" customFormat="1">
      <c r="A430" s="443">
        <v>64</v>
      </c>
      <c r="B430" s="444" t="s">
        <v>2585</v>
      </c>
      <c r="C430" s="445" t="s">
        <v>115</v>
      </c>
      <c r="D430" s="444" t="s">
        <v>2586</v>
      </c>
      <c r="E430" s="446">
        <v>2</v>
      </c>
      <c r="F430" s="447"/>
      <c r="G430" s="448">
        <f t="shared" si="16"/>
        <v>0</v>
      </c>
      <c r="H430" s="450"/>
      <c r="I430" s="444"/>
      <c r="J430" s="450"/>
      <c r="K430" s="444"/>
      <c r="L430" s="450"/>
      <c r="M430" s="444"/>
      <c r="N430" s="450"/>
      <c r="O430" s="450"/>
      <c r="P430" s="450"/>
      <c r="Q430" s="451" t="s">
        <v>374</v>
      </c>
      <c r="R430" s="451"/>
      <c r="S430" s="452"/>
      <c r="T430" s="452"/>
      <c r="U430" s="453"/>
      <c r="V430" s="454"/>
      <c r="W430" s="455" t="s">
        <v>406</v>
      </c>
      <c r="X430" s="455">
        <v>45526</v>
      </c>
      <c r="Y430" s="456" t="s">
        <v>377</v>
      </c>
      <c r="Z430" s="457"/>
      <c r="AA430" s="453"/>
    </row>
    <row r="431" spans="1:27" s="128" customFormat="1">
      <c r="A431" s="443">
        <v>65</v>
      </c>
      <c r="B431" s="444" t="s">
        <v>2593</v>
      </c>
      <c r="C431" s="445" t="s">
        <v>115</v>
      </c>
      <c r="D431" s="444" t="s">
        <v>2594</v>
      </c>
      <c r="E431" s="446">
        <v>1</v>
      </c>
      <c r="F431" s="447"/>
      <c r="G431" s="448">
        <f t="shared" ref="G431:G462" si="17">E431*F431</f>
        <v>0</v>
      </c>
      <c r="H431" s="450"/>
      <c r="I431" s="444"/>
      <c r="J431" s="450"/>
      <c r="K431" s="444"/>
      <c r="L431" s="450"/>
      <c r="M431" s="444"/>
      <c r="N431" s="450"/>
      <c r="O431" s="450"/>
      <c r="P431" s="450"/>
      <c r="Q431" s="451" t="s">
        <v>374</v>
      </c>
      <c r="R431" s="451"/>
      <c r="S431" s="452"/>
      <c r="T431" s="452"/>
      <c r="U431" s="453"/>
      <c r="V431" s="454"/>
      <c r="W431" s="455" t="s">
        <v>406</v>
      </c>
      <c r="X431" s="455">
        <v>45526</v>
      </c>
      <c r="Y431" s="456" t="s">
        <v>377</v>
      </c>
      <c r="Z431" s="457"/>
      <c r="AA431" s="453"/>
    </row>
    <row r="432" spans="1:27" s="128" customFormat="1" ht="37.5">
      <c r="A432" s="443">
        <v>66</v>
      </c>
      <c r="B432" s="444" t="s">
        <v>2645</v>
      </c>
      <c r="C432" s="445" t="s">
        <v>115</v>
      </c>
      <c r="D432" s="444" t="s">
        <v>2646</v>
      </c>
      <c r="E432" s="446">
        <v>1</v>
      </c>
      <c r="F432" s="447"/>
      <c r="G432" s="448">
        <f t="shared" si="17"/>
        <v>0</v>
      </c>
      <c r="H432" s="450"/>
      <c r="I432" s="444"/>
      <c r="J432" s="450"/>
      <c r="K432" s="444" t="s">
        <v>2795</v>
      </c>
      <c r="L432" s="450" t="s">
        <v>756</v>
      </c>
      <c r="M432" s="444" t="s">
        <v>2796</v>
      </c>
      <c r="N432" s="450"/>
      <c r="O432" s="450"/>
      <c r="P432" s="450" t="s">
        <v>954</v>
      </c>
      <c r="Q432" s="451" t="s">
        <v>374</v>
      </c>
      <c r="R432" s="451" t="s">
        <v>269</v>
      </c>
      <c r="S432" s="452" t="s">
        <v>1128</v>
      </c>
      <c r="T432" s="452">
        <v>45581</v>
      </c>
      <c r="U432" s="453"/>
      <c r="V432" s="454"/>
      <c r="W432" s="455" t="s">
        <v>406</v>
      </c>
      <c r="X432" s="455">
        <v>45576</v>
      </c>
      <c r="Y432" s="456" t="s">
        <v>377</v>
      </c>
      <c r="Z432" s="457"/>
      <c r="AA432" s="453"/>
    </row>
    <row r="433" spans="1:27" s="128" customFormat="1" ht="37.5">
      <c r="A433" s="443">
        <v>67</v>
      </c>
      <c r="B433" s="444" t="s">
        <v>2797</v>
      </c>
      <c r="C433" s="445" t="s">
        <v>115</v>
      </c>
      <c r="D433" s="444" t="s">
        <v>2798</v>
      </c>
      <c r="E433" s="446">
        <v>1</v>
      </c>
      <c r="F433" s="447"/>
      <c r="G433" s="448">
        <f t="shared" si="17"/>
        <v>0</v>
      </c>
      <c r="H433" s="450"/>
      <c r="I433" s="444"/>
      <c r="J433" s="450"/>
      <c r="K433" s="444" t="s">
        <v>2721</v>
      </c>
      <c r="L433" s="450" t="s">
        <v>979</v>
      </c>
      <c r="M433" s="444" t="s">
        <v>2799</v>
      </c>
      <c r="N433" s="450"/>
      <c r="O433" s="450"/>
      <c r="P433" s="450" t="s">
        <v>1890</v>
      </c>
      <c r="Q433" s="451" t="s">
        <v>374</v>
      </c>
      <c r="R433" s="451" t="s">
        <v>2800</v>
      </c>
      <c r="S433" s="452" t="s">
        <v>1348</v>
      </c>
      <c r="T433" s="452"/>
      <c r="U433" s="453"/>
      <c r="V433" s="454"/>
      <c r="W433" s="455" t="s">
        <v>406</v>
      </c>
      <c r="X433" s="455">
        <v>45526</v>
      </c>
      <c r="Y433" s="456" t="s">
        <v>377</v>
      </c>
      <c r="Z433" s="457"/>
      <c r="AA433" s="453"/>
    </row>
    <row r="434" spans="1:27" s="128" customFormat="1">
      <c r="A434" s="443">
        <v>68</v>
      </c>
      <c r="B434" s="444" t="s">
        <v>2577</v>
      </c>
      <c r="C434" s="445" t="s">
        <v>115</v>
      </c>
      <c r="D434" s="444" t="s">
        <v>2578</v>
      </c>
      <c r="E434" s="446">
        <v>2</v>
      </c>
      <c r="F434" s="447"/>
      <c r="G434" s="448">
        <f t="shared" si="17"/>
        <v>0</v>
      </c>
      <c r="H434" s="450"/>
      <c r="I434" s="444"/>
      <c r="J434" s="450"/>
      <c r="K434" s="444"/>
      <c r="L434" s="450"/>
      <c r="M434" s="444"/>
      <c r="N434" s="450"/>
      <c r="O434" s="450"/>
      <c r="P434" s="450"/>
      <c r="Q434" s="451" t="s">
        <v>374</v>
      </c>
      <c r="R434" s="451"/>
      <c r="S434" s="452"/>
      <c r="T434" s="452"/>
      <c r="U434" s="453"/>
      <c r="V434" s="454"/>
      <c r="W434" s="455" t="s">
        <v>406</v>
      </c>
      <c r="X434" s="455">
        <v>45526</v>
      </c>
      <c r="Y434" s="456" t="s">
        <v>377</v>
      </c>
      <c r="Z434" s="457"/>
      <c r="AA434" s="453"/>
    </row>
    <row r="435" spans="1:27" s="128" customFormat="1">
      <c r="A435" s="443">
        <v>69</v>
      </c>
      <c r="B435" s="444" t="s">
        <v>2579</v>
      </c>
      <c r="C435" s="445" t="s">
        <v>115</v>
      </c>
      <c r="D435" s="444" t="s">
        <v>2580</v>
      </c>
      <c r="E435" s="446">
        <v>1</v>
      </c>
      <c r="F435" s="447"/>
      <c r="G435" s="448">
        <f t="shared" si="17"/>
        <v>0</v>
      </c>
      <c r="H435" s="450"/>
      <c r="I435" s="444"/>
      <c r="J435" s="450"/>
      <c r="K435" s="444"/>
      <c r="L435" s="450"/>
      <c r="M435" s="444"/>
      <c r="N435" s="450"/>
      <c r="O435" s="450"/>
      <c r="P435" s="450"/>
      <c r="Q435" s="451" t="s">
        <v>374</v>
      </c>
      <c r="R435" s="451"/>
      <c r="S435" s="452"/>
      <c r="T435" s="452"/>
      <c r="U435" s="453"/>
      <c r="V435" s="454"/>
      <c r="W435" s="455" t="s">
        <v>406</v>
      </c>
      <c r="X435" s="455">
        <v>45526</v>
      </c>
      <c r="Y435" s="456" t="s">
        <v>377</v>
      </c>
      <c r="Z435" s="457"/>
      <c r="AA435" s="453"/>
    </row>
    <row r="436" spans="1:27" s="128" customFormat="1">
      <c r="A436" s="443">
        <v>70</v>
      </c>
      <c r="B436" s="444" t="s">
        <v>2585</v>
      </c>
      <c r="C436" s="445" t="s">
        <v>115</v>
      </c>
      <c r="D436" s="444" t="s">
        <v>2586</v>
      </c>
      <c r="E436" s="446">
        <v>2</v>
      </c>
      <c r="F436" s="447"/>
      <c r="G436" s="448">
        <f t="shared" si="17"/>
        <v>0</v>
      </c>
      <c r="H436" s="450"/>
      <c r="I436" s="444"/>
      <c r="J436" s="450"/>
      <c r="K436" s="444"/>
      <c r="L436" s="450"/>
      <c r="M436" s="444"/>
      <c r="N436" s="450"/>
      <c r="O436" s="450"/>
      <c r="P436" s="450"/>
      <c r="Q436" s="451" t="s">
        <v>374</v>
      </c>
      <c r="R436" s="451"/>
      <c r="S436" s="452"/>
      <c r="T436" s="452"/>
      <c r="U436" s="453"/>
      <c r="V436" s="454"/>
      <c r="W436" s="455" t="s">
        <v>406</v>
      </c>
      <c r="X436" s="455">
        <v>45526</v>
      </c>
      <c r="Y436" s="456" t="s">
        <v>377</v>
      </c>
      <c r="Z436" s="457"/>
      <c r="AA436" s="453"/>
    </row>
    <row r="437" spans="1:27" s="128" customFormat="1">
      <c r="A437" s="443">
        <v>71</v>
      </c>
      <c r="B437" s="444" t="s">
        <v>2583</v>
      </c>
      <c r="C437" s="445" t="s">
        <v>115</v>
      </c>
      <c r="D437" s="444" t="s">
        <v>2584</v>
      </c>
      <c r="E437" s="446">
        <v>1</v>
      </c>
      <c r="F437" s="447"/>
      <c r="G437" s="448">
        <f t="shared" si="17"/>
        <v>0</v>
      </c>
      <c r="H437" s="450"/>
      <c r="I437" s="444"/>
      <c r="J437" s="450"/>
      <c r="K437" s="444"/>
      <c r="L437" s="450"/>
      <c r="M437" s="444"/>
      <c r="N437" s="450"/>
      <c r="O437" s="450"/>
      <c r="P437" s="450"/>
      <c r="Q437" s="451" t="s">
        <v>374</v>
      </c>
      <c r="R437" s="451"/>
      <c r="S437" s="452"/>
      <c r="T437" s="452"/>
      <c r="U437" s="453"/>
      <c r="V437" s="454"/>
      <c r="W437" s="455" t="s">
        <v>406</v>
      </c>
      <c r="X437" s="455">
        <v>45526</v>
      </c>
      <c r="Y437" s="456" t="s">
        <v>377</v>
      </c>
      <c r="Z437" s="457"/>
      <c r="AA437" s="453"/>
    </row>
    <row r="438" spans="1:27" s="128" customFormat="1" ht="37.5">
      <c r="A438" s="443">
        <v>72</v>
      </c>
      <c r="B438" s="444" t="s">
        <v>2645</v>
      </c>
      <c r="C438" s="445" t="s">
        <v>115</v>
      </c>
      <c r="D438" s="444" t="s">
        <v>2646</v>
      </c>
      <c r="E438" s="446">
        <v>1</v>
      </c>
      <c r="F438" s="447"/>
      <c r="G438" s="448">
        <f t="shared" si="17"/>
        <v>0</v>
      </c>
      <c r="H438" s="450"/>
      <c r="I438" s="444"/>
      <c r="J438" s="450"/>
      <c r="K438" s="444" t="s">
        <v>2795</v>
      </c>
      <c r="L438" s="450" t="s">
        <v>756</v>
      </c>
      <c r="M438" s="444" t="s">
        <v>2796</v>
      </c>
      <c r="N438" s="450"/>
      <c r="O438" s="450"/>
      <c r="P438" s="450" t="s">
        <v>954</v>
      </c>
      <c r="Q438" s="451" t="s">
        <v>374</v>
      </c>
      <c r="R438" s="451" t="s">
        <v>269</v>
      </c>
      <c r="S438" s="452" t="s">
        <v>1128</v>
      </c>
      <c r="T438" s="452">
        <v>45581</v>
      </c>
      <c r="U438" s="453"/>
      <c r="V438" s="454"/>
      <c r="W438" s="455" t="s">
        <v>406</v>
      </c>
      <c r="X438" s="455">
        <v>45576</v>
      </c>
      <c r="Y438" s="456" t="s">
        <v>377</v>
      </c>
      <c r="Z438" s="457"/>
      <c r="AA438" s="453"/>
    </row>
    <row r="439" spans="1:27" s="128" customFormat="1" ht="37.5">
      <c r="A439" s="443">
        <v>73</v>
      </c>
      <c r="B439" s="444" t="s">
        <v>2797</v>
      </c>
      <c r="C439" s="445" t="s">
        <v>115</v>
      </c>
      <c r="D439" s="444" t="s">
        <v>2798</v>
      </c>
      <c r="E439" s="446">
        <v>1</v>
      </c>
      <c r="F439" s="447"/>
      <c r="G439" s="448">
        <f t="shared" si="17"/>
        <v>0</v>
      </c>
      <c r="H439" s="450"/>
      <c r="I439" s="444"/>
      <c r="J439" s="450"/>
      <c r="K439" s="444" t="s">
        <v>2721</v>
      </c>
      <c r="L439" s="450" t="s">
        <v>979</v>
      </c>
      <c r="M439" s="444" t="s">
        <v>2799</v>
      </c>
      <c r="N439" s="450"/>
      <c r="O439" s="450"/>
      <c r="P439" s="450" t="s">
        <v>1890</v>
      </c>
      <c r="Q439" s="451" t="s">
        <v>374</v>
      </c>
      <c r="R439" s="451" t="s">
        <v>2800</v>
      </c>
      <c r="S439" s="452" t="s">
        <v>1348</v>
      </c>
      <c r="T439" s="452"/>
      <c r="U439" s="453"/>
      <c r="V439" s="454"/>
      <c r="W439" s="455" t="s">
        <v>406</v>
      </c>
      <c r="X439" s="455">
        <v>45526</v>
      </c>
      <c r="Y439" s="456" t="s">
        <v>377</v>
      </c>
      <c r="Z439" s="457"/>
      <c r="AA439" s="453"/>
    </row>
    <row r="440" spans="1:27" s="128" customFormat="1">
      <c r="A440" s="443">
        <v>74</v>
      </c>
      <c r="B440" s="444" t="s">
        <v>2577</v>
      </c>
      <c r="C440" s="445" t="s">
        <v>115</v>
      </c>
      <c r="D440" s="444" t="s">
        <v>2578</v>
      </c>
      <c r="E440" s="446">
        <v>2</v>
      </c>
      <c r="F440" s="447"/>
      <c r="G440" s="448">
        <f t="shared" si="17"/>
        <v>0</v>
      </c>
      <c r="H440" s="450"/>
      <c r="I440" s="444"/>
      <c r="J440" s="450"/>
      <c r="K440" s="444"/>
      <c r="L440" s="450"/>
      <c r="M440" s="444"/>
      <c r="N440" s="450"/>
      <c r="O440" s="450"/>
      <c r="P440" s="450"/>
      <c r="Q440" s="451" t="s">
        <v>374</v>
      </c>
      <c r="R440" s="451"/>
      <c r="S440" s="452"/>
      <c r="T440" s="452"/>
      <c r="U440" s="453"/>
      <c r="V440" s="454"/>
      <c r="W440" s="455" t="s">
        <v>406</v>
      </c>
      <c r="X440" s="455">
        <v>45526</v>
      </c>
      <c r="Y440" s="456" t="s">
        <v>377</v>
      </c>
      <c r="Z440" s="457"/>
      <c r="AA440" s="453"/>
    </row>
    <row r="441" spans="1:27" s="128" customFormat="1">
      <c r="A441" s="443">
        <v>75</v>
      </c>
      <c r="B441" s="444" t="s">
        <v>2579</v>
      </c>
      <c r="C441" s="445" t="s">
        <v>115</v>
      </c>
      <c r="D441" s="444" t="s">
        <v>2580</v>
      </c>
      <c r="E441" s="446">
        <v>1</v>
      </c>
      <c r="F441" s="447"/>
      <c r="G441" s="448">
        <f t="shared" si="17"/>
        <v>0</v>
      </c>
      <c r="H441" s="450"/>
      <c r="I441" s="444"/>
      <c r="J441" s="450"/>
      <c r="K441" s="444"/>
      <c r="L441" s="450"/>
      <c r="M441" s="444"/>
      <c r="N441" s="450"/>
      <c r="O441" s="450"/>
      <c r="P441" s="450"/>
      <c r="Q441" s="451" t="s">
        <v>374</v>
      </c>
      <c r="R441" s="451"/>
      <c r="S441" s="452"/>
      <c r="T441" s="452"/>
      <c r="U441" s="453"/>
      <c r="V441" s="454"/>
      <c r="W441" s="455" t="s">
        <v>406</v>
      </c>
      <c r="X441" s="455">
        <v>45526</v>
      </c>
      <c r="Y441" s="456" t="s">
        <v>377</v>
      </c>
      <c r="Z441" s="457"/>
      <c r="AA441" s="453"/>
    </row>
    <row r="442" spans="1:27" s="128" customFormat="1">
      <c r="A442" s="443">
        <v>76</v>
      </c>
      <c r="B442" s="444" t="s">
        <v>2585</v>
      </c>
      <c r="C442" s="445" t="s">
        <v>115</v>
      </c>
      <c r="D442" s="444" t="s">
        <v>2586</v>
      </c>
      <c r="E442" s="446">
        <v>2</v>
      </c>
      <c r="F442" s="447"/>
      <c r="G442" s="448">
        <f t="shared" si="17"/>
        <v>0</v>
      </c>
      <c r="H442" s="450"/>
      <c r="I442" s="444"/>
      <c r="J442" s="450"/>
      <c r="K442" s="444"/>
      <c r="L442" s="450"/>
      <c r="M442" s="444"/>
      <c r="N442" s="450"/>
      <c r="O442" s="450"/>
      <c r="P442" s="450"/>
      <c r="Q442" s="451" t="s">
        <v>374</v>
      </c>
      <c r="R442" s="451"/>
      <c r="S442" s="452"/>
      <c r="T442" s="452"/>
      <c r="U442" s="453"/>
      <c r="V442" s="454"/>
      <c r="W442" s="455" t="s">
        <v>406</v>
      </c>
      <c r="X442" s="455">
        <v>45526</v>
      </c>
      <c r="Y442" s="456" t="s">
        <v>377</v>
      </c>
      <c r="Z442" s="457"/>
      <c r="AA442" s="453"/>
    </row>
    <row r="443" spans="1:27" s="128" customFormat="1">
      <c r="A443" s="443">
        <v>77</v>
      </c>
      <c r="B443" s="444" t="s">
        <v>2583</v>
      </c>
      <c r="C443" s="445" t="s">
        <v>115</v>
      </c>
      <c r="D443" s="444" t="s">
        <v>2584</v>
      </c>
      <c r="E443" s="446">
        <v>1</v>
      </c>
      <c r="F443" s="447"/>
      <c r="G443" s="448">
        <f t="shared" si="17"/>
        <v>0</v>
      </c>
      <c r="H443" s="450"/>
      <c r="I443" s="444"/>
      <c r="J443" s="450"/>
      <c r="K443" s="444"/>
      <c r="L443" s="450"/>
      <c r="M443" s="444"/>
      <c r="N443" s="450"/>
      <c r="O443" s="450"/>
      <c r="P443" s="450"/>
      <c r="Q443" s="451" t="s">
        <v>374</v>
      </c>
      <c r="R443" s="451"/>
      <c r="S443" s="452"/>
      <c r="T443" s="452"/>
      <c r="U443" s="453"/>
      <c r="V443" s="454"/>
      <c r="W443" s="455" t="s">
        <v>406</v>
      </c>
      <c r="X443" s="455">
        <v>45526</v>
      </c>
      <c r="Y443" s="456" t="s">
        <v>377</v>
      </c>
      <c r="Z443" s="457"/>
      <c r="AA443" s="453"/>
    </row>
    <row r="444" spans="1:27" s="128" customFormat="1" ht="37.5">
      <c r="A444" s="443">
        <v>78</v>
      </c>
      <c r="B444" s="444" t="s">
        <v>2645</v>
      </c>
      <c r="C444" s="445" t="s">
        <v>115</v>
      </c>
      <c r="D444" s="444" t="s">
        <v>2646</v>
      </c>
      <c r="E444" s="446">
        <v>1</v>
      </c>
      <c r="F444" s="447"/>
      <c r="G444" s="448">
        <f t="shared" si="17"/>
        <v>0</v>
      </c>
      <c r="H444" s="450"/>
      <c r="I444" s="444"/>
      <c r="J444" s="450"/>
      <c r="K444" s="444" t="s">
        <v>2795</v>
      </c>
      <c r="L444" s="450" t="s">
        <v>756</v>
      </c>
      <c r="M444" s="444" t="s">
        <v>2796</v>
      </c>
      <c r="N444" s="450"/>
      <c r="O444" s="450"/>
      <c r="P444" s="450" t="s">
        <v>954</v>
      </c>
      <c r="Q444" s="451" t="s">
        <v>374</v>
      </c>
      <c r="R444" s="451" t="s">
        <v>269</v>
      </c>
      <c r="S444" s="452" t="s">
        <v>1128</v>
      </c>
      <c r="T444" s="452">
        <v>45581</v>
      </c>
      <c r="U444" s="453"/>
      <c r="V444" s="454"/>
      <c r="W444" s="455" t="s">
        <v>406</v>
      </c>
      <c r="X444" s="455">
        <v>45576</v>
      </c>
      <c r="Y444" s="456" t="s">
        <v>377</v>
      </c>
      <c r="Z444" s="457"/>
      <c r="AA444" s="453"/>
    </row>
    <row r="445" spans="1:27" s="128" customFormat="1">
      <c r="A445" s="443">
        <v>79</v>
      </c>
      <c r="B445" s="444" t="s">
        <v>2577</v>
      </c>
      <c r="C445" s="445" t="s">
        <v>115</v>
      </c>
      <c r="D445" s="444" t="s">
        <v>2578</v>
      </c>
      <c r="E445" s="446">
        <v>2</v>
      </c>
      <c r="F445" s="447"/>
      <c r="G445" s="448">
        <f t="shared" si="17"/>
        <v>0</v>
      </c>
      <c r="H445" s="450"/>
      <c r="I445" s="444"/>
      <c r="J445" s="450"/>
      <c r="K445" s="444"/>
      <c r="L445" s="450"/>
      <c r="M445" s="444"/>
      <c r="N445" s="450"/>
      <c r="O445" s="450"/>
      <c r="P445" s="450"/>
      <c r="Q445" s="451" t="s">
        <v>374</v>
      </c>
      <c r="R445" s="451"/>
      <c r="S445" s="452"/>
      <c r="T445" s="452"/>
      <c r="U445" s="453"/>
      <c r="V445" s="454"/>
      <c r="W445" s="455" t="s">
        <v>406</v>
      </c>
      <c r="X445" s="455">
        <v>45526</v>
      </c>
      <c r="Y445" s="456" t="s">
        <v>377</v>
      </c>
      <c r="Z445" s="457"/>
      <c r="AA445" s="453"/>
    </row>
    <row r="446" spans="1:27" s="128" customFormat="1" ht="18" customHeight="1">
      <c r="A446" s="443">
        <v>80</v>
      </c>
      <c r="B446" s="444" t="s">
        <v>2797</v>
      </c>
      <c r="C446" s="445" t="s">
        <v>115</v>
      </c>
      <c r="D446" s="444" t="s">
        <v>2798</v>
      </c>
      <c r="E446" s="446">
        <v>1</v>
      </c>
      <c r="F446" s="447"/>
      <c r="G446" s="448">
        <f t="shared" si="17"/>
        <v>0</v>
      </c>
      <c r="H446" s="450"/>
      <c r="I446" s="444"/>
      <c r="J446" s="450"/>
      <c r="K446" s="444" t="s">
        <v>2721</v>
      </c>
      <c r="L446" s="450" t="s">
        <v>979</v>
      </c>
      <c r="M446" s="444" t="s">
        <v>2799</v>
      </c>
      <c r="N446" s="450"/>
      <c r="O446" s="450"/>
      <c r="P446" s="450" t="s">
        <v>1890</v>
      </c>
      <c r="Q446" s="451" t="s">
        <v>374</v>
      </c>
      <c r="R446" s="451" t="s">
        <v>2800</v>
      </c>
      <c r="S446" s="452" t="s">
        <v>1348</v>
      </c>
      <c r="T446" s="452">
        <v>45600</v>
      </c>
      <c r="U446" s="453"/>
      <c r="V446" s="454"/>
      <c r="W446" s="455" t="s">
        <v>406</v>
      </c>
      <c r="X446" s="455">
        <v>45593</v>
      </c>
      <c r="Y446" s="456" t="s">
        <v>377</v>
      </c>
      <c r="Z446" s="457" t="s">
        <v>2799</v>
      </c>
      <c r="AA446" s="453"/>
    </row>
    <row r="447" spans="1:27" s="128" customFormat="1">
      <c r="A447" s="443">
        <v>81</v>
      </c>
      <c r="B447" s="444" t="s">
        <v>2579</v>
      </c>
      <c r="C447" s="445" t="s">
        <v>115</v>
      </c>
      <c r="D447" s="444" t="s">
        <v>2580</v>
      </c>
      <c r="E447" s="446">
        <v>1</v>
      </c>
      <c r="F447" s="447"/>
      <c r="G447" s="448">
        <f t="shared" si="17"/>
        <v>0</v>
      </c>
      <c r="H447" s="450"/>
      <c r="I447" s="444"/>
      <c r="J447" s="450"/>
      <c r="K447" s="444"/>
      <c r="L447" s="450"/>
      <c r="M447" s="444"/>
      <c r="N447" s="450"/>
      <c r="O447" s="450"/>
      <c r="P447" s="450"/>
      <c r="Q447" s="451" t="s">
        <v>374</v>
      </c>
      <c r="R447" s="451"/>
      <c r="S447" s="452"/>
      <c r="T447" s="452"/>
      <c r="U447" s="453"/>
      <c r="V447" s="454"/>
      <c r="W447" s="455" t="s">
        <v>406</v>
      </c>
      <c r="X447" s="455">
        <v>45526</v>
      </c>
      <c r="Y447" s="456" t="s">
        <v>377</v>
      </c>
      <c r="Z447" s="457"/>
      <c r="AA447" s="453"/>
    </row>
    <row r="448" spans="1:27" s="128" customFormat="1">
      <c r="A448" s="443">
        <v>82</v>
      </c>
      <c r="B448" s="444" t="s">
        <v>2585</v>
      </c>
      <c r="C448" s="445" t="s">
        <v>115</v>
      </c>
      <c r="D448" s="444" t="s">
        <v>2586</v>
      </c>
      <c r="E448" s="446">
        <v>2</v>
      </c>
      <c r="F448" s="447"/>
      <c r="G448" s="448">
        <f t="shared" si="17"/>
        <v>0</v>
      </c>
      <c r="H448" s="450"/>
      <c r="I448" s="444"/>
      <c r="J448" s="450"/>
      <c r="K448" s="444"/>
      <c r="L448" s="450"/>
      <c r="M448" s="444"/>
      <c r="N448" s="450"/>
      <c r="O448" s="450"/>
      <c r="P448" s="450"/>
      <c r="Q448" s="451" t="s">
        <v>374</v>
      </c>
      <c r="R448" s="451"/>
      <c r="S448" s="452"/>
      <c r="T448" s="452"/>
      <c r="U448" s="453"/>
      <c r="V448" s="454"/>
      <c r="W448" s="455" t="s">
        <v>406</v>
      </c>
      <c r="X448" s="455">
        <v>45526</v>
      </c>
      <c r="Y448" s="456" t="s">
        <v>377</v>
      </c>
      <c r="Z448" s="457"/>
      <c r="AA448" s="453"/>
    </row>
    <row r="449" spans="1:27" s="128" customFormat="1">
      <c r="A449" s="443">
        <v>83</v>
      </c>
      <c r="B449" s="444" t="s">
        <v>2583</v>
      </c>
      <c r="C449" s="445" t="s">
        <v>115</v>
      </c>
      <c r="D449" s="444" t="s">
        <v>2584</v>
      </c>
      <c r="E449" s="446">
        <v>1</v>
      </c>
      <c r="F449" s="447"/>
      <c r="G449" s="448">
        <f t="shared" si="17"/>
        <v>0</v>
      </c>
      <c r="H449" s="450"/>
      <c r="I449" s="444"/>
      <c r="J449" s="450"/>
      <c r="K449" s="444"/>
      <c r="L449" s="450"/>
      <c r="M449" s="444"/>
      <c r="N449" s="450"/>
      <c r="O449" s="450"/>
      <c r="P449" s="450"/>
      <c r="Q449" s="451" t="s">
        <v>374</v>
      </c>
      <c r="R449" s="451"/>
      <c r="S449" s="452"/>
      <c r="T449" s="452"/>
      <c r="U449" s="453"/>
      <c r="V449" s="454"/>
      <c r="W449" s="455" t="s">
        <v>406</v>
      </c>
      <c r="X449" s="455">
        <v>45526</v>
      </c>
      <c r="Y449" s="456" t="s">
        <v>377</v>
      </c>
      <c r="Z449" s="457"/>
      <c r="AA449" s="453"/>
    </row>
    <row r="450" spans="1:27" s="128" customFormat="1" ht="37.5">
      <c r="A450" s="443">
        <v>84</v>
      </c>
      <c r="B450" s="444" t="s">
        <v>2645</v>
      </c>
      <c r="C450" s="445" t="s">
        <v>115</v>
      </c>
      <c r="D450" s="444" t="s">
        <v>2646</v>
      </c>
      <c r="E450" s="446">
        <v>1</v>
      </c>
      <c r="F450" s="447"/>
      <c r="G450" s="448">
        <f t="shared" si="17"/>
        <v>0</v>
      </c>
      <c r="H450" s="450"/>
      <c r="I450" s="444"/>
      <c r="J450" s="450"/>
      <c r="K450" s="444" t="s">
        <v>2795</v>
      </c>
      <c r="L450" s="450" t="s">
        <v>756</v>
      </c>
      <c r="M450" s="444" t="s">
        <v>2796</v>
      </c>
      <c r="N450" s="450"/>
      <c r="O450" s="450"/>
      <c r="P450" s="450" t="s">
        <v>954</v>
      </c>
      <c r="Q450" s="451" t="s">
        <v>374</v>
      </c>
      <c r="R450" s="451" t="s">
        <v>269</v>
      </c>
      <c r="S450" s="452" t="s">
        <v>1128</v>
      </c>
      <c r="T450" s="452">
        <v>45581</v>
      </c>
      <c r="U450" s="453"/>
      <c r="V450" s="454"/>
      <c r="W450" s="455" t="s">
        <v>406</v>
      </c>
      <c r="X450" s="455">
        <v>45576</v>
      </c>
      <c r="Y450" s="456" t="s">
        <v>377</v>
      </c>
      <c r="Z450" s="457"/>
      <c r="AA450" s="453"/>
    </row>
    <row r="451" spans="1:27" s="128" customFormat="1">
      <c r="A451" s="443">
        <v>85</v>
      </c>
      <c r="B451" s="444" t="s">
        <v>2577</v>
      </c>
      <c r="C451" s="445" t="s">
        <v>115</v>
      </c>
      <c r="D451" s="444" t="s">
        <v>2578</v>
      </c>
      <c r="E451" s="446">
        <v>4</v>
      </c>
      <c r="F451" s="447"/>
      <c r="G451" s="448">
        <f t="shared" si="17"/>
        <v>0</v>
      </c>
      <c r="H451" s="450"/>
      <c r="I451" s="444"/>
      <c r="J451" s="450"/>
      <c r="K451" s="444"/>
      <c r="L451" s="450"/>
      <c r="M451" s="444"/>
      <c r="N451" s="450"/>
      <c r="O451" s="450"/>
      <c r="P451" s="450"/>
      <c r="Q451" s="451" t="s">
        <v>374</v>
      </c>
      <c r="R451" s="451"/>
      <c r="S451" s="452"/>
      <c r="T451" s="452"/>
      <c r="U451" s="453"/>
      <c r="V451" s="454"/>
      <c r="W451" s="455" t="s">
        <v>406</v>
      </c>
      <c r="X451" s="455">
        <v>45526</v>
      </c>
      <c r="Y451" s="456" t="s">
        <v>377</v>
      </c>
      <c r="Z451" s="457"/>
      <c r="AA451" s="453"/>
    </row>
    <row r="452" spans="1:27" s="128" customFormat="1">
      <c r="A452" s="443">
        <v>86</v>
      </c>
      <c r="B452" s="444" t="s">
        <v>2579</v>
      </c>
      <c r="C452" s="445" t="s">
        <v>115</v>
      </c>
      <c r="D452" s="444" t="s">
        <v>2580</v>
      </c>
      <c r="E452" s="446">
        <v>2</v>
      </c>
      <c r="F452" s="447"/>
      <c r="G452" s="448">
        <f t="shared" si="17"/>
        <v>0</v>
      </c>
      <c r="H452" s="450"/>
      <c r="I452" s="444"/>
      <c r="J452" s="450"/>
      <c r="K452" s="444"/>
      <c r="L452" s="450"/>
      <c r="M452" s="444"/>
      <c r="N452" s="450"/>
      <c r="O452" s="450"/>
      <c r="P452" s="450"/>
      <c r="Q452" s="451" t="s">
        <v>374</v>
      </c>
      <c r="R452" s="451"/>
      <c r="S452" s="452"/>
      <c r="T452" s="452"/>
      <c r="U452" s="453"/>
      <c r="V452" s="454"/>
      <c r="W452" s="455" t="s">
        <v>406</v>
      </c>
      <c r="X452" s="455">
        <v>45526</v>
      </c>
      <c r="Y452" s="456" t="s">
        <v>377</v>
      </c>
      <c r="Z452" s="457"/>
      <c r="AA452" s="453"/>
    </row>
    <row r="453" spans="1:27" s="128" customFormat="1">
      <c r="A453" s="443">
        <v>87</v>
      </c>
      <c r="B453" s="444" t="s">
        <v>2585</v>
      </c>
      <c r="C453" s="445" t="s">
        <v>115</v>
      </c>
      <c r="D453" s="444" t="s">
        <v>2586</v>
      </c>
      <c r="E453" s="446">
        <v>2</v>
      </c>
      <c r="F453" s="447"/>
      <c r="G453" s="448">
        <f t="shared" si="17"/>
        <v>0</v>
      </c>
      <c r="H453" s="450"/>
      <c r="I453" s="444"/>
      <c r="J453" s="450"/>
      <c r="K453" s="444"/>
      <c r="L453" s="450"/>
      <c r="M453" s="444"/>
      <c r="N453" s="450"/>
      <c r="O453" s="450"/>
      <c r="P453" s="450"/>
      <c r="Q453" s="451" t="s">
        <v>374</v>
      </c>
      <c r="R453" s="451"/>
      <c r="S453" s="452"/>
      <c r="T453" s="452"/>
      <c r="U453" s="453"/>
      <c r="V453" s="454"/>
      <c r="W453" s="455" t="s">
        <v>406</v>
      </c>
      <c r="X453" s="455">
        <v>45526</v>
      </c>
      <c r="Y453" s="456" t="s">
        <v>377</v>
      </c>
      <c r="Z453" s="457"/>
      <c r="AA453" s="453"/>
    </row>
    <row r="454" spans="1:27" s="128" customFormat="1">
      <c r="A454" s="443">
        <v>88</v>
      </c>
      <c r="B454" s="444" t="s">
        <v>2583</v>
      </c>
      <c r="C454" s="445" t="s">
        <v>115</v>
      </c>
      <c r="D454" s="444" t="s">
        <v>2584</v>
      </c>
      <c r="E454" s="446">
        <v>2</v>
      </c>
      <c r="F454" s="447"/>
      <c r="G454" s="448">
        <f t="shared" si="17"/>
        <v>0</v>
      </c>
      <c r="H454" s="450"/>
      <c r="I454" s="444"/>
      <c r="J454" s="450"/>
      <c r="K454" s="444"/>
      <c r="L454" s="450"/>
      <c r="M454" s="444"/>
      <c r="N454" s="450"/>
      <c r="O454" s="450"/>
      <c r="P454" s="450"/>
      <c r="Q454" s="451" t="s">
        <v>374</v>
      </c>
      <c r="R454" s="451"/>
      <c r="S454" s="452"/>
      <c r="T454" s="452"/>
      <c r="U454" s="453"/>
      <c r="V454" s="454"/>
      <c r="W454" s="455" t="s">
        <v>406</v>
      </c>
      <c r="X454" s="455">
        <v>45526</v>
      </c>
      <c r="Y454" s="456" t="s">
        <v>377</v>
      </c>
      <c r="Z454" s="457"/>
      <c r="AA454" s="453"/>
    </row>
    <row r="455" spans="1:27" s="128" customFormat="1">
      <c r="A455" s="443">
        <v>89</v>
      </c>
      <c r="B455" s="444" t="s">
        <v>2577</v>
      </c>
      <c r="C455" s="445" t="s">
        <v>115</v>
      </c>
      <c r="D455" s="444" t="s">
        <v>2578</v>
      </c>
      <c r="E455" s="446">
        <v>4</v>
      </c>
      <c r="F455" s="447"/>
      <c r="G455" s="448">
        <f t="shared" si="17"/>
        <v>0</v>
      </c>
      <c r="H455" s="450"/>
      <c r="I455" s="444"/>
      <c r="J455" s="450"/>
      <c r="K455" s="444"/>
      <c r="L455" s="450"/>
      <c r="M455" s="444"/>
      <c r="N455" s="450"/>
      <c r="O455" s="450"/>
      <c r="P455" s="450"/>
      <c r="Q455" s="451" t="s">
        <v>374</v>
      </c>
      <c r="R455" s="451"/>
      <c r="S455" s="452"/>
      <c r="T455" s="452"/>
      <c r="U455" s="453"/>
      <c r="V455" s="454"/>
      <c r="W455" s="455" t="s">
        <v>406</v>
      </c>
      <c r="X455" s="455">
        <v>45526</v>
      </c>
      <c r="Y455" s="456" t="s">
        <v>377</v>
      </c>
      <c r="Z455" s="457"/>
      <c r="AA455" s="453"/>
    </row>
    <row r="456" spans="1:27" s="128" customFormat="1">
      <c r="A456" s="443">
        <v>90</v>
      </c>
      <c r="B456" s="444" t="s">
        <v>2579</v>
      </c>
      <c r="C456" s="445" t="s">
        <v>115</v>
      </c>
      <c r="D456" s="444" t="s">
        <v>2580</v>
      </c>
      <c r="E456" s="446">
        <v>2</v>
      </c>
      <c r="F456" s="447"/>
      <c r="G456" s="448">
        <f t="shared" si="17"/>
        <v>0</v>
      </c>
      <c r="H456" s="450"/>
      <c r="I456" s="444"/>
      <c r="J456" s="450"/>
      <c r="K456" s="444"/>
      <c r="L456" s="450"/>
      <c r="M456" s="444"/>
      <c r="N456" s="450"/>
      <c r="O456" s="450"/>
      <c r="P456" s="450"/>
      <c r="Q456" s="451" t="s">
        <v>374</v>
      </c>
      <c r="R456" s="451"/>
      <c r="S456" s="452"/>
      <c r="T456" s="452"/>
      <c r="U456" s="453"/>
      <c r="V456" s="454"/>
      <c r="W456" s="455" t="s">
        <v>406</v>
      </c>
      <c r="X456" s="455">
        <v>45526</v>
      </c>
      <c r="Y456" s="456" t="s">
        <v>377</v>
      </c>
      <c r="Z456" s="457"/>
      <c r="AA456" s="453"/>
    </row>
    <row r="457" spans="1:27" s="128" customFormat="1">
      <c r="A457" s="443">
        <v>91</v>
      </c>
      <c r="B457" s="444" t="s">
        <v>2585</v>
      </c>
      <c r="C457" s="445" t="s">
        <v>115</v>
      </c>
      <c r="D457" s="444" t="s">
        <v>2586</v>
      </c>
      <c r="E457" s="446">
        <v>2</v>
      </c>
      <c r="F457" s="447"/>
      <c r="G457" s="448">
        <f t="shared" si="17"/>
        <v>0</v>
      </c>
      <c r="H457" s="450"/>
      <c r="I457" s="444"/>
      <c r="J457" s="450"/>
      <c r="K457" s="444"/>
      <c r="L457" s="450"/>
      <c r="M457" s="444"/>
      <c r="N457" s="450"/>
      <c r="O457" s="450"/>
      <c r="P457" s="450"/>
      <c r="Q457" s="451" t="s">
        <v>374</v>
      </c>
      <c r="R457" s="451"/>
      <c r="S457" s="452"/>
      <c r="T457" s="452"/>
      <c r="U457" s="453"/>
      <c r="V457" s="454"/>
      <c r="W457" s="455" t="s">
        <v>406</v>
      </c>
      <c r="X457" s="455">
        <v>45526</v>
      </c>
      <c r="Y457" s="456" t="s">
        <v>377</v>
      </c>
      <c r="Z457" s="457"/>
      <c r="AA457" s="453"/>
    </row>
    <row r="458" spans="1:27" s="128" customFormat="1">
      <c r="A458" s="443">
        <v>92</v>
      </c>
      <c r="B458" s="444" t="s">
        <v>2583</v>
      </c>
      <c r="C458" s="445" t="s">
        <v>115</v>
      </c>
      <c r="D458" s="444" t="s">
        <v>2584</v>
      </c>
      <c r="E458" s="446">
        <v>2</v>
      </c>
      <c r="F458" s="447"/>
      <c r="G458" s="448">
        <f t="shared" si="17"/>
        <v>0</v>
      </c>
      <c r="H458" s="450"/>
      <c r="I458" s="444"/>
      <c r="J458" s="450"/>
      <c r="K458" s="444"/>
      <c r="L458" s="450"/>
      <c r="M458" s="444"/>
      <c r="N458" s="450"/>
      <c r="O458" s="450"/>
      <c r="P458" s="450"/>
      <c r="Q458" s="451" t="s">
        <v>374</v>
      </c>
      <c r="R458" s="451"/>
      <c r="S458" s="452"/>
      <c r="T458" s="452"/>
      <c r="U458" s="453"/>
      <c r="V458" s="454"/>
      <c r="W458" s="455" t="s">
        <v>406</v>
      </c>
      <c r="X458" s="455">
        <v>45526</v>
      </c>
      <c r="Y458" s="456" t="s">
        <v>377</v>
      </c>
      <c r="Z458" s="457"/>
      <c r="AA458" s="453"/>
    </row>
    <row r="459" spans="1:27" s="128" customFormat="1">
      <c r="A459" s="443">
        <v>93</v>
      </c>
      <c r="B459" s="444" t="s">
        <v>2581</v>
      </c>
      <c r="C459" s="445" t="s">
        <v>115</v>
      </c>
      <c r="D459" s="444" t="s">
        <v>2582</v>
      </c>
      <c r="E459" s="446">
        <v>3</v>
      </c>
      <c r="F459" s="447"/>
      <c r="G459" s="448">
        <f t="shared" si="17"/>
        <v>0</v>
      </c>
      <c r="H459" s="450"/>
      <c r="I459" s="444"/>
      <c r="J459" s="450"/>
      <c r="K459" s="444"/>
      <c r="L459" s="450"/>
      <c r="M459" s="444"/>
      <c r="N459" s="450"/>
      <c r="O459" s="450"/>
      <c r="P459" s="450"/>
      <c r="Q459" s="451" t="s">
        <v>374</v>
      </c>
      <c r="R459" s="451"/>
      <c r="S459" s="452"/>
      <c r="T459" s="452"/>
      <c r="U459" s="453"/>
      <c r="V459" s="454"/>
      <c r="W459" s="455" t="s">
        <v>406</v>
      </c>
      <c r="X459" s="455">
        <v>45526</v>
      </c>
      <c r="Y459" s="456" t="s">
        <v>377</v>
      </c>
      <c r="Z459" s="457"/>
      <c r="AA459" s="453"/>
    </row>
    <row r="460" spans="1:27" s="128" customFormat="1">
      <c r="A460" s="443">
        <v>94</v>
      </c>
      <c r="B460" s="444" t="s">
        <v>2579</v>
      </c>
      <c r="C460" s="445" t="s">
        <v>115</v>
      </c>
      <c r="D460" s="444" t="s">
        <v>2580</v>
      </c>
      <c r="E460" s="446">
        <v>1</v>
      </c>
      <c r="F460" s="447"/>
      <c r="G460" s="448">
        <f t="shared" si="17"/>
        <v>0</v>
      </c>
      <c r="H460" s="450"/>
      <c r="I460" s="444"/>
      <c r="J460" s="450"/>
      <c r="K460" s="444"/>
      <c r="L460" s="450"/>
      <c r="M460" s="444"/>
      <c r="N460" s="450"/>
      <c r="O460" s="450"/>
      <c r="P460" s="450"/>
      <c r="Q460" s="451" t="s">
        <v>374</v>
      </c>
      <c r="R460" s="451"/>
      <c r="S460" s="452"/>
      <c r="T460" s="452"/>
      <c r="U460" s="453"/>
      <c r="V460" s="454"/>
      <c r="W460" s="455" t="s">
        <v>406</v>
      </c>
      <c r="X460" s="455">
        <v>45526</v>
      </c>
      <c r="Y460" s="456" t="s">
        <v>377</v>
      </c>
      <c r="Z460" s="457"/>
      <c r="AA460" s="453"/>
    </row>
    <row r="461" spans="1:27" s="128" customFormat="1">
      <c r="A461" s="443">
        <v>95</v>
      </c>
      <c r="B461" s="444" t="s">
        <v>2585</v>
      </c>
      <c r="C461" s="445" t="s">
        <v>115</v>
      </c>
      <c r="D461" s="444" t="s">
        <v>2586</v>
      </c>
      <c r="E461" s="446">
        <v>1</v>
      </c>
      <c r="F461" s="447"/>
      <c r="G461" s="448">
        <f t="shared" si="17"/>
        <v>0</v>
      </c>
      <c r="H461" s="450"/>
      <c r="I461" s="444"/>
      <c r="J461" s="450"/>
      <c r="K461" s="444"/>
      <c r="L461" s="450"/>
      <c r="M461" s="444"/>
      <c r="N461" s="450"/>
      <c r="O461" s="450"/>
      <c r="P461" s="450"/>
      <c r="Q461" s="451" t="s">
        <v>374</v>
      </c>
      <c r="R461" s="451"/>
      <c r="S461" s="452"/>
      <c r="T461" s="452"/>
      <c r="U461" s="453"/>
      <c r="V461" s="454"/>
      <c r="W461" s="455" t="s">
        <v>406</v>
      </c>
      <c r="X461" s="455">
        <v>45526</v>
      </c>
      <c r="Y461" s="456" t="s">
        <v>377</v>
      </c>
      <c r="Z461" s="457"/>
      <c r="AA461" s="453"/>
    </row>
    <row r="462" spans="1:27" s="128" customFormat="1">
      <c r="A462" s="443">
        <v>96</v>
      </c>
      <c r="B462" s="444" t="s">
        <v>2593</v>
      </c>
      <c r="C462" s="445" t="s">
        <v>115</v>
      </c>
      <c r="D462" s="444" t="s">
        <v>2594</v>
      </c>
      <c r="E462" s="446">
        <v>1</v>
      </c>
      <c r="F462" s="447"/>
      <c r="G462" s="448">
        <f t="shared" si="17"/>
        <v>0</v>
      </c>
      <c r="H462" s="450"/>
      <c r="I462" s="444"/>
      <c r="J462" s="450"/>
      <c r="K462" s="444"/>
      <c r="L462" s="450"/>
      <c r="M462" s="444"/>
      <c r="N462" s="450"/>
      <c r="O462" s="450"/>
      <c r="P462" s="450"/>
      <c r="Q462" s="451" t="s">
        <v>374</v>
      </c>
      <c r="R462" s="451"/>
      <c r="S462" s="452"/>
      <c r="T462" s="452"/>
      <c r="U462" s="453"/>
      <c r="V462" s="454"/>
      <c r="W462" s="455" t="s">
        <v>406</v>
      </c>
      <c r="X462" s="455">
        <v>45526</v>
      </c>
      <c r="Y462" s="456" t="s">
        <v>377</v>
      </c>
      <c r="Z462" s="457"/>
      <c r="AA462" s="453"/>
    </row>
    <row r="463" spans="1:27" s="128" customFormat="1">
      <c r="A463" s="443">
        <v>97</v>
      </c>
      <c r="B463" s="444" t="s">
        <v>2577</v>
      </c>
      <c r="C463" s="445" t="s">
        <v>115</v>
      </c>
      <c r="D463" s="444" t="s">
        <v>2578</v>
      </c>
      <c r="E463" s="446">
        <v>8</v>
      </c>
      <c r="F463" s="447"/>
      <c r="G463" s="448">
        <f t="shared" ref="G463:G494" si="18">E463*F463</f>
        <v>0</v>
      </c>
      <c r="H463" s="450"/>
      <c r="I463" s="444"/>
      <c r="J463" s="450"/>
      <c r="K463" s="444"/>
      <c r="L463" s="450"/>
      <c r="M463" s="444"/>
      <c r="N463" s="450"/>
      <c r="O463" s="450"/>
      <c r="P463" s="450"/>
      <c r="Q463" s="451" t="s">
        <v>374</v>
      </c>
      <c r="R463" s="451"/>
      <c r="S463" s="452"/>
      <c r="T463" s="452"/>
      <c r="U463" s="453"/>
      <c r="V463" s="454"/>
      <c r="W463" s="455" t="s">
        <v>406</v>
      </c>
      <c r="X463" s="455">
        <v>45526</v>
      </c>
      <c r="Y463" s="456" t="s">
        <v>377</v>
      </c>
      <c r="Z463" s="457"/>
      <c r="AA463" s="453"/>
    </row>
    <row r="464" spans="1:27" s="128" customFormat="1">
      <c r="A464" s="443">
        <v>98</v>
      </c>
      <c r="B464" s="444" t="s">
        <v>2579</v>
      </c>
      <c r="C464" s="445" t="s">
        <v>115</v>
      </c>
      <c r="D464" s="444" t="s">
        <v>2580</v>
      </c>
      <c r="E464" s="446">
        <v>2</v>
      </c>
      <c r="F464" s="447"/>
      <c r="G464" s="448">
        <f t="shared" si="18"/>
        <v>0</v>
      </c>
      <c r="H464" s="450"/>
      <c r="I464" s="444"/>
      <c r="J464" s="450"/>
      <c r="K464" s="444"/>
      <c r="L464" s="450"/>
      <c r="M464" s="444"/>
      <c r="N464" s="450"/>
      <c r="O464" s="450"/>
      <c r="P464" s="450"/>
      <c r="Q464" s="451" t="s">
        <v>374</v>
      </c>
      <c r="R464" s="451"/>
      <c r="S464" s="452"/>
      <c r="T464" s="452"/>
      <c r="U464" s="453"/>
      <c r="V464" s="454"/>
      <c r="W464" s="455" t="s">
        <v>406</v>
      </c>
      <c r="X464" s="455">
        <v>45526</v>
      </c>
      <c r="Y464" s="456" t="s">
        <v>377</v>
      </c>
      <c r="Z464" s="457"/>
      <c r="AA464" s="453"/>
    </row>
    <row r="465" spans="1:27" s="128" customFormat="1">
      <c r="A465" s="443">
        <v>99</v>
      </c>
      <c r="B465" s="444" t="s">
        <v>2585</v>
      </c>
      <c r="C465" s="445" t="s">
        <v>115</v>
      </c>
      <c r="D465" s="444" t="s">
        <v>2586</v>
      </c>
      <c r="E465" s="446">
        <v>2</v>
      </c>
      <c r="F465" s="447"/>
      <c r="G465" s="448">
        <f t="shared" si="18"/>
        <v>0</v>
      </c>
      <c r="H465" s="450"/>
      <c r="I465" s="444"/>
      <c r="J465" s="450"/>
      <c r="K465" s="444"/>
      <c r="L465" s="450"/>
      <c r="M465" s="444"/>
      <c r="N465" s="450"/>
      <c r="O465" s="450"/>
      <c r="P465" s="450"/>
      <c r="Q465" s="451" t="s">
        <v>374</v>
      </c>
      <c r="R465" s="451"/>
      <c r="S465" s="452"/>
      <c r="T465" s="452"/>
      <c r="U465" s="453"/>
      <c r="V465" s="454"/>
      <c r="W465" s="455" t="s">
        <v>406</v>
      </c>
      <c r="X465" s="455">
        <v>45526</v>
      </c>
      <c r="Y465" s="456" t="s">
        <v>377</v>
      </c>
      <c r="Z465" s="457"/>
      <c r="AA465" s="453"/>
    </row>
    <row r="466" spans="1:27" s="128" customFormat="1">
      <c r="A466" s="443">
        <v>100</v>
      </c>
      <c r="B466" s="444" t="s">
        <v>2593</v>
      </c>
      <c r="C466" s="445" t="s">
        <v>115</v>
      </c>
      <c r="D466" s="444" t="s">
        <v>2594</v>
      </c>
      <c r="E466" s="446">
        <v>2</v>
      </c>
      <c r="F466" s="447"/>
      <c r="G466" s="448">
        <f t="shared" si="18"/>
        <v>0</v>
      </c>
      <c r="H466" s="450"/>
      <c r="I466" s="444"/>
      <c r="J466" s="450"/>
      <c r="K466" s="444"/>
      <c r="L466" s="450"/>
      <c r="M466" s="444"/>
      <c r="N466" s="450"/>
      <c r="O466" s="450"/>
      <c r="P466" s="450"/>
      <c r="Q466" s="451" t="s">
        <v>374</v>
      </c>
      <c r="R466" s="451"/>
      <c r="S466" s="452"/>
      <c r="T466" s="452"/>
      <c r="U466" s="453"/>
      <c r="V466" s="454"/>
      <c r="W466" s="455" t="s">
        <v>406</v>
      </c>
      <c r="X466" s="455">
        <v>45526</v>
      </c>
      <c r="Y466" s="456" t="s">
        <v>377</v>
      </c>
      <c r="Z466" s="457"/>
      <c r="AA466" s="453"/>
    </row>
    <row r="467" spans="1:27" s="128" customFormat="1">
      <c r="A467" s="443">
        <v>101</v>
      </c>
      <c r="B467" s="444" t="s">
        <v>2583</v>
      </c>
      <c r="C467" s="445" t="s">
        <v>115</v>
      </c>
      <c r="D467" s="444" t="s">
        <v>2584</v>
      </c>
      <c r="E467" s="446">
        <v>2</v>
      </c>
      <c r="F467" s="447"/>
      <c r="G467" s="448">
        <f t="shared" si="18"/>
        <v>0</v>
      </c>
      <c r="H467" s="450"/>
      <c r="I467" s="444"/>
      <c r="J467" s="450"/>
      <c r="K467" s="444"/>
      <c r="L467" s="450"/>
      <c r="M467" s="444"/>
      <c r="N467" s="450"/>
      <c r="O467" s="450"/>
      <c r="P467" s="450"/>
      <c r="Q467" s="451" t="s">
        <v>374</v>
      </c>
      <c r="R467" s="451"/>
      <c r="S467" s="452"/>
      <c r="T467" s="452"/>
      <c r="U467" s="453"/>
      <c r="V467" s="454"/>
      <c r="W467" s="455" t="s">
        <v>406</v>
      </c>
      <c r="X467" s="455">
        <v>45526</v>
      </c>
      <c r="Y467" s="456" t="s">
        <v>377</v>
      </c>
      <c r="Z467" s="457"/>
      <c r="AA467" s="453"/>
    </row>
    <row r="468" spans="1:27" s="128" customFormat="1">
      <c r="A468" s="443">
        <v>102</v>
      </c>
      <c r="B468" s="444" t="s">
        <v>2581</v>
      </c>
      <c r="C468" s="445" t="s">
        <v>115</v>
      </c>
      <c r="D468" s="444" t="s">
        <v>2582</v>
      </c>
      <c r="E468" s="446">
        <v>2</v>
      </c>
      <c r="F468" s="447"/>
      <c r="G468" s="448">
        <f t="shared" si="18"/>
        <v>0</v>
      </c>
      <c r="H468" s="450"/>
      <c r="I468" s="444"/>
      <c r="J468" s="450"/>
      <c r="K468" s="444"/>
      <c r="L468" s="450"/>
      <c r="M468" s="444"/>
      <c r="N468" s="450"/>
      <c r="O468" s="450"/>
      <c r="P468" s="450"/>
      <c r="Q468" s="451" t="s">
        <v>374</v>
      </c>
      <c r="R468" s="451"/>
      <c r="S468" s="452"/>
      <c r="T468" s="452"/>
      <c r="U468" s="453"/>
      <c r="V468" s="454"/>
      <c r="W468" s="455" t="s">
        <v>406</v>
      </c>
      <c r="X468" s="455">
        <v>45526</v>
      </c>
      <c r="Y468" s="456" t="s">
        <v>377</v>
      </c>
      <c r="Z468" s="457"/>
      <c r="AA468" s="453"/>
    </row>
    <row r="469" spans="1:27" s="128" customFormat="1">
      <c r="A469" s="443">
        <v>103</v>
      </c>
      <c r="B469" s="444" t="s">
        <v>2579</v>
      </c>
      <c r="C469" s="445" t="s">
        <v>115</v>
      </c>
      <c r="D469" s="444" t="s">
        <v>2580</v>
      </c>
      <c r="E469" s="446">
        <v>1</v>
      </c>
      <c r="F469" s="447"/>
      <c r="G469" s="448">
        <f t="shared" si="18"/>
        <v>0</v>
      </c>
      <c r="H469" s="450"/>
      <c r="I469" s="444"/>
      <c r="J469" s="450"/>
      <c r="K469" s="444"/>
      <c r="L469" s="450"/>
      <c r="M469" s="444"/>
      <c r="N469" s="450"/>
      <c r="O469" s="450"/>
      <c r="P469" s="450"/>
      <c r="Q469" s="451" t="s">
        <v>374</v>
      </c>
      <c r="R469" s="451"/>
      <c r="S469" s="452"/>
      <c r="T469" s="452"/>
      <c r="U469" s="453"/>
      <c r="V469" s="454"/>
      <c r="W469" s="455" t="s">
        <v>406</v>
      </c>
      <c r="X469" s="455">
        <v>45526</v>
      </c>
      <c r="Y469" s="456" t="s">
        <v>377</v>
      </c>
      <c r="Z469" s="457"/>
      <c r="AA469" s="453"/>
    </row>
    <row r="470" spans="1:27" s="128" customFormat="1">
      <c r="A470" s="443">
        <v>104</v>
      </c>
      <c r="B470" s="444" t="s">
        <v>2585</v>
      </c>
      <c r="C470" s="445" t="s">
        <v>115</v>
      </c>
      <c r="D470" s="444" t="s">
        <v>2586</v>
      </c>
      <c r="E470" s="446">
        <v>1</v>
      </c>
      <c r="F470" s="447"/>
      <c r="G470" s="448">
        <f t="shared" si="18"/>
        <v>0</v>
      </c>
      <c r="H470" s="450"/>
      <c r="I470" s="444"/>
      <c r="J470" s="450"/>
      <c r="K470" s="444"/>
      <c r="L470" s="450"/>
      <c r="M470" s="444"/>
      <c r="N470" s="450"/>
      <c r="O470" s="450"/>
      <c r="P470" s="450"/>
      <c r="Q470" s="451" t="s">
        <v>374</v>
      </c>
      <c r="R470" s="451"/>
      <c r="S470" s="452"/>
      <c r="T470" s="452"/>
      <c r="U470" s="453"/>
      <c r="V470" s="454"/>
      <c r="W470" s="455" t="s">
        <v>406</v>
      </c>
      <c r="X470" s="455">
        <v>45526</v>
      </c>
      <c r="Y470" s="456" t="s">
        <v>377</v>
      </c>
      <c r="Z470" s="457"/>
      <c r="AA470" s="453"/>
    </row>
    <row r="471" spans="1:27" s="128" customFormat="1">
      <c r="A471" s="443">
        <v>105</v>
      </c>
      <c r="B471" s="444" t="s">
        <v>2583</v>
      </c>
      <c r="C471" s="445" t="s">
        <v>115</v>
      </c>
      <c r="D471" s="444" t="s">
        <v>2584</v>
      </c>
      <c r="E471" s="446">
        <v>1</v>
      </c>
      <c r="F471" s="447"/>
      <c r="G471" s="448">
        <f t="shared" si="18"/>
        <v>0</v>
      </c>
      <c r="H471" s="450"/>
      <c r="I471" s="444"/>
      <c r="J471" s="450"/>
      <c r="K471" s="444"/>
      <c r="L471" s="450"/>
      <c r="M471" s="444"/>
      <c r="N471" s="450"/>
      <c r="O471" s="450"/>
      <c r="P471" s="450"/>
      <c r="Q471" s="451" t="s">
        <v>374</v>
      </c>
      <c r="R471" s="451"/>
      <c r="S471" s="452"/>
      <c r="T471" s="452"/>
      <c r="U471" s="453"/>
      <c r="V471" s="454"/>
      <c r="W471" s="455" t="s">
        <v>406</v>
      </c>
      <c r="X471" s="455">
        <v>45526</v>
      </c>
      <c r="Y471" s="456" t="s">
        <v>377</v>
      </c>
      <c r="Z471" s="457"/>
      <c r="AA471" s="453"/>
    </row>
    <row r="472" spans="1:27" s="128" customFormat="1">
      <c r="A472" s="443">
        <v>106</v>
      </c>
      <c r="B472" s="444" t="s">
        <v>2569</v>
      </c>
      <c r="C472" s="445" t="s">
        <v>115</v>
      </c>
      <c r="D472" s="444" t="s">
        <v>2570</v>
      </c>
      <c r="E472" s="446">
        <v>1</v>
      </c>
      <c r="F472" s="447"/>
      <c r="G472" s="448">
        <f t="shared" si="18"/>
        <v>0</v>
      </c>
      <c r="H472" s="450"/>
      <c r="I472" s="444"/>
      <c r="J472" s="450"/>
      <c r="K472" s="444"/>
      <c r="L472" s="450"/>
      <c r="M472" s="444"/>
      <c r="N472" s="450"/>
      <c r="O472" s="450"/>
      <c r="P472" s="450"/>
      <c r="Q472" s="451" t="s">
        <v>374</v>
      </c>
      <c r="R472" s="451"/>
      <c r="S472" s="452"/>
      <c r="T472" s="452"/>
      <c r="U472" s="453"/>
      <c r="V472" s="454"/>
      <c r="W472" s="455" t="s">
        <v>406</v>
      </c>
      <c r="X472" s="455">
        <v>45526</v>
      </c>
      <c r="Y472" s="456" t="s">
        <v>377</v>
      </c>
      <c r="Z472" s="457"/>
      <c r="AA472" s="453"/>
    </row>
    <row r="473" spans="1:27" s="128" customFormat="1">
      <c r="A473" s="443">
        <v>107</v>
      </c>
      <c r="B473" s="444" t="s">
        <v>2569</v>
      </c>
      <c r="C473" s="445" t="s">
        <v>115</v>
      </c>
      <c r="D473" s="444" t="s">
        <v>2570</v>
      </c>
      <c r="E473" s="446">
        <v>1</v>
      </c>
      <c r="F473" s="447"/>
      <c r="G473" s="448">
        <f t="shared" si="18"/>
        <v>0</v>
      </c>
      <c r="H473" s="450"/>
      <c r="I473" s="444"/>
      <c r="J473" s="450"/>
      <c r="K473" s="444"/>
      <c r="L473" s="450"/>
      <c r="M473" s="444"/>
      <c r="N473" s="450"/>
      <c r="O473" s="450"/>
      <c r="P473" s="450"/>
      <c r="Q473" s="451" t="s">
        <v>374</v>
      </c>
      <c r="R473" s="451"/>
      <c r="S473" s="452"/>
      <c r="T473" s="452"/>
      <c r="U473" s="453"/>
      <c r="V473" s="454"/>
      <c r="W473" s="455" t="s">
        <v>406</v>
      </c>
      <c r="X473" s="455">
        <v>45526</v>
      </c>
      <c r="Y473" s="456" t="s">
        <v>377</v>
      </c>
      <c r="Z473" s="457"/>
      <c r="AA473" s="453"/>
    </row>
    <row r="474" spans="1:27" s="128" customFormat="1" ht="37.5">
      <c r="A474" s="443">
        <v>108</v>
      </c>
      <c r="B474" s="444" t="s">
        <v>2801</v>
      </c>
      <c r="C474" s="445" t="s">
        <v>115</v>
      </c>
      <c r="D474" s="444" t="s">
        <v>2802</v>
      </c>
      <c r="E474" s="446">
        <v>1</v>
      </c>
      <c r="F474" s="447"/>
      <c r="G474" s="448">
        <f t="shared" si="18"/>
        <v>0</v>
      </c>
      <c r="H474" s="450"/>
      <c r="I474" s="444"/>
      <c r="J474" s="450"/>
      <c r="K474" s="444" t="s">
        <v>2721</v>
      </c>
      <c r="L474" s="450" t="s">
        <v>979</v>
      </c>
      <c r="M474" s="444" t="s">
        <v>2789</v>
      </c>
      <c r="N474" s="450"/>
      <c r="O474" s="450"/>
      <c r="P474" s="450" t="s">
        <v>1890</v>
      </c>
      <c r="Q474" s="451" t="s">
        <v>374</v>
      </c>
      <c r="R474" s="451" t="s">
        <v>269</v>
      </c>
      <c r="S474" s="452" t="s">
        <v>2736</v>
      </c>
      <c r="T474" s="452"/>
      <c r="U474" s="453"/>
      <c r="V474" s="454"/>
      <c r="W474" s="455" t="s">
        <v>406</v>
      </c>
      <c r="X474" s="455">
        <v>45576</v>
      </c>
      <c r="Y474" s="456" t="s">
        <v>377</v>
      </c>
      <c r="Z474" s="457"/>
      <c r="AA474" s="453"/>
    </row>
    <row r="475" spans="1:27" s="128" customFormat="1">
      <c r="A475" s="443">
        <v>109</v>
      </c>
      <c r="B475" s="444" t="s">
        <v>2577</v>
      </c>
      <c r="C475" s="445" t="s">
        <v>115</v>
      </c>
      <c r="D475" s="444" t="s">
        <v>2578</v>
      </c>
      <c r="E475" s="446">
        <v>4</v>
      </c>
      <c r="F475" s="447"/>
      <c r="G475" s="448">
        <f t="shared" si="18"/>
        <v>0</v>
      </c>
      <c r="H475" s="450"/>
      <c r="I475" s="444"/>
      <c r="J475" s="450"/>
      <c r="K475" s="444"/>
      <c r="L475" s="450"/>
      <c r="M475" s="444"/>
      <c r="N475" s="450"/>
      <c r="O475" s="450"/>
      <c r="P475" s="450"/>
      <c r="Q475" s="451" t="s">
        <v>374</v>
      </c>
      <c r="R475" s="451"/>
      <c r="S475" s="452"/>
      <c r="T475" s="452"/>
      <c r="U475" s="453"/>
      <c r="V475" s="454"/>
      <c r="W475" s="455" t="s">
        <v>406</v>
      </c>
      <c r="X475" s="455">
        <v>45526</v>
      </c>
      <c r="Y475" s="456" t="s">
        <v>377</v>
      </c>
      <c r="Z475" s="457"/>
      <c r="AA475" s="453"/>
    </row>
    <row r="476" spans="1:27" s="128" customFormat="1">
      <c r="A476" s="443">
        <v>110</v>
      </c>
      <c r="B476" s="444" t="s">
        <v>2579</v>
      </c>
      <c r="C476" s="445" t="s">
        <v>115</v>
      </c>
      <c r="D476" s="444" t="s">
        <v>2580</v>
      </c>
      <c r="E476" s="446">
        <v>2</v>
      </c>
      <c r="F476" s="447"/>
      <c r="G476" s="448">
        <f t="shared" si="18"/>
        <v>0</v>
      </c>
      <c r="H476" s="450"/>
      <c r="I476" s="444"/>
      <c r="J476" s="450"/>
      <c r="K476" s="444"/>
      <c r="L476" s="450"/>
      <c r="M476" s="444"/>
      <c r="N476" s="450"/>
      <c r="O476" s="450"/>
      <c r="P476" s="450"/>
      <c r="Q476" s="451" t="s">
        <v>374</v>
      </c>
      <c r="R476" s="451"/>
      <c r="S476" s="452"/>
      <c r="T476" s="452"/>
      <c r="U476" s="453"/>
      <c r="V476" s="454"/>
      <c r="W476" s="455" t="s">
        <v>406</v>
      </c>
      <c r="X476" s="455">
        <v>45526</v>
      </c>
      <c r="Y476" s="456" t="s">
        <v>377</v>
      </c>
      <c r="Z476" s="457"/>
      <c r="AA476" s="453"/>
    </row>
    <row r="477" spans="1:27" s="128" customFormat="1">
      <c r="A477" s="443">
        <v>111</v>
      </c>
      <c r="B477" s="444" t="s">
        <v>2585</v>
      </c>
      <c r="C477" s="445" t="s">
        <v>115</v>
      </c>
      <c r="D477" s="444" t="s">
        <v>2586</v>
      </c>
      <c r="E477" s="446">
        <v>2</v>
      </c>
      <c r="F477" s="447"/>
      <c r="G477" s="448">
        <f t="shared" si="18"/>
        <v>0</v>
      </c>
      <c r="H477" s="450"/>
      <c r="I477" s="444"/>
      <c r="J477" s="450"/>
      <c r="K477" s="444"/>
      <c r="L477" s="450"/>
      <c r="M477" s="444"/>
      <c r="N477" s="450"/>
      <c r="O477" s="450"/>
      <c r="P477" s="450"/>
      <c r="Q477" s="451" t="s">
        <v>374</v>
      </c>
      <c r="R477" s="451"/>
      <c r="S477" s="452"/>
      <c r="T477" s="452"/>
      <c r="U477" s="453"/>
      <c r="V477" s="454"/>
      <c r="W477" s="455" t="s">
        <v>406</v>
      </c>
      <c r="X477" s="455">
        <v>45526</v>
      </c>
      <c r="Y477" s="456" t="s">
        <v>377</v>
      </c>
      <c r="Z477" s="457"/>
      <c r="AA477" s="453"/>
    </row>
    <row r="478" spans="1:27" s="128" customFormat="1">
      <c r="A478" s="443">
        <v>112</v>
      </c>
      <c r="B478" s="444" t="s">
        <v>2583</v>
      </c>
      <c r="C478" s="445" t="s">
        <v>115</v>
      </c>
      <c r="D478" s="444" t="s">
        <v>2584</v>
      </c>
      <c r="E478" s="446">
        <v>2</v>
      </c>
      <c r="F478" s="447"/>
      <c r="G478" s="448">
        <f t="shared" si="18"/>
        <v>0</v>
      </c>
      <c r="H478" s="450"/>
      <c r="I478" s="444"/>
      <c r="J478" s="450"/>
      <c r="K478" s="444"/>
      <c r="L478" s="450"/>
      <c r="M478" s="444"/>
      <c r="N478" s="450"/>
      <c r="O478" s="450"/>
      <c r="P478" s="450"/>
      <c r="Q478" s="451" t="s">
        <v>374</v>
      </c>
      <c r="R478" s="451"/>
      <c r="S478" s="452"/>
      <c r="T478" s="452"/>
      <c r="U478" s="453"/>
      <c r="V478" s="454"/>
      <c r="W478" s="455" t="s">
        <v>406</v>
      </c>
      <c r="X478" s="455">
        <v>45526</v>
      </c>
      <c r="Y478" s="456" t="s">
        <v>377</v>
      </c>
      <c r="Z478" s="457"/>
      <c r="AA478" s="453"/>
    </row>
    <row r="479" spans="1:27" s="441" customFormat="1" ht="37.5">
      <c r="A479" s="427">
        <v>113</v>
      </c>
      <c r="B479" s="428" t="s">
        <v>2803</v>
      </c>
      <c r="C479" s="429" t="s">
        <v>115</v>
      </c>
      <c r="D479" s="428" t="s">
        <v>2804</v>
      </c>
      <c r="E479" s="430">
        <v>1</v>
      </c>
      <c r="F479" s="431"/>
      <c r="G479" s="432">
        <f t="shared" si="18"/>
        <v>0</v>
      </c>
      <c r="H479" s="433"/>
      <c r="I479" s="428"/>
      <c r="J479" s="433"/>
      <c r="K479" s="428" t="s">
        <v>2721</v>
      </c>
      <c r="L479" s="433" t="s">
        <v>444</v>
      </c>
      <c r="M479" s="428" t="s">
        <v>444</v>
      </c>
      <c r="N479" s="433"/>
      <c r="O479" s="433"/>
      <c r="P479" s="433" t="s">
        <v>444</v>
      </c>
      <c r="Q479" s="434"/>
      <c r="R479" s="434"/>
      <c r="S479" s="435"/>
      <c r="T479" s="435"/>
      <c r="U479" s="436"/>
      <c r="V479" s="437"/>
      <c r="W479" s="438"/>
      <c r="X479" s="438"/>
      <c r="Y479" s="439" t="s">
        <v>592</v>
      </c>
      <c r="Z479" s="440"/>
      <c r="AA479" s="436"/>
    </row>
    <row r="480" spans="1:27" s="441" customFormat="1" ht="37.5">
      <c r="A480" s="427">
        <v>114</v>
      </c>
      <c r="B480" s="428" t="s">
        <v>2805</v>
      </c>
      <c r="C480" s="429" t="s">
        <v>115</v>
      </c>
      <c r="D480" s="428" t="s">
        <v>2806</v>
      </c>
      <c r="E480" s="430">
        <v>1</v>
      </c>
      <c r="F480" s="431"/>
      <c r="G480" s="432">
        <f t="shared" si="18"/>
        <v>0</v>
      </c>
      <c r="H480" s="433"/>
      <c r="I480" s="428"/>
      <c r="J480" s="433"/>
      <c r="K480" s="428" t="s">
        <v>2721</v>
      </c>
      <c r="L480" s="433" t="s">
        <v>444</v>
      </c>
      <c r="M480" s="428" t="s">
        <v>444</v>
      </c>
      <c r="N480" s="433"/>
      <c r="O480" s="433"/>
      <c r="P480" s="433" t="s">
        <v>444</v>
      </c>
      <c r="Q480" s="434"/>
      <c r="R480" s="434"/>
      <c r="S480" s="435"/>
      <c r="T480" s="435"/>
      <c r="U480" s="436"/>
      <c r="V480" s="437"/>
      <c r="W480" s="438"/>
      <c r="X480" s="438"/>
      <c r="Y480" s="439" t="s">
        <v>592</v>
      </c>
      <c r="Z480" s="440"/>
      <c r="AA480" s="436"/>
    </row>
    <row r="481" spans="1:27" s="441" customFormat="1" ht="37.5">
      <c r="A481" s="427">
        <v>115</v>
      </c>
      <c r="B481" s="428" t="s">
        <v>2807</v>
      </c>
      <c r="C481" s="429" t="s">
        <v>115</v>
      </c>
      <c r="D481" s="428" t="s">
        <v>2808</v>
      </c>
      <c r="E481" s="430">
        <v>6</v>
      </c>
      <c r="F481" s="431"/>
      <c r="G481" s="432">
        <f t="shared" si="18"/>
        <v>0</v>
      </c>
      <c r="H481" s="433"/>
      <c r="I481" s="428"/>
      <c r="J481" s="433"/>
      <c r="K481" s="428" t="s">
        <v>2721</v>
      </c>
      <c r="L481" s="433" t="s">
        <v>444</v>
      </c>
      <c r="M481" s="428" t="s">
        <v>444</v>
      </c>
      <c r="N481" s="433"/>
      <c r="O481" s="433"/>
      <c r="P481" s="433" t="s">
        <v>444</v>
      </c>
      <c r="Q481" s="434"/>
      <c r="R481" s="434"/>
      <c r="S481" s="435"/>
      <c r="T481" s="435"/>
      <c r="U481" s="436"/>
      <c r="V481" s="437"/>
      <c r="W481" s="438"/>
      <c r="X481" s="438"/>
      <c r="Y481" s="439" t="s">
        <v>592</v>
      </c>
      <c r="Z481" s="440"/>
      <c r="AA481" s="436"/>
    </row>
    <row r="482" spans="1:27" s="128" customFormat="1" ht="37.5">
      <c r="A482" s="405">
        <v>116</v>
      </c>
      <c r="B482" s="407" t="s">
        <v>2809</v>
      </c>
      <c r="C482" s="406" t="s">
        <v>115</v>
      </c>
      <c r="D482" s="407" t="s">
        <v>2810</v>
      </c>
      <c r="E482" s="408">
        <v>4</v>
      </c>
      <c r="F482" s="409"/>
      <c r="G482" s="410">
        <f t="shared" si="18"/>
        <v>0</v>
      </c>
      <c r="H482" s="412"/>
      <c r="I482" s="407"/>
      <c r="J482" s="412"/>
      <c r="K482" s="407" t="s">
        <v>2795</v>
      </c>
      <c r="L482" s="412" t="s">
        <v>756</v>
      </c>
      <c r="M482" s="407" t="s">
        <v>444</v>
      </c>
      <c r="N482" s="412"/>
      <c r="O482" s="412"/>
      <c r="P482" s="412" t="s">
        <v>444</v>
      </c>
      <c r="Q482" s="413" t="s">
        <v>591</v>
      </c>
      <c r="R482" s="413" t="s">
        <v>444</v>
      </c>
      <c r="S482" s="414" t="s">
        <v>444</v>
      </c>
      <c r="T482" s="414" t="s">
        <v>712</v>
      </c>
      <c r="U482" s="415"/>
      <c r="V482" s="416"/>
      <c r="W482" s="417"/>
      <c r="X482" s="417"/>
      <c r="Y482" s="418" t="s">
        <v>377</v>
      </c>
      <c r="Z482" s="419"/>
      <c r="AA482" s="415"/>
    </row>
    <row r="483" spans="1:27" s="128" customFormat="1" ht="37.5">
      <c r="A483" s="443">
        <v>117</v>
      </c>
      <c r="B483" s="444" t="s">
        <v>2645</v>
      </c>
      <c r="C483" s="445" t="s">
        <v>115</v>
      </c>
      <c r="D483" s="444" t="s">
        <v>2646</v>
      </c>
      <c r="E483" s="446">
        <v>1</v>
      </c>
      <c r="F483" s="447"/>
      <c r="G483" s="448">
        <f t="shared" si="18"/>
        <v>0</v>
      </c>
      <c r="H483" s="450"/>
      <c r="I483" s="444"/>
      <c r="J483" s="450"/>
      <c r="K483" s="444" t="s">
        <v>2795</v>
      </c>
      <c r="L483" s="450" t="s">
        <v>756</v>
      </c>
      <c r="M483" s="444" t="s">
        <v>2796</v>
      </c>
      <c r="N483" s="450"/>
      <c r="O483" s="450"/>
      <c r="P483" s="450" t="s">
        <v>954</v>
      </c>
      <c r="Q483" s="451" t="s">
        <v>374</v>
      </c>
      <c r="R483" s="451" t="s">
        <v>269</v>
      </c>
      <c r="S483" s="452" t="s">
        <v>1128</v>
      </c>
      <c r="T483" s="452">
        <v>45581</v>
      </c>
      <c r="U483" s="453"/>
      <c r="V483" s="454"/>
      <c r="W483" s="455" t="s">
        <v>406</v>
      </c>
      <c r="X483" s="455">
        <v>45576</v>
      </c>
      <c r="Y483" s="456" t="s">
        <v>377</v>
      </c>
      <c r="Z483" s="457"/>
      <c r="AA483" s="453"/>
    </row>
    <row r="484" spans="1:27" s="128" customFormat="1">
      <c r="A484" s="443">
        <v>118</v>
      </c>
      <c r="B484" s="444" t="s">
        <v>2811</v>
      </c>
      <c r="C484" s="445" t="s">
        <v>115</v>
      </c>
      <c r="D484" s="444" t="s">
        <v>2812</v>
      </c>
      <c r="E484" s="446">
        <v>1</v>
      </c>
      <c r="F484" s="447"/>
      <c r="G484" s="448">
        <f t="shared" si="18"/>
        <v>0</v>
      </c>
      <c r="H484" s="450"/>
      <c r="I484" s="444"/>
      <c r="J484" s="450"/>
      <c r="K484" s="444"/>
      <c r="L484" s="450"/>
      <c r="M484" s="444"/>
      <c r="N484" s="450"/>
      <c r="O484" s="450"/>
      <c r="P484" s="450"/>
      <c r="Q484" s="451" t="s">
        <v>374</v>
      </c>
      <c r="R484" s="451"/>
      <c r="S484" s="452"/>
      <c r="T484" s="452"/>
      <c r="U484" s="453"/>
      <c r="V484" s="454"/>
      <c r="W484" s="455" t="s">
        <v>406</v>
      </c>
      <c r="X484" s="455">
        <v>45526</v>
      </c>
      <c r="Y484" s="456" t="s">
        <v>377</v>
      </c>
      <c r="Z484" s="457"/>
      <c r="AA484" s="453"/>
    </row>
    <row r="485" spans="1:27" s="128" customFormat="1" ht="37.5">
      <c r="A485" s="443">
        <v>119</v>
      </c>
      <c r="B485" s="444" t="s">
        <v>2645</v>
      </c>
      <c r="C485" s="445" t="s">
        <v>115</v>
      </c>
      <c r="D485" s="444" t="s">
        <v>2646</v>
      </c>
      <c r="E485" s="446">
        <v>1</v>
      </c>
      <c r="F485" s="447"/>
      <c r="G485" s="448">
        <f t="shared" si="18"/>
        <v>0</v>
      </c>
      <c r="H485" s="450"/>
      <c r="I485" s="444"/>
      <c r="J485" s="450"/>
      <c r="K485" s="444" t="s">
        <v>2795</v>
      </c>
      <c r="L485" s="450" t="s">
        <v>756</v>
      </c>
      <c r="M485" s="444" t="s">
        <v>2796</v>
      </c>
      <c r="N485" s="450"/>
      <c r="O485" s="450"/>
      <c r="P485" s="450" t="s">
        <v>954</v>
      </c>
      <c r="Q485" s="451" t="s">
        <v>374</v>
      </c>
      <c r="R485" s="451" t="s">
        <v>269</v>
      </c>
      <c r="S485" s="452" t="s">
        <v>1128</v>
      </c>
      <c r="T485" s="452">
        <v>45581</v>
      </c>
      <c r="U485" s="453"/>
      <c r="V485" s="454"/>
      <c r="W485" s="455" t="s">
        <v>406</v>
      </c>
      <c r="X485" s="455">
        <v>45576</v>
      </c>
      <c r="Y485" s="456" t="s">
        <v>377</v>
      </c>
      <c r="Z485" s="457"/>
      <c r="AA485" s="453"/>
    </row>
    <row r="486" spans="1:27" s="128" customFormat="1">
      <c r="A486" s="443">
        <v>120</v>
      </c>
      <c r="B486" s="444" t="s">
        <v>2813</v>
      </c>
      <c r="C486" s="445" t="s">
        <v>115</v>
      </c>
      <c r="D486" s="444" t="s">
        <v>2814</v>
      </c>
      <c r="E486" s="446">
        <v>4</v>
      </c>
      <c r="F486" s="447"/>
      <c r="G486" s="448">
        <f t="shared" si="18"/>
        <v>0</v>
      </c>
      <c r="H486" s="450"/>
      <c r="I486" s="444"/>
      <c r="J486" s="450"/>
      <c r="K486" s="444"/>
      <c r="L486" s="450"/>
      <c r="M486" s="444"/>
      <c r="N486" s="450"/>
      <c r="O486" s="450"/>
      <c r="P486" s="450"/>
      <c r="Q486" s="451" t="s">
        <v>374</v>
      </c>
      <c r="R486" s="451"/>
      <c r="S486" s="452"/>
      <c r="T486" s="452"/>
      <c r="U486" s="453"/>
      <c r="V486" s="454"/>
      <c r="W486" s="455" t="s">
        <v>406</v>
      </c>
      <c r="X486" s="455">
        <v>45526</v>
      </c>
      <c r="Y486" s="456" t="s">
        <v>377</v>
      </c>
      <c r="Z486" s="457"/>
      <c r="AA486" s="453"/>
    </row>
    <row r="487" spans="1:27" s="128" customFormat="1">
      <c r="A487" s="443">
        <v>121</v>
      </c>
      <c r="B487" s="444" t="s">
        <v>2815</v>
      </c>
      <c r="C487" s="445" t="s">
        <v>115</v>
      </c>
      <c r="D487" s="444" t="s">
        <v>2816</v>
      </c>
      <c r="E487" s="446">
        <v>4</v>
      </c>
      <c r="F487" s="447"/>
      <c r="G487" s="448">
        <f t="shared" si="18"/>
        <v>0</v>
      </c>
      <c r="H487" s="450"/>
      <c r="I487" s="444"/>
      <c r="J487" s="450"/>
      <c r="K487" s="444"/>
      <c r="L487" s="450"/>
      <c r="M487" s="444"/>
      <c r="N487" s="450"/>
      <c r="O487" s="450"/>
      <c r="P487" s="450"/>
      <c r="Q487" s="451" t="s">
        <v>374</v>
      </c>
      <c r="R487" s="451"/>
      <c r="S487" s="452"/>
      <c r="T487" s="452"/>
      <c r="U487" s="453"/>
      <c r="V487" s="454"/>
      <c r="W487" s="455" t="s">
        <v>406</v>
      </c>
      <c r="X487" s="455">
        <v>45526</v>
      </c>
      <c r="Y487" s="456" t="s">
        <v>377</v>
      </c>
      <c r="Z487" s="457"/>
      <c r="AA487" s="453"/>
    </row>
    <row r="488" spans="1:27" s="128" customFormat="1" ht="37.5">
      <c r="A488" s="443">
        <v>122</v>
      </c>
      <c r="B488" s="444" t="s">
        <v>2817</v>
      </c>
      <c r="C488" s="445" t="s">
        <v>115</v>
      </c>
      <c r="D488" s="444" t="s">
        <v>2818</v>
      </c>
      <c r="E488" s="446">
        <v>1</v>
      </c>
      <c r="F488" s="447"/>
      <c r="G488" s="448">
        <f t="shared" si="18"/>
        <v>0</v>
      </c>
      <c r="H488" s="450"/>
      <c r="I488" s="444"/>
      <c r="J488" s="450"/>
      <c r="K488" s="444" t="s">
        <v>2721</v>
      </c>
      <c r="L488" s="450" t="s">
        <v>979</v>
      </c>
      <c r="M488" s="444" t="s">
        <v>2789</v>
      </c>
      <c r="N488" s="450"/>
      <c r="O488" s="450"/>
      <c r="P488" s="450" t="s">
        <v>1890</v>
      </c>
      <c r="Q488" s="451" t="s">
        <v>374</v>
      </c>
      <c r="R488" s="451" t="s">
        <v>269</v>
      </c>
      <c r="S488" s="452" t="s">
        <v>2736</v>
      </c>
      <c r="T488" s="452"/>
      <c r="U488" s="453"/>
      <c r="V488" s="454"/>
      <c r="W488" s="455" t="s">
        <v>406</v>
      </c>
      <c r="X488" s="455">
        <v>45581</v>
      </c>
      <c r="Y488" s="456" t="s">
        <v>377</v>
      </c>
      <c r="Z488" s="457"/>
      <c r="AA488" s="453"/>
    </row>
    <row r="489" spans="1:27" s="128" customFormat="1">
      <c r="A489" s="443">
        <v>123</v>
      </c>
      <c r="B489" s="444" t="s">
        <v>2577</v>
      </c>
      <c r="C489" s="445" t="s">
        <v>115</v>
      </c>
      <c r="D489" s="444" t="s">
        <v>2578</v>
      </c>
      <c r="E489" s="446">
        <v>14</v>
      </c>
      <c r="F489" s="447"/>
      <c r="G489" s="448">
        <f t="shared" si="18"/>
        <v>0</v>
      </c>
      <c r="H489" s="450"/>
      <c r="I489" s="444"/>
      <c r="J489" s="450"/>
      <c r="K489" s="444"/>
      <c r="L489" s="450"/>
      <c r="M489" s="444"/>
      <c r="N489" s="450"/>
      <c r="O489" s="450"/>
      <c r="P489" s="450"/>
      <c r="Q489" s="451" t="s">
        <v>374</v>
      </c>
      <c r="R489" s="451"/>
      <c r="S489" s="452"/>
      <c r="T489" s="452"/>
      <c r="U489" s="453"/>
      <c r="V489" s="454"/>
      <c r="W489" s="455" t="s">
        <v>406</v>
      </c>
      <c r="X489" s="455">
        <v>45526</v>
      </c>
      <c r="Y489" s="456" t="s">
        <v>377</v>
      </c>
      <c r="Z489" s="457"/>
      <c r="AA489" s="453"/>
    </row>
    <row r="490" spans="1:27" s="128" customFormat="1">
      <c r="A490" s="443">
        <v>124</v>
      </c>
      <c r="B490" s="444" t="s">
        <v>2579</v>
      </c>
      <c r="C490" s="445" t="s">
        <v>115</v>
      </c>
      <c r="D490" s="444" t="s">
        <v>2580</v>
      </c>
      <c r="E490" s="446">
        <v>2</v>
      </c>
      <c r="F490" s="447"/>
      <c r="G490" s="448">
        <f t="shared" si="18"/>
        <v>0</v>
      </c>
      <c r="H490" s="450"/>
      <c r="I490" s="444"/>
      <c r="J490" s="450"/>
      <c r="K490" s="444"/>
      <c r="L490" s="450"/>
      <c r="M490" s="444"/>
      <c r="N490" s="450"/>
      <c r="O490" s="450"/>
      <c r="P490" s="450"/>
      <c r="Q490" s="451" t="s">
        <v>374</v>
      </c>
      <c r="R490" s="451"/>
      <c r="S490" s="452"/>
      <c r="T490" s="452"/>
      <c r="U490" s="453"/>
      <c r="V490" s="454"/>
      <c r="W490" s="455" t="s">
        <v>406</v>
      </c>
      <c r="X490" s="455">
        <v>45526</v>
      </c>
      <c r="Y490" s="456" t="s">
        <v>377</v>
      </c>
      <c r="Z490" s="457"/>
      <c r="AA490" s="453"/>
    </row>
    <row r="491" spans="1:27" s="128" customFormat="1">
      <c r="A491" s="443">
        <v>125</v>
      </c>
      <c r="B491" s="444" t="s">
        <v>2585</v>
      </c>
      <c r="C491" s="445" t="s">
        <v>115</v>
      </c>
      <c r="D491" s="444" t="s">
        <v>2586</v>
      </c>
      <c r="E491" s="446">
        <v>2</v>
      </c>
      <c r="F491" s="447"/>
      <c r="G491" s="448">
        <f t="shared" si="18"/>
        <v>0</v>
      </c>
      <c r="H491" s="450"/>
      <c r="I491" s="444"/>
      <c r="J491" s="450"/>
      <c r="K491" s="444"/>
      <c r="L491" s="450"/>
      <c r="M491" s="444"/>
      <c r="N491" s="450"/>
      <c r="O491" s="450"/>
      <c r="P491" s="450"/>
      <c r="Q491" s="451" t="s">
        <v>374</v>
      </c>
      <c r="R491" s="451"/>
      <c r="S491" s="452"/>
      <c r="T491" s="452"/>
      <c r="U491" s="453"/>
      <c r="V491" s="454"/>
      <c r="W491" s="455" t="s">
        <v>406</v>
      </c>
      <c r="X491" s="455">
        <v>45526</v>
      </c>
      <c r="Y491" s="456" t="s">
        <v>377</v>
      </c>
      <c r="Z491" s="457"/>
      <c r="AA491" s="453"/>
    </row>
    <row r="492" spans="1:27" s="128" customFormat="1">
      <c r="A492" s="443">
        <v>126</v>
      </c>
      <c r="B492" s="444" t="s">
        <v>2593</v>
      </c>
      <c r="C492" s="445" t="s">
        <v>115</v>
      </c>
      <c r="D492" s="444" t="s">
        <v>2594</v>
      </c>
      <c r="E492" s="446">
        <v>6</v>
      </c>
      <c r="F492" s="447"/>
      <c r="G492" s="448">
        <f t="shared" si="18"/>
        <v>0</v>
      </c>
      <c r="H492" s="450"/>
      <c r="I492" s="444"/>
      <c r="J492" s="450"/>
      <c r="K492" s="444"/>
      <c r="L492" s="450"/>
      <c r="M492" s="444"/>
      <c r="N492" s="450"/>
      <c r="O492" s="450"/>
      <c r="P492" s="450"/>
      <c r="Q492" s="451" t="s">
        <v>374</v>
      </c>
      <c r="R492" s="451"/>
      <c r="S492" s="452"/>
      <c r="T492" s="452"/>
      <c r="U492" s="453"/>
      <c r="V492" s="454"/>
      <c r="W492" s="455" t="s">
        <v>406</v>
      </c>
      <c r="X492" s="455">
        <v>45526</v>
      </c>
      <c r="Y492" s="456" t="s">
        <v>377</v>
      </c>
      <c r="Z492" s="457"/>
      <c r="AA492" s="453"/>
    </row>
    <row r="493" spans="1:27" s="128" customFormat="1">
      <c r="A493" s="443">
        <v>127</v>
      </c>
      <c r="B493" s="444" t="s">
        <v>2577</v>
      </c>
      <c r="C493" s="445" t="s">
        <v>115</v>
      </c>
      <c r="D493" s="444" t="s">
        <v>2578</v>
      </c>
      <c r="E493" s="446">
        <v>14</v>
      </c>
      <c r="F493" s="447"/>
      <c r="G493" s="448">
        <f t="shared" si="18"/>
        <v>0</v>
      </c>
      <c r="H493" s="450"/>
      <c r="I493" s="444"/>
      <c r="J493" s="450"/>
      <c r="K493" s="444"/>
      <c r="L493" s="450"/>
      <c r="M493" s="444"/>
      <c r="N493" s="450"/>
      <c r="O493" s="450"/>
      <c r="P493" s="450"/>
      <c r="Q493" s="451" t="s">
        <v>374</v>
      </c>
      <c r="R493" s="451"/>
      <c r="S493" s="452"/>
      <c r="T493" s="452"/>
      <c r="U493" s="453"/>
      <c r="V493" s="454"/>
      <c r="W493" s="455" t="s">
        <v>406</v>
      </c>
      <c r="X493" s="455">
        <v>45526</v>
      </c>
      <c r="Y493" s="456" t="s">
        <v>377</v>
      </c>
      <c r="Z493" s="457"/>
      <c r="AA493" s="453"/>
    </row>
    <row r="494" spans="1:27" s="128" customFormat="1">
      <c r="A494" s="443">
        <v>128</v>
      </c>
      <c r="B494" s="444" t="s">
        <v>2579</v>
      </c>
      <c r="C494" s="445" t="s">
        <v>115</v>
      </c>
      <c r="D494" s="444" t="s">
        <v>2580</v>
      </c>
      <c r="E494" s="446">
        <v>2</v>
      </c>
      <c r="F494" s="447"/>
      <c r="G494" s="448">
        <f t="shared" si="18"/>
        <v>0</v>
      </c>
      <c r="H494" s="450"/>
      <c r="I494" s="444"/>
      <c r="J494" s="450"/>
      <c r="K494" s="444"/>
      <c r="L494" s="450"/>
      <c r="M494" s="444"/>
      <c r="N494" s="450"/>
      <c r="O494" s="450"/>
      <c r="P494" s="450"/>
      <c r="Q494" s="451" t="s">
        <v>374</v>
      </c>
      <c r="R494" s="451"/>
      <c r="S494" s="452"/>
      <c r="T494" s="452"/>
      <c r="U494" s="453"/>
      <c r="V494" s="454"/>
      <c r="W494" s="455" t="s">
        <v>406</v>
      </c>
      <c r="X494" s="455">
        <v>45526</v>
      </c>
      <c r="Y494" s="456" t="s">
        <v>377</v>
      </c>
      <c r="Z494" s="457"/>
      <c r="AA494" s="453"/>
    </row>
    <row r="495" spans="1:27" s="128" customFormat="1">
      <c r="A495" s="443">
        <v>129</v>
      </c>
      <c r="B495" s="444" t="s">
        <v>2585</v>
      </c>
      <c r="C495" s="445" t="s">
        <v>115</v>
      </c>
      <c r="D495" s="444" t="s">
        <v>2586</v>
      </c>
      <c r="E495" s="446">
        <v>2</v>
      </c>
      <c r="F495" s="447"/>
      <c r="G495" s="448">
        <f t="shared" ref="G495:G523" si="19">E495*F495</f>
        <v>0</v>
      </c>
      <c r="H495" s="450"/>
      <c r="I495" s="444"/>
      <c r="J495" s="450"/>
      <c r="K495" s="444"/>
      <c r="L495" s="450"/>
      <c r="M495" s="444"/>
      <c r="N495" s="450"/>
      <c r="O495" s="450"/>
      <c r="P495" s="450"/>
      <c r="Q495" s="451" t="s">
        <v>374</v>
      </c>
      <c r="R495" s="451"/>
      <c r="S495" s="452"/>
      <c r="T495" s="452"/>
      <c r="U495" s="453"/>
      <c r="V495" s="454"/>
      <c r="W495" s="455" t="s">
        <v>406</v>
      </c>
      <c r="X495" s="455">
        <v>45526</v>
      </c>
      <c r="Y495" s="456" t="s">
        <v>377</v>
      </c>
      <c r="Z495" s="457"/>
      <c r="AA495" s="453"/>
    </row>
    <row r="496" spans="1:27" s="128" customFormat="1">
      <c r="A496" s="443">
        <v>130</v>
      </c>
      <c r="B496" s="444" t="s">
        <v>2593</v>
      </c>
      <c r="C496" s="445" t="s">
        <v>115</v>
      </c>
      <c r="D496" s="444" t="s">
        <v>2594</v>
      </c>
      <c r="E496" s="446">
        <v>6</v>
      </c>
      <c r="F496" s="447"/>
      <c r="G496" s="448">
        <f t="shared" si="19"/>
        <v>0</v>
      </c>
      <c r="H496" s="450"/>
      <c r="I496" s="444"/>
      <c r="J496" s="450"/>
      <c r="K496" s="444"/>
      <c r="L496" s="450"/>
      <c r="M496" s="444"/>
      <c r="N496" s="450"/>
      <c r="O496" s="450"/>
      <c r="P496" s="450"/>
      <c r="Q496" s="451" t="s">
        <v>374</v>
      </c>
      <c r="R496" s="451"/>
      <c r="S496" s="452"/>
      <c r="T496" s="452"/>
      <c r="U496" s="453"/>
      <c r="V496" s="454"/>
      <c r="W496" s="455" t="s">
        <v>406</v>
      </c>
      <c r="X496" s="455">
        <v>45526</v>
      </c>
      <c r="Y496" s="456" t="s">
        <v>377</v>
      </c>
      <c r="Z496" s="457"/>
      <c r="AA496" s="453"/>
    </row>
    <row r="497" spans="1:27" s="128" customFormat="1" ht="37.5">
      <c r="A497" s="443">
        <v>131</v>
      </c>
      <c r="B497" s="444" t="s">
        <v>2817</v>
      </c>
      <c r="C497" s="445" t="s">
        <v>115</v>
      </c>
      <c r="D497" s="444" t="s">
        <v>2818</v>
      </c>
      <c r="E497" s="446">
        <v>2</v>
      </c>
      <c r="F497" s="447"/>
      <c r="G497" s="448">
        <f t="shared" si="19"/>
        <v>0</v>
      </c>
      <c r="H497" s="450"/>
      <c r="I497" s="444"/>
      <c r="J497" s="450"/>
      <c r="K497" s="444" t="s">
        <v>2721</v>
      </c>
      <c r="L497" s="450" t="s">
        <v>979</v>
      </c>
      <c r="M497" s="444" t="s">
        <v>2789</v>
      </c>
      <c r="N497" s="450"/>
      <c r="O497" s="450"/>
      <c r="P497" s="450" t="s">
        <v>1890</v>
      </c>
      <c r="Q497" s="451" t="s">
        <v>374</v>
      </c>
      <c r="R497" s="451" t="s">
        <v>269</v>
      </c>
      <c r="S497" s="452" t="s">
        <v>2736</v>
      </c>
      <c r="T497" s="452"/>
      <c r="U497" s="453"/>
      <c r="V497" s="454"/>
      <c r="W497" s="455" t="s">
        <v>406</v>
      </c>
      <c r="X497" s="455">
        <v>45581</v>
      </c>
      <c r="Y497" s="456" t="s">
        <v>377</v>
      </c>
      <c r="Z497" s="457"/>
      <c r="AA497" s="453"/>
    </row>
    <row r="498" spans="1:27" s="128" customFormat="1" ht="37.5">
      <c r="A498" s="443">
        <v>132</v>
      </c>
      <c r="B498" s="444" t="s">
        <v>2451</v>
      </c>
      <c r="C498" s="445" t="s">
        <v>115</v>
      </c>
      <c r="D498" s="444" t="s">
        <v>2452</v>
      </c>
      <c r="E498" s="446">
        <v>1</v>
      </c>
      <c r="F498" s="447"/>
      <c r="G498" s="448">
        <f t="shared" si="19"/>
        <v>0</v>
      </c>
      <c r="H498" s="450"/>
      <c r="I498" s="444"/>
      <c r="J498" s="450"/>
      <c r="K498" s="444" t="s">
        <v>2721</v>
      </c>
      <c r="L498" s="450" t="s">
        <v>979</v>
      </c>
      <c r="M498" s="444" t="s">
        <v>2778</v>
      </c>
      <c r="N498" s="450"/>
      <c r="O498" s="450"/>
      <c r="P498" s="450" t="s">
        <v>1890</v>
      </c>
      <c r="Q498" s="451" t="s">
        <v>374</v>
      </c>
      <c r="R498" s="451" t="s">
        <v>247</v>
      </c>
      <c r="S498" s="452" t="s">
        <v>2779</v>
      </c>
      <c r="T498" s="452"/>
      <c r="U498" s="453"/>
      <c r="V498" s="454"/>
      <c r="W498" s="455" t="s">
        <v>406</v>
      </c>
      <c r="X498" s="455">
        <v>45575</v>
      </c>
      <c r="Y498" s="456" t="s">
        <v>377</v>
      </c>
      <c r="Z498" s="457"/>
      <c r="AA498" s="453"/>
    </row>
    <row r="499" spans="1:27" s="128" customFormat="1">
      <c r="A499" s="443">
        <v>133</v>
      </c>
      <c r="B499" s="444" t="s">
        <v>2454</v>
      </c>
      <c r="C499" s="445" t="s">
        <v>115</v>
      </c>
      <c r="D499" s="444" t="s">
        <v>2455</v>
      </c>
      <c r="E499" s="446">
        <v>1</v>
      </c>
      <c r="F499" s="447"/>
      <c r="G499" s="448">
        <f t="shared" si="19"/>
        <v>0</v>
      </c>
      <c r="H499" s="450"/>
      <c r="I499" s="444"/>
      <c r="J499" s="450"/>
      <c r="K499" s="444"/>
      <c r="L499" s="450"/>
      <c r="M499" s="444"/>
      <c r="N499" s="450"/>
      <c r="O499" s="450"/>
      <c r="P499" s="450"/>
      <c r="Q499" s="451" t="s">
        <v>374</v>
      </c>
      <c r="R499" s="451"/>
      <c r="S499" s="452"/>
      <c r="T499" s="452"/>
      <c r="U499" s="453"/>
      <c r="V499" s="454"/>
      <c r="W499" s="455" t="s">
        <v>406</v>
      </c>
      <c r="X499" s="455">
        <v>45526</v>
      </c>
      <c r="Y499" s="456" t="s">
        <v>377</v>
      </c>
      <c r="Z499" s="457"/>
      <c r="AA499" s="453"/>
    </row>
    <row r="500" spans="1:27" s="128" customFormat="1">
      <c r="A500" s="443">
        <v>134</v>
      </c>
      <c r="B500" s="444" t="s">
        <v>2819</v>
      </c>
      <c r="C500" s="445" t="s">
        <v>115</v>
      </c>
      <c r="D500" s="444" t="s">
        <v>2820</v>
      </c>
      <c r="E500" s="446">
        <v>4</v>
      </c>
      <c r="F500" s="447"/>
      <c r="G500" s="448">
        <f t="shared" si="19"/>
        <v>0</v>
      </c>
      <c r="H500" s="450"/>
      <c r="I500" s="444"/>
      <c r="J500" s="450"/>
      <c r="K500" s="444"/>
      <c r="L500" s="450"/>
      <c r="M500" s="444"/>
      <c r="N500" s="450"/>
      <c r="O500" s="450"/>
      <c r="P500" s="450"/>
      <c r="Q500" s="451" t="s">
        <v>374</v>
      </c>
      <c r="R500" s="451"/>
      <c r="S500" s="452"/>
      <c r="T500" s="452"/>
      <c r="U500" s="453"/>
      <c r="V500" s="454"/>
      <c r="W500" s="455" t="s">
        <v>406</v>
      </c>
      <c r="X500" s="455">
        <v>45526</v>
      </c>
      <c r="Y500" s="456" t="s">
        <v>377</v>
      </c>
      <c r="Z500" s="457"/>
      <c r="AA500" s="453"/>
    </row>
    <row r="501" spans="1:27" s="128" customFormat="1" ht="37.5">
      <c r="A501" s="443">
        <v>135</v>
      </c>
      <c r="B501" s="444" t="s">
        <v>2645</v>
      </c>
      <c r="C501" s="445" t="s">
        <v>115</v>
      </c>
      <c r="D501" s="444" t="s">
        <v>2646</v>
      </c>
      <c r="E501" s="446">
        <v>1</v>
      </c>
      <c r="F501" s="447"/>
      <c r="G501" s="448">
        <f t="shared" si="19"/>
        <v>0</v>
      </c>
      <c r="H501" s="450"/>
      <c r="I501" s="444"/>
      <c r="J501" s="450"/>
      <c r="K501" s="444" t="s">
        <v>2795</v>
      </c>
      <c r="L501" s="450" t="s">
        <v>756</v>
      </c>
      <c r="M501" s="444" t="s">
        <v>2796</v>
      </c>
      <c r="N501" s="450"/>
      <c r="O501" s="450"/>
      <c r="P501" s="450" t="s">
        <v>954</v>
      </c>
      <c r="Q501" s="451" t="s">
        <v>374</v>
      </c>
      <c r="R501" s="451" t="s">
        <v>269</v>
      </c>
      <c r="S501" s="452" t="s">
        <v>1128</v>
      </c>
      <c r="T501" s="452">
        <v>45581</v>
      </c>
      <c r="U501" s="453"/>
      <c r="V501" s="454"/>
      <c r="W501" s="455" t="s">
        <v>406</v>
      </c>
      <c r="X501" s="455">
        <v>45576</v>
      </c>
      <c r="Y501" s="456" t="s">
        <v>377</v>
      </c>
      <c r="Z501" s="457"/>
      <c r="AA501" s="453"/>
    </row>
    <row r="502" spans="1:27" s="128" customFormat="1" ht="37.5">
      <c r="A502" s="443">
        <v>136</v>
      </c>
      <c r="B502" s="444" t="s">
        <v>2645</v>
      </c>
      <c r="C502" s="445" t="s">
        <v>115</v>
      </c>
      <c r="D502" s="444" t="s">
        <v>2646</v>
      </c>
      <c r="E502" s="446">
        <v>1</v>
      </c>
      <c r="F502" s="447"/>
      <c r="G502" s="448">
        <f t="shared" si="19"/>
        <v>0</v>
      </c>
      <c r="H502" s="450"/>
      <c r="I502" s="444"/>
      <c r="J502" s="450"/>
      <c r="K502" s="444" t="s">
        <v>2795</v>
      </c>
      <c r="L502" s="450" t="s">
        <v>756</v>
      </c>
      <c r="M502" s="444" t="s">
        <v>2796</v>
      </c>
      <c r="N502" s="450"/>
      <c r="O502" s="450"/>
      <c r="P502" s="450" t="s">
        <v>954</v>
      </c>
      <c r="Q502" s="451" t="s">
        <v>374</v>
      </c>
      <c r="R502" s="451" t="s">
        <v>269</v>
      </c>
      <c r="S502" s="452" t="s">
        <v>1128</v>
      </c>
      <c r="T502" s="452">
        <v>45581</v>
      </c>
      <c r="U502" s="453"/>
      <c r="V502" s="454"/>
      <c r="W502" s="455" t="s">
        <v>406</v>
      </c>
      <c r="X502" s="455">
        <v>45576</v>
      </c>
      <c r="Y502" s="456" t="s">
        <v>377</v>
      </c>
      <c r="Z502" s="457"/>
      <c r="AA502" s="453"/>
    </row>
    <row r="503" spans="1:27" s="128" customFormat="1" ht="37.5">
      <c r="A503" s="443">
        <v>137</v>
      </c>
      <c r="B503" s="444" t="s">
        <v>2645</v>
      </c>
      <c r="C503" s="445" t="s">
        <v>115</v>
      </c>
      <c r="D503" s="444" t="s">
        <v>2646</v>
      </c>
      <c r="E503" s="446">
        <v>1</v>
      </c>
      <c r="F503" s="447"/>
      <c r="G503" s="448">
        <f t="shared" si="19"/>
        <v>0</v>
      </c>
      <c r="H503" s="450"/>
      <c r="I503" s="444"/>
      <c r="J503" s="450"/>
      <c r="K503" s="444" t="s">
        <v>2795</v>
      </c>
      <c r="L503" s="450" t="s">
        <v>756</v>
      </c>
      <c r="M503" s="444" t="s">
        <v>2796</v>
      </c>
      <c r="N503" s="450"/>
      <c r="O503" s="450"/>
      <c r="P503" s="450" t="s">
        <v>954</v>
      </c>
      <c r="Q503" s="451" t="s">
        <v>374</v>
      </c>
      <c r="R503" s="451" t="s">
        <v>269</v>
      </c>
      <c r="S503" s="452" t="s">
        <v>1128</v>
      </c>
      <c r="T503" s="452">
        <v>45581</v>
      </c>
      <c r="U503" s="453"/>
      <c r="V503" s="454"/>
      <c r="W503" s="455" t="s">
        <v>406</v>
      </c>
      <c r="X503" s="455">
        <v>45576</v>
      </c>
      <c r="Y503" s="456" t="s">
        <v>377</v>
      </c>
      <c r="Z503" s="457"/>
      <c r="AA503" s="453"/>
    </row>
    <row r="504" spans="1:27" s="128" customFormat="1" ht="37.5">
      <c r="A504" s="443">
        <v>138</v>
      </c>
      <c r="B504" s="444" t="s">
        <v>2645</v>
      </c>
      <c r="C504" s="445" t="s">
        <v>115</v>
      </c>
      <c r="D504" s="444" t="s">
        <v>2646</v>
      </c>
      <c r="E504" s="446">
        <v>1</v>
      </c>
      <c r="F504" s="447"/>
      <c r="G504" s="448">
        <f t="shared" si="19"/>
        <v>0</v>
      </c>
      <c r="H504" s="450"/>
      <c r="I504" s="444"/>
      <c r="J504" s="450"/>
      <c r="K504" s="444" t="s">
        <v>2795</v>
      </c>
      <c r="L504" s="450" t="s">
        <v>756</v>
      </c>
      <c r="M504" s="444" t="s">
        <v>2796</v>
      </c>
      <c r="N504" s="450"/>
      <c r="O504" s="450"/>
      <c r="P504" s="450" t="s">
        <v>954</v>
      </c>
      <c r="Q504" s="451" t="s">
        <v>374</v>
      </c>
      <c r="R504" s="451" t="s">
        <v>269</v>
      </c>
      <c r="S504" s="452" t="s">
        <v>1128</v>
      </c>
      <c r="T504" s="452"/>
      <c r="U504" s="453"/>
      <c r="V504" s="454"/>
      <c r="W504" s="455" t="s">
        <v>406</v>
      </c>
      <c r="X504" s="455">
        <v>45569</v>
      </c>
      <c r="Y504" s="456" t="s">
        <v>377</v>
      </c>
      <c r="Z504" s="457"/>
      <c r="AA504" s="453"/>
    </row>
    <row r="505" spans="1:27" s="128" customFormat="1" ht="37.5">
      <c r="A505" s="443">
        <v>139</v>
      </c>
      <c r="B505" s="444" t="s">
        <v>2645</v>
      </c>
      <c r="C505" s="445" t="s">
        <v>115</v>
      </c>
      <c r="D505" s="444" t="s">
        <v>2646</v>
      </c>
      <c r="E505" s="446">
        <v>1</v>
      </c>
      <c r="F505" s="447"/>
      <c r="G505" s="448">
        <f t="shared" si="19"/>
        <v>0</v>
      </c>
      <c r="H505" s="450"/>
      <c r="I505" s="444"/>
      <c r="J505" s="450"/>
      <c r="K505" s="444" t="s">
        <v>2795</v>
      </c>
      <c r="L505" s="450" t="s">
        <v>756</v>
      </c>
      <c r="M505" s="444" t="s">
        <v>2796</v>
      </c>
      <c r="N505" s="450"/>
      <c r="O505" s="450"/>
      <c r="P505" s="450" t="s">
        <v>954</v>
      </c>
      <c r="Q505" s="451" t="s">
        <v>374</v>
      </c>
      <c r="R505" s="451" t="s">
        <v>269</v>
      </c>
      <c r="S505" s="452" t="s">
        <v>1128</v>
      </c>
      <c r="T505" s="452"/>
      <c r="U505" s="453"/>
      <c r="V505" s="454"/>
      <c r="W505" s="455" t="s">
        <v>406</v>
      </c>
      <c r="X505" s="455">
        <v>45569</v>
      </c>
      <c r="Y505" s="456" t="s">
        <v>377</v>
      </c>
      <c r="Z505" s="457"/>
      <c r="AA505" s="453"/>
    </row>
    <row r="506" spans="1:27" s="128" customFormat="1">
      <c r="A506" s="443">
        <v>140</v>
      </c>
      <c r="B506" s="444" t="s">
        <v>2821</v>
      </c>
      <c r="C506" s="445" t="s">
        <v>115</v>
      </c>
      <c r="D506" s="444" t="s">
        <v>2822</v>
      </c>
      <c r="E506" s="446">
        <v>1</v>
      </c>
      <c r="F506" s="447"/>
      <c r="G506" s="448">
        <f t="shared" si="19"/>
        <v>0</v>
      </c>
      <c r="H506" s="450"/>
      <c r="I506" s="444"/>
      <c r="J506" s="450"/>
      <c r="K506" s="444"/>
      <c r="L506" s="450"/>
      <c r="M506" s="444"/>
      <c r="N506" s="450"/>
      <c r="O506" s="450"/>
      <c r="P506" s="450"/>
      <c r="Q506" s="451" t="s">
        <v>374</v>
      </c>
      <c r="R506" s="451"/>
      <c r="S506" s="452"/>
      <c r="T506" s="452"/>
      <c r="U506" s="453"/>
      <c r="V506" s="454"/>
      <c r="W506" s="455" t="s">
        <v>406</v>
      </c>
      <c r="X506" s="455">
        <v>45526</v>
      </c>
      <c r="Y506" s="456" t="s">
        <v>377</v>
      </c>
      <c r="Z506" s="457"/>
      <c r="AA506" s="453"/>
    </row>
    <row r="507" spans="1:27" s="128" customFormat="1">
      <c r="A507" s="443">
        <v>141</v>
      </c>
      <c r="B507" s="444" t="s">
        <v>2604</v>
      </c>
      <c r="C507" s="445" t="s">
        <v>115</v>
      </c>
      <c r="D507" s="444" t="s">
        <v>2605</v>
      </c>
      <c r="E507" s="446">
        <v>4</v>
      </c>
      <c r="F507" s="447"/>
      <c r="G507" s="448">
        <f t="shared" si="19"/>
        <v>0</v>
      </c>
      <c r="H507" s="450"/>
      <c r="I507" s="444"/>
      <c r="J507" s="450"/>
      <c r="K507" s="444"/>
      <c r="L507" s="450"/>
      <c r="M507" s="444"/>
      <c r="N507" s="450"/>
      <c r="O507" s="450"/>
      <c r="P507" s="450"/>
      <c r="Q507" s="451" t="s">
        <v>374</v>
      </c>
      <c r="R507" s="451"/>
      <c r="S507" s="452"/>
      <c r="T507" s="452" t="s">
        <v>712</v>
      </c>
      <c r="U507" s="453"/>
      <c r="V507" s="454"/>
      <c r="W507" s="455" t="s">
        <v>406</v>
      </c>
      <c r="X507" s="455">
        <v>45582</v>
      </c>
      <c r="Y507" s="456" t="s">
        <v>377</v>
      </c>
      <c r="Z507" s="457"/>
      <c r="AA507" s="453"/>
    </row>
    <row r="508" spans="1:27" s="128" customFormat="1">
      <c r="A508" s="443">
        <v>142</v>
      </c>
      <c r="B508" s="444" t="s">
        <v>2608</v>
      </c>
      <c r="C508" s="445" t="s">
        <v>115</v>
      </c>
      <c r="D508" s="444" t="s">
        <v>2609</v>
      </c>
      <c r="E508" s="446">
        <v>2</v>
      </c>
      <c r="F508" s="447"/>
      <c r="G508" s="448">
        <f t="shared" si="19"/>
        <v>0</v>
      </c>
      <c r="H508" s="450"/>
      <c r="I508" s="444"/>
      <c r="J508" s="450"/>
      <c r="K508" s="444"/>
      <c r="L508" s="450"/>
      <c r="M508" s="444"/>
      <c r="N508" s="450"/>
      <c r="O508" s="450"/>
      <c r="P508" s="450"/>
      <c r="Q508" s="451" t="s">
        <v>374</v>
      </c>
      <c r="R508" s="451"/>
      <c r="S508" s="452"/>
      <c r="T508" s="452" t="s">
        <v>712</v>
      </c>
      <c r="U508" s="453"/>
      <c r="V508" s="454"/>
      <c r="W508" s="455" t="s">
        <v>406</v>
      </c>
      <c r="X508" s="455">
        <v>45582</v>
      </c>
      <c r="Y508" s="456" t="s">
        <v>377</v>
      </c>
      <c r="Z508" s="457"/>
      <c r="AA508" s="453"/>
    </row>
    <row r="509" spans="1:27" s="128" customFormat="1">
      <c r="A509" s="443">
        <v>143</v>
      </c>
      <c r="B509" s="444" t="s">
        <v>2823</v>
      </c>
      <c r="C509" s="445" t="s">
        <v>115</v>
      </c>
      <c r="D509" s="444" t="s">
        <v>2824</v>
      </c>
      <c r="E509" s="446">
        <v>1</v>
      </c>
      <c r="F509" s="447"/>
      <c r="G509" s="448">
        <f t="shared" si="19"/>
        <v>0</v>
      </c>
      <c r="H509" s="450"/>
      <c r="I509" s="444"/>
      <c r="J509" s="450"/>
      <c r="K509" s="444"/>
      <c r="L509" s="450"/>
      <c r="M509" s="444"/>
      <c r="N509" s="450"/>
      <c r="O509" s="450"/>
      <c r="P509" s="450"/>
      <c r="Q509" s="451" t="s">
        <v>374</v>
      </c>
      <c r="R509" s="451"/>
      <c r="S509" s="452"/>
      <c r="T509" s="452"/>
      <c r="U509" s="453"/>
      <c r="V509" s="454"/>
      <c r="W509" s="455" t="s">
        <v>406</v>
      </c>
      <c r="X509" s="455">
        <v>45526</v>
      </c>
      <c r="Y509" s="456" t="s">
        <v>377</v>
      </c>
      <c r="Z509" s="457"/>
      <c r="AA509" s="453"/>
    </row>
    <row r="510" spans="1:27" s="128" customFormat="1">
      <c r="A510" s="443">
        <v>144</v>
      </c>
      <c r="B510" s="444" t="s">
        <v>2604</v>
      </c>
      <c r="C510" s="445" t="s">
        <v>115</v>
      </c>
      <c r="D510" s="444" t="s">
        <v>2605</v>
      </c>
      <c r="E510" s="446">
        <v>4</v>
      </c>
      <c r="F510" s="447"/>
      <c r="G510" s="448">
        <f t="shared" si="19"/>
        <v>0</v>
      </c>
      <c r="H510" s="450"/>
      <c r="I510" s="444"/>
      <c r="J510" s="450"/>
      <c r="K510" s="444"/>
      <c r="L510" s="450"/>
      <c r="M510" s="444"/>
      <c r="N510" s="450"/>
      <c r="O510" s="450"/>
      <c r="P510" s="450"/>
      <c r="Q510" s="451" t="s">
        <v>374</v>
      </c>
      <c r="R510" s="451"/>
      <c r="S510" s="452"/>
      <c r="T510" s="452" t="s">
        <v>712</v>
      </c>
      <c r="U510" s="453"/>
      <c r="V510" s="454"/>
      <c r="W510" s="455" t="s">
        <v>406</v>
      </c>
      <c r="X510" s="455">
        <v>45582</v>
      </c>
      <c r="Y510" s="456" t="s">
        <v>377</v>
      </c>
      <c r="Z510" s="457"/>
      <c r="AA510" s="453"/>
    </row>
    <row r="511" spans="1:27" s="128" customFormat="1">
      <c r="A511" s="443">
        <v>145</v>
      </c>
      <c r="B511" s="444" t="s">
        <v>2608</v>
      </c>
      <c r="C511" s="445" t="s">
        <v>115</v>
      </c>
      <c r="D511" s="444" t="s">
        <v>2609</v>
      </c>
      <c r="E511" s="446">
        <v>2</v>
      </c>
      <c r="F511" s="447"/>
      <c r="G511" s="448">
        <f t="shared" si="19"/>
        <v>0</v>
      </c>
      <c r="H511" s="450"/>
      <c r="I511" s="444"/>
      <c r="J511" s="450"/>
      <c r="K511" s="444"/>
      <c r="L511" s="450"/>
      <c r="M511" s="444"/>
      <c r="N511" s="450"/>
      <c r="O511" s="450"/>
      <c r="P511" s="450"/>
      <c r="Q511" s="451" t="s">
        <v>374</v>
      </c>
      <c r="R511" s="451"/>
      <c r="S511" s="452"/>
      <c r="T511" s="452" t="s">
        <v>712</v>
      </c>
      <c r="U511" s="453"/>
      <c r="V511" s="454"/>
      <c r="W511" s="455" t="s">
        <v>406</v>
      </c>
      <c r="X511" s="455">
        <v>45582</v>
      </c>
      <c r="Y511" s="456" t="s">
        <v>377</v>
      </c>
      <c r="Z511" s="457"/>
      <c r="AA511" s="453"/>
    </row>
    <row r="512" spans="1:27" s="128" customFormat="1">
      <c r="A512" s="443">
        <v>146</v>
      </c>
      <c r="B512" s="444" t="s">
        <v>2636</v>
      </c>
      <c r="C512" s="445" t="s">
        <v>115</v>
      </c>
      <c r="D512" s="444" t="s">
        <v>2637</v>
      </c>
      <c r="E512" s="446">
        <v>1</v>
      </c>
      <c r="F512" s="447"/>
      <c r="G512" s="448">
        <f t="shared" si="19"/>
        <v>0</v>
      </c>
      <c r="H512" s="450"/>
      <c r="I512" s="444"/>
      <c r="J512" s="450"/>
      <c r="K512" s="444"/>
      <c r="L512" s="450"/>
      <c r="M512" s="444"/>
      <c r="N512" s="450"/>
      <c r="O512" s="450"/>
      <c r="P512" s="450"/>
      <c r="Q512" s="451" t="s">
        <v>374</v>
      </c>
      <c r="R512" s="451"/>
      <c r="S512" s="452"/>
      <c r="T512" s="452"/>
      <c r="U512" s="453"/>
      <c r="V512" s="454"/>
      <c r="W512" s="455" t="s">
        <v>406</v>
      </c>
      <c r="X512" s="455">
        <v>45582</v>
      </c>
      <c r="Y512" s="456" t="s">
        <v>377</v>
      </c>
      <c r="Z512" s="457"/>
      <c r="AA512" s="453"/>
    </row>
    <row r="513" spans="1:27" s="128" customFormat="1">
      <c r="A513" s="443">
        <v>147</v>
      </c>
      <c r="B513" s="444" t="s">
        <v>2604</v>
      </c>
      <c r="C513" s="445" t="s">
        <v>115</v>
      </c>
      <c r="D513" s="444" t="s">
        <v>2605</v>
      </c>
      <c r="E513" s="446">
        <v>4</v>
      </c>
      <c r="F513" s="447"/>
      <c r="G513" s="448">
        <f t="shared" si="19"/>
        <v>0</v>
      </c>
      <c r="H513" s="450"/>
      <c r="I513" s="444"/>
      <c r="J513" s="450"/>
      <c r="K513" s="444"/>
      <c r="L513" s="450"/>
      <c r="M513" s="444"/>
      <c r="N513" s="450"/>
      <c r="O513" s="450"/>
      <c r="P513" s="450"/>
      <c r="Q513" s="451" t="s">
        <v>374</v>
      </c>
      <c r="R513" s="451"/>
      <c r="S513" s="452"/>
      <c r="T513" s="452" t="s">
        <v>712</v>
      </c>
      <c r="U513" s="453"/>
      <c r="V513" s="454"/>
      <c r="W513" s="455" t="s">
        <v>406</v>
      </c>
      <c r="X513" s="455">
        <v>45582</v>
      </c>
      <c r="Y513" s="456" t="s">
        <v>377</v>
      </c>
      <c r="Z513" s="457"/>
      <c r="AA513" s="453"/>
    </row>
    <row r="514" spans="1:27" s="128" customFormat="1">
      <c r="A514" s="443">
        <v>148</v>
      </c>
      <c r="B514" s="444" t="s">
        <v>2608</v>
      </c>
      <c r="C514" s="445" t="s">
        <v>115</v>
      </c>
      <c r="D514" s="444" t="s">
        <v>2609</v>
      </c>
      <c r="E514" s="446">
        <v>2</v>
      </c>
      <c r="F514" s="447"/>
      <c r="G514" s="448">
        <f t="shared" si="19"/>
        <v>0</v>
      </c>
      <c r="H514" s="450"/>
      <c r="I514" s="444"/>
      <c r="J514" s="450"/>
      <c r="K514" s="444"/>
      <c r="L514" s="450"/>
      <c r="M514" s="444"/>
      <c r="N514" s="450"/>
      <c r="O514" s="450"/>
      <c r="P514" s="450"/>
      <c r="Q514" s="451" t="s">
        <v>374</v>
      </c>
      <c r="R514" s="451"/>
      <c r="S514" s="452"/>
      <c r="T514" s="452" t="s">
        <v>712</v>
      </c>
      <c r="U514" s="453"/>
      <c r="V514" s="454"/>
      <c r="W514" s="455" t="s">
        <v>406</v>
      </c>
      <c r="X514" s="455">
        <v>45582</v>
      </c>
      <c r="Y514" s="456" t="s">
        <v>377</v>
      </c>
      <c r="Z514" s="457"/>
      <c r="AA514" s="453"/>
    </row>
    <row r="515" spans="1:27" s="128" customFormat="1">
      <c r="A515" s="405">
        <v>149</v>
      </c>
      <c r="B515" s="407" t="s">
        <v>2620</v>
      </c>
      <c r="C515" s="406" t="s">
        <v>115</v>
      </c>
      <c r="D515" s="407" t="s">
        <v>2621</v>
      </c>
      <c r="E515" s="408">
        <v>1</v>
      </c>
      <c r="F515" s="409"/>
      <c r="G515" s="410">
        <f t="shared" si="19"/>
        <v>0</v>
      </c>
      <c r="H515" s="412"/>
      <c r="I515" s="407"/>
      <c r="J515" s="412"/>
      <c r="K515" s="407"/>
      <c r="L515" s="412"/>
      <c r="M515" s="407"/>
      <c r="N515" s="412"/>
      <c r="O515" s="412"/>
      <c r="P515" s="412"/>
      <c r="Q515" s="413"/>
      <c r="R515" s="413"/>
      <c r="S515" s="414"/>
      <c r="T515" s="414" t="s">
        <v>712</v>
      </c>
      <c r="U515" s="415"/>
      <c r="V515" s="416"/>
      <c r="W515" s="417"/>
      <c r="X515" s="417"/>
      <c r="Y515" s="418" t="s">
        <v>377</v>
      </c>
      <c r="Z515" s="419" t="s">
        <v>2825</v>
      </c>
      <c r="AA515" s="415"/>
    </row>
    <row r="516" spans="1:27" s="128" customFormat="1">
      <c r="A516" s="443">
        <v>150</v>
      </c>
      <c r="B516" s="444" t="s">
        <v>2604</v>
      </c>
      <c r="C516" s="445" t="s">
        <v>115</v>
      </c>
      <c r="D516" s="444" t="s">
        <v>2605</v>
      </c>
      <c r="E516" s="446">
        <v>4</v>
      </c>
      <c r="F516" s="447"/>
      <c r="G516" s="448">
        <f t="shared" si="19"/>
        <v>0</v>
      </c>
      <c r="H516" s="450"/>
      <c r="I516" s="444"/>
      <c r="J516" s="450"/>
      <c r="K516" s="444"/>
      <c r="L516" s="450"/>
      <c r="M516" s="444"/>
      <c r="N516" s="450"/>
      <c r="O516" s="450"/>
      <c r="P516" s="450"/>
      <c r="Q516" s="451" t="s">
        <v>374</v>
      </c>
      <c r="R516" s="451"/>
      <c r="S516" s="452"/>
      <c r="T516" s="452" t="s">
        <v>712</v>
      </c>
      <c r="U516" s="453"/>
      <c r="V516" s="454"/>
      <c r="W516" s="455" t="s">
        <v>406</v>
      </c>
      <c r="X516" s="455">
        <v>45582</v>
      </c>
      <c r="Y516" s="456" t="s">
        <v>377</v>
      </c>
      <c r="Z516" s="457"/>
      <c r="AA516" s="453"/>
    </row>
    <row r="517" spans="1:27" s="128" customFormat="1">
      <c r="A517" s="443">
        <v>151</v>
      </c>
      <c r="B517" s="444" t="s">
        <v>2608</v>
      </c>
      <c r="C517" s="445" t="s">
        <v>115</v>
      </c>
      <c r="D517" s="444" t="s">
        <v>2609</v>
      </c>
      <c r="E517" s="446">
        <v>2</v>
      </c>
      <c r="F517" s="447"/>
      <c r="G517" s="448">
        <f t="shared" si="19"/>
        <v>0</v>
      </c>
      <c r="H517" s="450"/>
      <c r="I517" s="444"/>
      <c r="J517" s="450"/>
      <c r="K517" s="444"/>
      <c r="L517" s="450"/>
      <c r="M517" s="444"/>
      <c r="N517" s="450"/>
      <c r="O517" s="450"/>
      <c r="P517" s="450"/>
      <c r="Q517" s="451" t="s">
        <v>374</v>
      </c>
      <c r="R517" s="451"/>
      <c r="S517" s="452"/>
      <c r="T517" s="452" t="s">
        <v>712</v>
      </c>
      <c r="U517" s="453"/>
      <c r="V517" s="454"/>
      <c r="W517" s="455" t="s">
        <v>406</v>
      </c>
      <c r="X517" s="455">
        <v>45582</v>
      </c>
      <c r="Y517" s="456" t="s">
        <v>377</v>
      </c>
      <c r="Z517" s="457"/>
      <c r="AA517" s="453"/>
    </row>
    <row r="518" spans="1:27" s="128" customFormat="1">
      <c r="A518" s="443">
        <v>152</v>
      </c>
      <c r="B518" s="444" t="s">
        <v>2623</v>
      </c>
      <c r="C518" s="445" t="s">
        <v>115</v>
      </c>
      <c r="D518" s="444" t="s">
        <v>2624</v>
      </c>
      <c r="E518" s="446">
        <v>50</v>
      </c>
      <c r="F518" s="447"/>
      <c r="G518" s="448">
        <f t="shared" si="19"/>
        <v>0</v>
      </c>
      <c r="H518" s="450"/>
      <c r="I518" s="444"/>
      <c r="J518" s="450"/>
      <c r="K518" s="444"/>
      <c r="L518" s="450"/>
      <c r="M518" s="444"/>
      <c r="N518" s="450"/>
      <c r="O518" s="450"/>
      <c r="P518" s="450"/>
      <c r="Q518" s="451" t="s">
        <v>374</v>
      </c>
      <c r="R518" s="451"/>
      <c r="S518" s="452"/>
      <c r="T518" s="452">
        <v>45645</v>
      </c>
      <c r="U518" s="453"/>
      <c r="V518" s="454"/>
      <c r="W518" s="455" t="s">
        <v>406</v>
      </c>
      <c r="X518" s="455">
        <v>45607</v>
      </c>
      <c r="Y518" s="456" t="s">
        <v>377</v>
      </c>
      <c r="Z518" s="457"/>
      <c r="AA518" s="453" t="s">
        <v>2446</v>
      </c>
    </row>
    <row r="519" spans="1:27" s="128" customFormat="1" ht="37.5">
      <c r="A519" s="443">
        <v>153</v>
      </c>
      <c r="B519" s="444" t="s">
        <v>2630</v>
      </c>
      <c r="C519" s="445" t="s">
        <v>115</v>
      </c>
      <c r="D519" s="444" t="s">
        <v>2631</v>
      </c>
      <c r="E519" s="446">
        <v>50</v>
      </c>
      <c r="F519" s="447"/>
      <c r="G519" s="448">
        <f t="shared" si="19"/>
        <v>0</v>
      </c>
      <c r="H519" s="450"/>
      <c r="I519" s="444"/>
      <c r="J519" s="450"/>
      <c r="K519" s="444" t="s">
        <v>2826</v>
      </c>
      <c r="L519" s="450" t="s">
        <v>895</v>
      </c>
      <c r="M519" s="444" t="s">
        <v>2827</v>
      </c>
      <c r="N519" s="450"/>
      <c r="O519" s="450"/>
      <c r="P519" s="450" t="s">
        <v>954</v>
      </c>
      <c r="Q519" s="451" t="s">
        <v>374</v>
      </c>
      <c r="R519" s="451" t="s">
        <v>2186</v>
      </c>
      <c r="S519" s="452" t="s">
        <v>2014</v>
      </c>
      <c r="T519" s="452">
        <v>45625</v>
      </c>
      <c r="U519" s="453"/>
      <c r="V519" s="454"/>
      <c r="W519" s="455" t="s">
        <v>406</v>
      </c>
      <c r="X519" s="455">
        <v>45608</v>
      </c>
      <c r="Y519" s="456" t="s">
        <v>377</v>
      </c>
      <c r="Z519" s="457"/>
      <c r="AA519" s="453" t="s">
        <v>2446</v>
      </c>
    </row>
    <row r="520" spans="1:27" s="128" customFormat="1">
      <c r="A520" s="443">
        <v>154</v>
      </c>
      <c r="B520" s="444" t="s">
        <v>2828</v>
      </c>
      <c r="C520" s="445" t="s">
        <v>115</v>
      </c>
      <c r="D520" s="444" t="s">
        <v>2829</v>
      </c>
      <c r="E520" s="446">
        <v>50</v>
      </c>
      <c r="F520" s="447"/>
      <c r="G520" s="448">
        <f t="shared" si="19"/>
        <v>0</v>
      </c>
      <c r="H520" s="450"/>
      <c r="I520" s="444"/>
      <c r="J520" s="450"/>
      <c r="K520" s="444"/>
      <c r="L520" s="450"/>
      <c r="M520" s="444"/>
      <c r="N520" s="450"/>
      <c r="O520" s="450"/>
      <c r="P520" s="450"/>
      <c r="Q520" s="451" t="s">
        <v>374</v>
      </c>
      <c r="R520" s="451"/>
      <c r="S520" s="452"/>
      <c r="T520" s="452"/>
      <c r="U520" s="453"/>
      <c r="V520" s="454"/>
      <c r="W520" s="455" t="s">
        <v>406</v>
      </c>
      <c r="X520" s="455">
        <v>45526</v>
      </c>
      <c r="Y520" s="456" t="s">
        <v>377</v>
      </c>
      <c r="Z520" s="457"/>
      <c r="AA520" s="453"/>
    </row>
    <row r="521" spans="1:27" s="128" customFormat="1">
      <c r="A521" s="443">
        <v>155</v>
      </c>
      <c r="B521" s="444" t="s">
        <v>2830</v>
      </c>
      <c r="C521" s="445" t="s">
        <v>115</v>
      </c>
      <c r="D521" s="444" t="s">
        <v>2831</v>
      </c>
      <c r="E521" s="446">
        <v>50</v>
      </c>
      <c r="F521" s="447"/>
      <c r="G521" s="448">
        <f t="shared" si="19"/>
        <v>0</v>
      </c>
      <c r="H521" s="450"/>
      <c r="I521" s="444"/>
      <c r="J521" s="450"/>
      <c r="K521" s="444"/>
      <c r="L521" s="450"/>
      <c r="M521" s="444"/>
      <c r="N521" s="450"/>
      <c r="O521" s="450"/>
      <c r="P521" s="450"/>
      <c r="Q521" s="451" t="s">
        <v>374</v>
      </c>
      <c r="R521" s="451"/>
      <c r="S521" s="452"/>
      <c r="T521" s="452"/>
      <c r="U521" s="453"/>
      <c r="V521" s="454"/>
      <c r="W521" s="455" t="s">
        <v>406</v>
      </c>
      <c r="X521" s="455">
        <v>45526</v>
      </c>
      <c r="Y521" s="456" t="s">
        <v>377</v>
      </c>
      <c r="Z521" s="457"/>
      <c r="AA521" s="453"/>
    </row>
    <row r="522" spans="1:27" s="441" customFormat="1">
      <c r="A522" s="427">
        <v>156</v>
      </c>
      <c r="B522" s="428" t="s">
        <v>2832</v>
      </c>
      <c r="C522" s="429" t="s">
        <v>115</v>
      </c>
      <c r="D522" s="428" t="s">
        <v>2833</v>
      </c>
      <c r="E522" s="430">
        <v>2</v>
      </c>
      <c r="F522" s="431"/>
      <c r="G522" s="432">
        <f t="shared" si="19"/>
        <v>0</v>
      </c>
      <c r="H522" s="433"/>
      <c r="I522" s="428"/>
      <c r="J522" s="433"/>
      <c r="K522" s="428"/>
      <c r="L522" s="433"/>
      <c r="M522" s="428"/>
      <c r="N522" s="433"/>
      <c r="O522" s="433"/>
      <c r="P522" s="433"/>
      <c r="Q522" s="434"/>
      <c r="R522" s="434"/>
      <c r="S522" s="435"/>
      <c r="T522" s="435"/>
      <c r="U522" s="436"/>
      <c r="V522" s="437"/>
      <c r="W522" s="438"/>
      <c r="X522" s="438"/>
      <c r="Y522" s="439" t="s">
        <v>592</v>
      </c>
      <c r="Z522" s="440"/>
      <c r="AA522" s="436"/>
    </row>
    <row r="523" spans="1:27" s="441" customFormat="1">
      <c r="A523" s="427">
        <v>157</v>
      </c>
      <c r="B523" s="428" t="s">
        <v>2834</v>
      </c>
      <c r="C523" s="429" t="s">
        <v>115</v>
      </c>
      <c r="D523" s="428" t="s">
        <v>2835</v>
      </c>
      <c r="E523" s="430">
        <v>1</v>
      </c>
      <c r="F523" s="431"/>
      <c r="G523" s="432">
        <f t="shared" si="19"/>
        <v>0</v>
      </c>
      <c r="H523" s="433"/>
      <c r="I523" s="428"/>
      <c r="J523" s="433"/>
      <c r="K523" s="428"/>
      <c r="L523" s="433"/>
      <c r="M523" s="428"/>
      <c r="N523" s="433"/>
      <c r="O523" s="433"/>
      <c r="P523" s="433"/>
      <c r="Q523" s="434"/>
      <c r="R523" s="434"/>
      <c r="S523" s="435"/>
      <c r="T523" s="435"/>
      <c r="U523" s="436"/>
      <c r="V523" s="437"/>
      <c r="W523" s="438"/>
      <c r="X523" s="438"/>
      <c r="Y523" s="439" t="s">
        <v>592</v>
      </c>
      <c r="Z523" s="440"/>
      <c r="AA523" s="436"/>
    </row>
    <row r="524" spans="1:27" s="128" customFormat="1" ht="37.5">
      <c r="A524" s="443">
        <v>158</v>
      </c>
      <c r="B524" s="444" t="s">
        <v>2836</v>
      </c>
      <c r="C524" s="445" t="s">
        <v>115</v>
      </c>
      <c r="D524" s="444" t="s">
        <v>2837</v>
      </c>
      <c r="E524" s="446">
        <v>1</v>
      </c>
      <c r="F524" s="447"/>
      <c r="G524" s="448">
        <f>E524*F524</f>
        <v>0</v>
      </c>
      <c r="H524" s="450"/>
      <c r="I524" s="444"/>
      <c r="J524" s="450"/>
      <c r="K524" s="444" t="s">
        <v>2795</v>
      </c>
      <c r="L524" s="450" t="s">
        <v>756</v>
      </c>
      <c r="M524" s="444" t="s">
        <v>2838</v>
      </c>
      <c r="N524" s="450"/>
      <c r="O524" s="450"/>
      <c r="P524" s="450" t="s">
        <v>2839</v>
      </c>
      <c r="Q524" s="451" t="s">
        <v>374</v>
      </c>
      <c r="R524" s="451" t="s">
        <v>2840</v>
      </c>
      <c r="S524" s="452" t="s">
        <v>709</v>
      </c>
      <c r="T524" s="452">
        <v>45601</v>
      </c>
      <c r="U524" s="453"/>
      <c r="V524" s="454"/>
      <c r="W524" s="455" t="s">
        <v>406</v>
      </c>
      <c r="X524" s="455">
        <v>45603</v>
      </c>
      <c r="Y524" s="456" t="s">
        <v>377</v>
      </c>
      <c r="Z524" s="457" t="s">
        <v>2838</v>
      </c>
      <c r="AA524" s="453"/>
    </row>
    <row r="525" spans="1:27" s="128" customFormat="1" ht="37.5">
      <c r="A525" s="443">
        <v>159</v>
      </c>
      <c r="B525" s="444" t="s">
        <v>2841</v>
      </c>
      <c r="C525" s="445" t="s">
        <v>115</v>
      </c>
      <c r="D525" s="444" t="s">
        <v>2842</v>
      </c>
      <c r="E525" s="446">
        <v>1</v>
      </c>
      <c r="F525" s="447"/>
      <c r="G525" s="448">
        <f>E525*F525</f>
        <v>0</v>
      </c>
      <c r="H525" s="450"/>
      <c r="I525" s="444"/>
      <c r="J525" s="450"/>
      <c r="K525" s="444" t="s">
        <v>2795</v>
      </c>
      <c r="L525" s="450" t="s">
        <v>756</v>
      </c>
      <c r="M525" s="444" t="s">
        <v>2838</v>
      </c>
      <c r="N525" s="450"/>
      <c r="O525" s="450"/>
      <c r="P525" s="450" t="s">
        <v>2839</v>
      </c>
      <c r="Q525" s="451" t="s">
        <v>374</v>
      </c>
      <c r="R525" s="451" t="s">
        <v>2840</v>
      </c>
      <c r="S525" s="452" t="s">
        <v>709</v>
      </c>
      <c r="T525" s="452">
        <v>45601</v>
      </c>
      <c r="U525" s="453"/>
      <c r="V525" s="454"/>
      <c r="W525" s="455" t="s">
        <v>406</v>
      </c>
      <c r="X525" s="455">
        <v>45605</v>
      </c>
      <c r="Y525" s="456" t="s">
        <v>377</v>
      </c>
      <c r="Z525" s="457" t="s">
        <v>2838</v>
      </c>
      <c r="AA525" s="453"/>
    </row>
    <row r="526" spans="1:27" s="128" customFormat="1" ht="37.5">
      <c r="A526" s="443">
        <v>160</v>
      </c>
      <c r="B526" s="444" t="s">
        <v>2843</v>
      </c>
      <c r="C526" s="445" t="s">
        <v>115</v>
      </c>
      <c r="D526" s="444" t="s">
        <v>2844</v>
      </c>
      <c r="E526" s="446">
        <v>6</v>
      </c>
      <c r="F526" s="447"/>
      <c r="G526" s="448">
        <f>E526*F526</f>
        <v>0</v>
      </c>
      <c r="H526" s="450"/>
      <c r="I526" s="444"/>
      <c r="J526" s="450"/>
      <c r="K526" s="444" t="s">
        <v>2795</v>
      </c>
      <c r="L526" s="450" t="s">
        <v>756</v>
      </c>
      <c r="M526" s="444" t="s">
        <v>2838</v>
      </c>
      <c r="N526" s="450"/>
      <c r="O526" s="450"/>
      <c r="P526" s="450" t="s">
        <v>2839</v>
      </c>
      <c r="Q526" s="451" t="s">
        <v>374</v>
      </c>
      <c r="R526" s="451" t="s">
        <v>2840</v>
      </c>
      <c r="S526" s="452" t="s">
        <v>709</v>
      </c>
      <c r="T526" s="452">
        <v>45601</v>
      </c>
      <c r="U526" s="453"/>
      <c r="V526" s="454"/>
      <c r="W526" s="455" t="s">
        <v>406</v>
      </c>
      <c r="X526" s="455">
        <v>45603</v>
      </c>
      <c r="Y526" s="456" t="s">
        <v>377</v>
      </c>
      <c r="Z526" s="457" t="s">
        <v>2838</v>
      </c>
      <c r="AA526" s="453"/>
    </row>
    <row r="527" spans="1:27" s="128" customFormat="1" ht="37.5">
      <c r="A527" s="443">
        <v>161</v>
      </c>
      <c r="B527" s="444" t="s">
        <v>2845</v>
      </c>
      <c r="C527" s="445" t="s">
        <v>115</v>
      </c>
      <c r="D527" s="444" t="s">
        <v>2846</v>
      </c>
      <c r="E527" s="446">
        <v>100</v>
      </c>
      <c r="F527" s="447"/>
      <c r="G527" s="448">
        <f>E527*F527</f>
        <v>0</v>
      </c>
      <c r="H527" s="450"/>
      <c r="I527" s="444"/>
      <c r="J527" s="450"/>
      <c r="K527" s="444" t="s">
        <v>2847</v>
      </c>
      <c r="L527" s="450" t="s">
        <v>1628</v>
      </c>
      <c r="M527" s="444" t="s">
        <v>2848</v>
      </c>
      <c r="N527" s="450"/>
      <c r="O527" s="450"/>
      <c r="P527" s="450" t="s">
        <v>1630</v>
      </c>
      <c r="Q527" s="451" t="s">
        <v>374</v>
      </c>
      <c r="R527" s="451" t="s">
        <v>2800</v>
      </c>
      <c r="S527" s="452" t="s">
        <v>842</v>
      </c>
      <c r="T527" s="452" t="s">
        <v>2848</v>
      </c>
      <c r="U527" s="453"/>
      <c r="V527" s="454"/>
      <c r="W527" s="455" t="s">
        <v>406</v>
      </c>
      <c r="X527" s="455">
        <v>45608</v>
      </c>
      <c r="Y527" s="456" t="s">
        <v>377</v>
      </c>
      <c r="Z527" s="457"/>
      <c r="AA527" s="453"/>
    </row>
    <row r="528" spans="1:27">
      <c r="A528" s="389"/>
      <c r="B528" s="390" t="s">
        <v>2849</v>
      </c>
      <c r="C528" s="391"/>
      <c r="D528" s="392"/>
      <c r="E528" s="393"/>
      <c r="F528" s="394"/>
      <c r="G528" s="395">
        <f t="shared" si="3"/>
        <v>0</v>
      </c>
      <c r="H528" s="420"/>
      <c r="I528" s="392"/>
      <c r="J528" s="420"/>
      <c r="K528" s="392"/>
      <c r="L528" s="397"/>
      <c r="M528" s="392"/>
      <c r="N528" s="397"/>
      <c r="O528" s="397"/>
      <c r="P528" s="397"/>
      <c r="Q528" s="398"/>
      <c r="R528" s="398"/>
      <c r="S528" s="399"/>
      <c r="T528" s="399"/>
      <c r="U528" s="400"/>
      <c r="V528" s="401"/>
      <c r="W528" s="402"/>
      <c r="X528" s="402"/>
      <c r="Y528" s="403"/>
      <c r="Z528" s="404"/>
      <c r="AA528" s="493"/>
    </row>
    <row r="529" spans="1:27" s="128" customFormat="1" ht="37.5">
      <c r="A529" s="443">
        <v>1</v>
      </c>
      <c r="B529" s="444" t="s">
        <v>2639</v>
      </c>
      <c r="C529" s="445" t="s">
        <v>117</v>
      </c>
      <c r="D529" s="444" t="s">
        <v>2640</v>
      </c>
      <c r="E529" s="446">
        <v>1</v>
      </c>
      <c r="F529" s="447"/>
      <c r="G529" s="448">
        <f t="shared" ref="G529:G546" si="20">E529*F529</f>
        <v>0</v>
      </c>
      <c r="H529" s="450"/>
      <c r="I529" s="444"/>
      <c r="J529" s="450"/>
      <c r="K529" s="444" t="s">
        <v>2850</v>
      </c>
      <c r="L529" s="450" t="s">
        <v>1628</v>
      </c>
      <c r="M529" s="444" t="s">
        <v>2851</v>
      </c>
      <c r="N529" s="450"/>
      <c r="O529" s="450"/>
      <c r="P529" s="450" t="s">
        <v>1630</v>
      </c>
      <c r="Q529" s="451" t="s">
        <v>374</v>
      </c>
      <c r="R529" s="451" t="s">
        <v>2642</v>
      </c>
      <c r="S529" s="452" t="s">
        <v>417</v>
      </c>
      <c r="T529" s="452"/>
      <c r="U529" s="453"/>
      <c r="V529" s="454"/>
      <c r="W529" s="455" t="s">
        <v>406</v>
      </c>
      <c r="X529" s="455">
        <v>45603</v>
      </c>
      <c r="Y529" s="456" t="s">
        <v>377</v>
      </c>
      <c r="Z529" s="457"/>
      <c r="AA529" s="453"/>
    </row>
    <row r="530" spans="1:27" s="128" customFormat="1">
      <c r="A530" s="443">
        <v>2</v>
      </c>
      <c r="B530" s="444" t="s">
        <v>2604</v>
      </c>
      <c r="C530" s="445" t="s">
        <v>117</v>
      </c>
      <c r="D530" s="444" t="s">
        <v>2605</v>
      </c>
      <c r="E530" s="446">
        <v>4</v>
      </c>
      <c r="F530" s="447"/>
      <c r="G530" s="448">
        <f t="shared" si="20"/>
        <v>0</v>
      </c>
      <c r="H530" s="450"/>
      <c r="I530" s="444"/>
      <c r="J530" s="450"/>
      <c r="K530" s="444"/>
      <c r="L530" s="450"/>
      <c r="M530" s="444"/>
      <c r="N530" s="450"/>
      <c r="O530" s="450"/>
      <c r="P530" s="450"/>
      <c r="Q530" s="451" t="s">
        <v>374</v>
      </c>
      <c r="R530" s="451"/>
      <c r="S530" s="452"/>
      <c r="T530" s="452" t="s">
        <v>481</v>
      </c>
      <c r="U530" s="453"/>
      <c r="V530" s="454"/>
      <c r="W530" s="455" t="s">
        <v>406</v>
      </c>
      <c r="X530" s="455">
        <v>45601</v>
      </c>
      <c r="Y530" s="456" t="s">
        <v>377</v>
      </c>
      <c r="Z530" s="457"/>
      <c r="AA530" s="453"/>
    </row>
    <row r="531" spans="1:27" s="128" customFormat="1">
      <c r="A531" s="443">
        <v>3</v>
      </c>
      <c r="B531" s="444" t="s">
        <v>2608</v>
      </c>
      <c r="C531" s="445" t="s">
        <v>117</v>
      </c>
      <c r="D531" s="444" t="s">
        <v>2609</v>
      </c>
      <c r="E531" s="446">
        <v>2</v>
      </c>
      <c r="F531" s="447"/>
      <c r="G531" s="448">
        <f t="shared" si="20"/>
        <v>0</v>
      </c>
      <c r="H531" s="450"/>
      <c r="I531" s="444"/>
      <c r="J531" s="450"/>
      <c r="K531" s="444"/>
      <c r="L531" s="450"/>
      <c r="M531" s="444"/>
      <c r="N531" s="450"/>
      <c r="O531" s="450"/>
      <c r="P531" s="450"/>
      <c r="Q531" s="451" t="s">
        <v>374</v>
      </c>
      <c r="R531" s="451"/>
      <c r="S531" s="452"/>
      <c r="T531" s="452" t="s">
        <v>712</v>
      </c>
      <c r="U531" s="453"/>
      <c r="V531" s="454"/>
      <c r="W531" s="455" t="s">
        <v>406</v>
      </c>
      <c r="X531" s="455">
        <v>45583</v>
      </c>
      <c r="Y531" s="456" t="s">
        <v>377</v>
      </c>
      <c r="Z531" s="457"/>
      <c r="AA531" s="453"/>
    </row>
    <row r="532" spans="1:27" s="128" customFormat="1">
      <c r="A532" s="443">
        <v>4</v>
      </c>
      <c r="B532" s="444" t="s">
        <v>2653</v>
      </c>
      <c r="C532" s="445" t="s">
        <v>117</v>
      </c>
      <c r="D532" s="444" t="s">
        <v>2654</v>
      </c>
      <c r="E532" s="446">
        <v>1</v>
      </c>
      <c r="F532" s="447"/>
      <c r="G532" s="448">
        <f t="shared" si="20"/>
        <v>0</v>
      </c>
      <c r="H532" s="450"/>
      <c r="I532" s="444"/>
      <c r="J532" s="450"/>
      <c r="K532" s="444"/>
      <c r="L532" s="450"/>
      <c r="M532" s="444"/>
      <c r="N532" s="450"/>
      <c r="O532" s="450"/>
      <c r="P532" s="450"/>
      <c r="Q532" s="451" t="s">
        <v>374</v>
      </c>
      <c r="R532" s="451"/>
      <c r="S532" s="452"/>
      <c r="T532" s="452" t="s">
        <v>481</v>
      </c>
      <c r="U532" s="453"/>
      <c r="V532" s="454"/>
      <c r="W532" s="455" t="s">
        <v>406</v>
      </c>
      <c r="X532" s="455">
        <v>45601</v>
      </c>
      <c r="Y532" s="456" t="s">
        <v>377</v>
      </c>
      <c r="Z532" s="457"/>
      <c r="AA532" s="453"/>
    </row>
    <row r="533" spans="1:27" s="128" customFormat="1" ht="37.5">
      <c r="A533" s="443">
        <v>5</v>
      </c>
      <c r="B533" s="444" t="s">
        <v>2639</v>
      </c>
      <c r="C533" s="445" t="s">
        <v>117</v>
      </c>
      <c r="D533" s="444" t="s">
        <v>2640</v>
      </c>
      <c r="E533" s="446">
        <v>1</v>
      </c>
      <c r="F533" s="447"/>
      <c r="G533" s="448">
        <f t="shared" si="20"/>
        <v>0</v>
      </c>
      <c r="H533" s="450"/>
      <c r="I533" s="444"/>
      <c r="J533" s="450"/>
      <c r="K533" s="444" t="s">
        <v>2850</v>
      </c>
      <c r="L533" s="450" t="s">
        <v>1628</v>
      </c>
      <c r="M533" s="444" t="s">
        <v>2851</v>
      </c>
      <c r="N533" s="450"/>
      <c r="O533" s="450"/>
      <c r="P533" s="450" t="s">
        <v>1630</v>
      </c>
      <c r="Q533" s="451" t="s">
        <v>374</v>
      </c>
      <c r="R533" s="451" t="s">
        <v>2642</v>
      </c>
      <c r="S533" s="452" t="s">
        <v>417</v>
      </c>
      <c r="T533" s="452"/>
      <c r="U533" s="453"/>
      <c r="V533" s="454"/>
      <c r="W533" s="455" t="s">
        <v>406</v>
      </c>
      <c r="X533" s="455">
        <v>45603</v>
      </c>
      <c r="Y533" s="456" t="s">
        <v>377</v>
      </c>
      <c r="Z533" s="457"/>
      <c r="AA533" s="453"/>
    </row>
    <row r="534" spans="1:27" s="128" customFormat="1">
      <c r="A534" s="443">
        <v>6</v>
      </c>
      <c r="B534" s="444" t="s">
        <v>2604</v>
      </c>
      <c r="C534" s="445" t="s">
        <v>117</v>
      </c>
      <c r="D534" s="444" t="s">
        <v>2605</v>
      </c>
      <c r="E534" s="446">
        <v>4</v>
      </c>
      <c r="F534" s="447"/>
      <c r="G534" s="448">
        <f t="shared" si="20"/>
        <v>0</v>
      </c>
      <c r="H534" s="450"/>
      <c r="I534" s="444"/>
      <c r="J534" s="450"/>
      <c r="K534" s="444"/>
      <c r="L534" s="450"/>
      <c r="M534" s="444"/>
      <c r="N534" s="450"/>
      <c r="O534" s="450"/>
      <c r="P534" s="450"/>
      <c r="Q534" s="451" t="s">
        <v>374</v>
      </c>
      <c r="R534" s="451"/>
      <c r="S534" s="452"/>
      <c r="T534" s="452" t="s">
        <v>481</v>
      </c>
      <c r="U534" s="453"/>
      <c r="V534" s="454"/>
      <c r="W534" s="455" t="s">
        <v>406</v>
      </c>
      <c r="X534" s="455">
        <v>45601</v>
      </c>
      <c r="Y534" s="456" t="s">
        <v>377</v>
      </c>
      <c r="Z534" s="457"/>
      <c r="AA534" s="453"/>
    </row>
    <row r="535" spans="1:27" s="128" customFormat="1">
      <c r="A535" s="443">
        <v>7</v>
      </c>
      <c r="B535" s="444" t="s">
        <v>2608</v>
      </c>
      <c r="C535" s="445" t="s">
        <v>117</v>
      </c>
      <c r="D535" s="444" t="s">
        <v>2609</v>
      </c>
      <c r="E535" s="446">
        <v>2</v>
      </c>
      <c r="F535" s="447"/>
      <c r="G535" s="448">
        <f t="shared" si="20"/>
        <v>0</v>
      </c>
      <c r="H535" s="450"/>
      <c r="I535" s="444"/>
      <c r="J535" s="450"/>
      <c r="K535" s="444"/>
      <c r="L535" s="450"/>
      <c r="M535" s="444"/>
      <c r="N535" s="450"/>
      <c r="O535" s="450"/>
      <c r="P535" s="450"/>
      <c r="Q535" s="451" t="s">
        <v>374</v>
      </c>
      <c r="R535" s="451"/>
      <c r="S535" s="452"/>
      <c r="T535" s="452" t="s">
        <v>712</v>
      </c>
      <c r="U535" s="453"/>
      <c r="V535" s="454"/>
      <c r="W535" s="455" t="s">
        <v>406</v>
      </c>
      <c r="X535" s="455">
        <v>45583</v>
      </c>
      <c r="Y535" s="456" t="s">
        <v>377</v>
      </c>
      <c r="Z535" s="457"/>
      <c r="AA535" s="453"/>
    </row>
    <row r="536" spans="1:27" s="128" customFormat="1">
      <c r="A536" s="443">
        <v>8</v>
      </c>
      <c r="B536" s="444" t="s">
        <v>2653</v>
      </c>
      <c r="C536" s="445" t="s">
        <v>117</v>
      </c>
      <c r="D536" s="444" t="s">
        <v>2654</v>
      </c>
      <c r="E536" s="446">
        <v>1</v>
      </c>
      <c r="F536" s="447"/>
      <c r="G536" s="448">
        <f t="shared" si="20"/>
        <v>0</v>
      </c>
      <c r="H536" s="450"/>
      <c r="I536" s="444"/>
      <c r="J536" s="450"/>
      <c r="K536" s="444"/>
      <c r="L536" s="450"/>
      <c r="M536" s="444"/>
      <c r="N536" s="450"/>
      <c r="O536" s="450"/>
      <c r="P536" s="450"/>
      <c r="Q536" s="451" t="s">
        <v>374</v>
      </c>
      <c r="R536" s="451"/>
      <c r="S536" s="452"/>
      <c r="T536" s="452" t="s">
        <v>481</v>
      </c>
      <c r="U536" s="453"/>
      <c r="V536" s="454"/>
      <c r="W536" s="455" t="s">
        <v>406</v>
      </c>
      <c r="X536" s="455">
        <v>45601</v>
      </c>
      <c r="Y536" s="456" t="s">
        <v>377</v>
      </c>
      <c r="Z536" s="457"/>
      <c r="AA536" s="453"/>
    </row>
    <row r="537" spans="1:27" s="128" customFormat="1" ht="37.5">
      <c r="A537" s="443">
        <v>9</v>
      </c>
      <c r="B537" s="444" t="s">
        <v>2639</v>
      </c>
      <c r="C537" s="445" t="s">
        <v>117</v>
      </c>
      <c r="D537" s="444" t="s">
        <v>2640</v>
      </c>
      <c r="E537" s="446">
        <v>1</v>
      </c>
      <c r="F537" s="447"/>
      <c r="G537" s="448">
        <f t="shared" si="20"/>
        <v>0</v>
      </c>
      <c r="H537" s="450"/>
      <c r="I537" s="444"/>
      <c r="J537" s="450"/>
      <c r="K537" s="444" t="s">
        <v>2850</v>
      </c>
      <c r="L537" s="450" t="s">
        <v>1628</v>
      </c>
      <c r="M537" s="444" t="s">
        <v>2851</v>
      </c>
      <c r="N537" s="450"/>
      <c r="O537" s="450"/>
      <c r="P537" s="450" t="s">
        <v>1630</v>
      </c>
      <c r="Q537" s="451" t="s">
        <v>374</v>
      </c>
      <c r="R537" s="451" t="s">
        <v>2642</v>
      </c>
      <c r="S537" s="452" t="s">
        <v>417</v>
      </c>
      <c r="T537" s="452"/>
      <c r="U537" s="453"/>
      <c r="V537" s="454"/>
      <c r="W537" s="455" t="s">
        <v>406</v>
      </c>
      <c r="X537" s="455">
        <v>45603</v>
      </c>
      <c r="Y537" s="456" t="s">
        <v>377</v>
      </c>
      <c r="Z537" s="457"/>
      <c r="AA537" s="453"/>
    </row>
    <row r="538" spans="1:27" s="128" customFormat="1">
      <c r="A538" s="443">
        <v>10</v>
      </c>
      <c r="B538" s="444" t="s">
        <v>2604</v>
      </c>
      <c r="C538" s="445" t="s">
        <v>117</v>
      </c>
      <c r="D538" s="444" t="s">
        <v>2605</v>
      </c>
      <c r="E538" s="446">
        <v>4</v>
      </c>
      <c r="F538" s="447"/>
      <c r="G538" s="448">
        <f t="shared" si="20"/>
        <v>0</v>
      </c>
      <c r="H538" s="450"/>
      <c r="I538" s="444"/>
      <c r="J538" s="450"/>
      <c r="K538" s="444"/>
      <c r="L538" s="450"/>
      <c r="M538" s="444"/>
      <c r="N538" s="450"/>
      <c r="O538" s="450"/>
      <c r="P538" s="450"/>
      <c r="Q538" s="451" t="s">
        <v>374</v>
      </c>
      <c r="R538" s="451"/>
      <c r="S538" s="452"/>
      <c r="T538" s="452" t="s">
        <v>481</v>
      </c>
      <c r="U538" s="453"/>
      <c r="V538" s="454"/>
      <c r="W538" s="455" t="s">
        <v>406</v>
      </c>
      <c r="X538" s="455">
        <v>45601</v>
      </c>
      <c r="Y538" s="456" t="s">
        <v>377</v>
      </c>
      <c r="Z538" s="457"/>
      <c r="AA538" s="453"/>
    </row>
    <row r="539" spans="1:27" s="128" customFormat="1">
      <c r="A539" s="443">
        <v>11</v>
      </c>
      <c r="B539" s="444" t="s">
        <v>2608</v>
      </c>
      <c r="C539" s="445" t="s">
        <v>117</v>
      </c>
      <c r="D539" s="444" t="s">
        <v>2609</v>
      </c>
      <c r="E539" s="446">
        <v>2</v>
      </c>
      <c r="F539" s="447"/>
      <c r="G539" s="448">
        <f t="shared" si="20"/>
        <v>0</v>
      </c>
      <c r="H539" s="450"/>
      <c r="I539" s="444"/>
      <c r="J539" s="450"/>
      <c r="K539" s="444"/>
      <c r="L539" s="450"/>
      <c r="M539" s="444"/>
      <c r="N539" s="450"/>
      <c r="O539" s="450"/>
      <c r="P539" s="450"/>
      <c r="Q539" s="451" t="s">
        <v>374</v>
      </c>
      <c r="R539" s="451"/>
      <c r="S539" s="452"/>
      <c r="T539" s="452" t="s">
        <v>712</v>
      </c>
      <c r="U539" s="453"/>
      <c r="V539" s="454"/>
      <c r="W539" s="455" t="s">
        <v>406</v>
      </c>
      <c r="X539" s="455">
        <v>45583</v>
      </c>
      <c r="Y539" s="456" t="s">
        <v>377</v>
      </c>
      <c r="Z539" s="457"/>
      <c r="AA539" s="453"/>
    </row>
    <row r="540" spans="1:27" s="128" customFormat="1">
      <c r="A540" s="443">
        <v>12</v>
      </c>
      <c r="B540" s="444" t="s">
        <v>2653</v>
      </c>
      <c r="C540" s="445" t="s">
        <v>117</v>
      </c>
      <c r="D540" s="444" t="s">
        <v>2654</v>
      </c>
      <c r="E540" s="446">
        <v>1</v>
      </c>
      <c r="F540" s="447"/>
      <c r="G540" s="448">
        <f t="shared" si="20"/>
        <v>0</v>
      </c>
      <c r="H540" s="450"/>
      <c r="I540" s="444"/>
      <c r="J540" s="450"/>
      <c r="K540" s="444"/>
      <c r="L540" s="450"/>
      <c r="M540" s="444"/>
      <c r="N540" s="450"/>
      <c r="O540" s="450"/>
      <c r="P540" s="450"/>
      <c r="Q540" s="451" t="s">
        <v>374</v>
      </c>
      <c r="R540" s="451"/>
      <c r="S540" s="452"/>
      <c r="T540" s="452" t="s">
        <v>481</v>
      </c>
      <c r="U540" s="453"/>
      <c r="V540" s="454"/>
      <c r="W540" s="455" t="s">
        <v>406</v>
      </c>
      <c r="X540" s="455">
        <v>45601</v>
      </c>
      <c r="Y540" s="456" t="s">
        <v>377</v>
      </c>
      <c r="Z540" s="457"/>
      <c r="AA540" s="453"/>
    </row>
    <row r="541" spans="1:27" s="128" customFormat="1" ht="37.5">
      <c r="A541" s="405">
        <v>13</v>
      </c>
      <c r="B541" s="407" t="s">
        <v>2852</v>
      </c>
      <c r="C541" s="406" t="s">
        <v>117</v>
      </c>
      <c r="D541" s="407" t="s">
        <v>2853</v>
      </c>
      <c r="E541" s="408">
        <v>1</v>
      </c>
      <c r="F541" s="409"/>
      <c r="G541" s="410">
        <f t="shared" si="20"/>
        <v>0</v>
      </c>
      <c r="H541" s="412"/>
      <c r="I541" s="407"/>
      <c r="J541" s="412"/>
      <c r="K541" s="407" t="s">
        <v>2850</v>
      </c>
      <c r="L541" s="412" t="s">
        <v>1628</v>
      </c>
      <c r="M541" s="407" t="s">
        <v>2854</v>
      </c>
      <c r="N541" s="412"/>
      <c r="O541" s="412"/>
      <c r="P541" s="412" t="s">
        <v>1630</v>
      </c>
      <c r="Q541" s="413" t="s">
        <v>726</v>
      </c>
      <c r="R541" s="413" t="s">
        <v>247</v>
      </c>
      <c r="S541" s="414" t="s">
        <v>842</v>
      </c>
      <c r="T541" s="414"/>
      <c r="U541" s="415"/>
      <c r="V541" s="416"/>
      <c r="W541" s="417"/>
      <c r="X541" s="417"/>
      <c r="Y541" s="418" t="s">
        <v>377</v>
      </c>
      <c r="Z541" s="419"/>
      <c r="AA541" s="415"/>
    </row>
    <row r="542" spans="1:27" s="128" customFormat="1">
      <c r="A542" s="443">
        <v>14</v>
      </c>
      <c r="B542" s="444" t="s">
        <v>2602</v>
      </c>
      <c r="C542" s="445" t="s">
        <v>117</v>
      </c>
      <c r="D542" s="444" t="s">
        <v>2603</v>
      </c>
      <c r="E542" s="446">
        <v>1</v>
      </c>
      <c r="F542" s="447"/>
      <c r="G542" s="448">
        <f t="shared" si="20"/>
        <v>0</v>
      </c>
      <c r="H542" s="450"/>
      <c r="I542" s="444"/>
      <c r="J542" s="450"/>
      <c r="K542" s="444"/>
      <c r="L542" s="450"/>
      <c r="M542" s="444"/>
      <c r="N542" s="450"/>
      <c r="O542" s="450"/>
      <c r="P542" s="450"/>
      <c r="Q542" s="451" t="s">
        <v>374</v>
      </c>
      <c r="R542" s="451"/>
      <c r="S542" s="452"/>
      <c r="T542" s="452" t="s">
        <v>481</v>
      </c>
      <c r="U542" s="453"/>
      <c r="V542" s="454"/>
      <c r="W542" s="455" t="s">
        <v>406</v>
      </c>
      <c r="X542" s="455">
        <v>45601</v>
      </c>
      <c r="Y542" s="456" t="s">
        <v>377</v>
      </c>
      <c r="Z542" s="457"/>
      <c r="AA542" s="453"/>
    </row>
    <row r="543" spans="1:27" s="128" customFormat="1" ht="37.5">
      <c r="A543" s="443">
        <v>15</v>
      </c>
      <c r="B543" s="444" t="s">
        <v>2599</v>
      </c>
      <c r="C543" s="445" t="s">
        <v>117</v>
      </c>
      <c r="D543" s="444" t="s">
        <v>2600</v>
      </c>
      <c r="E543" s="446">
        <v>1</v>
      </c>
      <c r="F543" s="447"/>
      <c r="G543" s="448">
        <f t="shared" si="20"/>
        <v>0</v>
      </c>
      <c r="H543" s="450"/>
      <c r="I543" s="444"/>
      <c r="J543" s="450"/>
      <c r="K543" s="444" t="s">
        <v>2850</v>
      </c>
      <c r="L543" s="450" t="s">
        <v>1628</v>
      </c>
      <c r="M543" s="444" t="s">
        <v>2855</v>
      </c>
      <c r="N543" s="450"/>
      <c r="O543" s="450"/>
      <c r="P543" s="450" t="s">
        <v>1630</v>
      </c>
      <c r="Q543" s="451" t="s">
        <v>374</v>
      </c>
      <c r="R543" s="451" t="s">
        <v>247</v>
      </c>
      <c r="S543" s="452" t="s">
        <v>2014</v>
      </c>
      <c r="T543" s="452" t="s">
        <v>712</v>
      </c>
      <c r="U543" s="453"/>
      <c r="V543" s="454"/>
      <c r="W543" s="455" t="s">
        <v>406</v>
      </c>
      <c r="X543" s="455">
        <v>45604</v>
      </c>
      <c r="Y543" s="456" t="s">
        <v>377</v>
      </c>
      <c r="Z543" s="457"/>
      <c r="AA543" s="453"/>
    </row>
    <row r="544" spans="1:27" s="128" customFormat="1" ht="37.5">
      <c r="A544" s="405">
        <v>16</v>
      </c>
      <c r="B544" s="407" t="s">
        <v>2856</v>
      </c>
      <c r="C544" s="406" t="s">
        <v>117</v>
      </c>
      <c r="D544" s="407" t="s">
        <v>2857</v>
      </c>
      <c r="E544" s="408">
        <v>1</v>
      </c>
      <c r="F544" s="409"/>
      <c r="G544" s="410">
        <f t="shared" si="20"/>
        <v>0</v>
      </c>
      <c r="H544" s="412"/>
      <c r="I544" s="407"/>
      <c r="J544" s="412"/>
      <c r="K544" s="407" t="s">
        <v>2850</v>
      </c>
      <c r="L544" s="412" t="s">
        <v>1628</v>
      </c>
      <c r="M544" s="407" t="s">
        <v>2858</v>
      </c>
      <c r="N544" s="412"/>
      <c r="O544" s="412"/>
      <c r="P544" s="412" t="s">
        <v>1630</v>
      </c>
      <c r="Q544" s="413" t="s">
        <v>726</v>
      </c>
      <c r="R544" s="413" t="s">
        <v>905</v>
      </c>
      <c r="S544" s="414" t="s">
        <v>2367</v>
      </c>
      <c r="T544" s="414" t="s">
        <v>2859</v>
      </c>
      <c r="U544" s="415"/>
      <c r="V544" s="416"/>
      <c r="W544" s="417"/>
      <c r="X544" s="417"/>
      <c r="Y544" s="418" t="s">
        <v>377</v>
      </c>
      <c r="Z544" s="419"/>
      <c r="AA544" s="415"/>
    </row>
    <row r="545" spans="1:27" s="128" customFormat="1">
      <c r="A545" s="443">
        <v>18</v>
      </c>
      <c r="B545" s="444" t="s">
        <v>2604</v>
      </c>
      <c r="C545" s="445" t="s">
        <v>117</v>
      </c>
      <c r="D545" s="444" t="s">
        <v>2605</v>
      </c>
      <c r="E545" s="446">
        <v>4</v>
      </c>
      <c r="F545" s="447"/>
      <c r="G545" s="448">
        <f t="shared" si="20"/>
        <v>0</v>
      </c>
      <c r="H545" s="450"/>
      <c r="I545" s="444"/>
      <c r="J545" s="450"/>
      <c r="K545" s="444"/>
      <c r="L545" s="450"/>
      <c r="M545" s="444"/>
      <c r="N545" s="450"/>
      <c r="O545" s="450"/>
      <c r="P545" s="450"/>
      <c r="Q545" s="451" t="s">
        <v>374</v>
      </c>
      <c r="R545" s="451"/>
      <c r="S545" s="452"/>
      <c r="T545" s="452" t="s">
        <v>481</v>
      </c>
      <c r="U545" s="453"/>
      <c r="V545" s="454"/>
      <c r="W545" s="455" t="s">
        <v>406</v>
      </c>
      <c r="X545" s="455">
        <v>45601</v>
      </c>
      <c r="Y545" s="456" t="s">
        <v>377</v>
      </c>
      <c r="Z545" s="457"/>
      <c r="AA545" s="453"/>
    </row>
    <row r="546" spans="1:27" s="128" customFormat="1">
      <c r="A546" s="443">
        <v>19</v>
      </c>
      <c r="B546" s="444" t="s">
        <v>2608</v>
      </c>
      <c r="C546" s="445" t="s">
        <v>117</v>
      </c>
      <c r="D546" s="444" t="s">
        <v>2609</v>
      </c>
      <c r="E546" s="446">
        <v>2</v>
      </c>
      <c r="F546" s="447"/>
      <c r="G546" s="448">
        <f t="shared" si="20"/>
        <v>0</v>
      </c>
      <c r="H546" s="450"/>
      <c r="I546" s="444"/>
      <c r="J546" s="450"/>
      <c r="K546" s="444"/>
      <c r="L546" s="450"/>
      <c r="M546" s="444"/>
      <c r="N546" s="450"/>
      <c r="O546" s="450"/>
      <c r="P546" s="450"/>
      <c r="Q546" s="451" t="s">
        <v>374</v>
      </c>
      <c r="R546" s="451"/>
      <c r="S546" s="452"/>
      <c r="T546" s="452" t="s">
        <v>712</v>
      </c>
      <c r="U546" s="453"/>
      <c r="V546" s="454"/>
      <c r="W546" s="455" t="s">
        <v>406</v>
      </c>
      <c r="X546" s="455">
        <v>45583</v>
      </c>
      <c r="Y546" s="456" t="s">
        <v>377</v>
      </c>
      <c r="Z546" s="457"/>
      <c r="AA546" s="453"/>
    </row>
    <row r="547" spans="1:27" s="128" customFormat="1">
      <c r="A547" s="405">
        <v>19</v>
      </c>
      <c r="B547" s="407" t="s">
        <v>2636</v>
      </c>
      <c r="C547" s="406" t="s">
        <v>117</v>
      </c>
      <c r="D547" s="407" t="s">
        <v>2637</v>
      </c>
      <c r="E547" s="408">
        <v>1</v>
      </c>
      <c r="F547" s="409"/>
      <c r="G547" s="410">
        <f>E547*F547</f>
        <v>0</v>
      </c>
      <c r="H547" s="412"/>
      <c r="I547" s="407"/>
      <c r="J547" s="412"/>
      <c r="K547" s="407"/>
      <c r="L547" s="412"/>
      <c r="M547" s="407"/>
      <c r="N547" s="412"/>
      <c r="O547" s="412"/>
      <c r="P547" s="412"/>
      <c r="Q547" s="413"/>
      <c r="R547" s="413"/>
      <c r="S547" s="414"/>
      <c r="T547" s="414" t="s">
        <v>712</v>
      </c>
      <c r="U547" s="415"/>
      <c r="V547" s="416"/>
      <c r="W547" s="417"/>
      <c r="X547" s="417"/>
      <c r="Y547" s="418" t="s">
        <v>377</v>
      </c>
      <c r="Z547" s="419"/>
      <c r="AA547" s="415"/>
    </row>
    <row r="548" spans="1:27" s="128" customFormat="1">
      <c r="A548" s="443">
        <v>20</v>
      </c>
      <c r="B548" s="444" t="s">
        <v>2604</v>
      </c>
      <c r="C548" s="445" t="s">
        <v>117</v>
      </c>
      <c r="D548" s="444" t="s">
        <v>2605</v>
      </c>
      <c r="E548" s="446">
        <v>4</v>
      </c>
      <c r="F548" s="447"/>
      <c r="G548" s="448">
        <f>E548*F548</f>
        <v>0</v>
      </c>
      <c r="H548" s="450"/>
      <c r="I548" s="444"/>
      <c r="J548" s="450"/>
      <c r="K548" s="444"/>
      <c r="L548" s="450"/>
      <c r="M548" s="444"/>
      <c r="N548" s="450"/>
      <c r="O548" s="450"/>
      <c r="P548" s="450"/>
      <c r="Q548" s="451" t="s">
        <v>374</v>
      </c>
      <c r="R548" s="451"/>
      <c r="S548" s="452"/>
      <c r="T548" s="452" t="s">
        <v>481</v>
      </c>
      <c r="U548" s="453"/>
      <c r="V548" s="454"/>
      <c r="W548" s="455" t="s">
        <v>406</v>
      </c>
      <c r="X548" s="455">
        <v>45601</v>
      </c>
      <c r="Y548" s="456" t="s">
        <v>377</v>
      </c>
      <c r="Z548" s="457"/>
      <c r="AA548" s="453"/>
    </row>
    <row r="549" spans="1:27" s="128" customFormat="1">
      <c r="A549" s="443">
        <v>21</v>
      </c>
      <c r="B549" s="444" t="s">
        <v>2608</v>
      </c>
      <c r="C549" s="445" t="s">
        <v>117</v>
      </c>
      <c r="D549" s="444" t="s">
        <v>2609</v>
      </c>
      <c r="E549" s="446">
        <v>2</v>
      </c>
      <c r="F549" s="447"/>
      <c r="G549" s="448">
        <f>E549*F549</f>
        <v>0</v>
      </c>
      <c r="H549" s="450"/>
      <c r="I549" s="444"/>
      <c r="J549" s="450"/>
      <c r="K549" s="444"/>
      <c r="L549" s="450"/>
      <c r="M549" s="444"/>
      <c r="N549" s="450"/>
      <c r="O549" s="450"/>
      <c r="P549" s="450"/>
      <c r="Q549" s="451" t="s">
        <v>374</v>
      </c>
      <c r="R549" s="451"/>
      <c r="S549" s="452"/>
      <c r="T549" s="452" t="s">
        <v>481</v>
      </c>
      <c r="U549" s="453"/>
      <c r="V549" s="454"/>
      <c r="W549" s="455" t="s">
        <v>406</v>
      </c>
      <c r="X549" s="455">
        <v>45583</v>
      </c>
      <c r="Y549" s="456" t="s">
        <v>377</v>
      </c>
      <c r="Z549" s="457"/>
      <c r="AA549" s="453"/>
    </row>
    <row r="550" spans="1:27">
      <c r="A550" s="389"/>
      <c r="B550" s="390" t="s">
        <v>2860</v>
      </c>
      <c r="C550" s="391"/>
      <c r="D550" s="392"/>
      <c r="E550" s="393"/>
      <c r="F550" s="394"/>
      <c r="G550" s="395">
        <f t="shared" si="3"/>
        <v>0</v>
      </c>
      <c r="H550" s="420"/>
      <c r="I550" s="392"/>
      <c r="J550" s="420"/>
      <c r="K550" s="392"/>
      <c r="L550" s="397"/>
      <c r="M550" s="392"/>
      <c r="N550" s="397"/>
      <c r="O550" s="397"/>
      <c r="P550" s="397"/>
      <c r="Q550" s="398"/>
      <c r="R550" s="398"/>
      <c r="S550" s="399"/>
      <c r="T550" s="399"/>
      <c r="U550" s="400"/>
      <c r="V550" s="401"/>
      <c r="W550" s="402"/>
      <c r="X550" s="402"/>
      <c r="Y550" s="403"/>
      <c r="Z550" s="404"/>
      <c r="AA550" s="493"/>
    </row>
    <row r="551" spans="1:27" s="128" customFormat="1">
      <c r="A551" s="443">
        <v>1</v>
      </c>
      <c r="B551" s="444" t="s">
        <v>2569</v>
      </c>
      <c r="C551" s="445" t="s">
        <v>119</v>
      </c>
      <c r="D551" s="444" t="s">
        <v>2570</v>
      </c>
      <c r="E551" s="446">
        <v>1</v>
      </c>
      <c r="F551" s="447"/>
      <c r="G551" s="448">
        <f t="shared" ref="G551:G582" si="21">E551*F551</f>
        <v>0</v>
      </c>
      <c r="H551" s="450"/>
      <c r="I551" s="444"/>
      <c r="J551" s="450"/>
      <c r="K551" s="444"/>
      <c r="L551" s="450"/>
      <c r="M551" s="444"/>
      <c r="N551" s="450"/>
      <c r="O551" s="450"/>
      <c r="P551" s="450"/>
      <c r="Q551" s="451" t="s">
        <v>374</v>
      </c>
      <c r="R551" s="451"/>
      <c r="S551" s="452"/>
      <c r="T551" s="452"/>
      <c r="U551" s="453"/>
      <c r="V551" s="454"/>
      <c r="W551" s="455" t="s">
        <v>406</v>
      </c>
      <c r="X551" s="455">
        <v>45565</v>
      </c>
      <c r="Y551" s="456" t="s">
        <v>377</v>
      </c>
      <c r="Z551" s="457"/>
      <c r="AA551" s="453"/>
    </row>
    <row r="552" spans="1:27" s="128" customFormat="1">
      <c r="A552" s="443">
        <v>2</v>
      </c>
      <c r="B552" s="444" t="s">
        <v>2573</v>
      </c>
      <c r="C552" s="445" t="s">
        <v>119</v>
      </c>
      <c r="D552" s="444" t="s">
        <v>2574</v>
      </c>
      <c r="E552" s="446">
        <v>1</v>
      </c>
      <c r="F552" s="447"/>
      <c r="G552" s="448">
        <f t="shared" si="21"/>
        <v>0</v>
      </c>
      <c r="H552" s="450"/>
      <c r="I552" s="444"/>
      <c r="J552" s="450"/>
      <c r="K552" s="444"/>
      <c r="L552" s="450"/>
      <c r="M552" s="444"/>
      <c r="N552" s="450"/>
      <c r="O552" s="450"/>
      <c r="P552" s="450"/>
      <c r="Q552" s="451" t="s">
        <v>374</v>
      </c>
      <c r="R552" s="451"/>
      <c r="S552" s="452"/>
      <c r="T552" s="452"/>
      <c r="U552" s="453"/>
      <c r="V552" s="454"/>
      <c r="W552" s="455" t="s">
        <v>406</v>
      </c>
      <c r="X552" s="455">
        <v>45565</v>
      </c>
      <c r="Y552" s="456" t="s">
        <v>377</v>
      </c>
      <c r="Z552" s="457"/>
      <c r="AA552" s="453"/>
    </row>
    <row r="553" spans="1:27" s="128" customFormat="1">
      <c r="A553" s="443">
        <v>3</v>
      </c>
      <c r="B553" s="444" t="s">
        <v>2571</v>
      </c>
      <c r="C553" s="445" t="s">
        <v>119</v>
      </c>
      <c r="D553" s="444" t="s">
        <v>2572</v>
      </c>
      <c r="E553" s="446">
        <v>1</v>
      </c>
      <c r="F553" s="447"/>
      <c r="G553" s="448">
        <f t="shared" si="21"/>
        <v>0</v>
      </c>
      <c r="H553" s="450"/>
      <c r="I553" s="444"/>
      <c r="J553" s="450"/>
      <c r="K553" s="444"/>
      <c r="L553" s="450"/>
      <c r="M553" s="444"/>
      <c r="N553" s="450"/>
      <c r="O553" s="450"/>
      <c r="P553" s="450"/>
      <c r="Q553" s="451" t="s">
        <v>374</v>
      </c>
      <c r="R553" s="451"/>
      <c r="S553" s="452"/>
      <c r="T553" s="452"/>
      <c r="U553" s="453"/>
      <c r="V553" s="454"/>
      <c r="W553" s="455" t="s">
        <v>406</v>
      </c>
      <c r="X553" s="455">
        <v>45565</v>
      </c>
      <c r="Y553" s="456" t="s">
        <v>377</v>
      </c>
      <c r="Z553" s="457"/>
      <c r="AA553" s="453"/>
    </row>
    <row r="554" spans="1:27" s="128" customFormat="1">
      <c r="A554" s="443">
        <v>4</v>
      </c>
      <c r="B554" s="444" t="s">
        <v>2776</v>
      </c>
      <c r="C554" s="445" t="s">
        <v>119</v>
      </c>
      <c r="D554" s="444" t="s">
        <v>2777</v>
      </c>
      <c r="E554" s="446">
        <v>1</v>
      </c>
      <c r="F554" s="447"/>
      <c r="G554" s="448">
        <f t="shared" si="21"/>
        <v>0</v>
      </c>
      <c r="H554" s="450"/>
      <c r="I554" s="444"/>
      <c r="J554" s="450"/>
      <c r="K554" s="444"/>
      <c r="L554" s="450"/>
      <c r="M554" s="444"/>
      <c r="N554" s="450"/>
      <c r="O554" s="450"/>
      <c r="P554" s="450"/>
      <c r="Q554" s="451" t="s">
        <v>374</v>
      </c>
      <c r="R554" s="451"/>
      <c r="S554" s="452"/>
      <c r="T554" s="452"/>
      <c r="U554" s="453"/>
      <c r="V554" s="454"/>
      <c r="W554" s="455" t="s">
        <v>406</v>
      </c>
      <c r="X554" s="455">
        <v>45565</v>
      </c>
      <c r="Y554" s="456" t="s">
        <v>377</v>
      </c>
      <c r="Z554" s="457"/>
      <c r="AA554" s="453"/>
    </row>
    <row r="555" spans="1:27" s="128" customFormat="1" ht="37.5">
      <c r="A555" s="443">
        <v>5</v>
      </c>
      <c r="B555" s="444" t="s">
        <v>2834</v>
      </c>
      <c r="C555" s="445" t="s">
        <v>119</v>
      </c>
      <c r="D555" s="444" t="s">
        <v>2835</v>
      </c>
      <c r="E555" s="446">
        <v>1</v>
      </c>
      <c r="F555" s="447"/>
      <c r="G555" s="448">
        <f t="shared" si="21"/>
        <v>0</v>
      </c>
      <c r="H555" s="450"/>
      <c r="I555" s="444"/>
      <c r="J555" s="450"/>
      <c r="K555" s="444" t="s">
        <v>2861</v>
      </c>
      <c r="L555" s="450" t="s">
        <v>624</v>
      </c>
      <c r="M555" s="444" t="s">
        <v>2862</v>
      </c>
      <c r="N555" s="450"/>
      <c r="O555" s="450"/>
      <c r="P555" s="450" t="s">
        <v>2863</v>
      </c>
      <c r="Q555" s="451" t="s">
        <v>374</v>
      </c>
      <c r="R555" s="451" t="s">
        <v>2723</v>
      </c>
      <c r="S555" s="452" t="s">
        <v>694</v>
      </c>
      <c r="T555" s="452"/>
      <c r="U555" s="453"/>
      <c r="V555" s="454"/>
      <c r="W555" s="455" t="s">
        <v>406</v>
      </c>
      <c r="X555" s="455">
        <v>45579</v>
      </c>
      <c r="Y555" s="456" t="s">
        <v>377</v>
      </c>
      <c r="Z555" s="457"/>
      <c r="AA555" s="453"/>
    </row>
    <row r="556" spans="1:27" s="128" customFormat="1">
      <c r="A556" s="443">
        <v>6</v>
      </c>
      <c r="B556" s="444" t="s">
        <v>2569</v>
      </c>
      <c r="C556" s="445" t="s">
        <v>119</v>
      </c>
      <c r="D556" s="444" t="s">
        <v>2570</v>
      </c>
      <c r="E556" s="446">
        <v>1</v>
      </c>
      <c r="F556" s="447"/>
      <c r="G556" s="448">
        <f t="shared" si="21"/>
        <v>0</v>
      </c>
      <c r="H556" s="450"/>
      <c r="I556" s="444"/>
      <c r="J556" s="450"/>
      <c r="K556" s="444"/>
      <c r="L556" s="450"/>
      <c r="M556" s="444"/>
      <c r="N556" s="450"/>
      <c r="O556" s="450"/>
      <c r="P556" s="450"/>
      <c r="Q556" s="451" t="s">
        <v>374</v>
      </c>
      <c r="R556" s="451"/>
      <c r="S556" s="452"/>
      <c r="T556" s="452"/>
      <c r="U556" s="453"/>
      <c r="V556" s="454"/>
      <c r="W556" s="455" t="s">
        <v>406</v>
      </c>
      <c r="X556" s="455">
        <v>45565</v>
      </c>
      <c r="Y556" s="456" t="s">
        <v>377</v>
      </c>
      <c r="Z556" s="457"/>
      <c r="AA556" s="453"/>
    </row>
    <row r="557" spans="1:27" s="128" customFormat="1">
      <c r="A557" s="443">
        <v>7</v>
      </c>
      <c r="B557" s="444" t="s">
        <v>2730</v>
      </c>
      <c r="C557" s="445" t="s">
        <v>119</v>
      </c>
      <c r="D557" s="444" t="s">
        <v>2731</v>
      </c>
      <c r="E557" s="446">
        <v>1</v>
      </c>
      <c r="F557" s="447"/>
      <c r="G557" s="448">
        <f t="shared" si="21"/>
        <v>0</v>
      </c>
      <c r="H557" s="450"/>
      <c r="I557" s="444"/>
      <c r="J557" s="450"/>
      <c r="K557" s="444"/>
      <c r="L557" s="450"/>
      <c r="M557" s="444"/>
      <c r="N557" s="450"/>
      <c r="O557" s="450"/>
      <c r="P557" s="450"/>
      <c r="Q557" s="451" t="s">
        <v>374</v>
      </c>
      <c r="R557" s="451"/>
      <c r="S557" s="452"/>
      <c r="T557" s="452"/>
      <c r="U557" s="453"/>
      <c r="V557" s="454"/>
      <c r="W557" s="455" t="s">
        <v>406</v>
      </c>
      <c r="X557" s="455">
        <v>45565</v>
      </c>
      <c r="Y557" s="456" t="s">
        <v>377</v>
      </c>
      <c r="Z557" s="457"/>
      <c r="AA557" s="453"/>
    </row>
    <row r="558" spans="1:27" s="128" customFormat="1">
      <c r="A558" s="443">
        <v>8</v>
      </c>
      <c r="B558" s="444" t="s">
        <v>2728</v>
      </c>
      <c r="C558" s="445" t="s">
        <v>119</v>
      </c>
      <c r="D558" s="444" t="s">
        <v>2729</v>
      </c>
      <c r="E558" s="446">
        <v>1</v>
      </c>
      <c r="F558" s="447"/>
      <c r="G558" s="448">
        <f t="shared" si="21"/>
        <v>0</v>
      </c>
      <c r="H558" s="450"/>
      <c r="I558" s="444"/>
      <c r="J558" s="450"/>
      <c r="K558" s="444"/>
      <c r="L558" s="450"/>
      <c r="M558" s="444"/>
      <c r="N558" s="450"/>
      <c r="O558" s="450"/>
      <c r="P558" s="450"/>
      <c r="Q558" s="451" t="s">
        <v>374</v>
      </c>
      <c r="R558" s="451"/>
      <c r="S558" s="452"/>
      <c r="T558" s="452"/>
      <c r="U558" s="453"/>
      <c r="V558" s="454"/>
      <c r="W558" s="455" t="s">
        <v>406</v>
      </c>
      <c r="X558" s="455">
        <v>45565</v>
      </c>
      <c r="Y558" s="456" t="s">
        <v>377</v>
      </c>
      <c r="Z558" s="457"/>
      <c r="AA558" s="453"/>
    </row>
    <row r="559" spans="1:27" s="128" customFormat="1">
      <c r="A559" s="443">
        <v>9</v>
      </c>
      <c r="B559" s="444" t="s">
        <v>2732</v>
      </c>
      <c r="C559" s="445" t="s">
        <v>119</v>
      </c>
      <c r="D559" s="444" t="s">
        <v>2733</v>
      </c>
      <c r="E559" s="446">
        <v>1</v>
      </c>
      <c r="F559" s="447"/>
      <c r="G559" s="448">
        <f t="shared" si="21"/>
        <v>0</v>
      </c>
      <c r="H559" s="450"/>
      <c r="I559" s="444"/>
      <c r="J559" s="450"/>
      <c r="K559" s="444"/>
      <c r="L559" s="450"/>
      <c r="M559" s="444"/>
      <c r="N559" s="450"/>
      <c r="O559" s="450"/>
      <c r="P559" s="450"/>
      <c r="Q559" s="451" t="s">
        <v>374</v>
      </c>
      <c r="R559" s="451"/>
      <c r="S559" s="452"/>
      <c r="T559" s="452"/>
      <c r="U559" s="453"/>
      <c r="V559" s="454"/>
      <c r="W559" s="455" t="s">
        <v>406</v>
      </c>
      <c r="X559" s="455">
        <v>45565</v>
      </c>
      <c r="Y559" s="456" t="s">
        <v>377</v>
      </c>
      <c r="Z559" s="457"/>
      <c r="AA559" s="453"/>
    </row>
    <row r="560" spans="1:27" s="128" customFormat="1" ht="37.5">
      <c r="A560" s="443">
        <v>10</v>
      </c>
      <c r="B560" s="444" t="s">
        <v>2734</v>
      </c>
      <c r="C560" s="445" t="s">
        <v>119</v>
      </c>
      <c r="D560" s="444" t="s">
        <v>2735</v>
      </c>
      <c r="E560" s="446">
        <v>1</v>
      </c>
      <c r="F560" s="447"/>
      <c r="G560" s="448">
        <f t="shared" si="21"/>
        <v>0</v>
      </c>
      <c r="H560" s="450"/>
      <c r="I560" s="444"/>
      <c r="J560" s="450"/>
      <c r="K560" s="444" t="s">
        <v>2861</v>
      </c>
      <c r="L560" s="450" t="s">
        <v>624</v>
      </c>
      <c r="M560" s="444" t="s">
        <v>2862</v>
      </c>
      <c r="N560" s="450"/>
      <c r="O560" s="450"/>
      <c r="P560" s="450" t="s">
        <v>2863</v>
      </c>
      <c r="Q560" s="451" t="s">
        <v>374</v>
      </c>
      <c r="R560" s="451" t="s">
        <v>2723</v>
      </c>
      <c r="S560" s="452" t="s">
        <v>694</v>
      </c>
      <c r="T560" s="452"/>
      <c r="U560" s="453"/>
      <c r="V560" s="454"/>
      <c r="W560" s="455" t="s">
        <v>406</v>
      </c>
      <c r="X560" s="455">
        <v>45579</v>
      </c>
      <c r="Y560" s="456" t="s">
        <v>377</v>
      </c>
      <c r="Z560" s="457"/>
      <c r="AA560" s="453"/>
    </row>
    <row r="561" spans="1:27" s="128" customFormat="1">
      <c r="A561" s="443">
        <v>11</v>
      </c>
      <c r="B561" s="444" t="s">
        <v>2577</v>
      </c>
      <c r="C561" s="445" t="s">
        <v>119</v>
      </c>
      <c r="D561" s="444" t="s">
        <v>2578</v>
      </c>
      <c r="E561" s="446">
        <v>6</v>
      </c>
      <c r="F561" s="447"/>
      <c r="G561" s="448">
        <f t="shared" si="21"/>
        <v>0</v>
      </c>
      <c r="H561" s="450"/>
      <c r="I561" s="444"/>
      <c r="J561" s="450"/>
      <c r="K561" s="444"/>
      <c r="L561" s="450"/>
      <c r="M561" s="444"/>
      <c r="N561" s="450"/>
      <c r="O561" s="450"/>
      <c r="P561" s="450"/>
      <c r="Q561" s="451" t="s">
        <v>374</v>
      </c>
      <c r="R561" s="451"/>
      <c r="S561" s="452"/>
      <c r="T561" s="452" t="s">
        <v>712</v>
      </c>
      <c r="U561" s="453"/>
      <c r="V561" s="454"/>
      <c r="W561" s="455" t="s">
        <v>406</v>
      </c>
      <c r="X561" s="455">
        <v>45565</v>
      </c>
      <c r="Y561" s="456" t="s">
        <v>377</v>
      </c>
      <c r="Z561" s="457"/>
      <c r="AA561" s="453"/>
    </row>
    <row r="562" spans="1:27" s="128" customFormat="1">
      <c r="A562" s="443">
        <v>12</v>
      </c>
      <c r="B562" s="444" t="s">
        <v>2579</v>
      </c>
      <c r="C562" s="445" t="s">
        <v>119</v>
      </c>
      <c r="D562" s="444" t="s">
        <v>2580</v>
      </c>
      <c r="E562" s="446">
        <v>2</v>
      </c>
      <c r="F562" s="447"/>
      <c r="G562" s="448">
        <f t="shared" si="21"/>
        <v>0</v>
      </c>
      <c r="H562" s="450"/>
      <c r="I562" s="444"/>
      <c r="J562" s="450"/>
      <c r="K562" s="444"/>
      <c r="L562" s="450"/>
      <c r="M562" s="444"/>
      <c r="N562" s="450"/>
      <c r="O562" s="450"/>
      <c r="P562" s="450"/>
      <c r="Q562" s="451" t="s">
        <v>374</v>
      </c>
      <c r="R562" s="451"/>
      <c r="S562" s="452"/>
      <c r="T562" s="452" t="s">
        <v>712</v>
      </c>
      <c r="U562" s="453"/>
      <c r="V562" s="454"/>
      <c r="W562" s="455" t="s">
        <v>406</v>
      </c>
      <c r="X562" s="455">
        <v>45565</v>
      </c>
      <c r="Y562" s="456" t="s">
        <v>377</v>
      </c>
      <c r="Z562" s="457"/>
      <c r="AA562" s="453"/>
    </row>
    <row r="563" spans="1:27" s="128" customFormat="1">
      <c r="A563" s="443">
        <v>13</v>
      </c>
      <c r="B563" s="444" t="s">
        <v>2585</v>
      </c>
      <c r="C563" s="445" t="s">
        <v>119</v>
      </c>
      <c r="D563" s="444" t="s">
        <v>2586</v>
      </c>
      <c r="E563" s="446">
        <v>2</v>
      </c>
      <c r="F563" s="447"/>
      <c r="G563" s="448">
        <f t="shared" si="21"/>
        <v>0</v>
      </c>
      <c r="H563" s="450"/>
      <c r="I563" s="444"/>
      <c r="J563" s="450"/>
      <c r="K563" s="444"/>
      <c r="L563" s="450"/>
      <c r="M563" s="444"/>
      <c r="N563" s="450"/>
      <c r="O563" s="450"/>
      <c r="P563" s="450"/>
      <c r="Q563" s="451" t="s">
        <v>374</v>
      </c>
      <c r="R563" s="451"/>
      <c r="S563" s="452"/>
      <c r="T563" s="452" t="s">
        <v>712</v>
      </c>
      <c r="U563" s="453"/>
      <c r="V563" s="454"/>
      <c r="W563" s="455" t="s">
        <v>406</v>
      </c>
      <c r="X563" s="455">
        <v>45565</v>
      </c>
      <c r="Y563" s="456" t="s">
        <v>377</v>
      </c>
      <c r="Z563" s="457"/>
      <c r="AA563" s="453"/>
    </row>
    <row r="564" spans="1:27" s="128" customFormat="1">
      <c r="A564" s="443">
        <v>14</v>
      </c>
      <c r="B564" s="444" t="s">
        <v>2593</v>
      </c>
      <c r="C564" s="445" t="s">
        <v>119</v>
      </c>
      <c r="D564" s="444" t="s">
        <v>2594</v>
      </c>
      <c r="E564" s="446">
        <v>2</v>
      </c>
      <c r="F564" s="447"/>
      <c r="G564" s="448">
        <f t="shared" si="21"/>
        <v>0</v>
      </c>
      <c r="H564" s="450"/>
      <c r="I564" s="444"/>
      <c r="J564" s="450"/>
      <c r="K564" s="444"/>
      <c r="L564" s="450"/>
      <c r="M564" s="444"/>
      <c r="N564" s="450"/>
      <c r="O564" s="450"/>
      <c r="P564" s="450"/>
      <c r="Q564" s="451" t="s">
        <v>374</v>
      </c>
      <c r="R564" s="451"/>
      <c r="S564" s="452"/>
      <c r="T564" s="452" t="s">
        <v>712</v>
      </c>
      <c r="U564" s="453"/>
      <c r="V564" s="454"/>
      <c r="W564" s="455" t="s">
        <v>406</v>
      </c>
      <c r="X564" s="455">
        <v>45565</v>
      </c>
      <c r="Y564" s="456" t="s">
        <v>377</v>
      </c>
      <c r="Z564" s="457"/>
      <c r="AA564" s="453"/>
    </row>
    <row r="565" spans="1:27" s="128" customFormat="1">
      <c r="A565" s="443">
        <v>15</v>
      </c>
      <c r="B565" s="444" t="s">
        <v>2581</v>
      </c>
      <c r="C565" s="445" t="s">
        <v>119</v>
      </c>
      <c r="D565" s="444" t="s">
        <v>2582</v>
      </c>
      <c r="E565" s="446">
        <v>3</v>
      </c>
      <c r="F565" s="447"/>
      <c r="G565" s="448">
        <f t="shared" si="21"/>
        <v>0</v>
      </c>
      <c r="H565" s="450"/>
      <c r="I565" s="444"/>
      <c r="J565" s="450"/>
      <c r="K565" s="444"/>
      <c r="L565" s="450"/>
      <c r="M565" s="444"/>
      <c r="N565" s="450"/>
      <c r="O565" s="450"/>
      <c r="P565" s="450"/>
      <c r="Q565" s="451" t="s">
        <v>374</v>
      </c>
      <c r="R565" s="451"/>
      <c r="S565" s="452"/>
      <c r="T565" s="452" t="s">
        <v>712</v>
      </c>
      <c r="U565" s="453"/>
      <c r="V565" s="454"/>
      <c r="W565" s="455" t="s">
        <v>406</v>
      </c>
      <c r="X565" s="455">
        <v>45565</v>
      </c>
      <c r="Y565" s="456" t="s">
        <v>377</v>
      </c>
      <c r="Z565" s="457"/>
      <c r="AA565" s="453"/>
    </row>
    <row r="566" spans="1:27" s="128" customFormat="1">
      <c r="A566" s="443">
        <v>16</v>
      </c>
      <c r="B566" s="444" t="s">
        <v>2579</v>
      </c>
      <c r="C566" s="445" t="s">
        <v>119</v>
      </c>
      <c r="D566" s="444" t="s">
        <v>2580</v>
      </c>
      <c r="E566" s="446">
        <v>1</v>
      </c>
      <c r="F566" s="447"/>
      <c r="G566" s="448">
        <f t="shared" si="21"/>
        <v>0</v>
      </c>
      <c r="H566" s="450"/>
      <c r="I566" s="444"/>
      <c r="J566" s="450"/>
      <c r="K566" s="444"/>
      <c r="L566" s="450"/>
      <c r="M566" s="444"/>
      <c r="N566" s="450"/>
      <c r="O566" s="450"/>
      <c r="P566" s="450"/>
      <c r="Q566" s="451" t="s">
        <v>374</v>
      </c>
      <c r="R566" s="451"/>
      <c r="S566" s="452"/>
      <c r="T566" s="452" t="s">
        <v>712</v>
      </c>
      <c r="U566" s="453"/>
      <c r="V566" s="454"/>
      <c r="W566" s="455" t="s">
        <v>406</v>
      </c>
      <c r="X566" s="455">
        <v>45565</v>
      </c>
      <c r="Y566" s="456" t="s">
        <v>377</v>
      </c>
      <c r="Z566" s="457"/>
      <c r="AA566" s="453"/>
    </row>
    <row r="567" spans="1:27" s="128" customFormat="1">
      <c r="A567" s="443">
        <v>17</v>
      </c>
      <c r="B567" s="444" t="s">
        <v>2593</v>
      </c>
      <c r="C567" s="445" t="s">
        <v>119</v>
      </c>
      <c r="D567" s="444" t="s">
        <v>2594</v>
      </c>
      <c r="E567" s="446">
        <v>1</v>
      </c>
      <c r="F567" s="447"/>
      <c r="G567" s="448">
        <f t="shared" si="21"/>
        <v>0</v>
      </c>
      <c r="H567" s="450"/>
      <c r="I567" s="444"/>
      <c r="J567" s="450"/>
      <c r="K567" s="444"/>
      <c r="L567" s="450"/>
      <c r="M567" s="444"/>
      <c r="N567" s="450"/>
      <c r="O567" s="450"/>
      <c r="P567" s="450"/>
      <c r="Q567" s="451" t="s">
        <v>374</v>
      </c>
      <c r="R567" s="451"/>
      <c r="S567" s="452"/>
      <c r="T567" s="452" t="s">
        <v>712</v>
      </c>
      <c r="U567" s="453"/>
      <c r="V567" s="454"/>
      <c r="W567" s="455" t="s">
        <v>406</v>
      </c>
      <c r="X567" s="455">
        <v>45565</v>
      </c>
      <c r="Y567" s="456" t="s">
        <v>377</v>
      </c>
      <c r="Z567" s="457"/>
      <c r="AA567" s="453"/>
    </row>
    <row r="568" spans="1:27" s="128" customFormat="1" ht="37.5">
      <c r="A568" s="443">
        <v>18</v>
      </c>
      <c r="B568" s="444" t="s">
        <v>2649</v>
      </c>
      <c r="C568" s="445" t="s">
        <v>119</v>
      </c>
      <c r="D568" s="444" t="s">
        <v>2650</v>
      </c>
      <c r="E568" s="446">
        <v>1</v>
      </c>
      <c r="F568" s="447"/>
      <c r="G568" s="448">
        <f t="shared" si="21"/>
        <v>0</v>
      </c>
      <c r="H568" s="450"/>
      <c r="I568" s="444"/>
      <c r="J568" s="450"/>
      <c r="K568" s="444" t="s">
        <v>2861</v>
      </c>
      <c r="L568" s="450" t="s">
        <v>624</v>
      </c>
      <c r="M568" s="444" t="s">
        <v>2864</v>
      </c>
      <c r="N568" s="450"/>
      <c r="O568" s="450"/>
      <c r="P568" s="450" t="s">
        <v>2863</v>
      </c>
      <c r="Q568" s="451" t="s">
        <v>374</v>
      </c>
      <c r="R568" s="451" t="s">
        <v>2642</v>
      </c>
      <c r="S568" s="452" t="s">
        <v>694</v>
      </c>
      <c r="T568" s="452"/>
      <c r="U568" s="453"/>
      <c r="V568" s="454"/>
      <c r="W568" s="455" t="s">
        <v>406</v>
      </c>
      <c r="X568" s="455">
        <v>45579</v>
      </c>
      <c r="Y568" s="456" t="s">
        <v>377</v>
      </c>
      <c r="Z568" s="457"/>
      <c r="AA568" s="453"/>
    </row>
    <row r="569" spans="1:27" s="128" customFormat="1" ht="37.5">
      <c r="A569" s="443">
        <v>19</v>
      </c>
      <c r="B569" s="444" t="s">
        <v>2791</v>
      </c>
      <c r="C569" s="445" t="s">
        <v>119</v>
      </c>
      <c r="D569" s="444" t="s">
        <v>2792</v>
      </c>
      <c r="E569" s="446">
        <v>1</v>
      </c>
      <c r="F569" s="447"/>
      <c r="G569" s="448">
        <f t="shared" si="21"/>
        <v>0</v>
      </c>
      <c r="H569" s="450"/>
      <c r="I569" s="444"/>
      <c r="J569" s="450"/>
      <c r="K569" s="444" t="s">
        <v>2861</v>
      </c>
      <c r="L569" s="450" t="s">
        <v>624</v>
      </c>
      <c r="M569" s="444" t="s">
        <v>2865</v>
      </c>
      <c r="N569" s="450"/>
      <c r="O569" s="450"/>
      <c r="P569" s="450" t="s">
        <v>1890</v>
      </c>
      <c r="Q569" s="451" t="s">
        <v>374</v>
      </c>
      <c r="R569" s="451" t="s">
        <v>269</v>
      </c>
      <c r="S569" s="452" t="s">
        <v>694</v>
      </c>
      <c r="T569" s="452"/>
      <c r="U569" s="453"/>
      <c r="V569" s="454"/>
      <c r="W569" s="455" t="s">
        <v>406</v>
      </c>
      <c r="X569" s="455">
        <v>45576</v>
      </c>
      <c r="Y569" s="456" t="s">
        <v>377</v>
      </c>
      <c r="Z569" s="457"/>
      <c r="AA569" s="453"/>
    </row>
    <row r="570" spans="1:27" s="128" customFormat="1" ht="37.5">
      <c r="A570" s="443">
        <v>20</v>
      </c>
      <c r="B570" s="444" t="s">
        <v>2649</v>
      </c>
      <c r="C570" s="445" t="s">
        <v>119</v>
      </c>
      <c r="D570" s="444" t="s">
        <v>2650</v>
      </c>
      <c r="E570" s="446">
        <v>1</v>
      </c>
      <c r="F570" s="447"/>
      <c r="G570" s="448">
        <f t="shared" si="21"/>
        <v>0</v>
      </c>
      <c r="H570" s="450"/>
      <c r="I570" s="444"/>
      <c r="J570" s="450"/>
      <c r="K570" s="444" t="s">
        <v>2861</v>
      </c>
      <c r="L570" s="450" t="s">
        <v>624</v>
      </c>
      <c r="M570" s="444" t="s">
        <v>2864</v>
      </c>
      <c r="N570" s="450"/>
      <c r="O570" s="450"/>
      <c r="P570" s="450" t="s">
        <v>2863</v>
      </c>
      <c r="Q570" s="451" t="s">
        <v>374</v>
      </c>
      <c r="R570" s="451" t="s">
        <v>2642</v>
      </c>
      <c r="S570" s="452" t="s">
        <v>694</v>
      </c>
      <c r="T570" s="452">
        <v>45581</v>
      </c>
      <c r="U570" s="453"/>
      <c r="V570" s="454"/>
      <c r="W570" s="455" t="s">
        <v>406</v>
      </c>
      <c r="X570" s="455">
        <v>45579</v>
      </c>
      <c r="Y570" s="456" t="s">
        <v>377</v>
      </c>
      <c r="Z570" s="457"/>
      <c r="AA570" s="453"/>
    </row>
    <row r="571" spans="1:27" s="128" customFormat="1" ht="37.5">
      <c r="A571" s="443">
        <v>21</v>
      </c>
      <c r="B571" s="444" t="s">
        <v>2587</v>
      </c>
      <c r="C571" s="445" t="s">
        <v>119</v>
      </c>
      <c r="D571" s="444" t="s">
        <v>2588</v>
      </c>
      <c r="E571" s="446">
        <v>1</v>
      </c>
      <c r="F571" s="447"/>
      <c r="G571" s="448">
        <f t="shared" si="21"/>
        <v>0</v>
      </c>
      <c r="H571" s="450"/>
      <c r="I571" s="444"/>
      <c r="J571" s="450"/>
      <c r="K571" s="444" t="s">
        <v>2861</v>
      </c>
      <c r="L571" s="450" t="s">
        <v>624</v>
      </c>
      <c r="M571" s="444" t="s">
        <v>2865</v>
      </c>
      <c r="N571" s="450"/>
      <c r="O571" s="450"/>
      <c r="P571" s="450" t="s">
        <v>1890</v>
      </c>
      <c r="Q571" s="451" t="s">
        <v>374</v>
      </c>
      <c r="R571" s="451" t="s">
        <v>269</v>
      </c>
      <c r="S571" s="452" t="s">
        <v>694</v>
      </c>
      <c r="T571" s="452"/>
      <c r="U571" s="453"/>
      <c r="V571" s="454"/>
      <c r="W571" s="455" t="s">
        <v>406</v>
      </c>
      <c r="X571" s="455">
        <v>45576</v>
      </c>
      <c r="Y571" s="456" t="s">
        <v>377</v>
      </c>
      <c r="Z571" s="457"/>
      <c r="AA571" s="453"/>
    </row>
    <row r="572" spans="1:27" s="128" customFormat="1" ht="37.5">
      <c r="A572" s="443">
        <v>22</v>
      </c>
      <c r="B572" s="444" t="s">
        <v>2649</v>
      </c>
      <c r="C572" s="445" t="s">
        <v>119</v>
      </c>
      <c r="D572" s="444" t="s">
        <v>2650</v>
      </c>
      <c r="E572" s="446">
        <v>1</v>
      </c>
      <c r="F572" s="447"/>
      <c r="G572" s="448">
        <f t="shared" si="21"/>
        <v>0</v>
      </c>
      <c r="H572" s="450"/>
      <c r="I572" s="444"/>
      <c r="J572" s="450"/>
      <c r="K572" s="444" t="s">
        <v>2861</v>
      </c>
      <c r="L572" s="450" t="s">
        <v>624</v>
      </c>
      <c r="M572" s="444" t="s">
        <v>2864</v>
      </c>
      <c r="N572" s="450"/>
      <c r="O572" s="450"/>
      <c r="P572" s="450" t="s">
        <v>2863</v>
      </c>
      <c r="Q572" s="451" t="s">
        <v>374</v>
      </c>
      <c r="R572" s="451" t="s">
        <v>2642</v>
      </c>
      <c r="S572" s="452" t="s">
        <v>694</v>
      </c>
      <c r="T572" s="452">
        <v>45581</v>
      </c>
      <c r="U572" s="453"/>
      <c r="V572" s="454"/>
      <c r="W572" s="455" t="s">
        <v>406</v>
      </c>
      <c r="X572" s="455">
        <v>45579</v>
      </c>
      <c r="Y572" s="456" t="s">
        <v>377</v>
      </c>
      <c r="Z572" s="457"/>
      <c r="AA572" s="453"/>
    </row>
    <row r="573" spans="1:27" s="128" customFormat="1" ht="37.5">
      <c r="A573" s="443">
        <v>23</v>
      </c>
      <c r="B573" s="444" t="s">
        <v>2587</v>
      </c>
      <c r="C573" s="445" t="s">
        <v>119</v>
      </c>
      <c r="D573" s="444" t="s">
        <v>2588</v>
      </c>
      <c r="E573" s="446">
        <v>1</v>
      </c>
      <c r="F573" s="447"/>
      <c r="G573" s="448">
        <f t="shared" si="21"/>
        <v>0</v>
      </c>
      <c r="H573" s="450"/>
      <c r="I573" s="444"/>
      <c r="J573" s="450"/>
      <c r="K573" s="444" t="s">
        <v>2861</v>
      </c>
      <c r="L573" s="450" t="s">
        <v>624</v>
      </c>
      <c r="M573" s="444" t="s">
        <v>2865</v>
      </c>
      <c r="N573" s="450"/>
      <c r="O573" s="450"/>
      <c r="P573" s="450" t="s">
        <v>1890</v>
      </c>
      <c r="Q573" s="451" t="s">
        <v>374</v>
      </c>
      <c r="R573" s="451" t="s">
        <v>269</v>
      </c>
      <c r="S573" s="452" t="s">
        <v>694</v>
      </c>
      <c r="T573" s="452">
        <v>45588</v>
      </c>
      <c r="U573" s="453"/>
      <c r="V573" s="454"/>
      <c r="W573" s="455" t="s">
        <v>406</v>
      </c>
      <c r="X573" s="455">
        <v>45576</v>
      </c>
      <c r="Y573" s="456" t="s">
        <v>377</v>
      </c>
      <c r="Z573" s="457"/>
      <c r="AA573" s="453"/>
    </row>
    <row r="574" spans="1:27" s="128" customFormat="1" ht="37.5">
      <c r="A574" s="443">
        <v>24</v>
      </c>
      <c r="B574" s="444" t="s">
        <v>2649</v>
      </c>
      <c r="C574" s="445" t="s">
        <v>119</v>
      </c>
      <c r="D574" s="444" t="s">
        <v>2650</v>
      </c>
      <c r="E574" s="446">
        <v>1</v>
      </c>
      <c r="F574" s="447"/>
      <c r="G574" s="448">
        <f t="shared" si="21"/>
        <v>0</v>
      </c>
      <c r="H574" s="450"/>
      <c r="I574" s="444"/>
      <c r="J574" s="450"/>
      <c r="K574" s="444" t="s">
        <v>2861</v>
      </c>
      <c r="L574" s="450" t="s">
        <v>624</v>
      </c>
      <c r="M574" s="444" t="s">
        <v>2864</v>
      </c>
      <c r="N574" s="450"/>
      <c r="O574" s="450"/>
      <c r="P574" s="450" t="s">
        <v>2863</v>
      </c>
      <c r="Q574" s="451" t="s">
        <v>374</v>
      </c>
      <c r="R574" s="451" t="s">
        <v>2642</v>
      </c>
      <c r="S574" s="452" t="s">
        <v>694</v>
      </c>
      <c r="T574" s="452">
        <v>45581</v>
      </c>
      <c r="U574" s="453"/>
      <c r="V574" s="454"/>
      <c r="W574" s="455" t="s">
        <v>406</v>
      </c>
      <c r="X574" s="455">
        <v>45579</v>
      </c>
      <c r="Y574" s="456" t="s">
        <v>377</v>
      </c>
      <c r="Z574" s="457"/>
      <c r="AA574" s="453"/>
    </row>
    <row r="575" spans="1:27" s="128" customFormat="1" ht="37.5">
      <c r="A575" s="443">
        <v>25</v>
      </c>
      <c r="B575" s="444" t="s">
        <v>2866</v>
      </c>
      <c r="C575" s="445" t="s">
        <v>119</v>
      </c>
      <c r="D575" s="444" t="s">
        <v>2867</v>
      </c>
      <c r="E575" s="446">
        <v>1</v>
      </c>
      <c r="F575" s="447"/>
      <c r="G575" s="448">
        <f t="shared" si="21"/>
        <v>0</v>
      </c>
      <c r="H575" s="450"/>
      <c r="I575" s="444"/>
      <c r="J575" s="450"/>
      <c r="K575" s="444" t="s">
        <v>2861</v>
      </c>
      <c r="L575" s="450" t="s">
        <v>624</v>
      </c>
      <c r="M575" s="444" t="s">
        <v>2865</v>
      </c>
      <c r="N575" s="450"/>
      <c r="O575" s="450"/>
      <c r="P575" s="450" t="s">
        <v>1890</v>
      </c>
      <c r="Q575" s="451" t="s">
        <v>374</v>
      </c>
      <c r="R575" s="451" t="s">
        <v>269</v>
      </c>
      <c r="S575" s="452" t="s">
        <v>694</v>
      </c>
      <c r="T575" s="452"/>
      <c r="U575" s="453"/>
      <c r="V575" s="454"/>
      <c r="W575" s="455" t="s">
        <v>406</v>
      </c>
      <c r="X575" s="455">
        <v>45576</v>
      </c>
      <c r="Y575" s="456" t="s">
        <v>377</v>
      </c>
      <c r="Z575" s="457"/>
      <c r="AA575" s="453"/>
    </row>
    <row r="576" spans="1:27" s="128" customFormat="1">
      <c r="A576" s="443">
        <v>26</v>
      </c>
      <c r="B576" s="444" t="s">
        <v>2577</v>
      </c>
      <c r="C576" s="445" t="s">
        <v>119</v>
      </c>
      <c r="D576" s="444" t="s">
        <v>2578</v>
      </c>
      <c r="E576" s="446">
        <v>4</v>
      </c>
      <c r="F576" s="447"/>
      <c r="G576" s="448">
        <f t="shared" si="21"/>
        <v>0</v>
      </c>
      <c r="H576" s="450"/>
      <c r="I576" s="444"/>
      <c r="J576" s="450"/>
      <c r="K576" s="444"/>
      <c r="L576" s="450"/>
      <c r="M576" s="444"/>
      <c r="N576" s="450"/>
      <c r="O576" s="450"/>
      <c r="P576" s="450"/>
      <c r="Q576" s="451" t="s">
        <v>374</v>
      </c>
      <c r="R576" s="451"/>
      <c r="S576" s="452"/>
      <c r="T576" s="452" t="s">
        <v>712</v>
      </c>
      <c r="U576" s="453"/>
      <c r="V576" s="454"/>
      <c r="W576" s="455" t="s">
        <v>406</v>
      </c>
      <c r="X576" s="455">
        <v>45565</v>
      </c>
      <c r="Y576" s="456" t="s">
        <v>377</v>
      </c>
      <c r="Z576" s="457"/>
      <c r="AA576" s="453"/>
    </row>
    <row r="577" spans="1:27" s="128" customFormat="1">
      <c r="A577" s="443">
        <v>27</v>
      </c>
      <c r="B577" s="444" t="s">
        <v>2579</v>
      </c>
      <c r="C577" s="445" t="s">
        <v>119</v>
      </c>
      <c r="D577" s="444" t="s">
        <v>2580</v>
      </c>
      <c r="E577" s="446">
        <v>2</v>
      </c>
      <c r="F577" s="447"/>
      <c r="G577" s="448">
        <f t="shared" si="21"/>
        <v>0</v>
      </c>
      <c r="H577" s="450"/>
      <c r="I577" s="444"/>
      <c r="J577" s="450"/>
      <c r="K577" s="444"/>
      <c r="L577" s="450"/>
      <c r="M577" s="444"/>
      <c r="N577" s="450"/>
      <c r="O577" s="450"/>
      <c r="P577" s="450"/>
      <c r="Q577" s="451" t="s">
        <v>374</v>
      </c>
      <c r="R577" s="451"/>
      <c r="S577" s="452"/>
      <c r="T577" s="452" t="s">
        <v>712</v>
      </c>
      <c r="U577" s="453"/>
      <c r="V577" s="454"/>
      <c r="W577" s="455" t="s">
        <v>406</v>
      </c>
      <c r="X577" s="455">
        <v>45565</v>
      </c>
      <c r="Y577" s="456" t="s">
        <v>377</v>
      </c>
      <c r="Z577" s="457"/>
      <c r="AA577" s="453"/>
    </row>
    <row r="578" spans="1:27" s="128" customFormat="1">
      <c r="A578" s="443">
        <v>28</v>
      </c>
      <c r="B578" s="444" t="s">
        <v>2585</v>
      </c>
      <c r="C578" s="445" t="s">
        <v>119</v>
      </c>
      <c r="D578" s="444" t="s">
        <v>2586</v>
      </c>
      <c r="E578" s="446">
        <v>2</v>
      </c>
      <c r="F578" s="447"/>
      <c r="G578" s="448">
        <f t="shared" si="21"/>
        <v>0</v>
      </c>
      <c r="H578" s="450"/>
      <c r="I578" s="444"/>
      <c r="J578" s="450"/>
      <c r="K578" s="444"/>
      <c r="L578" s="450"/>
      <c r="M578" s="444"/>
      <c r="N578" s="450"/>
      <c r="O578" s="450"/>
      <c r="P578" s="450"/>
      <c r="Q578" s="451" t="s">
        <v>374</v>
      </c>
      <c r="R578" s="451"/>
      <c r="S578" s="452"/>
      <c r="T578" s="452" t="s">
        <v>712</v>
      </c>
      <c r="U578" s="453"/>
      <c r="V578" s="454"/>
      <c r="W578" s="455" t="s">
        <v>406</v>
      </c>
      <c r="X578" s="455">
        <v>45565</v>
      </c>
      <c r="Y578" s="456" t="s">
        <v>377</v>
      </c>
      <c r="Z578" s="457"/>
      <c r="AA578" s="453"/>
    </row>
    <row r="579" spans="1:27" s="128" customFormat="1">
      <c r="A579" s="443">
        <v>29</v>
      </c>
      <c r="B579" s="444" t="s">
        <v>2583</v>
      </c>
      <c r="C579" s="445" t="s">
        <v>119</v>
      </c>
      <c r="D579" s="444" t="s">
        <v>2584</v>
      </c>
      <c r="E579" s="446">
        <v>2</v>
      </c>
      <c r="F579" s="447"/>
      <c r="G579" s="448">
        <f t="shared" si="21"/>
        <v>0</v>
      </c>
      <c r="H579" s="450"/>
      <c r="I579" s="444"/>
      <c r="J579" s="450"/>
      <c r="K579" s="444"/>
      <c r="L579" s="450"/>
      <c r="M579" s="444"/>
      <c r="N579" s="450"/>
      <c r="O579" s="450"/>
      <c r="P579" s="450"/>
      <c r="Q579" s="451" t="s">
        <v>374</v>
      </c>
      <c r="R579" s="451"/>
      <c r="S579" s="452"/>
      <c r="T579" s="452" t="s">
        <v>712</v>
      </c>
      <c r="U579" s="453"/>
      <c r="V579" s="454"/>
      <c r="W579" s="455" t="s">
        <v>406</v>
      </c>
      <c r="X579" s="455">
        <v>45565</v>
      </c>
      <c r="Y579" s="456" t="s">
        <v>377</v>
      </c>
      <c r="Z579" s="457"/>
      <c r="AA579" s="453"/>
    </row>
    <row r="580" spans="1:27" s="128" customFormat="1">
      <c r="A580" s="443">
        <v>30</v>
      </c>
      <c r="B580" s="444" t="s">
        <v>2581</v>
      </c>
      <c r="C580" s="445" t="s">
        <v>119</v>
      </c>
      <c r="D580" s="444" t="s">
        <v>2582</v>
      </c>
      <c r="E580" s="446">
        <v>2</v>
      </c>
      <c r="F580" s="447"/>
      <c r="G580" s="448">
        <f t="shared" si="21"/>
        <v>0</v>
      </c>
      <c r="H580" s="450"/>
      <c r="I580" s="444"/>
      <c r="J580" s="450"/>
      <c r="K580" s="444"/>
      <c r="L580" s="450"/>
      <c r="M580" s="444"/>
      <c r="N580" s="450"/>
      <c r="O580" s="450"/>
      <c r="P580" s="450"/>
      <c r="Q580" s="451" t="s">
        <v>374</v>
      </c>
      <c r="R580" s="451"/>
      <c r="S580" s="452"/>
      <c r="T580" s="452" t="s">
        <v>712</v>
      </c>
      <c r="U580" s="453"/>
      <c r="V580" s="454"/>
      <c r="W580" s="455" t="s">
        <v>406</v>
      </c>
      <c r="X580" s="455">
        <v>45565</v>
      </c>
      <c r="Y580" s="456" t="s">
        <v>377</v>
      </c>
      <c r="Z580" s="457"/>
      <c r="AA580" s="453"/>
    </row>
    <row r="581" spans="1:27" s="128" customFormat="1">
      <c r="A581" s="443">
        <v>31</v>
      </c>
      <c r="B581" s="444" t="s">
        <v>2579</v>
      </c>
      <c r="C581" s="445" t="s">
        <v>119</v>
      </c>
      <c r="D581" s="444" t="s">
        <v>2580</v>
      </c>
      <c r="E581" s="446">
        <v>1</v>
      </c>
      <c r="F581" s="447"/>
      <c r="G581" s="448">
        <f t="shared" si="21"/>
        <v>0</v>
      </c>
      <c r="H581" s="450"/>
      <c r="I581" s="444"/>
      <c r="J581" s="450"/>
      <c r="K581" s="444"/>
      <c r="L581" s="450"/>
      <c r="M581" s="444"/>
      <c r="N581" s="450"/>
      <c r="O581" s="450"/>
      <c r="P581" s="450"/>
      <c r="Q581" s="451" t="s">
        <v>374</v>
      </c>
      <c r="R581" s="451"/>
      <c r="S581" s="452"/>
      <c r="T581" s="452" t="s">
        <v>712</v>
      </c>
      <c r="U581" s="453"/>
      <c r="V581" s="454"/>
      <c r="W581" s="455" t="s">
        <v>406</v>
      </c>
      <c r="X581" s="455">
        <v>45565</v>
      </c>
      <c r="Y581" s="456" t="s">
        <v>377</v>
      </c>
      <c r="Z581" s="457"/>
      <c r="AA581" s="453"/>
    </row>
    <row r="582" spans="1:27" s="128" customFormat="1">
      <c r="A582" s="443">
        <v>32</v>
      </c>
      <c r="B582" s="444" t="s">
        <v>2583</v>
      </c>
      <c r="C582" s="445" t="s">
        <v>119</v>
      </c>
      <c r="D582" s="444" t="s">
        <v>2584</v>
      </c>
      <c r="E582" s="446">
        <v>1</v>
      </c>
      <c r="F582" s="447"/>
      <c r="G582" s="448">
        <f t="shared" si="21"/>
        <v>0</v>
      </c>
      <c r="H582" s="450"/>
      <c r="I582" s="444"/>
      <c r="J582" s="450"/>
      <c r="K582" s="444"/>
      <c r="L582" s="450"/>
      <c r="M582" s="444"/>
      <c r="N582" s="450"/>
      <c r="O582" s="450"/>
      <c r="P582" s="450"/>
      <c r="Q582" s="451" t="s">
        <v>374</v>
      </c>
      <c r="R582" s="451"/>
      <c r="S582" s="452"/>
      <c r="T582" s="452" t="s">
        <v>712</v>
      </c>
      <c r="U582" s="453"/>
      <c r="V582" s="454"/>
      <c r="W582" s="455" t="s">
        <v>406</v>
      </c>
      <c r="X582" s="455">
        <v>45565</v>
      </c>
      <c r="Y582" s="456" t="s">
        <v>377</v>
      </c>
      <c r="Z582" s="457"/>
      <c r="AA582" s="453"/>
    </row>
    <row r="583" spans="1:27" s="128" customFormat="1">
      <c r="A583" s="443">
        <v>33</v>
      </c>
      <c r="B583" s="444" t="s">
        <v>2577</v>
      </c>
      <c r="C583" s="445" t="s">
        <v>119</v>
      </c>
      <c r="D583" s="444" t="s">
        <v>2578</v>
      </c>
      <c r="E583" s="446">
        <v>10</v>
      </c>
      <c r="F583" s="447"/>
      <c r="G583" s="448">
        <f t="shared" ref="G583:G614" si="22">E583*F583</f>
        <v>0</v>
      </c>
      <c r="H583" s="450"/>
      <c r="I583" s="444"/>
      <c r="J583" s="450"/>
      <c r="K583" s="444"/>
      <c r="L583" s="450"/>
      <c r="M583" s="444"/>
      <c r="N583" s="450"/>
      <c r="O583" s="450"/>
      <c r="P583" s="450"/>
      <c r="Q583" s="451" t="s">
        <v>374</v>
      </c>
      <c r="R583" s="451"/>
      <c r="S583" s="452"/>
      <c r="T583" s="452" t="s">
        <v>712</v>
      </c>
      <c r="U583" s="453"/>
      <c r="V583" s="454"/>
      <c r="W583" s="455" t="s">
        <v>406</v>
      </c>
      <c r="X583" s="455">
        <v>45565</v>
      </c>
      <c r="Y583" s="456" t="s">
        <v>377</v>
      </c>
      <c r="Z583" s="457"/>
      <c r="AA583" s="453"/>
    </row>
    <row r="584" spans="1:27" s="128" customFormat="1">
      <c r="A584" s="443">
        <v>34</v>
      </c>
      <c r="B584" s="444" t="s">
        <v>2579</v>
      </c>
      <c r="C584" s="445" t="s">
        <v>119</v>
      </c>
      <c r="D584" s="444" t="s">
        <v>2580</v>
      </c>
      <c r="E584" s="446">
        <v>2</v>
      </c>
      <c r="F584" s="447"/>
      <c r="G584" s="448">
        <f t="shared" si="22"/>
        <v>0</v>
      </c>
      <c r="H584" s="450"/>
      <c r="I584" s="444"/>
      <c r="J584" s="450"/>
      <c r="K584" s="444"/>
      <c r="L584" s="450"/>
      <c r="M584" s="444"/>
      <c r="N584" s="450"/>
      <c r="O584" s="450"/>
      <c r="P584" s="450"/>
      <c r="Q584" s="451" t="s">
        <v>374</v>
      </c>
      <c r="R584" s="451"/>
      <c r="S584" s="452"/>
      <c r="T584" s="452" t="s">
        <v>712</v>
      </c>
      <c r="U584" s="453"/>
      <c r="V584" s="454"/>
      <c r="W584" s="455" t="s">
        <v>406</v>
      </c>
      <c r="X584" s="455">
        <v>45565</v>
      </c>
      <c r="Y584" s="456" t="s">
        <v>377</v>
      </c>
      <c r="Z584" s="457"/>
      <c r="AA584" s="453"/>
    </row>
    <row r="585" spans="1:27" s="128" customFormat="1">
      <c r="A585" s="443">
        <v>35</v>
      </c>
      <c r="B585" s="444" t="s">
        <v>2585</v>
      </c>
      <c r="C585" s="445" t="s">
        <v>119</v>
      </c>
      <c r="D585" s="444" t="s">
        <v>2586</v>
      </c>
      <c r="E585" s="446">
        <v>2</v>
      </c>
      <c r="F585" s="447"/>
      <c r="G585" s="448">
        <f t="shared" si="22"/>
        <v>0</v>
      </c>
      <c r="H585" s="450"/>
      <c r="I585" s="444"/>
      <c r="J585" s="450"/>
      <c r="K585" s="444"/>
      <c r="L585" s="450"/>
      <c r="M585" s="444"/>
      <c r="N585" s="450"/>
      <c r="O585" s="450"/>
      <c r="P585" s="450"/>
      <c r="Q585" s="451" t="s">
        <v>374</v>
      </c>
      <c r="R585" s="451"/>
      <c r="S585" s="452"/>
      <c r="T585" s="452" t="s">
        <v>712</v>
      </c>
      <c r="U585" s="453"/>
      <c r="V585" s="454"/>
      <c r="W585" s="455" t="s">
        <v>406</v>
      </c>
      <c r="X585" s="455">
        <v>45565</v>
      </c>
      <c r="Y585" s="456" t="s">
        <v>377</v>
      </c>
      <c r="Z585" s="457"/>
      <c r="AA585" s="453"/>
    </row>
    <row r="586" spans="1:27" s="128" customFormat="1">
      <c r="A586" s="443">
        <v>36</v>
      </c>
      <c r="B586" s="444" t="s">
        <v>2593</v>
      </c>
      <c r="C586" s="445" t="s">
        <v>119</v>
      </c>
      <c r="D586" s="444" t="s">
        <v>2594</v>
      </c>
      <c r="E586" s="446">
        <v>4</v>
      </c>
      <c r="F586" s="447"/>
      <c r="G586" s="448">
        <f t="shared" si="22"/>
        <v>0</v>
      </c>
      <c r="H586" s="450"/>
      <c r="I586" s="444"/>
      <c r="J586" s="450"/>
      <c r="K586" s="444"/>
      <c r="L586" s="450"/>
      <c r="M586" s="444"/>
      <c r="N586" s="450"/>
      <c r="O586" s="450"/>
      <c r="P586" s="450"/>
      <c r="Q586" s="451" t="s">
        <v>374</v>
      </c>
      <c r="R586" s="451"/>
      <c r="S586" s="452"/>
      <c r="T586" s="452" t="s">
        <v>712</v>
      </c>
      <c r="U586" s="453"/>
      <c r="V586" s="454"/>
      <c r="W586" s="455" t="s">
        <v>406</v>
      </c>
      <c r="X586" s="455">
        <v>45565</v>
      </c>
      <c r="Y586" s="456" t="s">
        <v>377</v>
      </c>
      <c r="Z586" s="457"/>
      <c r="AA586" s="453"/>
    </row>
    <row r="587" spans="1:27" s="128" customFormat="1">
      <c r="A587" s="443">
        <v>37</v>
      </c>
      <c r="B587" s="444" t="s">
        <v>2577</v>
      </c>
      <c r="C587" s="445" t="s">
        <v>119</v>
      </c>
      <c r="D587" s="444" t="s">
        <v>2578</v>
      </c>
      <c r="E587" s="446">
        <v>4</v>
      </c>
      <c r="F587" s="447"/>
      <c r="G587" s="448">
        <f t="shared" si="22"/>
        <v>0</v>
      </c>
      <c r="H587" s="450"/>
      <c r="I587" s="444"/>
      <c r="J587" s="450"/>
      <c r="K587" s="444"/>
      <c r="L587" s="450"/>
      <c r="M587" s="444"/>
      <c r="N587" s="450"/>
      <c r="O587" s="450"/>
      <c r="P587" s="450"/>
      <c r="Q587" s="451" t="s">
        <v>374</v>
      </c>
      <c r="R587" s="451"/>
      <c r="S587" s="452"/>
      <c r="T587" s="452" t="s">
        <v>712</v>
      </c>
      <c r="U587" s="453"/>
      <c r="V587" s="454"/>
      <c r="W587" s="455" t="s">
        <v>406</v>
      </c>
      <c r="X587" s="455">
        <v>45565</v>
      </c>
      <c r="Y587" s="456" t="s">
        <v>377</v>
      </c>
      <c r="Z587" s="457"/>
      <c r="AA587" s="453"/>
    </row>
    <row r="588" spans="1:27" s="128" customFormat="1">
      <c r="A588" s="443">
        <v>38</v>
      </c>
      <c r="B588" s="444" t="s">
        <v>2579</v>
      </c>
      <c r="C588" s="445" t="s">
        <v>119</v>
      </c>
      <c r="D588" s="444" t="s">
        <v>2580</v>
      </c>
      <c r="E588" s="446">
        <v>2</v>
      </c>
      <c r="F588" s="447"/>
      <c r="G588" s="448">
        <f t="shared" si="22"/>
        <v>0</v>
      </c>
      <c r="H588" s="450"/>
      <c r="I588" s="444"/>
      <c r="J588" s="450"/>
      <c r="K588" s="444"/>
      <c r="L588" s="450"/>
      <c r="M588" s="444"/>
      <c r="N588" s="450"/>
      <c r="O588" s="450"/>
      <c r="P588" s="450"/>
      <c r="Q588" s="451" t="s">
        <v>374</v>
      </c>
      <c r="R588" s="451"/>
      <c r="S588" s="452"/>
      <c r="T588" s="452" t="s">
        <v>712</v>
      </c>
      <c r="U588" s="453"/>
      <c r="V588" s="454"/>
      <c r="W588" s="455" t="s">
        <v>406</v>
      </c>
      <c r="X588" s="455">
        <v>45565</v>
      </c>
      <c r="Y588" s="456" t="s">
        <v>377</v>
      </c>
      <c r="Z588" s="457"/>
      <c r="AA588" s="453"/>
    </row>
    <row r="589" spans="1:27" s="128" customFormat="1">
      <c r="A589" s="443">
        <v>39</v>
      </c>
      <c r="B589" s="444" t="s">
        <v>2585</v>
      </c>
      <c r="C589" s="445" t="s">
        <v>119</v>
      </c>
      <c r="D589" s="444" t="s">
        <v>2586</v>
      </c>
      <c r="E589" s="446">
        <v>2</v>
      </c>
      <c r="F589" s="447"/>
      <c r="G589" s="448">
        <f t="shared" si="22"/>
        <v>0</v>
      </c>
      <c r="H589" s="450"/>
      <c r="I589" s="444"/>
      <c r="J589" s="450"/>
      <c r="K589" s="444"/>
      <c r="L589" s="450"/>
      <c r="M589" s="444"/>
      <c r="N589" s="450"/>
      <c r="O589" s="450"/>
      <c r="P589" s="450"/>
      <c r="Q589" s="451" t="s">
        <v>374</v>
      </c>
      <c r="R589" s="451"/>
      <c r="S589" s="452"/>
      <c r="T589" s="452" t="s">
        <v>712</v>
      </c>
      <c r="U589" s="453"/>
      <c r="V589" s="454"/>
      <c r="W589" s="455" t="s">
        <v>406</v>
      </c>
      <c r="X589" s="455">
        <v>45565</v>
      </c>
      <c r="Y589" s="456" t="s">
        <v>377</v>
      </c>
      <c r="Z589" s="457"/>
      <c r="AA589" s="453"/>
    </row>
    <row r="590" spans="1:27" s="128" customFormat="1">
      <c r="A590" s="443">
        <v>40</v>
      </c>
      <c r="B590" s="444" t="s">
        <v>2583</v>
      </c>
      <c r="C590" s="445" t="s">
        <v>119</v>
      </c>
      <c r="D590" s="444" t="s">
        <v>2584</v>
      </c>
      <c r="E590" s="446">
        <v>2</v>
      </c>
      <c r="F590" s="447"/>
      <c r="G590" s="448">
        <f t="shared" si="22"/>
        <v>0</v>
      </c>
      <c r="H590" s="450"/>
      <c r="I590" s="444"/>
      <c r="J590" s="450"/>
      <c r="K590" s="444"/>
      <c r="L590" s="450"/>
      <c r="M590" s="444"/>
      <c r="N590" s="450"/>
      <c r="O590" s="450"/>
      <c r="P590" s="450"/>
      <c r="Q590" s="451" t="s">
        <v>374</v>
      </c>
      <c r="R590" s="451"/>
      <c r="S590" s="452"/>
      <c r="T590" s="452" t="s">
        <v>712</v>
      </c>
      <c r="U590" s="453"/>
      <c r="V590" s="454"/>
      <c r="W590" s="455" t="s">
        <v>406</v>
      </c>
      <c r="X590" s="455">
        <v>45565</v>
      </c>
      <c r="Y590" s="456" t="s">
        <v>377</v>
      </c>
      <c r="Z590" s="457"/>
      <c r="AA590" s="453"/>
    </row>
    <row r="591" spans="1:27" s="128" customFormat="1">
      <c r="A591" s="443">
        <v>41</v>
      </c>
      <c r="B591" s="444" t="s">
        <v>2577</v>
      </c>
      <c r="C591" s="445" t="s">
        <v>119</v>
      </c>
      <c r="D591" s="444" t="s">
        <v>2578</v>
      </c>
      <c r="E591" s="446">
        <v>2</v>
      </c>
      <c r="F591" s="447"/>
      <c r="G591" s="448">
        <f t="shared" si="22"/>
        <v>0</v>
      </c>
      <c r="H591" s="450"/>
      <c r="I591" s="444"/>
      <c r="J591" s="450"/>
      <c r="K591" s="444"/>
      <c r="L591" s="450"/>
      <c r="M591" s="444"/>
      <c r="N591" s="450"/>
      <c r="O591" s="450"/>
      <c r="P591" s="450"/>
      <c r="Q591" s="451" t="s">
        <v>374</v>
      </c>
      <c r="R591" s="451"/>
      <c r="S591" s="452"/>
      <c r="T591" s="452" t="s">
        <v>712</v>
      </c>
      <c r="U591" s="453"/>
      <c r="V591" s="454"/>
      <c r="W591" s="455" t="s">
        <v>406</v>
      </c>
      <c r="X591" s="455">
        <v>45565</v>
      </c>
      <c r="Y591" s="456" t="s">
        <v>377</v>
      </c>
      <c r="Z591" s="457"/>
      <c r="AA591" s="453"/>
    </row>
    <row r="592" spans="1:27" s="128" customFormat="1">
      <c r="A592" s="443">
        <v>42</v>
      </c>
      <c r="B592" s="444" t="s">
        <v>2579</v>
      </c>
      <c r="C592" s="445" t="s">
        <v>119</v>
      </c>
      <c r="D592" s="444" t="s">
        <v>2580</v>
      </c>
      <c r="E592" s="446">
        <v>2</v>
      </c>
      <c r="F592" s="447"/>
      <c r="G592" s="448">
        <f t="shared" si="22"/>
        <v>0</v>
      </c>
      <c r="H592" s="450"/>
      <c r="I592" s="444"/>
      <c r="J592" s="450"/>
      <c r="K592" s="444"/>
      <c r="L592" s="450"/>
      <c r="M592" s="444"/>
      <c r="N592" s="450"/>
      <c r="O592" s="450"/>
      <c r="P592" s="450"/>
      <c r="Q592" s="451" t="s">
        <v>374</v>
      </c>
      <c r="R592" s="451"/>
      <c r="S592" s="452"/>
      <c r="T592" s="452" t="s">
        <v>712</v>
      </c>
      <c r="U592" s="453"/>
      <c r="V592" s="454"/>
      <c r="W592" s="455" t="s">
        <v>406</v>
      </c>
      <c r="X592" s="455">
        <v>45565</v>
      </c>
      <c r="Y592" s="456" t="s">
        <v>377</v>
      </c>
      <c r="Z592" s="457"/>
      <c r="AA592" s="453"/>
    </row>
    <row r="593" spans="1:27" s="128" customFormat="1">
      <c r="A593" s="443">
        <v>43</v>
      </c>
      <c r="B593" s="444" t="s">
        <v>2585</v>
      </c>
      <c r="C593" s="445" t="s">
        <v>119</v>
      </c>
      <c r="D593" s="444" t="s">
        <v>2586</v>
      </c>
      <c r="E593" s="446">
        <v>2</v>
      </c>
      <c r="F593" s="447"/>
      <c r="G593" s="448">
        <f t="shared" si="22"/>
        <v>0</v>
      </c>
      <c r="H593" s="450"/>
      <c r="I593" s="444"/>
      <c r="J593" s="450"/>
      <c r="K593" s="444"/>
      <c r="L593" s="450"/>
      <c r="M593" s="444"/>
      <c r="N593" s="450"/>
      <c r="O593" s="450"/>
      <c r="P593" s="450"/>
      <c r="Q593" s="451" t="s">
        <v>374</v>
      </c>
      <c r="R593" s="451"/>
      <c r="S593" s="452"/>
      <c r="T593" s="452" t="s">
        <v>712</v>
      </c>
      <c r="U593" s="453"/>
      <c r="V593" s="454"/>
      <c r="W593" s="455" t="s">
        <v>406</v>
      </c>
      <c r="X593" s="455">
        <v>45565</v>
      </c>
      <c r="Y593" s="456" t="s">
        <v>377</v>
      </c>
      <c r="Z593" s="457"/>
      <c r="AA593" s="453"/>
    </row>
    <row r="594" spans="1:27" s="128" customFormat="1">
      <c r="A594" s="443">
        <v>44</v>
      </c>
      <c r="B594" s="444" t="s">
        <v>2583</v>
      </c>
      <c r="C594" s="445" t="s">
        <v>119</v>
      </c>
      <c r="D594" s="444" t="s">
        <v>2584</v>
      </c>
      <c r="E594" s="446">
        <v>2</v>
      </c>
      <c r="F594" s="447"/>
      <c r="G594" s="448">
        <f t="shared" si="22"/>
        <v>0</v>
      </c>
      <c r="H594" s="450"/>
      <c r="I594" s="444"/>
      <c r="J594" s="450"/>
      <c r="K594" s="444"/>
      <c r="L594" s="450"/>
      <c r="M594" s="444"/>
      <c r="N594" s="450"/>
      <c r="O594" s="450"/>
      <c r="P594" s="450"/>
      <c r="Q594" s="451" t="s">
        <v>374</v>
      </c>
      <c r="R594" s="451"/>
      <c r="S594" s="452"/>
      <c r="T594" s="452" t="s">
        <v>712</v>
      </c>
      <c r="U594" s="453"/>
      <c r="V594" s="454"/>
      <c r="W594" s="455" t="s">
        <v>406</v>
      </c>
      <c r="X594" s="455">
        <v>45565</v>
      </c>
      <c r="Y594" s="456" t="s">
        <v>377</v>
      </c>
      <c r="Z594" s="457"/>
      <c r="AA594" s="453"/>
    </row>
    <row r="595" spans="1:27" s="128" customFormat="1">
      <c r="A595" s="443">
        <v>45</v>
      </c>
      <c r="B595" s="444" t="s">
        <v>2595</v>
      </c>
      <c r="C595" s="445" t="s">
        <v>119</v>
      </c>
      <c r="D595" s="444" t="s">
        <v>2596</v>
      </c>
      <c r="E595" s="446">
        <v>2</v>
      </c>
      <c r="F595" s="447"/>
      <c r="G595" s="448">
        <f t="shared" si="22"/>
        <v>0</v>
      </c>
      <c r="H595" s="450"/>
      <c r="I595" s="444"/>
      <c r="J595" s="450"/>
      <c r="K595" s="444"/>
      <c r="L595" s="450"/>
      <c r="M595" s="444"/>
      <c r="N595" s="450"/>
      <c r="O595" s="450"/>
      <c r="P595" s="450"/>
      <c r="Q595" s="451" t="s">
        <v>374</v>
      </c>
      <c r="R595" s="451"/>
      <c r="S595" s="452"/>
      <c r="T595" s="452"/>
      <c r="U595" s="453"/>
      <c r="V595" s="454"/>
      <c r="W595" s="455" t="s">
        <v>406</v>
      </c>
      <c r="X595" s="455">
        <v>45565</v>
      </c>
      <c r="Y595" s="456" t="s">
        <v>377</v>
      </c>
      <c r="Z595" s="457"/>
      <c r="AA595" s="453"/>
    </row>
    <row r="596" spans="1:27" s="128" customFormat="1">
      <c r="A596" s="443">
        <v>46</v>
      </c>
      <c r="B596" s="444" t="s">
        <v>2597</v>
      </c>
      <c r="C596" s="445" t="s">
        <v>119</v>
      </c>
      <c r="D596" s="444" t="s">
        <v>2598</v>
      </c>
      <c r="E596" s="446">
        <v>2</v>
      </c>
      <c r="F596" s="447"/>
      <c r="G596" s="448">
        <f t="shared" si="22"/>
        <v>0</v>
      </c>
      <c r="H596" s="450"/>
      <c r="I596" s="444"/>
      <c r="J596" s="450"/>
      <c r="K596" s="444"/>
      <c r="L596" s="450"/>
      <c r="M596" s="444"/>
      <c r="N596" s="450"/>
      <c r="O596" s="450"/>
      <c r="P596" s="450"/>
      <c r="Q596" s="451" t="s">
        <v>374</v>
      </c>
      <c r="R596" s="451"/>
      <c r="S596" s="452"/>
      <c r="T596" s="452"/>
      <c r="U596" s="453"/>
      <c r="V596" s="454"/>
      <c r="W596" s="455" t="s">
        <v>406</v>
      </c>
      <c r="X596" s="455">
        <v>45565</v>
      </c>
      <c r="Y596" s="456" t="s">
        <v>377</v>
      </c>
      <c r="Z596" s="457"/>
      <c r="AA596" s="453"/>
    </row>
    <row r="597" spans="1:27" s="128" customFormat="1">
      <c r="A597" s="443">
        <v>47</v>
      </c>
      <c r="B597" s="444" t="s">
        <v>2577</v>
      </c>
      <c r="C597" s="445" t="s">
        <v>119</v>
      </c>
      <c r="D597" s="444" t="s">
        <v>2578</v>
      </c>
      <c r="E597" s="446">
        <v>2</v>
      </c>
      <c r="F597" s="447"/>
      <c r="G597" s="448">
        <f t="shared" si="22"/>
        <v>0</v>
      </c>
      <c r="H597" s="450"/>
      <c r="I597" s="444"/>
      <c r="J597" s="450"/>
      <c r="K597" s="444"/>
      <c r="L597" s="450"/>
      <c r="M597" s="444"/>
      <c r="N597" s="450"/>
      <c r="O597" s="450"/>
      <c r="P597" s="450"/>
      <c r="Q597" s="451" t="s">
        <v>374</v>
      </c>
      <c r="R597" s="451"/>
      <c r="S597" s="452"/>
      <c r="T597" s="452" t="s">
        <v>712</v>
      </c>
      <c r="U597" s="453"/>
      <c r="V597" s="454"/>
      <c r="W597" s="455" t="s">
        <v>406</v>
      </c>
      <c r="X597" s="455">
        <v>45565</v>
      </c>
      <c r="Y597" s="456" t="s">
        <v>377</v>
      </c>
      <c r="Z597" s="457"/>
      <c r="AA597" s="453"/>
    </row>
    <row r="598" spans="1:27" s="128" customFormat="1">
      <c r="A598" s="443">
        <v>48</v>
      </c>
      <c r="B598" s="444" t="s">
        <v>2579</v>
      </c>
      <c r="C598" s="445" t="s">
        <v>119</v>
      </c>
      <c r="D598" s="444" t="s">
        <v>2580</v>
      </c>
      <c r="E598" s="446">
        <v>2</v>
      </c>
      <c r="F598" s="447"/>
      <c r="G598" s="448">
        <f t="shared" si="22"/>
        <v>0</v>
      </c>
      <c r="H598" s="450"/>
      <c r="I598" s="444"/>
      <c r="J598" s="450"/>
      <c r="K598" s="444"/>
      <c r="L598" s="450"/>
      <c r="M598" s="444"/>
      <c r="N598" s="450"/>
      <c r="O598" s="450"/>
      <c r="P598" s="450"/>
      <c r="Q598" s="451" t="s">
        <v>374</v>
      </c>
      <c r="R598" s="451"/>
      <c r="S598" s="452"/>
      <c r="T598" s="452" t="s">
        <v>712</v>
      </c>
      <c r="U598" s="453"/>
      <c r="V598" s="454"/>
      <c r="W598" s="455" t="s">
        <v>406</v>
      </c>
      <c r="X598" s="455">
        <v>45565</v>
      </c>
      <c r="Y598" s="456" t="s">
        <v>377</v>
      </c>
      <c r="Z598" s="457"/>
      <c r="AA598" s="453"/>
    </row>
    <row r="599" spans="1:27" s="128" customFormat="1">
      <c r="A599" s="443">
        <v>49</v>
      </c>
      <c r="B599" s="444" t="s">
        <v>2585</v>
      </c>
      <c r="C599" s="445" t="s">
        <v>119</v>
      </c>
      <c r="D599" s="444" t="s">
        <v>2586</v>
      </c>
      <c r="E599" s="446">
        <v>2</v>
      </c>
      <c r="F599" s="447"/>
      <c r="G599" s="448">
        <f t="shared" si="22"/>
        <v>0</v>
      </c>
      <c r="H599" s="450"/>
      <c r="I599" s="444"/>
      <c r="J599" s="450"/>
      <c r="K599" s="444"/>
      <c r="L599" s="450"/>
      <c r="M599" s="444"/>
      <c r="N599" s="450"/>
      <c r="O599" s="450"/>
      <c r="P599" s="450"/>
      <c r="Q599" s="451" t="s">
        <v>374</v>
      </c>
      <c r="R599" s="451"/>
      <c r="S599" s="452"/>
      <c r="T599" s="452" t="s">
        <v>712</v>
      </c>
      <c r="U599" s="453"/>
      <c r="V599" s="454"/>
      <c r="W599" s="455" t="s">
        <v>406</v>
      </c>
      <c r="X599" s="455">
        <v>45565</v>
      </c>
      <c r="Y599" s="456" t="s">
        <v>377</v>
      </c>
      <c r="Z599" s="457"/>
      <c r="AA599" s="453"/>
    </row>
    <row r="600" spans="1:27" s="128" customFormat="1">
      <c r="A600" s="443">
        <v>50</v>
      </c>
      <c r="B600" s="444" t="s">
        <v>2583</v>
      </c>
      <c r="C600" s="445" t="s">
        <v>119</v>
      </c>
      <c r="D600" s="444" t="s">
        <v>2584</v>
      </c>
      <c r="E600" s="446">
        <v>2</v>
      </c>
      <c r="F600" s="447"/>
      <c r="G600" s="448">
        <f t="shared" si="22"/>
        <v>0</v>
      </c>
      <c r="H600" s="450"/>
      <c r="I600" s="444"/>
      <c r="J600" s="450"/>
      <c r="K600" s="444"/>
      <c r="L600" s="450"/>
      <c r="M600" s="444"/>
      <c r="N600" s="450"/>
      <c r="O600" s="450"/>
      <c r="P600" s="450"/>
      <c r="Q600" s="451" t="s">
        <v>374</v>
      </c>
      <c r="R600" s="451"/>
      <c r="S600" s="452"/>
      <c r="T600" s="452" t="s">
        <v>712</v>
      </c>
      <c r="U600" s="453"/>
      <c r="V600" s="454"/>
      <c r="W600" s="455" t="s">
        <v>406</v>
      </c>
      <c r="X600" s="455">
        <v>45565</v>
      </c>
      <c r="Y600" s="456" t="s">
        <v>377</v>
      </c>
      <c r="Z600" s="457"/>
      <c r="AA600" s="453"/>
    </row>
    <row r="601" spans="1:27" s="128" customFormat="1">
      <c r="A601" s="443">
        <v>51</v>
      </c>
      <c r="B601" s="444" t="s">
        <v>2813</v>
      </c>
      <c r="C601" s="445" t="s">
        <v>119</v>
      </c>
      <c r="D601" s="444" t="s">
        <v>2814</v>
      </c>
      <c r="E601" s="446">
        <v>4</v>
      </c>
      <c r="F601" s="447"/>
      <c r="G601" s="448">
        <f t="shared" si="22"/>
        <v>0</v>
      </c>
      <c r="H601" s="450"/>
      <c r="I601" s="444"/>
      <c r="J601" s="450"/>
      <c r="K601" s="444"/>
      <c r="L601" s="450"/>
      <c r="M601" s="444"/>
      <c r="N601" s="450"/>
      <c r="O601" s="450"/>
      <c r="P601" s="450"/>
      <c r="Q601" s="451" t="s">
        <v>374</v>
      </c>
      <c r="R601" s="451"/>
      <c r="S601" s="452"/>
      <c r="T601" s="452"/>
      <c r="U601" s="453"/>
      <c r="V601" s="454"/>
      <c r="W601" s="455" t="s">
        <v>406</v>
      </c>
      <c r="X601" s="455">
        <v>45565</v>
      </c>
      <c r="Y601" s="456" t="s">
        <v>377</v>
      </c>
      <c r="Z601" s="457"/>
      <c r="AA601" s="453"/>
    </row>
    <row r="602" spans="1:27" s="128" customFormat="1">
      <c r="A602" s="443">
        <v>52</v>
      </c>
      <c r="B602" s="444" t="s">
        <v>2815</v>
      </c>
      <c r="C602" s="445" t="s">
        <v>119</v>
      </c>
      <c r="D602" s="444" t="s">
        <v>2816</v>
      </c>
      <c r="E602" s="446">
        <v>4</v>
      </c>
      <c r="F602" s="447"/>
      <c r="G602" s="448">
        <f t="shared" si="22"/>
        <v>0</v>
      </c>
      <c r="H602" s="450"/>
      <c r="I602" s="444"/>
      <c r="J602" s="450"/>
      <c r="K602" s="444"/>
      <c r="L602" s="450"/>
      <c r="M602" s="444"/>
      <c r="N602" s="450"/>
      <c r="O602" s="450"/>
      <c r="P602" s="450"/>
      <c r="Q602" s="451" t="s">
        <v>374</v>
      </c>
      <c r="R602" s="451"/>
      <c r="S602" s="452"/>
      <c r="T602" s="452"/>
      <c r="U602" s="453"/>
      <c r="V602" s="454"/>
      <c r="W602" s="455" t="s">
        <v>406</v>
      </c>
      <c r="X602" s="455">
        <v>45565</v>
      </c>
      <c r="Y602" s="456" t="s">
        <v>377</v>
      </c>
      <c r="Z602" s="457"/>
      <c r="AA602" s="453"/>
    </row>
    <row r="603" spans="1:27" s="128" customFormat="1">
      <c r="A603" s="443">
        <v>53</v>
      </c>
      <c r="B603" s="444" t="s">
        <v>2577</v>
      </c>
      <c r="C603" s="445" t="s">
        <v>119</v>
      </c>
      <c r="D603" s="444" t="s">
        <v>2578</v>
      </c>
      <c r="E603" s="446">
        <v>6</v>
      </c>
      <c r="F603" s="447"/>
      <c r="G603" s="448">
        <f t="shared" si="22"/>
        <v>0</v>
      </c>
      <c r="H603" s="450"/>
      <c r="I603" s="444"/>
      <c r="J603" s="450"/>
      <c r="K603" s="444"/>
      <c r="L603" s="450"/>
      <c r="M603" s="444"/>
      <c r="N603" s="450"/>
      <c r="O603" s="450"/>
      <c r="P603" s="450"/>
      <c r="Q603" s="451" t="s">
        <v>374</v>
      </c>
      <c r="R603" s="451"/>
      <c r="S603" s="452"/>
      <c r="T603" s="452" t="s">
        <v>712</v>
      </c>
      <c r="U603" s="453"/>
      <c r="V603" s="454"/>
      <c r="W603" s="455" t="s">
        <v>406</v>
      </c>
      <c r="X603" s="455">
        <v>45565</v>
      </c>
      <c r="Y603" s="456" t="s">
        <v>377</v>
      </c>
      <c r="Z603" s="457"/>
      <c r="AA603" s="453"/>
    </row>
    <row r="604" spans="1:27" s="128" customFormat="1">
      <c r="A604" s="443">
        <v>54</v>
      </c>
      <c r="B604" s="444" t="s">
        <v>2579</v>
      </c>
      <c r="C604" s="445" t="s">
        <v>119</v>
      </c>
      <c r="D604" s="444" t="s">
        <v>2580</v>
      </c>
      <c r="E604" s="446">
        <v>2</v>
      </c>
      <c r="F604" s="447"/>
      <c r="G604" s="448">
        <f t="shared" si="22"/>
        <v>0</v>
      </c>
      <c r="H604" s="450"/>
      <c r="I604" s="444"/>
      <c r="J604" s="450"/>
      <c r="K604" s="444"/>
      <c r="L604" s="450"/>
      <c r="M604" s="444"/>
      <c r="N604" s="450"/>
      <c r="O604" s="450"/>
      <c r="P604" s="450"/>
      <c r="Q604" s="451" t="s">
        <v>374</v>
      </c>
      <c r="R604" s="451"/>
      <c r="S604" s="452"/>
      <c r="T604" s="452" t="s">
        <v>712</v>
      </c>
      <c r="U604" s="453"/>
      <c r="V604" s="454"/>
      <c r="W604" s="455" t="s">
        <v>406</v>
      </c>
      <c r="X604" s="455">
        <v>45565</v>
      </c>
      <c r="Y604" s="456" t="s">
        <v>377</v>
      </c>
      <c r="Z604" s="457"/>
      <c r="AA604" s="453"/>
    </row>
    <row r="605" spans="1:27" s="128" customFormat="1">
      <c r="A605" s="443">
        <v>55</v>
      </c>
      <c r="B605" s="444" t="s">
        <v>2585</v>
      </c>
      <c r="C605" s="445" t="s">
        <v>119</v>
      </c>
      <c r="D605" s="444" t="s">
        <v>2586</v>
      </c>
      <c r="E605" s="446">
        <v>2</v>
      </c>
      <c r="F605" s="447"/>
      <c r="G605" s="448">
        <f t="shared" si="22"/>
        <v>0</v>
      </c>
      <c r="H605" s="450"/>
      <c r="I605" s="444"/>
      <c r="J605" s="450"/>
      <c r="K605" s="444"/>
      <c r="L605" s="450"/>
      <c r="M605" s="444"/>
      <c r="N605" s="450"/>
      <c r="O605" s="450"/>
      <c r="P605" s="450"/>
      <c r="Q605" s="451" t="s">
        <v>374</v>
      </c>
      <c r="R605" s="451"/>
      <c r="S605" s="452"/>
      <c r="T605" s="452" t="s">
        <v>712</v>
      </c>
      <c r="U605" s="453"/>
      <c r="V605" s="454"/>
      <c r="W605" s="455" t="s">
        <v>406</v>
      </c>
      <c r="X605" s="455">
        <v>45565</v>
      </c>
      <c r="Y605" s="456" t="s">
        <v>377</v>
      </c>
      <c r="Z605" s="457"/>
      <c r="AA605" s="453"/>
    </row>
    <row r="606" spans="1:27" s="128" customFormat="1">
      <c r="A606" s="443">
        <v>56</v>
      </c>
      <c r="B606" s="444" t="s">
        <v>2593</v>
      </c>
      <c r="C606" s="445" t="s">
        <v>119</v>
      </c>
      <c r="D606" s="444" t="s">
        <v>2594</v>
      </c>
      <c r="E606" s="446">
        <v>2</v>
      </c>
      <c r="F606" s="447"/>
      <c r="G606" s="448">
        <f t="shared" si="22"/>
        <v>0</v>
      </c>
      <c r="H606" s="450"/>
      <c r="I606" s="444"/>
      <c r="J606" s="450"/>
      <c r="K606" s="444"/>
      <c r="L606" s="450"/>
      <c r="M606" s="444"/>
      <c r="N606" s="450"/>
      <c r="O606" s="450"/>
      <c r="P606" s="450"/>
      <c r="Q606" s="451" t="s">
        <v>374</v>
      </c>
      <c r="R606" s="451"/>
      <c r="S606" s="452"/>
      <c r="T606" s="452" t="s">
        <v>712</v>
      </c>
      <c r="U606" s="453"/>
      <c r="V606" s="454"/>
      <c r="W606" s="455" t="s">
        <v>406</v>
      </c>
      <c r="X606" s="455">
        <v>45565</v>
      </c>
      <c r="Y606" s="456" t="s">
        <v>377</v>
      </c>
      <c r="Z606" s="457"/>
      <c r="AA606" s="453"/>
    </row>
    <row r="607" spans="1:27" s="128" customFormat="1">
      <c r="A607" s="443">
        <v>57</v>
      </c>
      <c r="B607" s="444" t="s">
        <v>2577</v>
      </c>
      <c r="C607" s="445" t="s">
        <v>119</v>
      </c>
      <c r="D607" s="444" t="s">
        <v>2578</v>
      </c>
      <c r="E607" s="446">
        <v>6</v>
      </c>
      <c r="F607" s="447"/>
      <c r="G607" s="448">
        <f t="shared" si="22"/>
        <v>0</v>
      </c>
      <c r="H607" s="450"/>
      <c r="I607" s="444"/>
      <c r="J607" s="450"/>
      <c r="K607" s="444"/>
      <c r="L607" s="450"/>
      <c r="M607" s="444"/>
      <c r="N607" s="450"/>
      <c r="O607" s="450"/>
      <c r="P607" s="450"/>
      <c r="Q607" s="451" t="s">
        <v>374</v>
      </c>
      <c r="R607" s="451"/>
      <c r="S607" s="452"/>
      <c r="T607" s="452" t="s">
        <v>712</v>
      </c>
      <c r="U607" s="453"/>
      <c r="V607" s="454"/>
      <c r="W607" s="455" t="s">
        <v>406</v>
      </c>
      <c r="X607" s="455">
        <v>45565</v>
      </c>
      <c r="Y607" s="456" t="s">
        <v>377</v>
      </c>
      <c r="Z607" s="457"/>
      <c r="AA607" s="453"/>
    </row>
    <row r="608" spans="1:27" s="128" customFormat="1">
      <c r="A608" s="443">
        <v>58</v>
      </c>
      <c r="B608" s="444" t="s">
        <v>2579</v>
      </c>
      <c r="C608" s="445" t="s">
        <v>119</v>
      </c>
      <c r="D608" s="444" t="s">
        <v>2580</v>
      </c>
      <c r="E608" s="446">
        <v>2</v>
      </c>
      <c r="F608" s="447"/>
      <c r="G608" s="448">
        <f t="shared" si="22"/>
        <v>0</v>
      </c>
      <c r="H608" s="450"/>
      <c r="I608" s="444"/>
      <c r="J608" s="450"/>
      <c r="K608" s="444"/>
      <c r="L608" s="450"/>
      <c r="M608" s="444"/>
      <c r="N608" s="450"/>
      <c r="O608" s="450"/>
      <c r="P608" s="450"/>
      <c r="Q608" s="451" t="s">
        <v>374</v>
      </c>
      <c r="R608" s="451"/>
      <c r="S608" s="452"/>
      <c r="T608" s="452" t="s">
        <v>712</v>
      </c>
      <c r="U608" s="453"/>
      <c r="V608" s="454"/>
      <c r="W608" s="455" t="s">
        <v>406</v>
      </c>
      <c r="X608" s="455">
        <v>45565</v>
      </c>
      <c r="Y608" s="456" t="s">
        <v>377</v>
      </c>
      <c r="Z608" s="457"/>
      <c r="AA608" s="453"/>
    </row>
    <row r="609" spans="1:27" s="128" customFormat="1">
      <c r="A609" s="443">
        <v>59</v>
      </c>
      <c r="B609" s="444" t="s">
        <v>2585</v>
      </c>
      <c r="C609" s="445" t="s">
        <v>119</v>
      </c>
      <c r="D609" s="444" t="s">
        <v>2586</v>
      </c>
      <c r="E609" s="446">
        <v>2</v>
      </c>
      <c r="F609" s="447"/>
      <c r="G609" s="448">
        <f t="shared" si="22"/>
        <v>0</v>
      </c>
      <c r="H609" s="450"/>
      <c r="I609" s="444"/>
      <c r="J609" s="450"/>
      <c r="K609" s="444"/>
      <c r="L609" s="450"/>
      <c r="M609" s="444"/>
      <c r="N609" s="450"/>
      <c r="O609" s="450"/>
      <c r="P609" s="450"/>
      <c r="Q609" s="451" t="s">
        <v>374</v>
      </c>
      <c r="R609" s="451"/>
      <c r="S609" s="452"/>
      <c r="T609" s="452" t="s">
        <v>712</v>
      </c>
      <c r="U609" s="453"/>
      <c r="V609" s="454"/>
      <c r="W609" s="455" t="s">
        <v>406</v>
      </c>
      <c r="X609" s="455">
        <v>45565</v>
      </c>
      <c r="Y609" s="456" t="s">
        <v>377</v>
      </c>
      <c r="Z609" s="457"/>
      <c r="AA609" s="453"/>
    </row>
    <row r="610" spans="1:27" s="128" customFormat="1">
      <c r="A610" s="443">
        <v>60</v>
      </c>
      <c r="B610" s="444" t="s">
        <v>2593</v>
      </c>
      <c r="C610" s="445" t="s">
        <v>119</v>
      </c>
      <c r="D610" s="444" t="s">
        <v>2594</v>
      </c>
      <c r="E610" s="446">
        <v>2</v>
      </c>
      <c r="F610" s="447"/>
      <c r="G610" s="448">
        <f t="shared" si="22"/>
        <v>0</v>
      </c>
      <c r="H610" s="450"/>
      <c r="I610" s="444"/>
      <c r="J610" s="450"/>
      <c r="K610" s="444"/>
      <c r="L610" s="450"/>
      <c r="M610" s="444"/>
      <c r="N610" s="450"/>
      <c r="O610" s="450"/>
      <c r="P610" s="450"/>
      <c r="Q610" s="451" t="s">
        <v>374</v>
      </c>
      <c r="R610" s="451"/>
      <c r="S610" s="452"/>
      <c r="T610" s="452" t="s">
        <v>712</v>
      </c>
      <c r="U610" s="453"/>
      <c r="V610" s="454"/>
      <c r="W610" s="455" t="s">
        <v>406</v>
      </c>
      <c r="X610" s="455">
        <v>45565</v>
      </c>
      <c r="Y610" s="456" t="s">
        <v>377</v>
      </c>
      <c r="Z610" s="457"/>
      <c r="AA610" s="453"/>
    </row>
    <row r="611" spans="1:27" s="128" customFormat="1">
      <c r="A611" s="443">
        <v>61</v>
      </c>
      <c r="B611" s="444" t="s">
        <v>2868</v>
      </c>
      <c r="C611" s="445" t="s">
        <v>119</v>
      </c>
      <c r="D611" s="444" t="s">
        <v>2820</v>
      </c>
      <c r="E611" s="446">
        <v>1</v>
      </c>
      <c r="F611" s="447"/>
      <c r="G611" s="448">
        <f t="shared" si="22"/>
        <v>0</v>
      </c>
      <c r="H611" s="450"/>
      <c r="I611" s="444"/>
      <c r="J611" s="450"/>
      <c r="K611" s="444"/>
      <c r="L611" s="450"/>
      <c r="M611" s="444"/>
      <c r="N611" s="450"/>
      <c r="O611" s="450"/>
      <c r="P611" s="450"/>
      <c r="Q611" s="451" t="s">
        <v>374</v>
      </c>
      <c r="R611" s="451"/>
      <c r="S611" s="452"/>
      <c r="T611" s="452"/>
      <c r="U611" s="453"/>
      <c r="V611" s="454"/>
      <c r="W611" s="455" t="s">
        <v>406</v>
      </c>
      <c r="X611" s="455">
        <v>45565</v>
      </c>
      <c r="Y611" s="456" t="s">
        <v>377</v>
      </c>
      <c r="Z611" s="457"/>
      <c r="AA611" s="453"/>
    </row>
    <row r="612" spans="1:27" s="128" customFormat="1" ht="37.5">
      <c r="A612" s="443">
        <v>62</v>
      </c>
      <c r="B612" s="444" t="s">
        <v>2645</v>
      </c>
      <c r="C612" s="445" t="s">
        <v>119</v>
      </c>
      <c r="D612" s="444" t="s">
        <v>2646</v>
      </c>
      <c r="E612" s="446">
        <v>1</v>
      </c>
      <c r="F612" s="447"/>
      <c r="G612" s="448">
        <f t="shared" si="22"/>
        <v>0</v>
      </c>
      <c r="H612" s="450"/>
      <c r="I612" s="444"/>
      <c r="J612" s="450"/>
      <c r="K612" s="444" t="s">
        <v>2861</v>
      </c>
      <c r="L612" s="450" t="s">
        <v>624</v>
      </c>
      <c r="M612" s="444" t="s">
        <v>2865</v>
      </c>
      <c r="N612" s="450"/>
      <c r="O612" s="450"/>
      <c r="P612" s="450" t="s">
        <v>1890</v>
      </c>
      <c r="Q612" s="451" t="s">
        <v>374</v>
      </c>
      <c r="R612" s="451" t="s">
        <v>269</v>
      </c>
      <c r="S612" s="452" t="s">
        <v>694</v>
      </c>
      <c r="T612" s="452"/>
      <c r="U612" s="453"/>
      <c r="V612" s="454"/>
      <c r="W612" s="455" t="s">
        <v>406</v>
      </c>
      <c r="X612" s="455">
        <v>45576</v>
      </c>
      <c r="Y612" s="456" t="s">
        <v>377</v>
      </c>
      <c r="Z612" s="457"/>
      <c r="AA612" s="453"/>
    </row>
    <row r="613" spans="1:27" s="441" customFormat="1">
      <c r="A613" s="477">
        <v>63</v>
      </c>
      <c r="B613" s="478" t="s">
        <v>2636</v>
      </c>
      <c r="C613" s="479" t="s">
        <v>119</v>
      </c>
      <c r="D613" s="478" t="s">
        <v>2637</v>
      </c>
      <c r="E613" s="480">
        <v>1</v>
      </c>
      <c r="F613" s="481"/>
      <c r="G613" s="482">
        <f t="shared" si="22"/>
        <v>0</v>
      </c>
      <c r="H613" s="483"/>
      <c r="I613" s="478"/>
      <c r="J613" s="483"/>
      <c r="K613" s="478"/>
      <c r="L613" s="483"/>
      <c r="M613" s="478"/>
      <c r="N613" s="483"/>
      <c r="O613" s="483"/>
      <c r="P613" s="483"/>
      <c r="Q613" s="484"/>
      <c r="R613" s="484"/>
      <c r="S613" s="485"/>
      <c r="T613" s="485" t="s">
        <v>712</v>
      </c>
      <c r="U613" s="486"/>
      <c r="V613" s="487"/>
      <c r="W613" s="488" t="s">
        <v>406</v>
      </c>
      <c r="X613" s="488">
        <v>45579</v>
      </c>
      <c r="Y613" s="489" t="s">
        <v>592</v>
      </c>
      <c r="Z613" s="490"/>
      <c r="AA613" s="486"/>
    </row>
    <row r="614" spans="1:27" s="128" customFormat="1">
      <c r="A614" s="443">
        <v>64</v>
      </c>
      <c r="B614" s="444" t="s">
        <v>2604</v>
      </c>
      <c r="C614" s="445" t="s">
        <v>119</v>
      </c>
      <c r="D614" s="444" t="s">
        <v>2605</v>
      </c>
      <c r="E614" s="446">
        <v>4</v>
      </c>
      <c r="F614" s="447"/>
      <c r="G614" s="448">
        <f t="shared" si="22"/>
        <v>0</v>
      </c>
      <c r="H614" s="450"/>
      <c r="I614" s="444"/>
      <c r="J614" s="450"/>
      <c r="K614" s="444"/>
      <c r="L614" s="450"/>
      <c r="M614" s="444"/>
      <c r="N614" s="450"/>
      <c r="O614" s="450"/>
      <c r="P614" s="450"/>
      <c r="Q614" s="451" t="s">
        <v>374</v>
      </c>
      <c r="R614" s="451"/>
      <c r="S614" s="452"/>
      <c r="T614" s="452" t="s">
        <v>712</v>
      </c>
      <c r="U614" s="453"/>
      <c r="V614" s="454"/>
      <c r="W614" s="455" t="s">
        <v>406</v>
      </c>
      <c r="X614" s="455">
        <v>45565</v>
      </c>
      <c r="Y614" s="456" t="s">
        <v>377</v>
      </c>
      <c r="Z614" s="457"/>
      <c r="AA614" s="453"/>
    </row>
    <row r="615" spans="1:27" s="128" customFormat="1">
      <c r="A615" s="443">
        <v>65</v>
      </c>
      <c r="B615" s="444" t="s">
        <v>2608</v>
      </c>
      <c r="C615" s="445" t="s">
        <v>119</v>
      </c>
      <c r="D615" s="444" t="s">
        <v>2609</v>
      </c>
      <c r="E615" s="446">
        <v>2</v>
      </c>
      <c r="F615" s="447"/>
      <c r="G615" s="448">
        <f t="shared" ref="G615:G616" si="23">E615*F615</f>
        <v>0</v>
      </c>
      <c r="H615" s="450"/>
      <c r="I615" s="444"/>
      <c r="J615" s="450"/>
      <c r="K615" s="444"/>
      <c r="L615" s="450"/>
      <c r="M615" s="444"/>
      <c r="N615" s="450"/>
      <c r="O615" s="450"/>
      <c r="P615" s="450"/>
      <c r="Q615" s="451" t="s">
        <v>374</v>
      </c>
      <c r="R615" s="451"/>
      <c r="S615" s="452"/>
      <c r="T615" s="452" t="s">
        <v>712</v>
      </c>
      <c r="U615" s="453"/>
      <c r="V615" s="454"/>
      <c r="W615" s="455" t="s">
        <v>406</v>
      </c>
      <c r="X615" s="455">
        <v>45565</v>
      </c>
      <c r="Y615" s="456" t="s">
        <v>377</v>
      </c>
      <c r="Z615" s="457"/>
      <c r="AA615" s="453"/>
    </row>
    <row r="616" spans="1:27" s="128" customFormat="1">
      <c r="A616" s="443">
        <v>66</v>
      </c>
      <c r="B616" s="444" t="s">
        <v>2753</v>
      </c>
      <c r="C616" s="445" t="s">
        <v>119</v>
      </c>
      <c r="D616" s="444" t="s">
        <v>2754</v>
      </c>
      <c r="E616" s="446">
        <v>10</v>
      </c>
      <c r="F616" s="447"/>
      <c r="G616" s="448">
        <f t="shared" si="23"/>
        <v>0</v>
      </c>
      <c r="H616" s="450"/>
      <c r="I616" s="444"/>
      <c r="J616" s="450"/>
      <c r="K616" s="444"/>
      <c r="L616" s="450"/>
      <c r="M616" s="444"/>
      <c r="N616" s="450"/>
      <c r="O616" s="450"/>
      <c r="P616" s="450"/>
      <c r="Q616" s="451" t="s">
        <v>374</v>
      </c>
      <c r="R616" s="451"/>
      <c r="S616" s="452"/>
      <c r="T616" s="452"/>
      <c r="U616" s="453"/>
      <c r="V616" s="454"/>
      <c r="W616" s="455" t="s">
        <v>406</v>
      </c>
      <c r="X616" s="455">
        <v>45565</v>
      </c>
      <c r="Y616" s="456" t="s">
        <v>377</v>
      </c>
      <c r="Z616" s="457"/>
      <c r="AA616" s="453"/>
    </row>
    <row r="617" spans="1:27" s="128" customFormat="1">
      <c r="A617" s="405">
        <v>67</v>
      </c>
      <c r="B617" s="407" t="s">
        <v>1356</v>
      </c>
      <c r="C617" s="406" t="s">
        <v>119</v>
      </c>
      <c r="D617" s="407" t="s">
        <v>1357</v>
      </c>
      <c r="E617" s="408">
        <v>1</v>
      </c>
      <c r="F617" s="409"/>
      <c r="G617" s="410">
        <f>E617*F617</f>
        <v>0</v>
      </c>
      <c r="H617" s="412"/>
      <c r="I617" s="407"/>
      <c r="J617" s="412"/>
      <c r="K617" s="407"/>
      <c r="L617" s="412"/>
      <c r="M617" s="407"/>
      <c r="N617" s="412"/>
      <c r="O617" s="412"/>
      <c r="P617" s="412"/>
      <c r="Q617" s="413"/>
      <c r="R617" s="413"/>
      <c r="S617" s="414"/>
      <c r="T617" s="414" t="s">
        <v>712</v>
      </c>
      <c r="U617" s="415"/>
      <c r="V617" s="416"/>
      <c r="W617" s="417"/>
      <c r="X617" s="417"/>
      <c r="Y617" s="418" t="s">
        <v>377</v>
      </c>
      <c r="Z617" s="419"/>
      <c r="AA617" s="415"/>
    </row>
    <row r="618" spans="1:27">
      <c r="A618" s="389"/>
      <c r="B618" s="390" t="s">
        <v>2869</v>
      </c>
      <c r="C618" s="391"/>
      <c r="D618" s="392"/>
      <c r="E618" s="393"/>
      <c r="F618" s="394"/>
      <c r="G618" s="395">
        <f t="shared" si="3"/>
        <v>0</v>
      </c>
      <c r="H618" s="420"/>
      <c r="I618" s="392"/>
      <c r="J618" s="420"/>
      <c r="K618" s="392"/>
      <c r="L618" s="397"/>
      <c r="M618" s="392"/>
      <c r="N618" s="397"/>
      <c r="O618" s="397"/>
      <c r="P618" s="397"/>
      <c r="Q618" s="398"/>
      <c r="R618" s="398"/>
      <c r="S618" s="399"/>
      <c r="T618" s="399"/>
      <c r="U618" s="400"/>
      <c r="V618" s="401"/>
      <c r="W618" s="402"/>
      <c r="X618" s="402"/>
      <c r="Y618" s="403"/>
      <c r="Z618" s="404"/>
      <c r="AA618" s="493"/>
    </row>
    <row r="619" spans="1:27" s="128" customFormat="1" ht="37.5">
      <c r="A619" s="443">
        <v>1</v>
      </c>
      <c r="B619" s="444" t="s">
        <v>2639</v>
      </c>
      <c r="C619" s="445" t="s">
        <v>121</v>
      </c>
      <c r="D619" s="444" t="s">
        <v>2640</v>
      </c>
      <c r="E619" s="446">
        <v>1</v>
      </c>
      <c r="F619" s="447"/>
      <c r="G619" s="448">
        <f t="shared" ref="G619:G634" si="24">E619*F619</f>
        <v>0</v>
      </c>
      <c r="H619" s="450"/>
      <c r="I619" s="444"/>
      <c r="J619" s="450"/>
      <c r="K619" s="444" t="s">
        <v>2870</v>
      </c>
      <c r="L619" s="450" t="s">
        <v>1628</v>
      </c>
      <c r="M619" s="444" t="s">
        <v>2871</v>
      </c>
      <c r="N619" s="450"/>
      <c r="O619" s="450"/>
      <c r="P619" s="450" t="s">
        <v>1630</v>
      </c>
      <c r="Q619" s="451" t="s">
        <v>374</v>
      </c>
      <c r="R619" s="451" t="s">
        <v>2642</v>
      </c>
      <c r="S619" s="452" t="s">
        <v>417</v>
      </c>
      <c r="T619" s="452"/>
      <c r="U619" s="453"/>
      <c r="V619" s="454"/>
      <c r="W619" s="455" t="s">
        <v>406</v>
      </c>
      <c r="X619" s="455">
        <v>45603</v>
      </c>
      <c r="Y619" s="456" t="s">
        <v>377</v>
      </c>
      <c r="Z619" s="457"/>
      <c r="AA619" s="453"/>
    </row>
    <row r="620" spans="1:27" s="128" customFormat="1">
      <c r="A620" s="443">
        <v>2</v>
      </c>
      <c r="B620" s="444" t="s">
        <v>2604</v>
      </c>
      <c r="C620" s="445" t="s">
        <v>121</v>
      </c>
      <c r="D620" s="444" t="s">
        <v>2605</v>
      </c>
      <c r="E620" s="446">
        <v>4</v>
      </c>
      <c r="F620" s="447"/>
      <c r="G620" s="448">
        <f t="shared" si="24"/>
        <v>0</v>
      </c>
      <c r="H620" s="450"/>
      <c r="I620" s="444"/>
      <c r="J620" s="450"/>
      <c r="K620" s="444"/>
      <c r="L620" s="450"/>
      <c r="M620" s="444"/>
      <c r="N620" s="450"/>
      <c r="O620" s="450"/>
      <c r="P620" s="450"/>
      <c r="Q620" s="451" t="s">
        <v>374</v>
      </c>
      <c r="R620" s="451"/>
      <c r="S620" s="452"/>
      <c r="T620" s="452" t="s">
        <v>481</v>
      </c>
      <c r="U620" s="453"/>
      <c r="V620" s="454"/>
      <c r="W620" s="455" t="s">
        <v>406</v>
      </c>
      <c r="X620" s="455">
        <v>45601</v>
      </c>
      <c r="Y620" s="456" t="s">
        <v>377</v>
      </c>
      <c r="Z620" s="457"/>
      <c r="AA620" s="453"/>
    </row>
    <row r="621" spans="1:27" s="128" customFormat="1">
      <c r="A621" s="443">
        <v>3</v>
      </c>
      <c r="B621" s="444" t="s">
        <v>2608</v>
      </c>
      <c r="C621" s="445" t="s">
        <v>121</v>
      </c>
      <c r="D621" s="444" t="s">
        <v>2609</v>
      </c>
      <c r="E621" s="446">
        <v>2</v>
      </c>
      <c r="F621" s="447"/>
      <c r="G621" s="448">
        <f t="shared" si="24"/>
        <v>0</v>
      </c>
      <c r="H621" s="450"/>
      <c r="I621" s="444"/>
      <c r="J621" s="450"/>
      <c r="K621" s="444"/>
      <c r="L621" s="450"/>
      <c r="M621" s="444"/>
      <c r="N621" s="450"/>
      <c r="O621" s="450"/>
      <c r="P621" s="450"/>
      <c r="Q621" s="451" t="s">
        <v>374</v>
      </c>
      <c r="R621" s="451"/>
      <c r="S621" s="452"/>
      <c r="T621" s="452" t="s">
        <v>712</v>
      </c>
      <c r="U621" s="453"/>
      <c r="V621" s="454"/>
      <c r="W621" s="455" t="s">
        <v>406</v>
      </c>
      <c r="X621" s="455">
        <v>45583</v>
      </c>
      <c r="Y621" s="456" t="s">
        <v>377</v>
      </c>
      <c r="Z621" s="457"/>
      <c r="AA621" s="453"/>
    </row>
    <row r="622" spans="1:27" s="128" customFormat="1">
      <c r="A622" s="443">
        <v>4</v>
      </c>
      <c r="B622" s="444" t="s">
        <v>2653</v>
      </c>
      <c r="C622" s="445" t="s">
        <v>121</v>
      </c>
      <c r="D622" s="444" t="s">
        <v>2654</v>
      </c>
      <c r="E622" s="446">
        <v>1</v>
      </c>
      <c r="F622" s="447"/>
      <c r="G622" s="448">
        <f t="shared" si="24"/>
        <v>0</v>
      </c>
      <c r="H622" s="450"/>
      <c r="I622" s="444"/>
      <c r="J622" s="450"/>
      <c r="K622" s="444"/>
      <c r="L622" s="450"/>
      <c r="M622" s="444"/>
      <c r="N622" s="450"/>
      <c r="O622" s="450"/>
      <c r="P622" s="450"/>
      <c r="Q622" s="451" t="s">
        <v>374</v>
      </c>
      <c r="R622" s="451"/>
      <c r="S622" s="452"/>
      <c r="T622" s="452" t="s">
        <v>481</v>
      </c>
      <c r="U622" s="453"/>
      <c r="V622" s="454"/>
      <c r="W622" s="455" t="s">
        <v>406</v>
      </c>
      <c r="X622" s="455">
        <v>45601</v>
      </c>
      <c r="Y622" s="456" t="s">
        <v>377</v>
      </c>
      <c r="Z622" s="457"/>
      <c r="AA622" s="453"/>
    </row>
    <row r="623" spans="1:27" s="128" customFormat="1" ht="37.5">
      <c r="A623" s="443">
        <v>5</v>
      </c>
      <c r="B623" s="444" t="s">
        <v>2639</v>
      </c>
      <c r="C623" s="445" t="s">
        <v>121</v>
      </c>
      <c r="D623" s="444" t="s">
        <v>2640</v>
      </c>
      <c r="E623" s="446">
        <v>1</v>
      </c>
      <c r="F623" s="447"/>
      <c r="G623" s="448">
        <f t="shared" si="24"/>
        <v>0</v>
      </c>
      <c r="H623" s="450"/>
      <c r="I623" s="444"/>
      <c r="J623" s="450"/>
      <c r="K623" s="444" t="s">
        <v>2870</v>
      </c>
      <c r="L623" s="450" t="s">
        <v>1628</v>
      </c>
      <c r="M623" s="444" t="s">
        <v>2871</v>
      </c>
      <c r="N623" s="450"/>
      <c r="O623" s="450"/>
      <c r="P623" s="450" t="s">
        <v>1630</v>
      </c>
      <c r="Q623" s="451" t="s">
        <v>374</v>
      </c>
      <c r="R623" s="451" t="s">
        <v>2642</v>
      </c>
      <c r="S623" s="452" t="s">
        <v>417</v>
      </c>
      <c r="T623" s="452"/>
      <c r="U623" s="453"/>
      <c r="V623" s="454"/>
      <c r="W623" s="455" t="s">
        <v>406</v>
      </c>
      <c r="X623" s="455">
        <v>45603</v>
      </c>
      <c r="Y623" s="456" t="s">
        <v>377</v>
      </c>
      <c r="Z623" s="457"/>
      <c r="AA623" s="453"/>
    </row>
    <row r="624" spans="1:27" s="128" customFormat="1">
      <c r="A624" s="443">
        <v>6</v>
      </c>
      <c r="B624" s="444" t="s">
        <v>2604</v>
      </c>
      <c r="C624" s="445" t="s">
        <v>121</v>
      </c>
      <c r="D624" s="444" t="s">
        <v>2605</v>
      </c>
      <c r="E624" s="446">
        <v>4</v>
      </c>
      <c r="F624" s="447"/>
      <c r="G624" s="448">
        <f t="shared" si="24"/>
        <v>0</v>
      </c>
      <c r="H624" s="450"/>
      <c r="I624" s="444"/>
      <c r="J624" s="450"/>
      <c r="K624" s="444"/>
      <c r="L624" s="450"/>
      <c r="M624" s="444"/>
      <c r="N624" s="450"/>
      <c r="O624" s="450"/>
      <c r="P624" s="450"/>
      <c r="Q624" s="451" t="s">
        <v>374</v>
      </c>
      <c r="R624" s="451"/>
      <c r="S624" s="452"/>
      <c r="T624" s="452" t="s">
        <v>481</v>
      </c>
      <c r="U624" s="453"/>
      <c r="V624" s="454"/>
      <c r="W624" s="455" t="s">
        <v>406</v>
      </c>
      <c r="X624" s="455">
        <v>45601</v>
      </c>
      <c r="Y624" s="456" t="s">
        <v>377</v>
      </c>
      <c r="Z624" s="457"/>
      <c r="AA624" s="453"/>
    </row>
    <row r="625" spans="1:27" s="128" customFormat="1">
      <c r="A625" s="443">
        <v>7</v>
      </c>
      <c r="B625" s="444" t="s">
        <v>2608</v>
      </c>
      <c r="C625" s="445" t="s">
        <v>121</v>
      </c>
      <c r="D625" s="444" t="s">
        <v>2609</v>
      </c>
      <c r="E625" s="446">
        <v>2</v>
      </c>
      <c r="F625" s="447"/>
      <c r="G625" s="448">
        <f t="shared" si="24"/>
        <v>0</v>
      </c>
      <c r="H625" s="450"/>
      <c r="I625" s="444"/>
      <c r="J625" s="450"/>
      <c r="K625" s="444"/>
      <c r="L625" s="450"/>
      <c r="M625" s="444"/>
      <c r="N625" s="450"/>
      <c r="O625" s="450"/>
      <c r="P625" s="450"/>
      <c r="Q625" s="451" t="s">
        <v>374</v>
      </c>
      <c r="R625" s="451"/>
      <c r="S625" s="452"/>
      <c r="T625" s="452" t="s">
        <v>712</v>
      </c>
      <c r="U625" s="453"/>
      <c r="V625" s="454"/>
      <c r="W625" s="455" t="s">
        <v>406</v>
      </c>
      <c r="X625" s="455">
        <v>45583</v>
      </c>
      <c r="Y625" s="456" t="s">
        <v>377</v>
      </c>
      <c r="Z625" s="457"/>
      <c r="AA625" s="453"/>
    </row>
    <row r="626" spans="1:27" s="128" customFormat="1" ht="37.5">
      <c r="A626" s="443">
        <v>8</v>
      </c>
      <c r="B626" s="444" t="s">
        <v>2639</v>
      </c>
      <c r="C626" s="445" t="s">
        <v>121</v>
      </c>
      <c r="D626" s="444" t="s">
        <v>2640</v>
      </c>
      <c r="E626" s="446">
        <v>1</v>
      </c>
      <c r="F626" s="447"/>
      <c r="G626" s="448">
        <f t="shared" si="24"/>
        <v>0</v>
      </c>
      <c r="H626" s="450"/>
      <c r="I626" s="444"/>
      <c r="J626" s="450"/>
      <c r="K626" s="444" t="s">
        <v>2870</v>
      </c>
      <c r="L626" s="450" t="s">
        <v>1628</v>
      </c>
      <c r="M626" s="444" t="s">
        <v>2871</v>
      </c>
      <c r="N626" s="450"/>
      <c r="O626" s="450"/>
      <c r="P626" s="450" t="s">
        <v>1630</v>
      </c>
      <c r="Q626" s="451" t="s">
        <v>374</v>
      </c>
      <c r="R626" s="451" t="s">
        <v>2642</v>
      </c>
      <c r="S626" s="452" t="s">
        <v>417</v>
      </c>
      <c r="T626" s="452"/>
      <c r="U626" s="453"/>
      <c r="V626" s="454"/>
      <c r="W626" s="455" t="s">
        <v>406</v>
      </c>
      <c r="X626" s="455">
        <v>45603</v>
      </c>
      <c r="Y626" s="456" t="s">
        <v>377</v>
      </c>
      <c r="Z626" s="457"/>
      <c r="AA626" s="453"/>
    </row>
    <row r="627" spans="1:27" s="128" customFormat="1">
      <c r="A627" s="443">
        <v>9</v>
      </c>
      <c r="B627" s="444" t="s">
        <v>2604</v>
      </c>
      <c r="C627" s="445" t="s">
        <v>121</v>
      </c>
      <c r="D627" s="444" t="s">
        <v>2605</v>
      </c>
      <c r="E627" s="446">
        <v>4</v>
      </c>
      <c r="F627" s="447"/>
      <c r="G627" s="448">
        <f t="shared" si="24"/>
        <v>0</v>
      </c>
      <c r="H627" s="450"/>
      <c r="I627" s="444"/>
      <c r="J627" s="450"/>
      <c r="K627" s="444"/>
      <c r="L627" s="450"/>
      <c r="M627" s="444"/>
      <c r="N627" s="450"/>
      <c r="O627" s="450"/>
      <c r="P627" s="450"/>
      <c r="Q627" s="451" t="s">
        <v>374</v>
      </c>
      <c r="R627" s="451"/>
      <c r="S627" s="452"/>
      <c r="T627" s="452" t="s">
        <v>481</v>
      </c>
      <c r="U627" s="453"/>
      <c r="V627" s="454"/>
      <c r="W627" s="455" t="s">
        <v>406</v>
      </c>
      <c r="X627" s="455">
        <v>45601</v>
      </c>
      <c r="Y627" s="456" t="s">
        <v>377</v>
      </c>
      <c r="Z627" s="457"/>
      <c r="AA627" s="453"/>
    </row>
    <row r="628" spans="1:27" s="128" customFormat="1">
      <c r="A628" s="443">
        <v>10</v>
      </c>
      <c r="B628" s="444" t="s">
        <v>2608</v>
      </c>
      <c r="C628" s="445" t="s">
        <v>121</v>
      </c>
      <c r="D628" s="444" t="s">
        <v>2609</v>
      </c>
      <c r="E628" s="446">
        <v>2</v>
      </c>
      <c r="F628" s="447"/>
      <c r="G628" s="448">
        <f t="shared" si="24"/>
        <v>0</v>
      </c>
      <c r="H628" s="450"/>
      <c r="I628" s="444"/>
      <c r="J628" s="450"/>
      <c r="K628" s="444"/>
      <c r="L628" s="450"/>
      <c r="M628" s="444"/>
      <c r="N628" s="450"/>
      <c r="O628" s="450"/>
      <c r="P628" s="450"/>
      <c r="Q628" s="451" t="s">
        <v>374</v>
      </c>
      <c r="R628" s="451"/>
      <c r="S628" s="452"/>
      <c r="T628" s="452" t="s">
        <v>712</v>
      </c>
      <c r="U628" s="453"/>
      <c r="V628" s="454"/>
      <c r="W628" s="455" t="s">
        <v>406</v>
      </c>
      <c r="X628" s="455">
        <v>45583</v>
      </c>
      <c r="Y628" s="456" t="s">
        <v>377</v>
      </c>
      <c r="Z628" s="457"/>
      <c r="AA628" s="453"/>
    </row>
    <row r="629" spans="1:27" s="128" customFormat="1">
      <c r="A629" s="443">
        <v>11</v>
      </c>
      <c r="B629" s="444" t="s">
        <v>2653</v>
      </c>
      <c r="C629" s="445" t="s">
        <v>121</v>
      </c>
      <c r="D629" s="444" t="s">
        <v>2654</v>
      </c>
      <c r="E629" s="446">
        <v>1</v>
      </c>
      <c r="F629" s="447"/>
      <c r="G629" s="448">
        <f t="shared" si="24"/>
        <v>0</v>
      </c>
      <c r="H629" s="450"/>
      <c r="I629" s="444"/>
      <c r="J629" s="450"/>
      <c r="K629" s="444"/>
      <c r="L629" s="450"/>
      <c r="M629" s="444"/>
      <c r="N629" s="450"/>
      <c r="O629" s="450"/>
      <c r="P629" s="450"/>
      <c r="Q629" s="451" t="s">
        <v>374</v>
      </c>
      <c r="R629" s="451"/>
      <c r="S629" s="452"/>
      <c r="T629" s="452" t="s">
        <v>481</v>
      </c>
      <c r="U629" s="453"/>
      <c r="V629" s="454"/>
      <c r="W629" s="455" t="s">
        <v>406</v>
      </c>
      <c r="X629" s="455">
        <v>45601</v>
      </c>
      <c r="Y629" s="456" t="s">
        <v>377</v>
      </c>
      <c r="Z629" s="457"/>
      <c r="AA629" s="453"/>
    </row>
    <row r="630" spans="1:27" s="128" customFormat="1" ht="37.5">
      <c r="A630" s="405">
        <v>12</v>
      </c>
      <c r="B630" s="407" t="s">
        <v>2645</v>
      </c>
      <c r="C630" s="406" t="s">
        <v>121</v>
      </c>
      <c r="D630" s="407" t="s">
        <v>2646</v>
      </c>
      <c r="E630" s="408">
        <v>1</v>
      </c>
      <c r="F630" s="409"/>
      <c r="G630" s="410">
        <f t="shared" si="24"/>
        <v>0</v>
      </c>
      <c r="H630" s="412"/>
      <c r="I630" s="407"/>
      <c r="J630" s="412"/>
      <c r="K630" s="407" t="s">
        <v>2870</v>
      </c>
      <c r="L630" s="412" t="s">
        <v>1628</v>
      </c>
      <c r="M630" s="407" t="s">
        <v>2872</v>
      </c>
      <c r="N630" s="412"/>
      <c r="O630" s="412"/>
      <c r="P630" s="412" t="s">
        <v>1630</v>
      </c>
      <c r="Q630" s="413" t="s">
        <v>374</v>
      </c>
      <c r="R630" s="413" t="s">
        <v>269</v>
      </c>
      <c r="S630" s="414" t="s">
        <v>797</v>
      </c>
      <c r="T630" s="414"/>
      <c r="U630" s="415"/>
      <c r="V630" s="416"/>
      <c r="W630" s="417"/>
      <c r="X630" s="417"/>
      <c r="Y630" s="418" t="s">
        <v>377</v>
      </c>
      <c r="Z630" s="419"/>
      <c r="AA630" s="415"/>
    </row>
    <row r="631" spans="1:27" s="128" customFormat="1">
      <c r="A631" s="443">
        <v>13</v>
      </c>
      <c r="B631" s="444" t="s">
        <v>2569</v>
      </c>
      <c r="C631" s="445" t="s">
        <v>121</v>
      </c>
      <c r="D631" s="444" t="s">
        <v>2570</v>
      </c>
      <c r="E631" s="446">
        <v>2</v>
      </c>
      <c r="F631" s="447"/>
      <c r="G631" s="448">
        <f t="shared" si="24"/>
        <v>0</v>
      </c>
      <c r="H631" s="450"/>
      <c r="I631" s="444"/>
      <c r="J631" s="450"/>
      <c r="K631" s="444"/>
      <c r="L631" s="450"/>
      <c r="M631" s="444"/>
      <c r="N631" s="450"/>
      <c r="O631" s="450"/>
      <c r="P631" s="450"/>
      <c r="Q631" s="451" t="s">
        <v>374</v>
      </c>
      <c r="R631" s="451"/>
      <c r="S631" s="452"/>
      <c r="T631" s="452" t="s">
        <v>481</v>
      </c>
      <c r="U631" s="453"/>
      <c r="V631" s="454"/>
      <c r="W631" s="455" t="s">
        <v>406</v>
      </c>
      <c r="X631" s="455">
        <v>45601</v>
      </c>
      <c r="Y631" s="456" t="s">
        <v>377</v>
      </c>
      <c r="Z631" s="457"/>
      <c r="AA631" s="453"/>
    </row>
    <row r="632" spans="1:27" s="128" customFormat="1">
      <c r="A632" s="405">
        <v>14</v>
      </c>
      <c r="B632" s="407" t="s">
        <v>1356</v>
      </c>
      <c r="C632" s="406" t="s">
        <v>121</v>
      </c>
      <c r="D632" s="407" t="s">
        <v>1357</v>
      </c>
      <c r="E632" s="408">
        <v>1</v>
      </c>
      <c r="F632" s="409"/>
      <c r="G632" s="410">
        <f t="shared" si="24"/>
        <v>0</v>
      </c>
      <c r="H632" s="412"/>
      <c r="I632" s="407"/>
      <c r="J632" s="412"/>
      <c r="K632" s="407"/>
      <c r="L632" s="412"/>
      <c r="M632" s="407"/>
      <c r="N632" s="412"/>
      <c r="O632" s="412"/>
      <c r="P632" s="412"/>
      <c r="Q632" s="413"/>
      <c r="R632" s="413"/>
      <c r="S632" s="414"/>
      <c r="T632" s="414" t="s">
        <v>712</v>
      </c>
      <c r="U632" s="415"/>
      <c r="V632" s="416"/>
      <c r="W632" s="417"/>
      <c r="X632" s="417"/>
      <c r="Y632" s="418" t="s">
        <v>377</v>
      </c>
      <c r="Z632" s="419"/>
      <c r="AA632" s="415"/>
    </row>
    <row r="633" spans="1:27" s="128" customFormat="1">
      <c r="A633" s="443">
        <v>15</v>
      </c>
      <c r="B633" s="444" t="s">
        <v>2604</v>
      </c>
      <c r="C633" s="445" t="s">
        <v>121</v>
      </c>
      <c r="D633" s="444" t="s">
        <v>2605</v>
      </c>
      <c r="E633" s="446">
        <v>4</v>
      </c>
      <c r="F633" s="447"/>
      <c r="G633" s="448">
        <f t="shared" si="24"/>
        <v>0</v>
      </c>
      <c r="H633" s="450"/>
      <c r="I633" s="444"/>
      <c r="J633" s="450"/>
      <c r="K633" s="444"/>
      <c r="L633" s="450"/>
      <c r="M633" s="444"/>
      <c r="N633" s="450"/>
      <c r="O633" s="450"/>
      <c r="P633" s="450"/>
      <c r="Q633" s="451" t="s">
        <v>374</v>
      </c>
      <c r="R633" s="451"/>
      <c r="S633" s="452"/>
      <c r="T633" s="452" t="s">
        <v>481</v>
      </c>
      <c r="U633" s="453"/>
      <c r="V633" s="454"/>
      <c r="W633" s="455" t="s">
        <v>406</v>
      </c>
      <c r="X633" s="455">
        <v>45601</v>
      </c>
      <c r="Y633" s="456" t="s">
        <v>377</v>
      </c>
      <c r="Z633" s="457"/>
      <c r="AA633" s="453"/>
    </row>
    <row r="634" spans="1:27" s="128" customFormat="1">
      <c r="A634" s="443">
        <v>16</v>
      </c>
      <c r="B634" s="444" t="s">
        <v>2608</v>
      </c>
      <c r="C634" s="445" t="s">
        <v>121</v>
      </c>
      <c r="D634" s="444" t="s">
        <v>2609</v>
      </c>
      <c r="E634" s="446">
        <v>2</v>
      </c>
      <c r="F634" s="447"/>
      <c r="G634" s="448">
        <f t="shared" si="24"/>
        <v>0</v>
      </c>
      <c r="H634" s="450"/>
      <c r="I634" s="444"/>
      <c r="J634" s="450"/>
      <c r="K634" s="444"/>
      <c r="L634" s="450"/>
      <c r="M634" s="444"/>
      <c r="N634" s="450"/>
      <c r="O634" s="450"/>
      <c r="P634" s="450"/>
      <c r="Q634" s="451" t="s">
        <v>374</v>
      </c>
      <c r="R634" s="451"/>
      <c r="S634" s="452"/>
      <c r="T634" s="452" t="s">
        <v>712</v>
      </c>
      <c r="U634" s="453"/>
      <c r="V634" s="454"/>
      <c r="W634" s="455" t="s">
        <v>406</v>
      </c>
      <c r="X634" s="455">
        <v>45583</v>
      </c>
      <c r="Y634" s="456" t="s">
        <v>377</v>
      </c>
      <c r="Z634" s="457"/>
      <c r="AA634" s="453"/>
    </row>
    <row r="635" spans="1:27">
      <c r="A635" s="389"/>
      <c r="B635" s="390" t="s">
        <v>2873</v>
      </c>
      <c r="C635" s="391"/>
      <c r="D635" s="392"/>
      <c r="E635" s="393"/>
      <c r="F635" s="394"/>
      <c r="G635" s="395">
        <f t="shared" ref="G635:G749" si="25">E635*F635</f>
        <v>0</v>
      </c>
      <c r="H635" s="420"/>
      <c r="I635" s="392"/>
      <c r="J635" s="420"/>
      <c r="K635" s="392"/>
      <c r="L635" s="397"/>
      <c r="M635" s="392"/>
      <c r="N635" s="397"/>
      <c r="O635" s="397"/>
      <c r="P635" s="397"/>
      <c r="Q635" s="398"/>
      <c r="R635" s="398"/>
      <c r="S635" s="399"/>
      <c r="T635" s="399"/>
      <c r="U635" s="400"/>
      <c r="V635" s="401"/>
      <c r="W635" s="402"/>
      <c r="X635" s="402"/>
      <c r="Y635" s="403"/>
      <c r="Z635" s="404"/>
      <c r="AA635" s="493"/>
    </row>
    <row r="636" spans="1:27" s="128" customFormat="1" ht="37.5">
      <c r="A636" s="443">
        <v>1</v>
      </c>
      <c r="B636" s="444" t="s">
        <v>2645</v>
      </c>
      <c r="C636" s="445" t="s">
        <v>123</v>
      </c>
      <c r="D636" s="444" t="s">
        <v>2646</v>
      </c>
      <c r="E636" s="446">
        <v>1</v>
      </c>
      <c r="F636" s="447"/>
      <c r="G636" s="448">
        <f>E636*F636</f>
        <v>0</v>
      </c>
      <c r="H636" s="450"/>
      <c r="I636" s="444"/>
      <c r="J636" s="450"/>
      <c r="K636" s="444" t="s">
        <v>2874</v>
      </c>
      <c r="L636" s="450" t="s">
        <v>921</v>
      </c>
      <c r="M636" s="444" t="s">
        <v>2875</v>
      </c>
      <c r="N636" s="450"/>
      <c r="O636" s="450"/>
      <c r="P636" s="450" t="s">
        <v>923</v>
      </c>
      <c r="Q636" s="451" t="s">
        <v>374</v>
      </c>
      <c r="R636" s="451" t="s">
        <v>269</v>
      </c>
      <c r="S636" s="452" t="s">
        <v>756</v>
      </c>
      <c r="T636" s="452"/>
      <c r="U636" s="453"/>
      <c r="V636" s="454"/>
      <c r="W636" s="455" t="s">
        <v>406</v>
      </c>
      <c r="X636" s="452">
        <v>45572</v>
      </c>
      <c r="Y636" s="456" t="s">
        <v>377</v>
      </c>
      <c r="Z636" s="457"/>
      <c r="AA636" s="453"/>
    </row>
    <row r="637" spans="1:27">
      <c r="A637" s="389"/>
      <c r="B637" s="390" t="s">
        <v>2876</v>
      </c>
      <c r="C637" s="391"/>
      <c r="D637" s="392"/>
      <c r="E637" s="393"/>
      <c r="F637" s="394"/>
      <c r="G637" s="395">
        <f t="shared" si="25"/>
        <v>0</v>
      </c>
      <c r="H637" s="420"/>
      <c r="I637" s="392"/>
      <c r="J637" s="420"/>
      <c r="K637" s="392"/>
      <c r="L637" s="397"/>
      <c r="M637" s="392"/>
      <c r="N637" s="397"/>
      <c r="O637" s="397"/>
      <c r="P637" s="397"/>
      <c r="Q637" s="398"/>
      <c r="R637" s="398"/>
      <c r="S637" s="399"/>
      <c r="T637" s="399"/>
      <c r="U637" s="400"/>
      <c r="V637" s="401"/>
      <c r="W637" s="402"/>
      <c r="X637" s="402"/>
      <c r="Y637" s="403"/>
      <c r="Z637" s="404"/>
      <c r="AA637" s="493"/>
    </row>
    <row r="638" spans="1:27" s="128" customFormat="1" ht="37.5">
      <c r="A638" s="443">
        <v>1</v>
      </c>
      <c r="B638" s="444" t="s">
        <v>2639</v>
      </c>
      <c r="C638" s="445" t="s">
        <v>125</v>
      </c>
      <c r="D638" s="444" t="s">
        <v>2640</v>
      </c>
      <c r="E638" s="446">
        <v>1</v>
      </c>
      <c r="F638" s="447"/>
      <c r="G638" s="448">
        <f t="shared" ref="G638:G652" si="26">E638*F638</f>
        <v>0</v>
      </c>
      <c r="H638" s="450"/>
      <c r="I638" s="444"/>
      <c r="J638" s="450"/>
      <c r="K638" s="444" t="s">
        <v>2877</v>
      </c>
      <c r="L638" s="450" t="s">
        <v>921</v>
      </c>
      <c r="M638" s="444" t="s">
        <v>2878</v>
      </c>
      <c r="N638" s="450"/>
      <c r="O638" s="450"/>
      <c r="P638" s="450" t="s">
        <v>670</v>
      </c>
      <c r="Q638" s="451" t="s">
        <v>374</v>
      </c>
      <c r="R638" s="451" t="s">
        <v>2642</v>
      </c>
      <c r="S638" s="452" t="s">
        <v>694</v>
      </c>
      <c r="T638" s="452"/>
      <c r="U638" s="453"/>
      <c r="V638" s="454"/>
      <c r="W638" s="455" t="s">
        <v>406</v>
      </c>
      <c r="X638" s="455">
        <v>45576</v>
      </c>
      <c r="Y638" s="456" t="s">
        <v>377</v>
      </c>
      <c r="Z638" s="457"/>
      <c r="AA638" s="453"/>
    </row>
    <row r="639" spans="1:27" s="128" customFormat="1">
      <c r="A639" s="443">
        <v>2</v>
      </c>
      <c r="B639" s="444" t="s">
        <v>2604</v>
      </c>
      <c r="C639" s="445" t="s">
        <v>125</v>
      </c>
      <c r="D639" s="444" t="s">
        <v>2605</v>
      </c>
      <c r="E639" s="446">
        <v>4</v>
      </c>
      <c r="F639" s="447"/>
      <c r="G639" s="448">
        <f t="shared" si="26"/>
        <v>0</v>
      </c>
      <c r="H639" s="450"/>
      <c r="I639" s="444"/>
      <c r="J639" s="450"/>
      <c r="K639" s="444"/>
      <c r="L639" s="450"/>
      <c r="M639" s="444"/>
      <c r="N639" s="450"/>
      <c r="O639" s="450"/>
      <c r="P639" s="450"/>
      <c r="Q639" s="451" t="s">
        <v>374</v>
      </c>
      <c r="R639" s="451"/>
      <c r="S639" s="452"/>
      <c r="T639" s="452"/>
      <c r="U639" s="453"/>
      <c r="V639" s="454"/>
      <c r="W639" s="455" t="s">
        <v>406</v>
      </c>
      <c r="X639" s="455">
        <v>45552</v>
      </c>
      <c r="Y639" s="456" t="s">
        <v>377</v>
      </c>
      <c r="Z639" s="457"/>
      <c r="AA639" s="453"/>
    </row>
    <row r="640" spans="1:27" s="128" customFormat="1">
      <c r="A640" s="443">
        <v>3</v>
      </c>
      <c r="B640" s="444" t="s">
        <v>2608</v>
      </c>
      <c r="C640" s="445" t="s">
        <v>125</v>
      </c>
      <c r="D640" s="444" t="s">
        <v>2609</v>
      </c>
      <c r="E640" s="446">
        <v>2</v>
      </c>
      <c r="F640" s="447"/>
      <c r="G640" s="448">
        <f t="shared" si="26"/>
        <v>0</v>
      </c>
      <c r="H640" s="450"/>
      <c r="I640" s="444"/>
      <c r="J640" s="450"/>
      <c r="K640" s="444"/>
      <c r="L640" s="450"/>
      <c r="M640" s="444"/>
      <c r="N640" s="450"/>
      <c r="O640" s="450"/>
      <c r="P640" s="450"/>
      <c r="Q640" s="451" t="s">
        <v>374</v>
      </c>
      <c r="R640" s="451"/>
      <c r="S640" s="452"/>
      <c r="T640" s="452" t="s">
        <v>712</v>
      </c>
      <c r="U640" s="453"/>
      <c r="V640" s="454"/>
      <c r="W640" s="455" t="s">
        <v>406</v>
      </c>
      <c r="X640" s="455">
        <v>45560</v>
      </c>
      <c r="Y640" s="456" t="s">
        <v>377</v>
      </c>
      <c r="Z640" s="457"/>
      <c r="AA640" s="453"/>
    </row>
    <row r="641" spans="1:27" s="128" customFormat="1" ht="37.5">
      <c r="A641" s="443">
        <v>4</v>
      </c>
      <c r="B641" s="444" t="s">
        <v>2647</v>
      </c>
      <c r="C641" s="445" t="s">
        <v>125</v>
      </c>
      <c r="D641" s="444" t="s">
        <v>2648</v>
      </c>
      <c r="E641" s="446">
        <v>1</v>
      </c>
      <c r="F641" s="447"/>
      <c r="G641" s="448">
        <f t="shared" si="26"/>
        <v>0</v>
      </c>
      <c r="H641" s="450"/>
      <c r="I641" s="444"/>
      <c r="J641" s="450"/>
      <c r="K641" s="444"/>
      <c r="L641" s="450"/>
      <c r="M641" s="444"/>
      <c r="N641" s="450"/>
      <c r="O641" s="450"/>
      <c r="P641" s="450"/>
      <c r="Q641" s="451" t="s">
        <v>374</v>
      </c>
      <c r="R641" s="451"/>
      <c r="S641" s="452"/>
      <c r="T641" s="452"/>
      <c r="U641" s="453"/>
      <c r="V641" s="454"/>
      <c r="W641" s="455" t="s">
        <v>406</v>
      </c>
      <c r="X641" s="455">
        <v>45552</v>
      </c>
      <c r="Y641" s="456" t="s">
        <v>377</v>
      </c>
      <c r="Z641" s="457"/>
      <c r="AA641" s="453"/>
    </row>
    <row r="642" spans="1:27" s="128" customFormat="1" ht="37.5">
      <c r="A642" s="443">
        <v>5</v>
      </c>
      <c r="B642" s="444" t="s">
        <v>2639</v>
      </c>
      <c r="C642" s="445" t="s">
        <v>125</v>
      </c>
      <c r="D642" s="444" t="s">
        <v>2640</v>
      </c>
      <c r="E642" s="446">
        <v>1</v>
      </c>
      <c r="F642" s="447"/>
      <c r="G642" s="448">
        <f t="shared" si="26"/>
        <v>0</v>
      </c>
      <c r="H642" s="450"/>
      <c r="I642" s="444"/>
      <c r="J642" s="450"/>
      <c r="K642" s="444" t="s">
        <v>2877</v>
      </c>
      <c r="L642" s="450" t="s">
        <v>921</v>
      </c>
      <c r="M642" s="444" t="s">
        <v>2878</v>
      </c>
      <c r="N642" s="450"/>
      <c r="O642" s="450"/>
      <c r="P642" s="450" t="s">
        <v>670</v>
      </c>
      <c r="Q642" s="451" t="s">
        <v>374</v>
      </c>
      <c r="R642" s="451" t="s">
        <v>2642</v>
      </c>
      <c r="S642" s="452" t="s">
        <v>694</v>
      </c>
      <c r="T642" s="452">
        <v>45579</v>
      </c>
      <c r="U642" s="453"/>
      <c r="V642" s="454"/>
      <c r="W642" s="455" t="s">
        <v>406</v>
      </c>
      <c r="X642" s="455">
        <v>45576</v>
      </c>
      <c r="Y642" s="456" t="s">
        <v>377</v>
      </c>
      <c r="Z642" s="457"/>
      <c r="AA642" s="453"/>
    </row>
    <row r="643" spans="1:27" s="128" customFormat="1">
      <c r="A643" s="443">
        <v>6</v>
      </c>
      <c r="B643" s="444" t="s">
        <v>2604</v>
      </c>
      <c r="C643" s="445" t="s">
        <v>125</v>
      </c>
      <c r="D643" s="444" t="s">
        <v>2605</v>
      </c>
      <c r="E643" s="446">
        <v>4</v>
      </c>
      <c r="F643" s="447"/>
      <c r="G643" s="448">
        <f t="shared" si="26"/>
        <v>0</v>
      </c>
      <c r="H643" s="450"/>
      <c r="I643" s="444"/>
      <c r="J643" s="450"/>
      <c r="K643" s="444"/>
      <c r="L643" s="450"/>
      <c r="M643" s="444"/>
      <c r="N643" s="450"/>
      <c r="O643" s="450"/>
      <c r="P643" s="450"/>
      <c r="Q643" s="451" t="s">
        <v>374</v>
      </c>
      <c r="R643" s="451"/>
      <c r="S643" s="452"/>
      <c r="T643" s="452"/>
      <c r="U643" s="453"/>
      <c r="V643" s="454"/>
      <c r="W643" s="455" t="s">
        <v>406</v>
      </c>
      <c r="X643" s="455">
        <v>45552</v>
      </c>
      <c r="Y643" s="456" t="s">
        <v>377</v>
      </c>
      <c r="Z643" s="457"/>
      <c r="AA643" s="453"/>
    </row>
    <row r="644" spans="1:27" s="128" customFormat="1">
      <c r="A644" s="443">
        <v>7</v>
      </c>
      <c r="B644" s="444" t="s">
        <v>2608</v>
      </c>
      <c r="C644" s="445" t="s">
        <v>125</v>
      </c>
      <c r="D644" s="444" t="s">
        <v>2609</v>
      </c>
      <c r="E644" s="446">
        <v>2</v>
      </c>
      <c r="F644" s="447"/>
      <c r="G644" s="448">
        <f t="shared" si="26"/>
        <v>0</v>
      </c>
      <c r="H644" s="450"/>
      <c r="I644" s="444"/>
      <c r="J644" s="450"/>
      <c r="K644" s="444"/>
      <c r="L644" s="450"/>
      <c r="M644" s="444"/>
      <c r="N644" s="450"/>
      <c r="O644" s="450"/>
      <c r="P644" s="450"/>
      <c r="Q644" s="451" t="s">
        <v>374</v>
      </c>
      <c r="R644" s="451"/>
      <c r="S644" s="452"/>
      <c r="T644" s="452" t="s">
        <v>712</v>
      </c>
      <c r="U644" s="453"/>
      <c r="V644" s="454"/>
      <c r="W644" s="455" t="s">
        <v>406</v>
      </c>
      <c r="X644" s="455">
        <v>45560</v>
      </c>
      <c r="Y644" s="456" t="s">
        <v>377</v>
      </c>
      <c r="Z644" s="457"/>
      <c r="AA644" s="453"/>
    </row>
    <row r="645" spans="1:27" s="128" customFormat="1" ht="37.5">
      <c r="A645" s="443">
        <v>8</v>
      </c>
      <c r="B645" s="444" t="s">
        <v>2647</v>
      </c>
      <c r="C645" s="445" t="s">
        <v>125</v>
      </c>
      <c r="D645" s="444" t="s">
        <v>2648</v>
      </c>
      <c r="E645" s="446">
        <v>1</v>
      </c>
      <c r="F645" s="447"/>
      <c r="G645" s="448">
        <f t="shared" si="26"/>
        <v>0</v>
      </c>
      <c r="H645" s="450"/>
      <c r="I645" s="444"/>
      <c r="J645" s="450"/>
      <c r="K645" s="444"/>
      <c r="L645" s="450"/>
      <c r="M645" s="444"/>
      <c r="N645" s="450"/>
      <c r="O645" s="450"/>
      <c r="P645" s="450"/>
      <c r="Q645" s="451" t="s">
        <v>374</v>
      </c>
      <c r="R645" s="451"/>
      <c r="S645" s="452"/>
      <c r="T645" s="452"/>
      <c r="U645" s="453"/>
      <c r="V645" s="454"/>
      <c r="W645" s="455" t="s">
        <v>406</v>
      </c>
      <c r="X645" s="455">
        <v>45552</v>
      </c>
      <c r="Y645" s="456" t="s">
        <v>377</v>
      </c>
      <c r="Z645" s="457"/>
      <c r="AA645" s="453"/>
    </row>
    <row r="646" spans="1:27" s="128" customFormat="1" ht="37.5">
      <c r="A646" s="443">
        <v>9</v>
      </c>
      <c r="B646" s="444" t="s">
        <v>2645</v>
      </c>
      <c r="C646" s="445" t="s">
        <v>125</v>
      </c>
      <c r="D646" s="444" t="s">
        <v>2646</v>
      </c>
      <c r="E646" s="446">
        <v>1</v>
      </c>
      <c r="F646" s="447"/>
      <c r="G646" s="448">
        <f t="shared" si="26"/>
        <v>0</v>
      </c>
      <c r="H646" s="450"/>
      <c r="I646" s="444"/>
      <c r="J646" s="450"/>
      <c r="K646" s="444" t="s">
        <v>2877</v>
      </c>
      <c r="L646" s="450" t="s">
        <v>921</v>
      </c>
      <c r="M646" s="444" t="s">
        <v>2879</v>
      </c>
      <c r="N646" s="450"/>
      <c r="O646" s="450"/>
      <c r="P646" s="450" t="s">
        <v>670</v>
      </c>
      <c r="Q646" s="451" t="s">
        <v>374</v>
      </c>
      <c r="R646" s="451" t="s">
        <v>269</v>
      </c>
      <c r="S646" s="452" t="s">
        <v>573</v>
      </c>
      <c r="T646" s="452"/>
      <c r="U646" s="453"/>
      <c r="V646" s="454"/>
      <c r="W646" s="455" t="s">
        <v>406</v>
      </c>
      <c r="X646" s="455">
        <v>45569</v>
      </c>
      <c r="Y646" s="456" t="s">
        <v>377</v>
      </c>
      <c r="Z646" s="457"/>
      <c r="AA646" s="453"/>
    </row>
    <row r="647" spans="1:27" s="128" customFormat="1" ht="37.5">
      <c r="A647" s="443">
        <v>10</v>
      </c>
      <c r="B647" s="444" t="s">
        <v>2645</v>
      </c>
      <c r="C647" s="445" t="s">
        <v>125</v>
      </c>
      <c r="D647" s="444" t="s">
        <v>2646</v>
      </c>
      <c r="E647" s="446">
        <v>1</v>
      </c>
      <c r="F647" s="447"/>
      <c r="G647" s="448">
        <f t="shared" si="26"/>
        <v>0</v>
      </c>
      <c r="H647" s="450"/>
      <c r="I647" s="444"/>
      <c r="J647" s="450"/>
      <c r="K647" s="444" t="s">
        <v>2877</v>
      </c>
      <c r="L647" s="450" t="s">
        <v>921</v>
      </c>
      <c r="M647" s="444" t="s">
        <v>2879</v>
      </c>
      <c r="N647" s="450"/>
      <c r="O647" s="450"/>
      <c r="P647" s="450" t="s">
        <v>670</v>
      </c>
      <c r="Q647" s="451" t="s">
        <v>374</v>
      </c>
      <c r="R647" s="451" t="s">
        <v>269</v>
      </c>
      <c r="S647" s="452" t="s">
        <v>573</v>
      </c>
      <c r="T647" s="452"/>
      <c r="U647" s="453"/>
      <c r="V647" s="454"/>
      <c r="W647" s="455" t="s">
        <v>406</v>
      </c>
      <c r="X647" s="455">
        <v>45569</v>
      </c>
      <c r="Y647" s="456" t="s">
        <v>377</v>
      </c>
      <c r="Z647" s="457"/>
      <c r="AA647" s="453"/>
    </row>
    <row r="648" spans="1:27" s="128" customFormat="1">
      <c r="A648" s="443">
        <v>11</v>
      </c>
      <c r="B648" s="444" t="s">
        <v>2604</v>
      </c>
      <c r="C648" s="445" t="s">
        <v>125</v>
      </c>
      <c r="D648" s="444" t="s">
        <v>2605</v>
      </c>
      <c r="E648" s="446">
        <v>4</v>
      </c>
      <c r="F648" s="447"/>
      <c r="G648" s="448">
        <f t="shared" si="26"/>
        <v>0</v>
      </c>
      <c r="H648" s="450"/>
      <c r="I648" s="444"/>
      <c r="J648" s="450"/>
      <c r="K648" s="444"/>
      <c r="L648" s="450"/>
      <c r="M648" s="444"/>
      <c r="N648" s="450"/>
      <c r="O648" s="450"/>
      <c r="P648" s="450"/>
      <c r="Q648" s="451" t="s">
        <v>374</v>
      </c>
      <c r="R648" s="451"/>
      <c r="S648" s="452"/>
      <c r="T648" s="452"/>
      <c r="U648" s="453"/>
      <c r="V648" s="454"/>
      <c r="W648" s="455" t="s">
        <v>406</v>
      </c>
      <c r="X648" s="455">
        <v>45552</v>
      </c>
      <c r="Y648" s="456" t="s">
        <v>377</v>
      </c>
      <c r="Z648" s="457"/>
      <c r="AA648" s="453"/>
    </row>
    <row r="649" spans="1:27" s="128" customFormat="1">
      <c r="A649" s="443">
        <v>12</v>
      </c>
      <c r="B649" s="444" t="s">
        <v>2608</v>
      </c>
      <c r="C649" s="445" t="s">
        <v>125</v>
      </c>
      <c r="D649" s="444" t="s">
        <v>2609</v>
      </c>
      <c r="E649" s="446">
        <v>4</v>
      </c>
      <c r="F649" s="447"/>
      <c r="G649" s="448">
        <f t="shared" si="26"/>
        <v>0</v>
      </c>
      <c r="H649" s="450"/>
      <c r="I649" s="444"/>
      <c r="J649" s="450"/>
      <c r="K649" s="444"/>
      <c r="L649" s="450"/>
      <c r="M649" s="444"/>
      <c r="N649" s="450"/>
      <c r="O649" s="450"/>
      <c r="P649" s="450"/>
      <c r="Q649" s="451" t="s">
        <v>374</v>
      </c>
      <c r="R649" s="451"/>
      <c r="S649" s="452"/>
      <c r="T649" s="452" t="s">
        <v>712</v>
      </c>
      <c r="U649" s="453"/>
      <c r="V649" s="454"/>
      <c r="W649" s="455" t="s">
        <v>406</v>
      </c>
      <c r="X649" s="455">
        <v>45560</v>
      </c>
      <c r="Y649" s="456" t="s">
        <v>377</v>
      </c>
      <c r="Z649" s="457"/>
      <c r="AA649" s="453"/>
    </row>
    <row r="650" spans="1:27" s="128" customFormat="1">
      <c r="A650" s="443">
        <v>13</v>
      </c>
      <c r="B650" s="444" t="s">
        <v>1356</v>
      </c>
      <c r="C650" s="445" t="s">
        <v>125</v>
      </c>
      <c r="D650" s="444" t="s">
        <v>1357</v>
      </c>
      <c r="E650" s="446">
        <v>1</v>
      </c>
      <c r="F650" s="447"/>
      <c r="G650" s="448">
        <f t="shared" si="26"/>
        <v>0</v>
      </c>
      <c r="H650" s="450"/>
      <c r="I650" s="444"/>
      <c r="J650" s="450"/>
      <c r="K650" s="444"/>
      <c r="L650" s="450"/>
      <c r="M650" s="444"/>
      <c r="N650" s="450"/>
      <c r="O650" s="450"/>
      <c r="P650" s="450"/>
      <c r="Q650" s="451" t="s">
        <v>374</v>
      </c>
      <c r="R650" s="451"/>
      <c r="S650" s="452"/>
      <c r="T650" s="452"/>
      <c r="U650" s="453"/>
      <c r="V650" s="454"/>
      <c r="W650" s="455" t="s">
        <v>406</v>
      </c>
      <c r="X650" s="455">
        <v>45552</v>
      </c>
      <c r="Y650" s="456" t="s">
        <v>377</v>
      </c>
      <c r="Z650" s="457"/>
      <c r="AA650" s="453"/>
    </row>
    <row r="651" spans="1:27" s="128" customFormat="1">
      <c r="A651" s="443">
        <v>14</v>
      </c>
      <c r="B651" s="444" t="s">
        <v>2604</v>
      </c>
      <c r="C651" s="445" t="s">
        <v>125</v>
      </c>
      <c r="D651" s="444" t="s">
        <v>2605</v>
      </c>
      <c r="E651" s="446">
        <v>4</v>
      </c>
      <c r="F651" s="447"/>
      <c r="G651" s="448">
        <f t="shared" si="26"/>
        <v>0</v>
      </c>
      <c r="H651" s="450"/>
      <c r="I651" s="444"/>
      <c r="J651" s="450"/>
      <c r="K651" s="444"/>
      <c r="L651" s="450"/>
      <c r="M651" s="444"/>
      <c r="N651" s="450"/>
      <c r="O651" s="450"/>
      <c r="P651" s="450"/>
      <c r="Q651" s="451" t="s">
        <v>374</v>
      </c>
      <c r="R651" s="451"/>
      <c r="S651" s="452"/>
      <c r="T651" s="452"/>
      <c r="U651" s="453"/>
      <c r="V651" s="454"/>
      <c r="W651" s="455" t="s">
        <v>406</v>
      </c>
      <c r="X651" s="455">
        <v>45552</v>
      </c>
      <c r="Y651" s="456" t="s">
        <v>377</v>
      </c>
      <c r="Z651" s="457"/>
      <c r="AA651" s="453"/>
    </row>
    <row r="652" spans="1:27" s="128" customFormat="1">
      <c r="A652" s="443">
        <v>15</v>
      </c>
      <c r="B652" s="444" t="s">
        <v>2608</v>
      </c>
      <c r="C652" s="445" t="s">
        <v>125</v>
      </c>
      <c r="D652" s="444" t="s">
        <v>2609</v>
      </c>
      <c r="E652" s="446">
        <v>2</v>
      </c>
      <c r="F652" s="447"/>
      <c r="G652" s="448">
        <f t="shared" si="26"/>
        <v>0</v>
      </c>
      <c r="H652" s="450"/>
      <c r="I652" s="444"/>
      <c r="J652" s="450"/>
      <c r="K652" s="444"/>
      <c r="L652" s="450"/>
      <c r="M652" s="444"/>
      <c r="N652" s="450"/>
      <c r="O652" s="450"/>
      <c r="P652" s="450"/>
      <c r="Q652" s="451" t="s">
        <v>374</v>
      </c>
      <c r="R652" s="451"/>
      <c r="S652" s="452"/>
      <c r="T652" s="452" t="s">
        <v>712</v>
      </c>
      <c r="U652" s="453"/>
      <c r="V652" s="454"/>
      <c r="W652" s="455" t="s">
        <v>406</v>
      </c>
      <c r="X652" s="455">
        <v>45560</v>
      </c>
      <c r="Y652" s="456" t="s">
        <v>377</v>
      </c>
      <c r="Z652" s="457"/>
      <c r="AA652" s="453"/>
    </row>
    <row r="653" spans="1:27" s="128" customFormat="1">
      <c r="A653" s="405">
        <v>16</v>
      </c>
      <c r="B653" s="407" t="s">
        <v>2653</v>
      </c>
      <c r="C653" s="406" t="s">
        <v>125</v>
      </c>
      <c r="D653" s="407" t="s">
        <v>2654</v>
      </c>
      <c r="E653" s="408">
        <v>2</v>
      </c>
      <c r="F653" s="409"/>
      <c r="G653" s="410">
        <f>E653*F653</f>
        <v>0</v>
      </c>
      <c r="H653" s="412"/>
      <c r="I653" s="407"/>
      <c r="J653" s="412"/>
      <c r="K653" s="407"/>
      <c r="L653" s="412"/>
      <c r="M653" s="407"/>
      <c r="N653" s="412"/>
      <c r="O653" s="412"/>
      <c r="P653" s="412"/>
      <c r="Q653" s="413"/>
      <c r="R653" s="413"/>
      <c r="S653" s="414"/>
      <c r="T653" s="414" t="s">
        <v>712</v>
      </c>
      <c r="U653" s="415"/>
      <c r="V653" s="416"/>
      <c r="W653" s="417"/>
      <c r="X653" s="417"/>
      <c r="Y653" s="418" t="s">
        <v>377</v>
      </c>
      <c r="Z653" s="419"/>
      <c r="AA653" s="415"/>
    </row>
    <row r="654" spans="1:27">
      <c r="A654" s="389"/>
      <c r="B654" s="390" t="s">
        <v>2880</v>
      </c>
      <c r="C654" s="391"/>
      <c r="D654" s="392"/>
      <c r="E654" s="393"/>
      <c r="F654" s="394"/>
      <c r="G654" s="395">
        <f t="shared" si="25"/>
        <v>0</v>
      </c>
      <c r="H654" s="420"/>
      <c r="I654" s="392"/>
      <c r="J654" s="420"/>
      <c r="K654" s="392"/>
      <c r="L654" s="397"/>
      <c r="M654" s="392"/>
      <c r="N654" s="397"/>
      <c r="O654" s="397"/>
      <c r="P654" s="397"/>
      <c r="Q654" s="398"/>
      <c r="R654" s="398"/>
      <c r="S654" s="399"/>
      <c r="T654" s="399"/>
      <c r="U654" s="400"/>
      <c r="V654" s="401"/>
      <c r="W654" s="402"/>
      <c r="X654" s="402"/>
      <c r="Y654" s="403"/>
      <c r="Z654" s="404"/>
      <c r="AA654" s="493"/>
    </row>
    <row r="655" spans="1:27" s="128" customFormat="1" ht="37.5">
      <c r="A655" s="443">
        <v>1</v>
      </c>
      <c r="B655" s="444" t="s">
        <v>2639</v>
      </c>
      <c r="C655" s="445" t="s">
        <v>127</v>
      </c>
      <c r="D655" s="444" t="s">
        <v>2640</v>
      </c>
      <c r="E655" s="446">
        <v>1</v>
      </c>
      <c r="F655" s="447"/>
      <c r="G655" s="448">
        <f t="shared" ref="G655:G668" si="27">E655*F655</f>
        <v>0</v>
      </c>
      <c r="H655" s="450"/>
      <c r="I655" s="444"/>
      <c r="J655" s="450"/>
      <c r="K655" s="444" t="s">
        <v>2881</v>
      </c>
      <c r="L655" s="450" t="s">
        <v>921</v>
      </c>
      <c r="M655" s="444" t="s">
        <v>2882</v>
      </c>
      <c r="N655" s="450"/>
      <c r="O655" s="450"/>
      <c r="P655" s="450" t="s">
        <v>923</v>
      </c>
      <c r="Q655" s="451" t="s">
        <v>374</v>
      </c>
      <c r="R655" s="451" t="s">
        <v>2642</v>
      </c>
      <c r="S655" s="452" t="s">
        <v>756</v>
      </c>
      <c r="T655" s="452"/>
      <c r="U655" s="453"/>
      <c r="V655" s="454"/>
      <c r="W655" s="455" t="s">
        <v>406</v>
      </c>
      <c r="X655" s="455">
        <v>45561</v>
      </c>
      <c r="Y655" s="456" t="s">
        <v>377</v>
      </c>
      <c r="Z655" s="457"/>
      <c r="AA655" s="453"/>
    </row>
    <row r="656" spans="1:27" s="128" customFormat="1">
      <c r="A656" s="443">
        <v>2</v>
      </c>
      <c r="B656" s="444" t="s">
        <v>2604</v>
      </c>
      <c r="C656" s="445" t="s">
        <v>127</v>
      </c>
      <c r="D656" s="444" t="s">
        <v>2605</v>
      </c>
      <c r="E656" s="446">
        <v>4</v>
      </c>
      <c r="F656" s="447"/>
      <c r="G656" s="448">
        <f t="shared" si="27"/>
        <v>0</v>
      </c>
      <c r="H656" s="450"/>
      <c r="I656" s="444"/>
      <c r="J656" s="450"/>
      <c r="K656" s="444"/>
      <c r="L656" s="450"/>
      <c r="M656" s="444"/>
      <c r="N656" s="450"/>
      <c r="O656" s="450"/>
      <c r="P656" s="450"/>
      <c r="Q656" s="451" t="s">
        <v>374</v>
      </c>
      <c r="R656" s="451"/>
      <c r="S656" s="452"/>
      <c r="T656" s="452" t="s">
        <v>712</v>
      </c>
      <c r="U656" s="453"/>
      <c r="V656" s="454"/>
      <c r="W656" s="455" t="s">
        <v>406</v>
      </c>
      <c r="X656" s="455">
        <v>45560</v>
      </c>
      <c r="Y656" s="456" t="s">
        <v>377</v>
      </c>
      <c r="Z656" s="457"/>
      <c r="AA656" s="453"/>
    </row>
    <row r="657" spans="1:27" s="128" customFormat="1" ht="37.5">
      <c r="A657" s="443">
        <v>3</v>
      </c>
      <c r="B657" s="444" t="s">
        <v>2608</v>
      </c>
      <c r="C657" s="445" t="s">
        <v>127</v>
      </c>
      <c r="D657" s="444" t="s">
        <v>2609</v>
      </c>
      <c r="E657" s="446">
        <v>2</v>
      </c>
      <c r="F657" s="447"/>
      <c r="G657" s="448">
        <f t="shared" si="27"/>
        <v>0</v>
      </c>
      <c r="H657" s="450"/>
      <c r="I657" s="444"/>
      <c r="J657" s="450"/>
      <c r="K657" s="444" t="s">
        <v>2883</v>
      </c>
      <c r="L657" s="450" t="s">
        <v>548</v>
      </c>
      <c r="M657" s="444" t="s">
        <v>444</v>
      </c>
      <c r="N657" s="450"/>
      <c r="O657" s="450"/>
      <c r="P657" s="450" t="s">
        <v>444</v>
      </c>
      <c r="Q657" s="451" t="s">
        <v>374</v>
      </c>
      <c r="R657" s="451" t="s">
        <v>444</v>
      </c>
      <c r="S657" s="452" t="s">
        <v>444</v>
      </c>
      <c r="T657" s="452" t="s">
        <v>712</v>
      </c>
      <c r="U657" s="453"/>
      <c r="V657" s="454"/>
      <c r="W657" s="455" t="s">
        <v>406</v>
      </c>
      <c r="X657" s="455">
        <v>45583</v>
      </c>
      <c r="Y657" s="456" t="s">
        <v>377</v>
      </c>
      <c r="Z657" s="457"/>
      <c r="AA657" s="453"/>
    </row>
    <row r="658" spans="1:27" s="128" customFormat="1" ht="37.5">
      <c r="A658" s="443">
        <v>4</v>
      </c>
      <c r="B658" s="444" t="s">
        <v>2647</v>
      </c>
      <c r="C658" s="445" t="s">
        <v>127</v>
      </c>
      <c r="D658" s="444" t="s">
        <v>2648</v>
      </c>
      <c r="E658" s="446">
        <v>1</v>
      </c>
      <c r="F658" s="447"/>
      <c r="G658" s="448">
        <f t="shared" si="27"/>
        <v>0</v>
      </c>
      <c r="H658" s="450"/>
      <c r="I658" s="444"/>
      <c r="J658" s="450"/>
      <c r="K658" s="444"/>
      <c r="L658" s="450"/>
      <c r="M658" s="444"/>
      <c r="N658" s="450"/>
      <c r="O658" s="450"/>
      <c r="P658" s="450"/>
      <c r="Q658" s="451" t="s">
        <v>374</v>
      </c>
      <c r="R658" s="451"/>
      <c r="S658" s="452"/>
      <c r="T658" s="452"/>
      <c r="U658" s="453"/>
      <c r="V658" s="454"/>
      <c r="W658" s="455" t="s">
        <v>406</v>
      </c>
      <c r="X658" s="455">
        <v>45552</v>
      </c>
      <c r="Y658" s="456" t="s">
        <v>377</v>
      </c>
      <c r="Z658" s="457"/>
      <c r="AA658" s="453"/>
    </row>
    <row r="659" spans="1:27" s="128" customFormat="1">
      <c r="A659" s="443">
        <v>5</v>
      </c>
      <c r="B659" s="444" t="s">
        <v>2604</v>
      </c>
      <c r="C659" s="445" t="s">
        <v>127</v>
      </c>
      <c r="D659" s="444" t="s">
        <v>2605</v>
      </c>
      <c r="E659" s="446">
        <v>4</v>
      </c>
      <c r="F659" s="447"/>
      <c r="G659" s="448">
        <f t="shared" si="27"/>
        <v>0</v>
      </c>
      <c r="H659" s="450"/>
      <c r="I659" s="444"/>
      <c r="J659" s="450"/>
      <c r="K659" s="444"/>
      <c r="L659" s="450"/>
      <c r="M659" s="444"/>
      <c r="N659" s="450"/>
      <c r="O659" s="450"/>
      <c r="P659" s="450"/>
      <c r="Q659" s="451" t="s">
        <v>374</v>
      </c>
      <c r="R659" s="451"/>
      <c r="S659" s="452"/>
      <c r="T659" s="452" t="s">
        <v>712</v>
      </c>
      <c r="U659" s="453"/>
      <c r="V659" s="454"/>
      <c r="W659" s="455" t="s">
        <v>406</v>
      </c>
      <c r="X659" s="455">
        <v>45560</v>
      </c>
      <c r="Y659" s="456" t="s">
        <v>377</v>
      </c>
      <c r="Z659" s="457"/>
      <c r="AA659" s="453"/>
    </row>
    <row r="660" spans="1:27" s="128" customFormat="1" ht="37.5">
      <c r="A660" s="443">
        <v>6</v>
      </c>
      <c r="B660" s="444" t="s">
        <v>2608</v>
      </c>
      <c r="C660" s="445" t="s">
        <v>127</v>
      </c>
      <c r="D660" s="444" t="s">
        <v>2609</v>
      </c>
      <c r="E660" s="446">
        <v>2</v>
      </c>
      <c r="F660" s="447"/>
      <c r="G660" s="448">
        <f t="shared" si="27"/>
        <v>0</v>
      </c>
      <c r="H660" s="450"/>
      <c r="I660" s="444"/>
      <c r="J660" s="450"/>
      <c r="K660" s="444" t="s">
        <v>2883</v>
      </c>
      <c r="L660" s="450" t="s">
        <v>548</v>
      </c>
      <c r="M660" s="444" t="s">
        <v>444</v>
      </c>
      <c r="N660" s="450"/>
      <c r="O660" s="450"/>
      <c r="P660" s="450" t="s">
        <v>444</v>
      </c>
      <c r="Q660" s="451" t="s">
        <v>374</v>
      </c>
      <c r="R660" s="451" t="s">
        <v>444</v>
      </c>
      <c r="S660" s="452" t="s">
        <v>444</v>
      </c>
      <c r="T660" s="452" t="s">
        <v>712</v>
      </c>
      <c r="U660" s="453"/>
      <c r="V660" s="454"/>
      <c r="W660" s="455" t="s">
        <v>406</v>
      </c>
      <c r="X660" s="455">
        <v>45583</v>
      </c>
      <c r="Y660" s="456" t="s">
        <v>377</v>
      </c>
      <c r="Z660" s="457"/>
      <c r="AA660" s="453"/>
    </row>
    <row r="661" spans="1:27" s="128" customFormat="1">
      <c r="A661" s="443">
        <v>7</v>
      </c>
      <c r="B661" s="444" t="s">
        <v>1356</v>
      </c>
      <c r="C661" s="445" t="s">
        <v>127</v>
      </c>
      <c r="D661" s="444" t="s">
        <v>1357</v>
      </c>
      <c r="E661" s="446">
        <v>1</v>
      </c>
      <c r="F661" s="447"/>
      <c r="G661" s="448">
        <f t="shared" si="27"/>
        <v>0</v>
      </c>
      <c r="H661" s="450"/>
      <c r="I661" s="444"/>
      <c r="J661" s="450"/>
      <c r="K661" s="444"/>
      <c r="L661" s="450"/>
      <c r="M661" s="444"/>
      <c r="N661" s="450"/>
      <c r="O661" s="450"/>
      <c r="P661" s="450"/>
      <c r="Q661" s="451" t="s">
        <v>374</v>
      </c>
      <c r="R661" s="451"/>
      <c r="S661" s="452"/>
      <c r="T661" s="452"/>
      <c r="U661" s="453"/>
      <c r="V661" s="454"/>
      <c r="W661" s="455" t="s">
        <v>406</v>
      </c>
      <c r="X661" s="455">
        <v>45575</v>
      </c>
      <c r="Y661" s="456" t="s">
        <v>377</v>
      </c>
      <c r="Z661" s="457"/>
      <c r="AA661" s="453"/>
    </row>
    <row r="662" spans="1:27" s="128" customFormat="1">
      <c r="A662" s="443">
        <v>8</v>
      </c>
      <c r="B662" s="444" t="s">
        <v>2604</v>
      </c>
      <c r="C662" s="445" t="s">
        <v>127</v>
      </c>
      <c r="D662" s="444" t="s">
        <v>2605</v>
      </c>
      <c r="E662" s="446">
        <v>4</v>
      </c>
      <c r="F662" s="447"/>
      <c r="G662" s="448">
        <f t="shared" si="27"/>
        <v>0</v>
      </c>
      <c r="H662" s="450"/>
      <c r="I662" s="444"/>
      <c r="J662" s="450"/>
      <c r="K662" s="444"/>
      <c r="L662" s="450"/>
      <c r="M662" s="444"/>
      <c r="N662" s="450"/>
      <c r="O662" s="450"/>
      <c r="P662" s="450"/>
      <c r="Q662" s="451" t="s">
        <v>374</v>
      </c>
      <c r="R662" s="451"/>
      <c r="S662" s="452"/>
      <c r="T662" s="452" t="s">
        <v>712</v>
      </c>
      <c r="U662" s="453"/>
      <c r="V662" s="454"/>
      <c r="W662" s="455" t="s">
        <v>406</v>
      </c>
      <c r="X662" s="455">
        <v>45560</v>
      </c>
      <c r="Y662" s="456" t="s">
        <v>377</v>
      </c>
      <c r="Z662" s="457"/>
      <c r="AA662" s="453"/>
    </row>
    <row r="663" spans="1:27" s="128" customFormat="1" ht="37.5">
      <c r="A663" s="443">
        <v>9</v>
      </c>
      <c r="B663" s="444" t="s">
        <v>2608</v>
      </c>
      <c r="C663" s="445" t="s">
        <v>127</v>
      </c>
      <c r="D663" s="444" t="s">
        <v>2609</v>
      </c>
      <c r="E663" s="446">
        <v>2</v>
      </c>
      <c r="F663" s="447"/>
      <c r="G663" s="448">
        <f t="shared" si="27"/>
        <v>0</v>
      </c>
      <c r="H663" s="450"/>
      <c r="I663" s="444"/>
      <c r="J663" s="450"/>
      <c r="K663" s="444" t="s">
        <v>2883</v>
      </c>
      <c r="L663" s="450" t="s">
        <v>548</v>
      </c>
      <c r="M663" s="444" t="s">
        <v>444</v>
      </c>
      <c r="N663" s="450"/>
      <c r="O663" s="450"/>
      <c r="P663" s="450" t="s">
        <v>444</v>
      </c>
      <c r="Q663" s="451" t="s">
        <v>374</v>
      </c>
      <c r="R663" s="451" t="s">
        <v>444</v>
      </c>
      <c r="S663" s="452" t="s">
        <v>444</v>
      </c>
      <c r="T663" s="452" t="s">
        <v>712</v>
      </c>
      <c r="U663" s="453"/>
      <c r="V663" s="454"/>
      <c r="W663" s="455" t="s">
        <v>406</v>
      </c>
      <c r="X663" s="455">
        <v>45583</v>
      </c>
      <c r="Y663" s="456" t="s">
        <v>377</v>
      </c>
      <c r="Z663" s="457"/>
      <c r="AA663" s="453"/>
    </row>
    <row r="664" spans="1:27" s="128" customFormat="1">
      <c r="A664" s="443">
        <v>10</v>
      </c>
      <c r="B664" s="444" t="s">
        <v>2604</v>
      </c>
      <c r="C664" s="445" t="s">
        <v>127</v>
      </c>
      <c r="D664" s="444" t="s">
        <v>2605</v>
      </c>
      <c r="E664" s="446">
        <v>4</v>
      </c>
      <c r="F664" s="447"/>
      <c r="G664" s="448">
        <f t="shared" si="27"/>
        <v>0</v>
      </c>
      <c r="H664" s="450"/>
      <c r="I664" s="444"/>
      <c r="J664" s="450"/>
      <c r="K664" s="444"/>
      <c r="L664" s="450"/>
      <c r="M664" s="444"/>
      <c r="N664" s="450"/>
      <c r="O664" s="450"/>
      <c r="P664" s="450"/>
      <c r="Q664" s="451" t="s">
        <v>374</v>
      </c>
      <c r="R664" s="451"/>
      <c r="S664" s="452"/>
      <c r="T664" s="452" t="s">
        <v>712</v>
      </c>
      <c r="U664" s="453"/>
      <c r="V664" s="454"/>
      <c r="W664" s="455" t="s">
        <v>406</v>
      </c>
      <c r="X664" s="455">
        <v>45560</v>
      </c>
      <c r="Y664" s="456" t="s">
        <v>377</v>
      </c>
      <c r="Z664" s="457"/>
      <c r="AA664" s="453"/>
    </row>
    <row r="665" spans="1:27" s="128" customFormat="1" ht="37.5">
      <c r="A665" s="443">
        <v>11</v>
      </c>
      <c r="B665" s="444" t="s">
        <v>2608</v>
      </c>
      <c r="C665" s="445" t="s">
        <v>127</v>
      </c>
      <c r="D665" s="444" t="s">
        <v>2609</v>
      </c>
      <c r="E665" s="446">
        <v>2</v>
      </c>
      <c r="F665" s="447"/>
      <c r="G665" s="448">
        <f t="shared" si="27"/>
        <v>0</v>
      </c>
      <c r="H665" s="450"/>
      <c r="I665" s="444"/>
      <c r="J665" s="450"/>
      <c r="K665" s="444" t="s">
        <v>2883</v>
      </c>
      <c r="L665" s="450" t="s">
        <v>548</v>
      </c>
      <c r="M665" s="444" t="s">
        <v>444</v>
      </c>
      <c r="N665" s="450"/>
      <c r="O665" s="450"/>
      <c r="P665" s="450" t="s">
        <v>444</v>
      </c>
      <c r="Q665" s="451" t="s">
        <v>374</v>
      </c>
      <c r="R665" s="451" t="s">
        <v>444</v>
      </c>
      <c r="S665" s="452" t="s">
        <v>444</v>
      </c>
      <c r="T665" s="452" t="s">
        <v>712</v>
      </c>
      <c r="U665" s="453"/>
      <c r="V665" s="454"/>
      <c r="W665" s="455" t="s">
        <v>406</v>
      </c>
      <c r="X665" s="455">
        <v>45583</v>
      </c>
      <c r="Y665" s="456" t="s">
        <v>377</v>
      </c>
      <c r="Z665" s="457"/>
      <c r="AA665" s="453"/>
    </row>
    <row r="666" spans="1:27" s="128" customFormat="1">
      <c r="A666" s="443">
        <v>12</v>
      </c>
      <c r="B666" s="444" t="s">
        <v>1356</v>
      </c>
      <c r="C666" s="445" t="s">
        <v>127</v>
      </c>
      <c r="D666" s="444" t="s">
        <v>1357</v>
      </c>
      <c r="E666" s="446">
        <v>1</v>
      </c>
      <c r="F666" s="447"/>
      <c r="G666" s="448">
        <f t="shared" si="27"/>
        <v>0</v>
      </c>
      <c r="H666" s="450"/>
      <c r="I666" s="444"/>
      <c r="J666" s="450"/>
      <c r="K666" s="444"/>
      <c r="L666" s="450"/>
      <c r="M666" s="444"/>
      <c r="N666" s="450"/>
      <c r="O666" s="450"/>
      <c r="P666" s="450"/>
      <c r="Q666" s="451" t="s">
        <v>374</v>
      </c>
      <c r="R666" s="451"/>
      <c r="S666" s="452"/>
      <c r="T666" s="452"/>
      <c r="U666" s="453"/>
      <c r="V666" s="454"/>
      <c r="W666" s="455" t="s">
        <v>406</v>
      </c>
      <c r="X666" s="455">
        <v>45575</v>
      </c>
      <c r="Y666" s="456" t="s">
        <v>377</v>
      </c>
      <c r="Z666" s="457"/>
      <c r="AA666" s="453"/>
    </row>
    <row r="667" spans="1:27" s="128" customFormat="1">
      <c r="A667" s="443">
        <v>13</v>
      </c>
      <c r="B667" s="444" t="s">
        <v>2604</v>
      </c>
      <c r="C667" s="445" t="s">
        <v>127</v>
      </c>
      <c r="D667" s="444" t="s">
        <v>2605</v>
      </c>
      <c r="E667" s="446">
        <v>4</v>
      </c>
      <c r="F667" s="447"/>
      <c r="G667" s="448">
        <f t="shared" si="27"/>
        <v>0</v>
      </c>
      <c r="H667" s="450"/>
      <c r="I667" s="444"/>
      <c r="J667" s="450"/>
      <c r="K667" s="444"/>
      <c r="L667" s="450"/>
      <c r="M667" s="444"/>
      <c r="N667" s="450"/>
      <c r="O667" s="450"/>
      <c r="P667" s="450"/>
      <c r="Q667" s="451" t="s">
        <v>374</v>
      </c>
      <c r="R667" s="451"/>
      <c r="S667" s="452"/>
      <c r="T667" s="452" t="s">
        <v>712</v>
      </c>
      <c r="U667" s="453"/>
      <c r="V667" s="454"/>
      <c r="W667" s="455" t="s">
        <v>406</v>
      </c>
      <c r="X667" s="455">
        <v>45560</v>
      </c>
      <c r="Y667" s="456" t="s">
        <v>377</v>
      </c>
      <c r="Z667" s="457"/>
      <c r="AA667" s="453"/>
    </row>
    <row r="668" spans="1:27" s="128" customFormat="1" ht="37.5">
      <c r="A668" s="443">
        <v>14</v>
      </c>
      <c r="B668" s="444" t="s">
        <v>2608</v>
      </c>
      <c r="C668" s="445" t="s">
        <v>127</v>
      </c>
      <c r="D668" s="444" t="s">
        <v>2609</v>
      </c>
      <c r="E668" s="446">
        <v>2</v>
      </c>
      <c r="F668" s="447"/>
      <c r="G668" s="448">
        <f t="shared" si="27"/>
        <v>0</v>
      </c>
      <c r="H668" s="450"/>
      <c r="I668" s="444"/>
      <c r="J668" s="450"/>
      <c r="K668" s="444" t="s">
        <v>2883</v>
      </c>
      <c r="L668" s="450" t="s">
        <v>548</v>
      </c>
      <c r="M668" s="444" t="s">
        <v>444</v>
      </c>
      <c r="N668" s="450"/>
      <c r="O668" s="450"/>
      <c r="P668" s="450" t="s">
        <v>444</v>
      </c>
      <c r="Q668" s="451" t="s">
        <v>374</v>
      </c>
      <c r="R668" s="451" t="s">
        <v>444</v>
      </c>
      <c r="S668" s="452" t="s">
        <v>444</v>
      </c>
      <c r="T668" s="452" t="s">
        <v>712</v>
      </c>
      <c r="U668" s="453"/>
      <c r="V668" s="454"/>
      <c r="W668" s="455" t="s">
        <v>406</v>
      </c>
      <c r="X668" s="455">
        <v>45583</v>
      </c>
      <c r="Y668" s="456" t="s">
        <v>377</v>
      </c>
      <c r="Z668" s="457"/>
      <c r="AA668" s="453"/>
    </row>
    <row r="669" spans="1:27" s="128" customFormat="1">
      <c r="A669" s="405">
        <v>15</v>
      </c>
      <c r="B669" s="407" t="s">
        <v>2653</v>
      </c>
      <c r="C669" s="406" t="s">
        <v>127</v>
      </c>
      <c r="D669" s="407" t="s">
        <v>2654</v>
      </c>
      <c r="E669" s="408">
        <v>1</v>
      </c>
      <c r="F669" s="409"/>
      <c r="G669" s="410">
        <f>E669*F669</f>
        <v>0</v>
      </c>
      <c r="H669" s="412"/>
      <c r="I669" s="407"/>
      <c r="J669" s="412"/>
      <c r="K669" s="407"/>
      <c r="L669" s="412"/>
      <c r="M669" s="407"/>
      <c r="N669" s="412"/>
      <c r="O669" s="412"/>
      <c r="P669" s="412"/>
      <c r="Q669" s="413"/>
      <c r="R669" s="413"/>
      <c r="S669" s="414"/>
      <c r="T669" s="414" t="s">
        <v>712</v>
      </c>
      <c r="U669" s="415"/>
      <c r="V669" s="416"/>
      <c r="W669" s="417"/>
      <c r="X669" s="417"/>
      <c r="Y669" s="418" t="s">
        <v>377</v>
      </c>
      <c r="Z669" s="419"/>
      <c r="AA669" s="415"/>
    </row>
    <row r="670" spans="1:27">
      <c r="A670" s="389"/>
      <c r="B670" s="390" t="s">
        <v>2884</v>
      </c>
      <c r="C670" s="391"/>
      <c r="D670" s="392"/>
      <c r="E670" s="393"/>
      <c r="F670" s="394"/>
      <c r="G670" s="395">
        <f t="shared" si="25"/>
        <v>0</v>
      </c>
      <c r="H670" s="420"/>
      <c r="I670" s="392"/>
      <c r="J670" s="420"/>
      <c r="K670" s="392"/>
      <c r="L670" s="397"/>
      <c r="M670" s="392"/>
      <c r="N670" s="397"/>
      <c r="O670" s="397"/>
      <c r="P670" s="397"/>
      <c r="Q670" s="398"/>
      <c r="R670" s="398"/>
      <c r="S670" s="399"/>
      <c r="T670" s="399"/>
      <c r="U670" s="400"/>
      <c r="V670" s="401"/>
      <c r="W670" s="402"/>
      <c r="X670" s="402"/>
      <c r="Y670" s="403"/>
      <c r="Z670" s="404"/>
      <c r="AA670" s="493"/>
    </row>
    <row r="671" spans="1:27" s="128" customFormat="1" ht="37.5">
      <c r="A671" s="443">
        <v>1</v>
      </c>
      <c r="B671" s="444" t="s">
        <v>2639</v>
      </c>
      <c r="C671" s="445" t="s">
        <v>129</v>
      </c>
      <c r="D671" s="444" t="s">
        <v>2640</v>
      </c>
      <c r="E671" s="446">
        <v>1</v>
      </c>
      <c r="F671" s="447"/>
      <c r="G671" s="448">
        <f t="shared" ref="G671:G682" si="28">E671*F671</f>
        <v>0</v>
      </c>
      <c r="H671" s="450"/>
      <c r="I671" s="444"/>
      <c r="J671" s="450"/>
      <c r="K671" s="444" t="s">
        <v>2885</v>
      </c>
      <c r="L671" s="450" t="s">
        <v>548</v>
      </c>
      <c r="M671" s="444" t="s">
        <v>2886</v>
      </c>
      <c r="N671" s="450"/>
      <c r="O671" s="450"/>
      <c r="P671" s="450" t="s">
        <v>416</v>
      </c>
      <c r="Q671" s="451" t="s">
        <v>374</v>
      </c>
      <c r="R671" s="451" t="s">
        <v>2642</v>
      </c>
      <c r="S671" s="452" t="s">
        <v>1577</v>
      </c>
      <c r="T671" s="452"/>
      <c r="U671" s="453"/>
      <c r="V671" s="454"/>
      <c r="W671" s="455" t="s">
        <v>406</v>
      </c>
      <c r="X671" s="455">
        <v>45561</v>
      </c>
      <c r="Y671" s="456" t="s">
        <v>377</v>
      </c>
      <c r="Z671" s="457"/>
      <c r="AA671" s="453"/>
    </row>
    <row r="672" spans="1:27" s="128" customFormat="1">
      <c r="A672" s="443">
        <v>2</v>
      </c>
      <c r="B672" s="444" t="s">
        <v>2604</v>
      </c>
      <c r="C672" s="445" t="s">
        <v>129</v>
      </c>
      <c r="D672" s="444" t="s">
        <v>2605</v>
      </c>
      <c r="E672" s="446">
        <v>4</v>
      </c>
      <c r="F672" s="447"/>
      <c r="G672" s="448">
        <f t="shared" si="28"/>
        <v>0</v>
      </c>
      <c r="H672" s="450"/>
      <c r="I672" s="444"/>
      <c r="J672" s="450"/>
      <c r="K672" s="444"/>
      <c r="L672" s="450"/>
      <c r="M672" s="444"/>
      <c r="N672" s="450"/>
      <c r="O672" s="450"/>
      <c r="P672" s="450"/>
      <c r="Q672" s="451" t="s">
        <v>374</v>
      </c>
      <c r="R672" s="451"/>
      <c r="S672" s="452"/>
      <c r="T672" s="452" t="s">
        <v>712</v>
      </c>
      <c r="U672" s="453"/>
      <c r="V672" s="454"/>
      <c r="W672" s="455" t="s">
        <v>406</v>
      </c>
      <c r="X672" s="455">
        <v>45560</v>
      </c>
      <c r="Y672" s="456" t="s">
        <v>377</v>
      </c>
      <c r="Z672" s="457"/>
      <c r="AA672" s="453"/>
    </row>
    <row r="673" spans="1:27" s="128" customFormat="1">
      <c r="A673" s="443">
        <v>3</v>
      </c>
      <c r="B673" s="444" t="s">
        <v>2608</v>
      </c>
      <c r="C673" s="445" t="s">
        <v>129</v>
      </c>
      <c r="D673" s="444" t="s">
        <v>2609</v>
      </c>
      <c r="E673" s="446">
        <v>2</v>
      </c>
      <c r="F673" s="447"/>
      <c r="G673" s="448">
        <f t="shared" si="28"/>
        <v>0</v>
      </c>
      <c r="H673" s="450"/>
      <c r="I673" s="444"/>
      <c r="J673" s="450"/>
      <c r="K673" s="444"/>
      <c r="L673" s="450"/>
      <c r="M673" s="444"/>
      <c r="N673" s="450"/>
      <c r="O673" s="450"/>
      <c r="P673" s="450"/>
      <c r="Q673" s="451" t="s">
        <v>374</v>
      </c>
      <c r="R673" s="451"/>
      <c r="S673" s="452"/>
      <c r="T673" s="452" t="s">
        <v>712</v>
      </c>
      <c r="U673" s="453"/>
      <c r="V673" s="454"/>
      <c r="W673" s="455" t="s">
        <v>406</v>
      </c>
      <c r="X673" s="455">
        <v>45560</v>
      </c>
      <c r="Y673" s="456" t="s">
        <v>377</v>
      </c>
      <c r="Z673" s="457"/>
      <c r="AA673" s="453"/>
    </row>
    <row r="674" spans="1:27" s="128" customFormat="1" ht="37.5">
      <c r="A674" s="443">
        <v>4</v>
      </c>
      <c r="B674" s="444" t="s">
        <v>2647</v>
      </c>
      <c r="C674" s="445" t="s">
        <v>129</v>
      </c>
      <c r="D674" s="444" t="s">
        <v>2648</v>
      </c>
      <c r="E674" s="446">
        <v>1</v>
      </c>
      <c r="F674" s="447"/>
      <c r="G674" s="448">
        <f t="shared" si="28"/>
        <v>0</v>
      </c>
      <c r="H674" s="450"/>
      <c r="I674" s="444"/>
      <c r="J674" s="450"/>
      <c r="K674" s="444"/>
      <c r="L674" s="450"/>
      <c r="M674" s="444"/>
      <c r="N674" s="450"/>
      <c r="O674" s="450"/>
      <c r="P674" s="450"/>
      <c r="Q674" s="451" t="s">
        <v>374</v>
      </c>
      <c r="R674" s="451"/>
      <c r="S674" s="452"/>
      <c r="T674" s="452"/>
      <c r="U674" s="453"/>
      <c r="V674" s="454"/>
      <c r="W674" s="455" t="s">
        <v>406</v>
      </c>
      <c r="X674" s="455">
        <v>45552</v>
      </c>
      <c r="Y674" s="456" t="s">
        <v>377</v>
      </c>
      <c r="Z674" s="457"/>
      <c r="AA674" s="453"/>
    </row>
    <row r="675" spans="1:27" s="128" customFormat="1" ht="37.5">
      <c r="A675" s="443">
        <v>5</v>
      </c>
      <c r="B675" s="444" t="s">
        <v>2639</v>
      </c>
      <c r="C675" s="445" t="s">
        <v>129</v>
      </c>
      <c r="D675" s="444" t="s">
        <v>2640</v>
      </c>
      <c r="E675" s="446">
        <v>1</v>
      </c>
      <c r="F675" s="447"/>
      <c r="G675" s="448">
        <f t="shared" si="28"/>
        <v>0</v>
      </c>
      <c r="H675" s="450"/>
      <c r="I675" s="444"/>
      <c r="J675" s="450"/>
      <c r="K675" s="444" t="s">
        <v>2885</v>
      </c>
      <c r="L675" s="450" t="s">
        <v>548</v>
      </c>
      <c r="M675" s="444" t="s">
        <v>2886</v>
      </c>
      <c r="N675" s="450"/>
      <c r="O675" s="450"/>
      <c r="P675" s="450" t="s">
        <v>416</v>
      </c>
      <c r="Q675" s="451" t="s">
        <v>374</v>
      </c>
      <c r="R675" s="451" t="s">
        <v>2642</v>
      </c>
      <c r="S675" s="452" t="s">
        <v>1577</v>
      </c>
      <c r="T675" s="452"/>
      <c r="U675" s="453"/>
      <c r="V675" s="454"/>
      <c r="W675" s="455" t="s">
        <v>406</v>
      </c>
      <c r="X675" s="455">
        <v>45561</v>
      </c>
      <c r="Y675" s="456" t="s">
        <v>377</v>
      </c>
      <c r="Z675" s="457"/>
      <c r="AA675" s="453"/>
    </row>
    <row r="676" spans="1:27" s="128" customFormat="1">
      <c r="A676" s="443">
        <v>6</v>
      </c>
      <c r="B676" s="444" t="s">
        <v>2604</v>
      </c>
      <c r="C676" s="445" t="s">
        <v>129</v>
      </c>
      <c r="D676" s="444" t="s">
        <v>2605</v>
      </c>
      <c r="E676" s="446">
        <v>4</v>
      </c>
      <c r="F676" s="447"/>
      <c r="G676" s="448">
        <f t="shared" si="28"/>
        <v>0</v>
      </c>
      <c r="H676" s="450"/>
      <c r="I676" s="444"/>
      <c r="J676" s="450"/>
      <c r="K676" s="444"/>
      <c r="L676" s="450"/>
      <c r="M676" s="444"/>
      <c r="N676" s="450"/>
      <c r="O676" s="450"/>
      <c r="P676" s="450"/>
      <c r="Q676" s="451" t="s">
        <v>374</v>
      </c>
      <c r="R676" s="451"/>
      <c r="S676" s="452"/>
      <c r="T676" s="452" t="s">
        <v>712</v>
      </c>
      <c r="U676" s="453"/>
      <c r="V676" s="454"/>
      <c r="W676" s="455" t="s">
        <v>406</v>
      </c>
      <c r="X676" s="455">
        <v>45560</v>
      </c>
      <c r="Y676" s="456" t="s">
        <v>377</v>
      </c>
      <c r="Z676" s="457"/>
      <c r="AA676" s="453"/>
    </row>
    <row r="677" spans="1:27" s="128" customFormat="1">
      <c r="A677" s="443">
        <v>7</v>
      </c>
      <c r="B677" s="444" t="s">
        <v>2608</v>
      </c>
      <c r="C677" s="445" t="s">
        <v>129</v>
      </c>
      <c r="D677" s="444" t="s">
        <v>2609</v>
      </c>
      <c r="E677" s="446">
        <v>2</v>
      </c>
      <c r="F677" s="447"/>
      <c r="G677" s="448">
        <f t="shared" si="28"/>
        <v>0</v>
      </c>
      <c r="H677" s="450"/>
      <c r="I677" s="444"/>
      <c r="J677" s="450"/>
      <c r="K677" s="444"/>
      <c r="L677" s="450"/>
      <c r="M677" s="444"/>
      <c r="N677" s="450"/>
      <c r="O677" s="450"/>
      <c r="P677" s="450"/>
      <c r="Q677" s="451" t="s">
        <v>374</v>
      </c>
      <c r="R677" s="451"/>
      <c r="S677" s="452"/>
      <c r="T677" s="452" t="s">
        <v>712</v>
      </c>
      <c r="U677" s="453"/>
      <c r="V677" s="454"/>
      <c r="W677" s="455" t="s">
        <v>406</v>
      </c>
      <c r="X677" s="455">
        <v>45560</v>
      </c>
      <c r="Y677" s="456" t="s">
        <v>377</v>
      </c>
      <c r="Z677" s="457"/>
      <c r="AA677" s="453"/>
    </row>
    <row r="678" spans="1:27" s="128" customFormat="1" ht="37.5">
      <c r="A678" s="443">
        <v>8</v>
      </c>
      <c r="B678" s="444" t="s">
        <v>2647</v>
      </c>
      <c r="C678" s="445" t="s">
        <v>129</v>
      </c>
      <c r="D678" s="444" t="s">
        <v>2648</v>
      </c>
      <c r="E678" s="446">
        <v>1</v>
      </c>
      <c r="F678" s="447"/>
      <c r="G678" s="448">
        <f t="shared" si="28"/>
        <v>0</v>
      </c>
      <c r="H678" s="450"/>
      <c r="I678" s="444"/>
      <c r="J678" s="450"/>
      <c r="K678" s="444"/>
      <c r="L678" s="450"/>
      <c r="M678" s="444"/>
      <c r="N678" s="450"/>
      <c r="O678" s="450"/>
      <c r="P678" s="450"/>
      <c r="Q678" s="451" t="s">
        <v>374</v>
      </c>
      <c r="R678" s="451"/>
      <c r="S678" s="452"/>
      <c r="T678" s="452"/>
      <c r="U678" s="453"/>
      <c r="V678" s="454"/>
      <c r="W678" s="455" t="s">
        <v>406</v>
      </c>
      <c r="X678" s="455">
        <v>45552</v>
      </c>
      <c r="Y678" s="456" t="s">
        <v>377</v>
      </c>
      <c r="Z678" s="457"/>
      <c r="AA678" s="453"/>
    </row>
    <row r="679" spans="1:27" s="128" customFormat="1" ht="37.5">
      <c r="A679" s="443">
        <v>9</v>
      </c>
      <c r="B679" s="444" t="s">
        <v>2645</v>
      </c>
      <c r="C679" s="445" t="s">
        <v>129</v>
      </c>
      <c r="D679" s="444" t="s">
        <v>2646</v>
      </c>
      <c r="E679" s="446">
        <v>1</v>
      </c>
      <c r="F679" s="447"/>
      <c r="G679" s="448">
        <f t="shared" si="28"/>
        <v>0</v>
      </c>
      <c r="H679" s="450"/>
      <c r="I679" s="444"/>
      <c r="J679" s="450"/>
      <c r="K679" s="444" t="s">
        <v>2885</v>
      </c>
      <c r="L679" s="450" t="s">
        <v>548</v>
      </c>
      <c r="M679" s="444" t="s">
        <v>2887</v>
      </c>
      <c r="N679" s="450"/>
      <c r="O679" s="450"/>
      <c r="P679" s="450" t="s">
        <v>416</v>
      </c>
      <c r="Q679" s="451" t="s">
        <v>374</v>
      </c>
      <c r="R679" s="451" t="s">
        <v>269</v>
      </c>
      <c r="S679" s="452" t="s">
        <v>1577</v>
      </c>
      <c r="T679" s="452"/>
      <c r="U679" s="453"/>
      <c r="V679" s="454"/>
      <c r="W679" s="455" t="s">
        <v>406</v>
      </c>
      <c r="X679" s="455">
        <v>45569</v>
      </c>
      <c r="Y679" s="456" t="s">
        <v>377</v>
      </c>
      <c r="Z679" s="457"/>
      <c r="AA679" s="453"/>
    </row>
    <row r="680" spans="1:27" s="128" customFormat="1">
      <c r="A680" s="405">
        <v>10</v>
      </c>
      <c r="B680" s="407" t="s">
        <v>2636</v>
      </c>
      <c r="C680" s="406" t="s">
        <v>129</v>
      </c>
      <c r="D680" s="407" t="s">
        <v>2637</v>
      </c>
      <c r="E680" s="408">
        <v>1</v>
      </c>
      <c r="F680" s="409"/>
      <c r="G680" s="410">
        <f t="shared" si="28"/>
        <v>0</v>
      </c>
      <c r="H680" s="412"/>
      <c r="I680" s="407"/>
      <c r="J680" s="412"/>
      <c r="K680" s="407"/>
      <c r="L680" s="412"/>
      <c r="M680" s="407"/>
      <c r="N680" s="412"/>
      <c r="O680" s="412"/>
      <c r="P680" s="412"/>
      <c r="Q680" s="413"/>
      <c r="R680" s="413"/>
      <c r="S680" s="414"/>
      <c r="T680" s="414" t="s">
        <v>712</v>
      </c>
      <c r="U680" s="415"/>
      <c r="V680" s="416"/>
      <c r="W680" s="417"/>
      <c r="X680" s="417"/>
      <c r="Y680" s="418" t="s">
        <v>377</v>
      </c>
      <c r="Z680" s="419" t="s">
        <v>2888</v>
      </c>
      <c r="AA680" s="415"/>
    </row>
    <row r="681" spans="1:27" s="128" customFormat="1">
      <c r="A681" s="443">
        <v>11</v>
      </c>
      <c r="B681" s="444" t="s">
        <v>2604</v>
      </c>
      <c r="C681" s="445" t="s">
        <v>129</v>
      </c>
      <c r="D681" s="444" t="s">
        <v>2605</v>
      </c>
      <c r="E681" s="446">
        <v>4</v>
      </c>
      <c r="F681" s="447"/>
      <c r="G681" s="448">
        <f t="shared" si="28"/>
        <v>0</v>
      </c>
      <c r="H681" s="450"/>
      <c r="I681" s="444"/>
      <c r="J681" s="450"/>
      <c r="K681" s="444"/>
      <c r="L681" s="450"/>
      <c r="M681" s="444"/>
      <c r="N681" s="450"/>
      <c r="O681" s="450"/>
      <c r="P681" s="450"/>
      <c r="Q681" s="451" t="s">
        <v>374</v>
      </c>
      <c r="R681" s="451"/>
      <c r="S681" s="452"/>
      <c r="T681" s="452" t="s">
        <v>712</v>
      </c>
      <c r="U681" s="453"/>
      <c r="V681" s="454"/>
      <c r="W681" s="455" t="s">
        <v>406</v>
      </c>
      <c r="X681" s="455">
        <v>45560</v>
      </c>
      <c r="Y681" s="456" t="s">
        <v>377</v>
      </c>
      <c r="Z681" s="457"/>
      <c r="AA681" s="453"/>
    </row>
    <row r="682" spans="1:27" s="128" customFormat="1">
      <c r="A682" s="443">
        <v>12</v>
      </c>
      <c r="B682" s="444" t="s">
        <v>2608</v>
      </c>
      <c r="C682" s="445" t="s">
        <v>129</v>
      </c>
      <c r="D682" s="444" t="s">
        <v>2609</v>
      </c>
      <c r="E682" s="446">
        <v>2</v>
      </c>
      <c r="F682" s="447"/>
      <c r="G682" s="448">
        <f t="shared" si="28"/>
        <v>0</v>
      </c>
      <c r="H682" s="450"/>
      <c r="I682" s="444"/>
      <c r="J682" s="450"/>
      <c r="K682" s="444"/>
      <c r="L682" s="450"/>
      <c r="M682" s="444"/>
      <c r="N682" s="450"/>
      <c r="O682" s="450"/>
      <c r="P682" s="450"/>
      <c r="Q682" s="451" t="s">
        <v>374</v>
      </c>
      <c r="R682" s="451"/>
      <c r="S682" s="452"/>
      <c r="T682" s="452" t="s">
        <v>712</v>
      </c>
      <c r="U682" s="453"/>
      <c r="V682" s="454"/>
      <c r="W682" s="455" t="s">
        <v>406</v>
      </c>
      <c r="X682" s="455">
        <v>45560</v>
      </c>
      <c r="Y682" s="456" t="s">
        <v>377</v>
      </c>
      <c r="Z682" s="457"/>
      <c r="AA682" s="453"/>
    </row>
    <row r="683" spans="1:27" s="128" customFormat="1">
      <c r="A683" s="405">
        <v>13</v>
      </c>
      <c r="B683" s="407" t="s">
        <v>2653</v>
      </c>
      <c r="C683" s="406" t="s">
        <v>129</v>
      </c>
      <c r="D683" s="407" t="s">
        <v>2654</v>
      </c>
      <c r="E683" s="408">
        <v>2</v>
      </c>
      <c r="F683" s="409"/>
      <c r="G683" s="410">
        <f>E683*F683</f>
        <v>0</v>
      </c>
      <c r="H683" s="412"/>
      <c r="I683" s="407"/>
      <c r="J683" s="412"/>
      <c r="K683" s="407"/>
      <c r="L683" s="412"/>
      <c r="M683" s="407"/>
      <c r="N683" s="412"/>
      <c r="O683" s="412"/>
      <c r="P683" s="412"/>
      <c r="Q683" s="413"/>
      <c r="R683" s="413"/>
      <c r="S683" s="414"/>
      <c r="T683" s="414" t="s">
        <v>712</v>
      </c>
      <c r="U683" s="415"/>
      <c r="V683" s="416"/>
      <c r="W683" s="417"/>
      <c r="X683" s="417"/>
      <c r="Y683" s="418" t="s">
        <v>377</v>
      </c>
      <c r="Z683" s="419"/>
      <c r="AA683" s="415"/>
    </row>
    <row r="684" spans="1:27">
      <c r="A684" s="389"/>
      <c r="B684" s="390" t="s">
        <v>2889</v>
      </c>
      <c r="C684" s="391"/>
      <c r="D684" s="392"/>
      <c r="E684" s="393"/>
      <c r="F684" s="394"/>
      <c r="G684" s="395">
        <f t="shared" si="25"/>
        <v>0</v>
      </c>
      <c r="H684" s="420"/>
      <c r="I684" s="392"/>
      <c r="J684" s="420"/>
      <c r="K684" s="392"/>
      <c r="L684" s="397"/>
      <c r="M684" s="392"/>
      <c r="N684" s="397"/>
      <c r="O684" s="397"/>
      <c r="P684" s="397"/>
      <c r="Q684" s="398"/>
      <c r="R684" s="398"/>
      <c r="S684" s="399"/>
      <c r="T684" s="399"/>
      <c r="U684" s="400"/>
      <c r="V684" s="401"/>
      <c r="W684" s="402"/>
      <c r="X684" s="402"/>
      <c r="Y684" s="403"/>
      <c r="Z684" s="404"/>
      <c r="AA684" s="493"/>
    </row>
    <row r="685" spans="1:27" s="128" customFormat="1">
      <c r="A685" s="443">
        <v>1</v>
      </c>
      <c r="B685" s="444" t="s">
        <v>2569</v>
      </c>
      <c r="C685" s="445" t="s">
        <v>131</v>
      </c>
      <c r="D685" s="444" t="s">
        <v>2570</v>
      </c>
      <c r="E685" s="446">
        <v>1</v>
      </c>
      <c r="F685" s="447"/>
      <c r="G685" s="448">
        <f t="shared" ref="G685:G716" si="29">E685*F685</f>
        <v>0</v>
      </c>
      <c r="H685" s="450"/>
      <c r="I685" s="444"/>
      <c r="J685" s="450"/>
      <c r="K685" s="444"/>
      <c r="L685" s="450"/>
      <c r="M685" s="444"/>
      <c r="N685" s="450"/>
      <c r="O685" s="450"/>
      <c r="P685" s="450"/>
      <c r="Q685" s="451" t="s">
        <v>374</v>
      </c>
      <c r="R685" s="451"/>
      <c r="S685" s="452"/>
      <c r="T685" s="452"/>
      <c r="U685" s="453"/>
      <c r="V685" s="454"/>
      <c r="W685" s="455" t="s">
        <v>406</v>
      </c>
      <c r="X685" s="455">
        <v>45565</v>
      </c>
      <c r="Y685" s="456" t="s">
        <v>377</v>
      </c>
      <c r="Z685" s="457"/>
      <c r="AA685" s="453"/>
    </row>
    <row r="686" spans="1:27" s="128" customFormat="1">
      <c r="A686" s="443">
        <v>2</v>
      </c>
      <c r="B686" s="444" t="s">
        <v>2573</v>
      </c>
      <c r="C686" s="445" t="s">
        <v>131</v>
      </c>
      <c r="D686" s="444" t="s">
        <v>2574</v>
      </c>
      <c r="E686" s="446">
        <v>1</v>
      </c>
      <c r="F686" s="447"/>
      <c r="G686" s="448">
        <f t="shared" si="29"/>
        <v>0</v>
      </c>
      <c r="H686" s="450"/>
      <c r="I686" s="444"/>
      <c r="J686" s="450"/>
      <c r="K686" s="444"/>
      <c r="L686" s="450"/>
      <c r="M686" s="444"/>
      <c r="N686" s="450"/>
      <c r="O686" s="450"/>
      <c r="P686" s="450"/>
      <c r="Q686" s="451" t="s">
        <v>374</v>
      </c>
      <c r="R686" s="451"/>
      <c r="S686" s="452"/>
      <c r="T686" s="452"/>
      <c r="U686" s="453"/>
      <c r="V686" s="454"/>
      <c r="W686" s="455" t="s">
        <v>406</v>
      </c>
      <c r="X686" s="455">
        <v>45565</v>
      </c>
      <c r="Y686" s="456" t="s">
        <v>377</v>
      </c>
      <c r="Z686" s="457"/>
      <c r="AA686" s="453"/>
    </row>
    <row r="687" spans="1:27" s="128" customFormat="1">
      <c r="A687" s="443">
        <v>3</v>
      </c>
      <c r="B687" s="444" t="s">
        <v>2571</v>
      </c>
      <c r="C687" s="445" t="s">
        <v>131</v>
      </c>
      <c r="D687" s="444" t="s">
        <v>2572</v>
      </c>
      <c r="E687" s="446">
        <v>1</v>
      </c>
      <c r="F687" s="447"/>
      <c r="G687" s="448">
        <f t="shared" si="29"/>
        <v>0</v>
      </c>
      <c r="H687" s="450"/>
      <c r="I687" s="444"/>
      <c r="J687" s="450"/>
      <c r="K687" s="444"/>
      <c r="L687" s="450"/>
      <c r="M687" s="444"/>
      <c r="N687" s="450"/>
      <c r="O687" s="450"/>
      <c r="P687" s="450"/>
      <c r="Q687" s="451" t="s">
        <v>374</v>
      </c>
      <c r="R687" s="451"/>
      <c r="S687" s="452"/>
      <c r="T687" s="452"/>
      <c r="U687" s="453"/>
      <c r="V687" s="454"/>
      <c r="W687" s="455" t="s">
        <v>406</v>
      </c>
      <c r="X687" s="455">
        <v>45565</v>
      </c>
      <c r="Y687" s="456" t="s">
        <v>377</v>
      </c>
      <c r="Z687" s="457"/>
      <c r="AA687" s="453"/>
    </row>
    <row r="688" spans="1:27" s="128" customFormat="1">
      <c r="A688" s="443">
        <v>4</v>
      </c>
      <c r="B688" s="444" t="s">
        <v>2776</v>
      </c>
      <c r="C688" s="445" t="s">
        <v>131</v>
      </c>
      <c r="D688" s="444" t="s">
        <v>2777</v>
      </c>
      <c r="E688" s="446">
        <v>1</v>
      </c>
      <c r="F688" s="447"/>
      <c r="G688" s="448">
        <f t="shared" si="29"/>
        <v>0</v>
      </c>
      <c r="H688" s="450"/>
      <c r="I688" s="444"/>
      <c r="J688" s="450"/>
      <c r="K688" s="444"/>
      <c r="L688" s="450"/>
      <c r="M688" s="444"/>
      <c r="N688" s="450"/>
      <c r="O688" s="450"/>
      <c r="P688" s="450"/>
      <c r="Q688" s="451" t="s">
        <v>374</v>
      </c>
      <c r="R688" s="451"/>
      <c r="S688" s="452"/>
      <c r="T688" s="452"/>
      <c r="U688" s="453"/>
      <c r="V688" s="454"/>
      <c r="W688" s="455" t="s">
        <v>406</v>
      </c>
      <c r="X688" s="455">
        <v>45575</v>
      </c>
      <c r="Y688" s="456" t="s">
        <v>377</v>
      </c>
      <c r="Z688" s="457"/>
      <c r="AA688" s="453"/>
    </row>
    <row r="689" spans="1:27" s="128" customFormat="1">
      <c r="A689" s="443">
        <v>5</v>
      </c>
      <c r="B689" s="444" t="s">
        <v>2569</v>
      </c>
      <c r="C689" s="445" t="s">
        <v>131</v>
      </c>
      <c r="D689" s="444" t="s">
        <v>2570</v>
      </c>
      <c r="E689" s="446">
        <v>1</v>
      </c>
      <c r="F689" s="447"/>
      <c r="G689" s="448">
        <f t="shared" si="29"/>
        <v>0</v>
      </c>
      <c r="H689" s="450"/>
      <c r="I689" s="444"/>
      <c r="J689" s="450"/>
      <c r="K689" s="444"/>
      <c r="L689" s="450"/>
      <c r="M689" s="444"/>
      <c r="N689" s="450"/>
      <c r="O689" s="450"/>
      <c r="P689" s="450"/>
      <c r="Q689" s="451" t="s">
        <v>374</v>
      </c>
      <c r="R689" s="451"/>
      <c r="S689" s="452"/>
      <c r="T689" s="452"/>
      <c r="U689" s="453"/>
      <c r="V689" s="454"/>
      <c r="W689" s="455" t="s">
        <v>406</v>
      </c>
      <c r="X689" s="455">
        <v>45565</v>
      </c>
      <c r="Y689" s="456" t="s">
        <v>377</v>
      </c>
      <c r="Z689" s="457"/>
      <c r="AA689" s="453"/>
    </row>
    <row r="690" spans="1:27" s="128" customFormat="1">
      <c r="A690" s="443">
        <v>6</v>
      </c>
      <c r="B690" s="444" t="s">
        <v>2730</v>
      </c>
      <c r="C690" s="445" t="s">
        <v>131</v>
      </c>
      <c r="D690" s="444" t="s">
        <v>2731</v>
      </c>
      <c r="E690" s="446">
        <v>1</v>
      </c>
      <c r="F690" s="447"/>
      <c r="G690" s="448">
        <f t="shared" si="29"/>
        <v>0</v>
      </c>
      <c r="H690" s="450"/>
      <c r="I690" s="444"/>
      <c r="J690" s="450"/>
      <c r="K690" s="444"/>
      <c r="L690" s="450"/>
      <c r="M690" s="444"/>
      <c r="N690" s="450"/>
      <c r="O690" s="450"/>
      <c r="P690" s="450"/>
      <c r="Q690" s="451" t="s">
        <v>374</v>
      </c>
      <c r="R690" s="451"/>
      <c r="S690" s="452"/>
      <c r="T690" s="452"/>
      <c r="U690" s="453"/>
      <c r="V690" s="454"/>
      <c r="W690" s="455" t="s">
        <v>406</v>
      </c>
      <c r="X690" s="455">
        <v>45565</v>
      </c>
      <c r="Y690" s="456" t="s">
        <v>377</v>
      </c>
      <c r="Z690" s="457"/>
      <c r="AA690" s="453"/>
    </row>
    <row r="691" spans="1:27" s="128" customFormat="1">
      <c r="A691" s="443">
        <v>7</v>
      </c>
      <c r="B691" s="444" t="s">
        <v>2728</v>
      </c>
      <c r="C691" s="445" t="s">
        <v>131</v>
      </c>
      <c r="D691" s="444" t="s">
        <v>2729</v>
      </c>
      <c r="E691" s="446">
        <v>1</v>
      </c>
      <c r="F691" s="447"/>
      <c r="G691" s="448">
        <f t="shared" si="29"/>
        <v>0</v>
      </c>
      <c r="H691" s="450"/>
      <c r="I691" s="444"/>
      <c r="J691" s="450"/>
      <c r="K691" s="444"/>
      <c r="L691" s="450"/>
      <c r="M691" s="444"/>
      <c r="N691" s="450"/>
      <c r="O691" s="450"/>
      <c r="P691" s="450"/>
      <c r="Q691" s="451" t="s">
        <v>374</v>
      </c>
      <c r="R691" s="451"/>
      <c r="S691" s="452"/>
      <c r="T691" s="452"/>
      <c r="U691" s="453"/>
      <c r="V691" s="454"/>
      <c r="W691" s="455" t="s">
        <v>406</v>
      </c>
      <c r="X691" s="455">
        <v>45565</v>
      </c>
      <c r="Y691" s="456" t="s">
        <v>377</v>
      </c>
      <c r="Z691" s="457"/>
      <c r="AA691" s="453"/>
    </row>
    <row r="692" spans="1:27" s="128" customFormat="1">
      <c r="A692" s="443">
        <v>8</v>
      </c>
      <c r="B692" s="444" t="s">
        <v>2732</v>
      </c>
      <c r="C692" s="445" t="s">
        <v>131</v>
      </c>
      <c r="D692" s="444" t="s">
        <v>2733</v>
      </c>
      <c r="E692" s="446">
        <v>1</v>
      </c>
      <c r="F692" s="447"/>
      <c r="G692" s="448">
        <f t="shared" si="29"/>
        <v>0</v>
      </c>
      <c r="H692" s="450"/>
      <c r="I692" s="444"/>
      <c r="J692" s="450"/>
      <c r="K692" s="444"/>
      <c r="L692" s="450"/>
      <c r="M692" s="444"/>
      <c r="N692" s="450"/>
      <c r="O692" s="450"/>
      <c r="P692" s="450"/>
      <c r="Q692" s="451" t="s">
        <v>374</v>
      </c>
      <c r="R692" s="451"/>
      <c r="S692" s="452"/>
      <c r="T692" s="452"/>
      <c r="U692" s="453"/>
      <c r="V692" s="454"/>
      <c r="W692" s="455" t="s">
        <v>406</v>
      </c>
      <c r="X692" s="455">
        <v>45565</v>
      </c>
      <c r="Y692" s="456" t="s">
        <v>377</v>
      </c>
      <c r="Z692" s="457"/>
      <c r="AA692" s="453"/>
    </row>
    <row r="693" spans="1:27" s="128" customFormat="1" ht="37.5">
      <c r="A693" s="443">
        <v>9</v>
      </c>
      <c r="B693" s="444" t="s">
        <v>2734</v>
      </c>
      <c r="C693" s="445" t="s">
        <v>131</v>
      </c>
      <c r="D693" s="444" t="s">
        <v>2735</v>
      </c>
      <c r="E693" s="446">
        <v>1</v>
      </c>
      <c r="F693" s="447"/>
      <c r="G693" s="448">
        <f t="shared" si="29"/>
        <v>0</v>
      </c>
      <c r="H693" s="450"/>
      <c r="I693" s="444"/>
      <c r="J693" s="450"/>
      <c r="K693" s="444" t="s">
        <v>2890</v>
      </c>
      <c r="L693" s="450" t="s">
        <v>979</v>
      </c>
      <c r="M693" s="444" t="s">
        <v>2891</v>
      </c>
      <c r="N693" s="450"/>
      <c r="O693" s="450"/>
      <c r="P693" s="450" t="s">
        <v>1890</v>
      </c>
      <c r="Q693" s="451" t="s">
        <v>374</v>
      </c>
      <c r="R693" s="451" t="s">
        <v>2723</v>
      </c>
      <c r="S693" s="452" t="s">
        <v>2736</v>
      </c>
      <c r="T693" s="452"/>
      <c r="U693" s="453"/>
      <c r="V693" s="454"/>
      <c r="W693" s="455" t="s">
        <v>406</v>
      </c>
      <c r="X693" s="455">
        <v>45580</v>
      </c>
      <c r="Y693" s="456" t="s">
        <v>377</v>
      </c>
      <c r="Z693" s="457"/>
      <c r="AA693" s="453"/>
    </row>
    <row r="694" spans="1:27" s="128" customFormat="1">
      <c r="A694" s="443">
        <v>10</v>
      </c>
      <c r="B694" s="444" t="s">
        <v>2577</v>
      </c>
      <c r="C694" s="445" t="s">
        <v>131</v>
      </c>
      <c r="D694" s="444" t="s">
        <v>2578</v>
      </c>
      <c r="E694" s="446">
        <v>6</v>
      </c>
      <c r="F694" s="447"/>
      <c r="G694" s="448">
        <f t="shared" si="29"/>
        <v>0</v>
      </c>
      <c r="H694" s="450"/>
      <c r="I694" s="444"/>
      <c r="J694" s="450"/>
      <c r="K694" s="444"/>
      <c r="L694" s="450"/>
      <c r="M694" s="444"/>
      <c r="N694" s="450"/>
      <c r="O694" s="450"/>
      <c r="P694" s="450"/>
      <c r="Q694" s="451" t="s">
        <v>374</v>
      </c>
      <c r="R694" s="451"/>
      <c r="S694" s="452"/>
      <c r="T694" s="452" t="s">
        <v>712</v>
      </c>
      <c r="U694" s="453"/>
      <c r="V694" s="454"/>
      <c r="W694" s="455" t="s">
        <v>406</v>
      </c>
      <c r="X694" s="455">
        <v>45565</v>
      </c>
      <c r="Y694" s="456" t="s">
        <v>377</v>
      </c>
      <c r="Z694" s="457"/>
      <c r="AA694" s="453"/>
    </row>
    <row r="695" spans="1:27" s="128" customFormat="1">
      <c r="A695" s="443">
        <v>11</v>
      </c>
      <c r="B695" s="444" t="s">
        <v>2579</v>
      </c>
      <c r="C695" s="445" t="s">
        <v>131</v>
      </c>
      <c r="D695" s="444" t="s">
        <v>2580</v>
      </c>
      <c r="E695" s="446">
        <v>2</v>
      </c>
      <c r="F695" s="447"/>
      <c r="G695" s="448">
        <f t="shared" si="29"/>
        <v>0</v>
      </c>
      <c r="H695" s="450"/>
      <c r="I695" s="444"/>
      <c r="J695" s="450"/>
      <c r="K695" s="444"/>
      <c r="L695" s="450"/>
      <c r="M695" s="444"/>
      <c r="N695" s="450"/>
      <c r="O695" s="450"/>
      <c r="P695" s="450"/>
      <c r="Q695" s="451" t="s">
        <v>374</v>
      </c>
      <c r="R695" s="451"/>
      <c r="S695" s="452"/>
      <c r="T695" s="452" t="s">
        <v>712</v>
      </c>
      <c r="U695" s="453"/>
      <c r="V695" s="454"/>
      <c r="W695" s="455" t="s">
        <v>406</v>
      </c>
      <c r="X695" s="455">
        <v>45565</v>
      </c>
      <c r="Y695" s="456" t="s">
        <v>377</v>
      </c>
      <c r="Z695" s="457"/>
      <c r="AA695" s="453"/>
    </row>
    <row r="696" spans="1:27" s="128" customFormat="1">
      <c r="A696" s="443">
        <v>12</v>
      </c>
      <c r="B696" s="444" t="s">
        <v>2585</v>
      </c>
      <c r="C696" s="445" t="s">
        <v>131</v>
      </c>
      <c r="D696" s="444" t="s">
        <v>2586</v>
      </c>
      <c r="E696" s="446">
        <v>2</v>
      </c>
      <c r="F696" s="447"/>
      <c r="G696" s="448">
        <f t="shared" si="29"/>
        <v>0</v>
      </c>
      <c r="H696" s="450"/>
      <c r="I696" s="444"/>
      <c r="J696" s="450"/>
      <c r="K696" s="444"/>
      <c r="L696" s="450"/>
      <c r="M696" s="444"/>
      <c r="N696" s="450"/>
      <c r="O696" s="450"/>
      <c r="P696" s="450"/>
      <c r="Q696" s="451" t="s">
        <v>374</v>
      </c>
      <c r="R696" s="451"/>
      <c r="S696" s="452"/>
      <c r="T696" s="452" t="s">
        <v>712</v>
      </c>
      <c r="U696" s="453"/>
      <c r="V696" s="454"/>
      <c r="W696" s="455" t="s">
        <v>406</v>
      </c>
      <c r="X696" s="455">
        <v>45565</v>
      </c>
      <c r="Y696" s="456" t="s">
        <v>377</v>
      </c>
      <c r="Z696" s="457"/>
      <c r="AA696" s="453"/>
    </row>
    <row r="697" spans="1:27" s="128" customFormat="1">
      <c r="A697" s="443">
        <v>13</v>
      </c>
      <c r="B697" s="444" t="s">
        <v>2593</v>
      </c>
      <c r="C697" s="445" t="s">
        <v>131</v>
      </c>
      <c r="D697" s="444" t="s">
        <v>2594</v>
      </c>
      <c r="E697" s="446">
        <v>2</v>
      </c>
      <c r="F697" s="447"/>
      <c r="G697" s="448">
        <f t="shared" si="29"/>
        <v>0</v>
      </c>
      <c r="H697" s="450"/>
      <c r="I697" s="444"/>
      <c r="J697" s="450"/>
      <c r="K697" s="444"/>
      <c r="L697" s="450"/>
      <c r="M697" s="444"/>
      <c r="N697" s="450"/>
      <c r="O697" s="450"/>
      <c r="P697" s="450"/>
      <c r="Q697" s="451" t="s">
        <v>374</v>
      </c>
      <c r="R697" s="451"/>
      <c r="S697" s="452"/>
      <c r="T697" s="452" t="s">
        <v>712</v>
      </c>
      <c r="U697" s="453"/>
      <c r="V697" s="454"/>
      <c r="W697" s="455" t="s">
        <v>406</v>
      </c>
      <c r="X697" s="455">
        <v>45565</v>
      </c>
      <c r="Y697" s="456" t="s">
        <v>377</v>
      </c>
      <c r="Z697" s="457"/>
      <c r="AA697" s="453"/>
    </row>
    <row r="698" spans="1:27" s="128" customFormat="1">
      <c r="A698" s="443">
        <v>14</v>
      </c>
      <c r="B698" s="444" t="s">
        <v>2581</v>
      </c>
      <c r="C698" s="445" t="s">
        <v>131</v>
      </c>
      <c r="D698" s="444" t="s">
        <v>2582</v>
      </c>
      <c r="E698" s="446">
        <v>3</v>
      </c>
      <c r="F698" s="447"/>
      <c r="G698" s="448">
        <f t="shared" si="29"/>
        <v>0</v>
      </c>
      <c r="H698" s="450"/>
      <c r="I698" s="444"/>
      <c r="J698" s="450"/>
      <c r="K698" s="444"/>
      <c r="L698" s="450"/>
      <c r="M698" s="444"/>
      <c r="N698" s="450"/>
      <c r="O698" s="450"/>
      <c r="P698" s="450"/>
      <c r="Q698" s="451" t="s">
        <v>374</v>
      </c>
      <c r="R698" s="451"/>
      <c r="S698" s="452"/>
      <c r="T698" s="452" t="s">
        <v>712</v>
      </c>
      <c r="U698" s="453"/>
      <c r="V698" s="454"/>
      <c r="W698" s="455" t="s">
        <v>406</v>
      </c>
      <c r="X698" s="455">
        <v>45565</v>
      </c>
      <c r="Y698" s="456" t="s">
        <v>377</v>
      </c>
      <c r="Z698" s="457"/>
      <c r="AA698" s="453"/>
    </row>
    <row r="699" spans="1:27" s="128" customFormat="1">
      <c r="A699" s="443">
        <v>15</v>
      </c>
      <c r="B699" s="444" t="s">
        <v>2579</v>
      </c>
      <c r="C699" s="445" t="s">
        <v>131</v>
      </c>
      <c r="D699" s="444" t="s">
        <v>2580</v>
      </c>
      <c r="E699" s="446">
        <v>1</v>
      </c>
      <c r="F699" s="447"/>
      <c r="G699" s="448">
        <f t="shared" si="29"/>
        <v>0</v>
      </c>
      <c r="H699" s="450"/>
      <c r="I699" s="444"/>
      <c r="J699" s="450"/>
      <c r="K699" s="444"/>
      <c r="L699" s="450"/>
      <c r="M699" s="444"/>
      <c r="N699" s="450"/>
      <c r="O699" s="450"/>
      <c r="P699" s="450"/>
      <c r="Q699" s="451" t="s">
        <v>374</v>
      </c>
      <c r="R699" s="451"/>
      <c r="S699" s="452"/>
      <c r="T699" s="452" t="s">
        <v>712</v>
      </c>
      <c r="U699" s="453"/>
      <c r="V699" s="454"/>
      <c r="W699" s="455" t="s">
        <v>406</v>
      </c>
      <c r="X699" s="455">
        <v>45565</v>
      </c>
      <c r="Y699" s="456" t="s">
        <v>377</v>
      </c>
      <c r="Z699" s="457"/>
      <c r="AA699" s="453"/>
    </row>
    <row r="700" spans="1:27" s="128" customFormat="1">
      <c r="A700" s="443">
        <v>16</v>
      </c>
      <c r="B700" s="444" t="s">
        <v>2593</v>
      </c>
      <c r="C700" s="445" t="s">
        <v>131</v>
      </c>
      <c r="D700" s="444" t="s">
        <v>2594</v>
      </c>
      <c r="E700" s="446">
        <v>1</v>
      </c>
      <c r="F700" s="447"/>
      <c r="G700" s="448">
        <f t="shared" si="29"/>
        <v>0</v>
      </c>
      <c r="H700" s="450"/>
      <c r="I700" s="444"/>
      <c r="J700" s="450"/>
      <c r="K700" s="444"/>
      <c r="L700" s="450"/>
      <c r="M700" s="444"/>
      <c r="N700" s="450"/>
      <c r="O700" s="450"/>
      <c r="P700" s="450"/>
      <c r="Q700" s="451" t="s">
        <v>374</v>
      </c>
      <c r="R700" s="451"/>
      <c r="S700" s="452"/>
      <c r="T700" s="452" t="s">
        <v>712</v>
      </c>
      <c r="U700" s="453"/>
      <c r="V700" s="454"/>
      <c r="W700" s="455" t="s">
        <v>406</v>
      </c>
      <c r="X700" s="455">
        <v>45565</v>
      </c>
      <c r="Y700" s="456" t="s">
        <v>377</v>
      </c>
      <c r="Z700" s="457"/>
      <c r="AA700" s="453"/>
    </row>
    <row r="701" spans="1:27" s="128" customFormat="1" ht="37.5">
      <c r="A701" s="443">
        <v>17</v>
      </c>
      <c r="B701" s="444" t="s">
        <v>2649</v>
      </c>
      <c r="C701" s="445" t="s">
        <v>131</v>
      </c>
      <c r="D701" s="444" t="s">
        <v>2650</v>
      </c>
      <c r="E701" s="446">
        <v>1</v>
      </c>
      <c r="F701" s="447"/>
      <c r="G701" s="448">
        <f t="shared" si="29"/>
        <v>0</v>
      </c>
      <c r="H701" s="450"/>
      <c r="I701" s="444"/>
      <c r="J701" s="450"/>
      <c r="K701" s="444" t="s">
        <v>2890</v>
      </c>
      <c r="L701" s="450" t="s">
        <v>979</v>
      </c>
      <c r="M701" s="444" t="s">
        <v>2892</v>
      </c>
      <c r="N701" s="450"/>
      <c r="O701" s="450"/>
      <c r="P701" s="450" t="s">
        <v>2863</v>
      </c>
      <c r="Q701" s="451" t="s">
        <v>374</v>
      </c>
      <c r="R701" s="451" t="s">
        <v>2642</v>
      </c>
      <c r="S701" s="452" t="s">
        <v>2736</v>
      </c>
      <c r="T701" s="452"/>
      <c r="U701" s="453"/>
      <c r="V701" s="454"/>
      <c r="W701" s="455" t="s">
        <v>406</v>
      </c>
      <c r="X701" s="455">
        <v>45579</v>
      </c>
      <c r="Y701" s="456" t="s">
        <v>377</v>
      </c>
      <c r="Z701" s="457"/>
      <c r="AA701" s="453"/>
    </row>
    <row r="702" spans="1:27" s="128" customFormat="1" ht="37.5">
      <c r="A702" s="443">
        <v>18</v>
      </c>
      <c r="B702" s="444" t="s">
        <v>2791</v>
      </c>
      <c r="C702" s="445" t="s">
        <v>131</v>
      </c>
      <c r="D702" s="444" t="s">
        <v>2792</v>
      </c>
      <c r="E702" s="446">
        <v>1</v>
      </c>
      <c r="F702" s="447"/>
      <c r="G702" s="448">
        <f t="shared" si="29"/>
        <v>0</v>
      </c>
      <c r="H702" s="450"/>
      <c r="I702" s="444"/>
      <c r="J702" s="450"/>
      <c r="K702" s="444" t="s">
        <v>2890</v>
      </c>
      <c r="L702" s="450" t="s">
        <v>979</v>
      </c>
      <c r="M702" s="444" t="s">
        <v>2893</v>
      </c>
      <c r="N702" s="450"/>
      <c r="O702" s="450"/>
      <c r="P702" s="450" t="s">
        <v>1890</v>
      </c>
      <c r="Q702" s="451" t="s">
        <v>374</v>
      </c>
      <c r="R702" s="451" t="s">
        <v>269</v>
      </c>
      <c r="S702" s="452" t="s">
        <v>2736</v>
      </c>
      <c r="T702" s="452"/>
      <c r="U702" s="453"/>
      <c r="V702" s="454"/>
      <c r="W702" s="455" t="s">
        <v>406</v>
      </c>
      <c r="X702" s="455">
        <v>45576</v>
      </c>
      <c r="Y702" s="456" t="s">
        <v>377</v>
      </c>
      <c r="Z702" s="457"/>
      <c r="AA702" s="453"/>
    </row>
    <row r="703" spans="1:27" s="128" customFormat="1" ht="37.5">
      <c r="A703" s="443">
        <v>19</v>
      </c>
      <c r="B703" s="444" t="s">
        <v>2649</v>
      </c>
      <c r="C703" s="445" t="s">
        <v>131</v>
      </c>
      <c r="D703" s="444" t="s">
        <v>2650</v>
      </c>
      <c r="E703" s="446">
        <v>1</v>
      </c>
      <c r="F703" s="447"/>
      <c r="G703" s="448">
        <f t="shared" si="29"/>
        <v>0</v>
      </c>
      <c r="H703" s="450"/>
      <c r="I703" s="444"/>
      <c r="J703" s="450"/>
      <c r="K703" s="444" t="s">
        <v>2890</v>
      </c>
      <c r="L703" s="450" t="s">
        <v>979</v>
      </c>
      <c r="M703" s="444" t="s">
        <v>2892</v>
      </c>
      <c r="N703" s="450"/>
      <c r="O703" s="450"/>
      <c r="P703" s="450" t="s">
        <v>2863</v>
      </c>
      <c r="Q703" s="451" t="s">
        <v>374</v>
      </c>
      <c r="R703" s="451" t="s">
        <v>2642</v>
      </c>
      <c r="S703" s="452" t="s">
        <v>2736</v>
      </c>
      <c r="T703" s="452">
        <v>45581</v>
      </c>
      <c r="U703" s="453"/>
      <c r="V703" s="454"/>
      <c r="W703" s="455" t="s">
        <v>406</v>
      </c>
      <c r="X703" s="455">
        <v>45579</v>
      </c>
      <c r="Y703" s="456" t="s">
        <v>377</v>
      </c>
      <c r="Z703" s="457"/>
      <c r="AA703" s="453"/>
    </row>
    <row r="704" spans="1:27" s="128" customFormat="1" ht="37.5">
      <c r="A704" s="443">
        <v>20</v>
      </c>
      <c r="B704" s="444" t="s">
        <v>2587</v>
      </c>
      <c r="C704" s="445" t="s">
        <v>131</v>
      </c>
      <c r="D704" s="444" t="s">
        <v>2588</v>
      </c>
      <c r="E704" s="446">
        <v>1</v>
      </c>
      <c r="F704" s="447"/>
      <c r="G704" s="448">
        <f t="shared" si="29"/>
        <v>0</v>
      </c>
      <c r="H704" s="450"/>
      <c r="I704" s="444"/>
      <c r="J704" s="450"/>
      <c r="K704" s="444" t="s">
        <v>2890</v>
      </c>
      <c r="L704" s="450" t="s">
        <v>979</v>
      </c>
      <c r="M704" s="444" t="s">
        <v>2893</v>
      </c>
      <c r="N704" s="450"/>
      <c r="O704" s="450"/>
      <c r="P704" s="450" t="s">
        <v>1890</v>
      </c>
      <c r="Q704" s="451" t="s">
        <v>374</v>
      </c>
      <c r="R704" s="451" t="s">
        <v>269</v>
      </c>
      <c r="S704" s="452" t="s">
        <v>1045</v>
      </c>
      <c r="T704" s="452"/>
      <c r="U704" s="453"/>
      <c r="V704" s="454"/>
      <c r="W704" s="455" t="s">
        <v>406</v>
      </c>
      <c r="X704" s="455">
        <v>45576</v>
      </c>
      <c r="Y704" s="456" t="s">
        <v>377</v>
      </c>
      <c r="Z704" s="457"/>
      <c r="AA704" s="453"/>
    </row>
    <row r="705" spans="1:27" s="128" customFormat="1" ht="37.5">
      <c r="A705" s="443">
        <v>21</v>
      </c>
      <c r="B705" s="444" t="s">
        <v>2649</v>
      </c>
      <c r="C705" s="445" t="s">
        <v>131</v>
      </c>
      <c r="D705" s="444" t="s">
        <v>2650</v>
      </c>
      <c r="E705" s="446">
        <v>1</v>
      </c>
      <c r="F705" s="447"/>
      <c r="G705" s="448">
        <f t="shared" si="29"/>
        <v>0</v>
      </c>
      <c r="H705" s="450"/>
      <c r="I705" s="444"/>
      <c r="J705" s="450"/>
      <c r="K705" s="444" t="s">
        <v>2890</v>
      </c>
      <c r="L705" s="450" t="s">
        <v>979</v>
      </c>
      <c r="M705" s="444" t="s">
        <v>2892</v>
      </c>
      <c r="N705" s="450"/>
      <c r="O705" s="450"/>
      <c r="P705" s="450" t="s">
        <v>2863</v>
      </c>
      <c r="Q705" s="451" t="s">
        <v>374</v>
      </c>
      <c r="R705" s="451" t="s">
        <v>2642</v>
      </c>
      <c r="S705" s="452" t="s">
        <v>2736</v>
      </c>
      <c r="T705" s="452">
        <v>45581</v>
      </c>
      <c r="U705" s="453"/>
      <c r="V705" s="454"/>
      <c r="W705" s="455" t="s">
        <v>406</v>
      </c>
      <c r="X705" s="455">
        <v>45579</v>
      </c>
      <c r="Y705" s="456" t="s">
        <v>377</v>
      </c>
      <c r="Z705" s="457"/>
      <c r="AA705" s="453"/>
    </row>
    <row r="706" spans="1:27" s="128" customFormat="1" ht="37.5">
      <c r="A706" s="443">
        <v>22</v>
      </c>
      <c r="B706" s="444" t="s">
        <v>2587</v>
      </c>
      <c r="C706" s="445" t="s">
        <v>131</v>
      </c>
      <c r="D706" s="444" t="s">
        <v>2588</v>
      </c>
      <c r="E706" s="446">
        <v>1</v>
      </c>
      <c r="F706" s="447"/>
      <c r="G706" s="448">
        <f t="shared" si="29"/>
        <v>0</v>
      </c>
      <c r="H706" s="450"/>
      <c r="I706" s="444"/>
      <c r="J706" s="450"/>
      <c r="K706" s="444" t="s">
        <v>2890</v>
      </c>
      <c r="L706" s="450" t="s">
        <v>979</v>
      </c>
      <c r="M706" s="444" t="s">
        <v>2893</v>
      </c>
      <c r="N706" s="450"/>
      <c r="O706" s="450"/>
      <c r="P706" s="450" t="s">
        <v>1890</v>
      </c>
      <c r="Q706" s="451" t="s">
        <v>374</v>
      </c>
      <c r="R706" s="451" t="s">
        <v>269</v>
      </c>
      <c r="S706" s="452" t="s">
        <v>1045</v>
      </c>
      <c r="T706" s="452">
        <v>45588</v>
      </c>
      <c r="U706" s="453"/>
      <c r="V706" s="454"/>
      <c r="W706" s="455" t="s">
        <v>406</v>
      </c>
      <c r="X706" s="455">
        <v>45576</v>
      </c>
      <c r="Y706" s="456" t="s">
        <v>377</v>
      </c>
      <c r="Z706" s="457"/>
      <c r="AA706" s="453"/>
    </row>
    <row r="707" spans="1:27" s="128" customFormat="1">
      <c r="A707" s="443">
        <v>23</v>
      </c>
      <c r="B707" s="444" t="s">
        <v>2577</v>
      </c>
      <c r="C707" s="445" t="s">
        <v>131</v>
      </c>
      <c r="D707" s="444" t="s">
        <v>2578</v>
      </c>
      <c r="E707" s="446">
        <v>4</v>
      </c>
      <c r="F707" s="447"/>
      <c r="G707" s="448">
        <f t="shared" si="29"/>
        <v>0</v>
      </c>
      <c r="H707" s="450"/>
      <c r="I707" s="444"/>
      <c r="J707" s="450"/>
      <c r="K707" s="444"/>
      <c r="L707" s="450"/>
      <c r="M707" s="444"/>
      <c r="N707" s="450"/>
      <c r="O707" s="450"/>
      <c r="P707" s="450"/>
      <c r="Q707" s="451" t="s">
        <v>374</v>
      </c>
      <c r="R707" s="451"/>
      <c r="S707" s="452"/>
      <c r="T707" s="452" t="s">
        <v>712</v>
      </c>
      <c r="U707" s="453"/>
      <c r="V707" s="454"/>
      <c r="W707" s="455" t="s">
        <v>406</v>
      </c>
      <c r="X707" s="455">
        <v>45565</v>
      </c>
      <c r="Y707" s="456" t="s">
        <v>377</v>
      </c>
      <c r="Z707" s="457"/>
      <c r="AA707" s="453"/>
    </row>
    <row r="708" spans="1:27" s="128" customFormat="1">
      <c r="A708" s="443">
        <v>24</v>
      </c>
      <c r="B708" s="444" t="s">
        <v>2579</v>
      </c>
      <c r="C708" s="445" t="s">
        <v>131</v>
      </c>
      <c r="D708" s="444" t="s">
        <v>2580</v>
      </c>
      <c r="E708" s="446">
        <v>2</v>
      </c>
      <c r="F708" s="447"/>
      <c r="G708" s="448">
        <f t="shared" si="29"/>
        <v>0</v>
      </c>
      <c r="H708" s="450"/>
      <c r="I708" s="444"/>
      <c r="J708" s="450"/>
      <c r="K708" s="444"/>
      <c r="L708" s="450"/>
      <c r="M708" s="444"/>
      <c r="N708" s="450"/>
      <c r="O708" s="450"/>
      <c r="P708" s="450"/>
      <c r="Q708" s="451" t="s">
        <v>374</v>
      </c>
      <c r="R708" s="451"/>
      <c r="S708" s="452"/>
      <c r="T708" s="452" t="s">
        <v>712</v>
      </c>
      <c r="U708" s="453"/>
      <c r="V708" s="454"/>
      <c r="W708" s="455" t="s">
        <v>406</v>
      </c>
      <c r="X708" s="455">
        <v>45565</v>
      </c>
      <c r="Y708" s="456" t="s">
        <v>377</v>
      </c>
      <c r="Z708" s="457"/>
      <c r="AA708" s="453"/>
    </row>
    <row r="709" spans="1:27" s="128" customFormat="1">
      <c r="A709" s="443">
        <v>25</v>
      </c>
      <c r="B709" s="444" t="s">
        <v>2585</v>
      </c>
      <c r="C709" s="445" t="s">
        <v>131</v>
      </c>
      <c r="D709" s="444" t="s">
        <v>2586</v>
      </c>
      <c r="E709" s="446">
        <v>2</v>
      </c>
      <c r="F709" s="447"/>
      <c r="G709" s="448">
        <f t="shared" si="29"/>
        <v>0</v>
      </c>
      <c r="H709" s="450"/>
      <c r="I709" s="444"/>
      <c r="J709" s="450"/>
      <c r="K709" s="444"/>
      <c r="L709" s="450"/>
      <c r="M709" s="444"/>
      <c r="N709" s="450"/>
      <c r="O709" s="450"/>
      <c r="P709" s="450"/>
      <c r="Q709" s="451" t="s">
        <v>374</v>
      </c>
      <c r="R709" s="451"/>
      <c r="S709" s="452"/>
      <c r="T709" s="452" t="s">
        <v>712</v>
      </c>
      <c r="U709" s="453"/>
      <c r="V709" s="454"/>
      <c r="W709" s="455" t="s">
        <v>406</v>
      </c>
      <c r="X709" s="455">
        <v>45565</v>
      </c>
      <c r="Y709" s="456" t="s">
        <v>377</v>
      </c>
      <c r="Z709" s="457"/>
      <c r="AA709" s="453"/>
    </row>
    <row r="710" spans="1:27" s="128" customFormat="1">
      <c r="A710" s="443">
        <v>26</v>
      </c>
      <c r="B710" s="444" t="s">
        <v>2583</v>
      </c>
      <c r="C710" s="445" t="s">
        <v>131</v>
      </c>
      <c r="D710" s="444" t="s">
        <v>2584</v>
      </c>
      <c r="E710" s="446">
        <v>2</v>
      </c>
      <c r="F710" s="447"/>
      <c r="G710" s="448">
        <f t="shared" si="29"/>
        <v>0</v>
      </c>
      <c r="H710" s="450"/>
      <c r="I710" s="444"/>
      <c r="J710" s="450"/>
      <c r="K710" s="444"/>
      <c r="L710" s="450"/>
      <c r="M710" s="444"/>
      <c r="N710" s="450"/>
      <c r="O710" s="450"/>
      <c r="P710" s="450"/>
      <c r="Q710" s="451" t="s">
        <v>374</v>
      </c>
      <c r="R710" s="451"/>
      <c r="S710" s="452"/>
      <c r="T710" s="452" t="s">
        <v>712</v>
      </c>
      <c r="U710" s="453"/>
      <c r="V710" s="454"/>
      <c r="W710" s="455" t="s">
        <v>406</v>
      </c>
      <c r="X710" s="455">
        <v>45565</v>
      </c>
      <c r="Y710" s="456" t="s">
        <v>377</v>
      </c>
      <c r="Z710" s="457"/>
      <c r="AA710" s="453"/>
    </row>
    <row r="711" spans="1:27" s="128" customFormat="1">
      <c r="A711" s="443">
        <v>27</v>
      </c>
      <c r="B711" s="444" t="s">
        <v>2581</v>
      </c>
      <c r="C711" s="445" t="s">
        <v>131</v>
      </c>
      <c r="D711" s="444" t="s">
        <v>2582</v>
      </c>
      <c r="E711" s="446">
        <v>2</v>
      </c>
      <c r="F711" s="447"/>
      <c r="G711" s="448">
        <f t="shared" si="29"/>
        <v>0</v>
      </c>
      <c r="H711" s="450"/>
      <c r="I711" s="444"/>
      <c r="J711" s="450"/>
      <c r="K711" s="444"/>
      <c r="L711" s="450"/>
      <c r="M711" s="444"/>
      <c r="N711" s="450"/>
      <c r="O711" s="450"/>
      <c r="P711" s="450"/>
      <c r="Q711" s="451" t="s">
        <v>374</v>
      </c>
      <c r="R711" s="451"/>
      <c r="S711" s="452"/>
      <c r="T711" s="452" t="s">
        <v>712</v>
      </c>
      <c r="U711" s="453"/>
      <c r="V711" s="454"/>
      <c r="W711" s="455" t="s">
        <v>406</v>
      </c>
      <c r="X711" s="455">
        <v>45565</v>
      </c>
      <c r="Y711" s="456" t="s">
        <v>377</v>
      </c>
      <c r="Z711" s="457"/>
      <c r="AA711" s="453"/>
    </row>
    <row r="712" spans="1:27" s="128" customFormat="1">
      <c r="A712" s="443">
        <v>28</v>
      </c>
      <c r="B712" s="444" t="s">
        <v>2579</v>
      </c>
      <c r="C712" s="445" t="s">
        <v>131</v>
      </c>
      <c r="D712" s="444" t="s">
        <v>2580</v>
      </c>
      <c r="E712" s="446">
        <v>1</v>
      </c>
      <c r="F712" s="447"/>
      <c r="G712" s="448">
        <f t="shared" si="29"/>
        <v>0</v>
      </c>
      <c r="H712" s="450"/>
      <c r="I712" s="444"/>
      <c r="J712" s="450"/>
      <c r="K712" s="444"/>
      <c r="L712" s="450"/>
      <c r="M712" s="444"/>
      <c r="N712" s="450"/>
      <c r="O712" s="450"/>
      <c r="P712" s="450"/>
      <c r="Q712" s="451" t="s">
        <v>374</v>
      </c>
      <c r="R712" s="451"/>
      <c r="S712" s="452"/>
      <c r="T712" s="452" t="s">
        <v>712</v>
      </c>
      <c r="U712" s="453"/>
      <c r="V712" s="454"/>
      <c r="W712" s="455" t="s">
        <v>406</v>
      </c>
      <c r="X712" s="455">
        <v>45565</v>
      </c>
      <c r="Y712" s="456" t="s">
        <v>377</v>
      </c>
      <c r="Z712" s="457"/>
      <c r="AA712" s="453"/>
    </row>
    <row r="713" spans="1:27" s="128" customFormat="1">
      <c r="A713" s="443">
        <v>29</v>
      </c>
      <c r="B713" s="444" t="s">
        <v>2583</v>
      </c>
      <c r="C713" s="445" t="s">
        <v>131</v>
      </c>
      <c r="D713" s="444" t="s">
        <v>2584</v>
      </c>
      <c r="E713" s="446">
        <v>1</v>
      </c>
      <c r="F713" s="447"/>
      <c r="G713" s="448">
        <f t="shared" si="29"/>
        <v>0</v>
      </c>
      <c r="H713" s="450"/>
      <c r="I713" s="444"/>
      <c r="J713" s="450"/>
      <c r="K713" s="444"/>
      <c r="L713" s="450"/>
      <c r="M713" s="444"/>
      <c r="N713" s="450"/>
      <c r="O713" s="450"/>
      <c r="P713" s="450"/>
      <c r="Q713" s="451" t="s">
        <v>374</v>
      </c>
      <c r="R713" s="451"/>
      <c r="S713" s="452"/>
      <c r="T713" s="452" t="s">
        <v>712</v>
      </c>
      <c r="U713" s="453"/>
      <c r="V713" s="454"/>
      <c r="W713" s="455" t="s">
        <v>406</v>
      </c>
      <c r="X713" s="455">
        <v>45565</v>
      </c>
      <c r="Y713" s="456" t="s">
        <v>377</v>
      </c>
      <c r="Z713" s="457"/>
      <c r="AA713" s="453"/>
    </row>
    <row r="714" spans="1:27" s="128" customFormat="1">
      <c r="A714" s="443">
        <v>30</v>
      </c>
      <c r="B714" s="444" t="s">
        <v>2577</v>
      </c>
      <c r="C714" s="445" t="s">
        <v>131</v>
      </c>
      <c r="D714" s="444" t="s">
        <v>2578</v>
      </c>
      <c r="E714" s="446">
        <v>10</v>
      </c>
      <c r="F714" s="447"/>
      <c r="G714" s="448">
        <f t="shared" si="29"/>
        <v>0</v>
      </c>
      <c r="H714" s="450"/>
      <c r="I714" s="444"/>
      <c r="J714" s="450"/>
      <c r="K714" s="444"/>
      <c r="L714" s="450"/>
      <c r="M714" s="444"/>
      <c r="N714" s="450"/>
      <c r="O714" s="450"/>
      <c r="P714" s="450"/>
      <c r="Q714" s="451" t="s">
        <v>374</v>
      </c>
      <c r="R714" s="451"/>
      <c r="S714" s="452"/>
      <c r="T714" s="452" t="s">
        <v>712</v>
      </c>
      <c r="U714" s="453"/>
      <c r="V714" s="454"/>
      <c r="W714" s="455" t="s">
        <v>406</v>
      </c>
      <c r="X714" s="455">
        <v>45565</v>
      </c>
      <c r="Y714" s="456" t="s">
        <v>377</v>
      </c>
      <c r="Z714" s="457"/>
      <c r="AA714" s="453"/>
    </row>
    <row r="715" spans="1:27" s="128" customFormat="1">
      <c r="A715" s="443">
        <v>31</v>
      </c>
      <c r="B715" s="444" t="s">
        <v>2579</v>
      </c>
      <c r="C715" s="445" t="s">
        <v>131</v>
      </c>
      <c r="D715" s="444" t="s">
        <v>2580</v>
      </c>
      <c r="E715" s="446">
        <v>2</v>
      </c>
      <c r="F715" s="447"/>
      <c r="G715" s="448">
        <f t="shared" si="29"/>
        <v>0</v>
      </c>
      <c r="H715" s="450"/>
      <c r="I715" s="444"/>
      <c r="J715" s="450"/>
      <c r="K715" s="444"/>
      <c r="L715" s="450"/>
      <c r="M715" s="444"/>
      <c r="N715" s="450"/>
      <c r="O715" s="450"/>
      <c r="P715" s="450"/>
      <c r="Q715" s="451" t="s">
        <v>374</v>
      </c>
      <c r="R715" s="451"/>
      <c r="S715" s="452"/>
      <c r="T715" s="452" t="s">
        <v>712</v>
      </c>
      <c r="U715" s="453"/>
      <c r="V715" s="454"/>
      <c r="W715" s="455" t="s">
        <v>406</v>
      </c>
      <c r="X715" s="455">
        <v>45565</v>
      </c>
      <c r="Y715" s="456" t="s">
        <v>377</v>
      </c>
      <c r="Z715" s="457"/>
      <c r="AA715" s="453"/>
    </row>
    <row r="716" spans="1:27" s="128" customFormat="1">
      <c r="A716" s="443">
        <v>32</v>
      </c>
      <c r="B716" s="444" t="s">
        <v>2585</v>
      </c>
      <c r="C716" s="445" t="s">
        <v>131</v>
      </c>
      <c r="D716" s="444" t="s">
        <v>2586</v>
      </c>
      <c r="E716" s="446">
        <v>2</v>
      </c>
      <c r="F716" s="447"/>
      <c r="G716" s="448">
        <f t="shared" si="29"/>
        <v>0</v>
      </c>
      <c r="H716" s="450"/>
      <c r="I716" s="444"/>
      <c r="J716" s="450"/>
      <c r="K716" s="444"/>
      <c r="L716" s="450"/>
      <c r="M716" s="444"/>
      <c r="N716" s="450"/>
      <c r="O716" s="450"/>
      <c r="P716" s="450"/>
      <c r="Q716" s="451" t="s">
        <v>374</v>
      </c>
      <c r="R716" s="451"/>
      <c r="S716" s="452"/>
      <c r="T716" s="452" t="s">
        <v>712</v>
      </c>
      <c r="U716" s="453"/>
      <c r="V716" s="454"/>
      <c r="W716" s="455" t="s">
        <v>406</v>
      </c>
      <c r="X716" s="455">
        <v>45565</v>
      </c>
      <c r="Y716" s="456" t="s">
        <v>377</v>
      </c>
      <c r="Z716" s="457"/>
      <c r="AA716" s="453"/>
    </row>
    <row r="717" spans="1:27" s="128" customFormat="1">
      <c r="A717" s="443">
        <v>33</v>
      </c>
      <c r="B717" s="444" t="s">
        <v>2593</v>
      </c>
      <c r="C717" s="445" t="s">
        <v>131</v>
      </c>
      <c r="D717" s="444" t="s">
        <v>2594</v>
      </c>
      <c r="E717" s="446">
        <v>4</v>
      </c>
      <c r="F717" s="447"/>
      <c r="G717" s="448">
        <f t="shared" ref="G717:G748" si="30">E717*F717</f>
        <v>0</v>
      </c>
      <c r="H717" s="450"/>
      <c r="I717" s="444"/>
      <c r="J717" s="450"/>
      <c r="K717" s="444"/>
      <c r="L717" s="450"/>
      <c r="M717" s="444"/>
      <c r="N717" s="450"/>
      <c r="O717" s="450"/>
      <c r="P717" s="450"/>
      <c r="Q717" s="451" t="s">
        <v>374</v>
      </c>
      <c r="R717" s="451"/>
      <c r="S717" s="452"/>
      <c r="T717" s="452" t="s">
        <v>712</v>
      </c>
      <c r="U717" s="453"/>
      <c r="V717" s="454"/>
      <c r="W717" s="455" t="s">
        <v>406</v>
      </c>
      <c r="X717" s="455">
        <v>45565</v>
      </c>
      <c r="Y717" s="456" t="s">
        <v>377</v>
      </c>
      <c r="Z717" s="457"/>
      <c r="AA717" s="453"/>
    </row>
    <row r="718" spans="1:27" s="128" customFormat="1">
      <c r="A718" s="443">
        <v>34</v>
      </c>
      <c r="B718" s="444" t="s">
        <v>2577</v>
      </c>
      <c r="C718" s="445" t="s">
        <v>131</v>
      </c>
      <c r="D718" s="444" t="s">
        <v>2578</v>
      </c>
      <c r="E718" s="446">
        <v>4</v>
      </c>
      <c r="F718" s="447"/>
      <c r="G718" s="448">
        <f t="shared" si="30"/>
        <v>0</v>
      </c>
      <c r="H718" s="450"/>
      <c r="I718" s="444"/>
      <c r="J718" s="450"/>
      <c r="K718" s="444"/>
      <c r="L718" s="450"/>
      <c r="M718" s="444"/>
      <c r="N718" s="450"/>
      <c r="O718" s="450"/>
      <c r="P718" s="450"/>
      <c r="Q718" s="451" t="s">
        <v>374</v>
      </c>
      <c r="R718" s="451"/>
      <c r="S718" s="452"/>
      <c r="T718" s="452" t="s">
        <v>712</v>
      </c>
      <c r="U718" s="453"/>
      <c r="V718" s="454"/>
      <c r="W718" s="455" t="s">
        <v>406</v>
      </c>
      <c r="X718" s="455">
        <v>45565</v>
      </c>
      <c r="Y718" s="456" t="s">
        <v>377</v>
      </c>
      <c r="Z718" s="457"/>
      <c r="AA718" s="453"/>
    </row>
    <row r="719" spans="1:27" s="128" customFormat="1">
      <c r="A719" s="443">
        <v>35</v>
      </c>
      <c r="B719" s="444" t="s">
        <v>2579</v>
      </c>
      <c r="C719" s="445" t="s">
        <v>131</v>
      </c>
      <c r="D719" s="444" t="s">
        <v>2580</v>
      </c>
      <c r="E719" s="446">
        <v>2</v>
      </c>
      <c r="F719" s="447"/>
      <c r="G719" s="448">
        <f t="shared" si="30"/>
        <v>0</v>
      </c>
      <c r="H719" s="450"/>
      <c r="I719" s="444"/>
      <c r="J719" s="450"/>
      <c r="K719" s="444"/>
      <c r="L719" s="450"/>
      <c r="M719" s="444"/>
      <c r="N719" s="450"/>
      <c r="O719" s="450"/>
      <c r="P719" s="450"/>
      <c r="Q719" s="451" t="s">
        <v>374</v>
      </c>
      <c r="R719" s="451"/>
      <c r="S719" s="452"/>
      <c r="T719" s="452" t="s">
        <v>712</v>
      </c>
      <c r="U719" s="453"/>
      <c r="V719" s="454"/>
      <c r="W719" s="455" t="s">
        <v>406</v>
      </c>
      <c r="X719" s="455">
        <v>45565</v>
      </c>
      <c r="Y719" s="456" t="s">
        <v>377</v>
      </c>
      <c r="Z719" s="457"/>
      <c r="AA719" s="453"/>
    </row>
    <row r="720" spans="1:27" s="128" customFormat="1">
      <c r="A720" s="443">
        <v>36</v>
      </c>
      <c r="B720" s="444" t="s">
        <v>2585</v>
      </c>
      <c r="C720" s="445" t="s">
        <v>131</v>
      </c>
      <c r="D720" s="444" t="s">
        <v>2586</v>
      </c>
      <c r="E720" s="446">
        <v>2</v>
      </c>
      <c r="F720" s="447"/>
      <c r="G720" s="448">
        <f t="shared" si="30"/>
        <v>0</v>
      </c>
      <c r="H720" s="450"/>
      <c r="I720" s="444"/>
      <c r="J720" s="450"/>
      <c r="K720" s="444"/>
      <c r="L720" s="450"/>
      <c r="M720" s="444"/>
      <c r="N720" s="450"/>
      <c r="O720" s="450"/>
      <c r="P720" s="450"/>
      <c r="Q720" s="451" t="s">
        <v>374</v>
      </c>
      <c r="R720" s="451"/>
      <c r="S720" s="452"/>
      <c r="T720" s="452" t="s">
        <v>712</v>
      </c>
      <c r="U720" s="453"/>
      <c r="V720" s="454"/>
      <c r="W720" s="455" t="s">
        <v>406</v>
      </c>
      <c r="X720" s="455">
        <v>45565</v>
      </c>
      <c r="Y720" s="456" t="s">
        <v>377</v>
      </c>
      <c r="Z720" s="457"/>
      <c r="AA720" s="453"/>
    </row>
    <row r="721" spans="1:27" s="128" customFormat="1">
      <c r="A721" s="443">
        <v>37</v>
      </c>
      <c r="B721" s="444" t="s">
        <v>2583</v>
      </c>
      <c r="C721" s="445" t="s">
        <v>131</v>
      </c>
      <c r="D721" s="444" t="s">
        <v>2584</v>
      </c>
      <c r="E721" s="446">
        <v>2</v>
      </c>
      <c r="F721" s="447"/>
      <c r="G721" s="448">
        <f t="shared" si="30"/>
        <v>0</v>
      </c>
      <c r="H721" s="450"/>
      <c r="I721" s="444"/>
      <c r="J721" s="450"/>
      <c r="K721" s="444"/>
      <c r="L721" s="450"/>
      <c r="M721" s="444"/>
      <c r="N721" s="450"/>
      <c r="O721" s="450"/>
      <c r="P721" s="450"/>
      <c r="Q721" s="451" t="s">
        <v>374</v>
      </c>
      <c r="R721" s="451"/>
      <c r="S721" s="452"/>
      <c r="T721" s="452" t="s">
        <v>712</v>
      </c>
      <c r="U721" s="453"/>
      <c r="V721" s="454"/>
      <c r="W721" s="455" t="s">
        <v>406</v>
      </c>
      <c r="X721" s="455">
        <v>45565</v>
      </c>
      <c r="Y721" s="456" t="s">
        <v>377</v>
      </c>
      <c r="Z721" s="457"/>
      <c r="AA721" s="453"/>
    </row>
    <row r="722" spans="1:27" s="128" customFormat="1">
      <c r="A722" s="443">
        <v>38</v>
      </c>
      <c r="B722" s="444" t="s">
        <v>2595</v>
      </c>
      <c r="C722" s="445" t="s">
        <v>131</v>
      </c>
      <c r="D722" s="444" t="s">
        <v>2596</v>
      </c>
      <c r="E722" s="446">
        <v>1</v>
      </c>
      <c r="F722" s="447"/>
      <c r="G722" s="448">
        <f t="shared" si="30"/>
        <v>0</v>
      </c>
      <c r="H722" s="450"/>
      <c r="I722" s="444"/>
      <c r="J722" s="450"/>
      <c r="K722" s="444"/>
      <c r="L722" s="450"/>
      <c r="M722" s="444"/>
      <c r="N722" s="450"/>
      <c r="O722" s="450"/>
      <c r="P722" s="450"/>
      <c r="Q722" s="451" t="s">
        <v>374</v>
      </c>
      <c r="R722" s="451"/>
      <c r="S722" s="452"/>
      <c r="T722" s="452"/>
      <c r="U722" s="453"/>
      <c r="V722" s="454"/>
      <c r="W722" s="455" t="s">
        <v>406</v>
      </c>
      <c r="X722" s="455">
        <v>45565</v>
      </c>
      <c r="Y722" s="456" t="s">
        <v>377</v>
      </c>
      <c r="Z722" s="457"/>
      <c r="AA722" s="453"/>
    </row>
    <row r="723" spans="1:27" s="128" customFormat="1">
      <c r="A723" s="443">
        <v>39</v>
      </c>
      <c r="B723" s="444" t="s">
        <v>2597</v>
      </c>
      <c r="C723" s="445" t="s">
        <v>131</v>
      </c>
      <c r="D723" s="444" t="s">
        <v>2598</v>
      </c>
      <c r="E723" s="446">
        <v>1</v>
      </c>
      <c r="F723" s="447"/>
      <c r="G723" s="448">
        <f t="shared" si="30"/>
        <v>0</v>
      </c>
      <c r="H723" s="450"/>
      <c r="I723" s="444"/>
      <c r="J723" s="450"/>
      <c r="K723" s="444"/>
      <c r="L723" s="450"/>
      <c r="M723" s="444"/>
      <c r="N723" s="450"/>
      <c r="O723" s="450"/>
      <c r="P723" s="450"/>
      <c r="Q723" s="451" t="s">
        <v>374</v>
      </c>
      <c r="R723" s="451"/>
      <c r="S723" s="452"/>
      <c r="T723" s="452"/>
      <c r="U723" s="453"/>
      <c r="V723" s="454"/>
      <c r="W723" s="455" t="s">
        <v>406</v>
      </c>
      <c r="X723" s="455">
        <v>45565</v>
      </c>
      <c r="Y723" s="456" t="s">
        <v>377</v>
      </c>
      <c r="Z723" s="457"/>
      <c r="AA723" s="453"/>
    </row>
    <row r="724" spans="1:27" s="128" customFormat="1">
      <c r="A724" s="443">
        <v>40</v>
      </c>
      <c r="B724" s="444" t="s">
        <v>2577</v>
      </c>
      <c r="C724" s="445" t="s">
        <v>131</v>
      </c>
      <c r="D724" s="444" t="s">
        <v>2578</v>
      </c>
      <c r="E724" s="446">
        <v>2</v>
      </c>
      <c r="F724" s="447"/>
      <c r="G724" s="448">
        <f t="shared" si="30"/>
        <v>0</v>
      </c>
      <c r="H724" s="450"/>
      <c r="I724" s="444"/>
      <c r="J724" s="450"/>
      <c r="K724" s="444"/>
      <c r="L724" s="450"/>
      <c r="M724" s="444"/>
      <c r="N724" s="450"/>
      <c r="O724" s="450"/>
      <c r="P724" s="450"/>
      <c r="Q724" s="451" t="s">
        <v>374</v>
      </c>
      <c r="R724" s="451"/>
      <c r="S724" s="452"/>
      <c r="T724" s="452" t="s">
        <v>712</v>
      </c>
      <c r="U724" s="453"/>
      <c r="V724" s="454"/>
      <c r="W724" s="455" t="s">
        <v>406</v>
      </c>
      <c r="X724" s="455">
        <v>45565</v>
      </c>
      <c r="Y724" s="456" t="s">
        <v>377</v>
      </c>
      <c r="Z724" s="457"/>
      <c r="AA724" s="453"/>
    </row>
    <row r="725" spans="1:27" s="128" customFormat="1">
      <c r="A725" s="443">
        <v>41</v>
      </c>
      <c r="B725" s="444" t="s">
        <v>2579</v>
      </c>
      <c r="C725" s="445" t="s">
        <v>131</v>
      </c>
      <c r="D725" s="444" t="s">
        <v>2580</v>
      </c>
      <c r="E725" s="446">
        <v>2</v>
      </c>
      <c r="F725" s="447"/>
      <c r="G725" s="448">
        <f t="shared" si="30"/>
        <v>0</v>
      </c>
      <c r="H725" s="450"/>
      <c r="I725" s="444"/>
      <c r="J725" s="450"/>
      <c r="K725" s="444"/>
      <c r="L725" s="450"/>
      <c r="M725" s="444"/>
      <c r="N725" s="450"/>
      <c r="O725" s="450"/>
      <c r="P725" s="450"/>
      <c r="Q725" s="451" t="s">
        <v>374</v>
      </c>
      <c r="R725" s="451"/>
      <c r="S725" s="452"/>
      <c r="T725" s="452" t="s">
        <v>712</v>
      </c>
      <c r="U725" s="453"/>
      <c r="V725" s="454"/>
      <c r="W725" s="455" t="s">
        <v>406</v>
      </c>
      <c r="X725" s="455">
        <v>45565</v>
      </c>
      <c r="Y725" s="456" t="s">
        <v>377</v>
      </c>
      <c r="Z725" s="457"/>
      <c r="AA725" s="453"/>
    </row>
    <row r="726" spans="1:27" s="128" customFormat="1">
      <c r="A726" s="443">
        <v>42</v>
      </c>
      <c r="B726" s="444" t="s">
        <v>2585</v>
      </c>
      <c r="C726" s="445" t="s">
        <v>131</v>
      </c>
      <c r="D726" s="444" t="s">
        <v>2586</v>
      </c>
      <c r="E726" s="446">
        <v>2</v>
      </c>
      <c r="F726" s="447"/>
      <c r="G726" s="448">
        <f t="shared" si="30"/>
        <v>0</v>
      </c>
      <c r="H726" s="450"/>
      <c r="I726" s="444"/>
      <c r="J726" s="450"/>
      <c r="K726" s="444"/>
      <c r="L726" s="450"/>
      <c r="M726" s="444"/>
      <c r="N726" s="450"/>
      <c r="O726" s="450"/>
      <c r="P726" s="450"/>
      <c r="Q726" s="451" t="s">
        <v>374</v>
      </c>
      <c r="R726" s="451"/>
      <c r="S726" s="452"/>
      <c r="T726" s="452" t="s">
        <v>712</v>
      </c>
      <c r="U726" s="453"/>
      <c r="V726" s="454"/>
      <c r="W726" s="455" t="s">
        <v>406</v>
      </c>
      <c r="X726" s="455">
        <v>45565</v>
      </c>
      <c r="Y726" s="456" t="s">
        <v>377</v>
      </c>
      <c r="Z726" s="457"/>
      <c r="AA726" s="453"/>
    </row>
    <row r="727" spans="1:27" s="128" customFormat="1">
      <c r="A727" s="443">
        <v>43</v>
      </c>
      <c r="B727" s="444" t="s">
        <v>2583</v>
      </c>
      <c r="C727" s="445" t="s">
        <v>131</v>
      </c>
      <c r="D727" s="444" t="s">
        <v>2584</v>
      </c>
      <c r="E727" s="446">
        <v>2</v>
      </c>
      <c r="F727" s="447"/>
      <c r="G727" s="448">
        <f t="shared" si="30"/>
        <v>0</v>
      </c>
      <c r="H727" s="450"/>
      <c r="I727" s="444"/>
      <c r="J727" s="450"/>
      <c r="K727" s="444"/>
      <c r="L727" s="450"/>
      <c r="M727" s="444"/>
      <c r="N727" s="450"/>
      <c r="O727" s="450"/>
      <c r="P727" s="450"/>
      <c r="Q727" s="451" t="s">
        <v>374</v>
      </c>
      <c r="R727" s="451"/>
      <c r="S727" s="452"/>
      <c r="T727" s="452" t="s">
        <v>712</v>
      </c>
      <c r="U727" s="453"/>
      <c r="V727" s="454"/>
      <c r="W727" s="455" t="s">
        <v>406</v>
      </c>
      <c r="X727" s="455">
        <v>45565</v>
      </c>
      <c r="Y727" s="456" t="s">
        <v>377</v>
      </c>
      <c r="Z727" s="457"/>
      <c r="AA727" s="453"/>
    </row>
    <row r="728" spans="1:27" s="128" customFormat="1" ht="37.5">
      <c r="A728" s="443">
        <v>44</v>
      </c>
      <c r="B728" s="444" t="s">
        <v>2645</v>
      </c>
      <c r="C728" s="445" t="s">
        <v>131</v>
      </c>
      <c r="D728" s="444" t="s">
        <v>2646</v>
      </c>
      <c r="E728" s="446">
        <v>1</v>
      </c>
      <c r="F728" s="447"/>
      <c r="G728" s="448">
        <f t="shared" si="30"/>
        <v>0</v>
      </c>
      <c r="H728" s="450"/>
      <c r="I728" s="444"/>
      <c r="J728" s="450"/>
      <c r="K728" s="444" t="s">
        <v>2890</v>
      </c>
      <c r="L728" s="450" t="s">
        <v>979</v>
      </c>
      <c r="M728" s="444" t="s">
        <v>2893</v>
      </c>
      <c r="N728" s="450"/>
      <c r="O728" s="450"/>
      <c r="P728" s="450" t="s">
        <v>1890</v>
      </c>
      <c r="Q728" s="451" t="s">
        <v>374</v>
      </c>
      <c r="R728" s="451" t="s">
        <v>269</v>
      </c>
      <c r="S728" s="452" t="s">
        <v>2736</v>
      </c>
      <c r="T728" s="452"/>
      <c r="U728" s="453"/>
      <c r="V728" s="454"/>
      <c r="W728" s="455" t="s">
        <v>406</v>
      </c>
      <c r="X728" s="455">
        <v>45576</v>
      </c>
      <c r="Y728" s="456" t="s">
        <v>377</v>
      </c>
      <c r="Z728" s="457"/>
      <c r="AA728" s="453"/>
    </row>
    <row r="729" spans="1:27" s="128" customFormat="1">
      <c r="A729" s="443">
        <v>45</v>
      </c>
      <c r="B729" s="444" t="s">
        <v>2813</v>
      </c>
      <c r="C729" s="445" t="s">
        <v>131</v>
      </c>
      <c r="D729" s="444" t="s">
        <v>2814</v>
      </c>
      <c r="E729" s="446">
        <v>4</v>
      </c>
      <c r="F729" s="447"/>
      <c r="G729" s="448">
        <f t="shared" si="30"/>
        <v>0</v>
      </c>
      <c r="H729" s="450"/>
      <c r="I729" s="444"/>
      <c r="J729" s="450"/>
      <c r="K729" s="444"/>
      <c r="L729" s="450"/>
      <c r="M729" s="444"/>
      <c r="N729" s="450"/>
      <c r="O729" s="450"/>
      <c r="P729" s="450"/>
      <c r="Q729" s="451" t="s">
        <v>374</v>
      </c>
      <c r="R729" s="451"/>
      <c r="S729" s="452"/>
      <c r="T729" s="452"/>
      <c r="U729" s="453"/>
      <c r="V729" s="454"/>
      <c r="W729" s="455" t="s">
        <v>406</v>
      </c>
      <c r="X729" s="455">
        <v>45565</v>
      </c>
      <c r="Y729" s="456" t="s">
        <v>377</v>
      </c>
      <c r="Z729" s="457"/>
      <c r="AA729" s="453"/>
    </row>
    <row r="730" spans="1:27" s="128" customFormat="1">
      <c r="A730" s="443">
        <v>46</v>
      </c>
      <c r="B730" s="444" t="s">
        <v>2815</v>
      </c>
      <c r="C730" s="445" t="s">
        <v>131</v>
      </c>
      <c r="D730" s="444" t="s">
        <v>2816</v>
      </c>
      <c r="E730" s="446">
        <v>4</v>
      </c>
      <c r="F730" s="447"/>
      <c r="G730" s="448">
        <f t="shared" si="30"/>
        <v>0</v>
      </c>
      <c r="H730" s="450"/>
      <c r="I730" s="444"/>
      <c r="J730" s="450"/>
      <c r="K730" s="444"/>
      <c r="L730" s="450"/>
      <c r="M730" s="444"/>
      <c r="N730" s="450"/>
      <c r="O730" s="450"/>
      <c r="P730" s="450"/>
      <c r="Q730" s="451" t="s">
        <v>374</v>
      </c>
      <c r="R730" s="451"/>
      <c r="S730" s="452"/>
      <c r="T730" s="452"/>
      <c r="U730" s="453"/>
      <c r="V730" s="454"/>
      <c r="W730" s="455" t="s">
        <v>406</v>
      </c>
      <c r="X730" s="455">
        <v>45565</v>
      </c>
      <c r="Y730" s="456" t="s">
        <v>377</v>
      </c>
      <c r="Z730" s="457"/>
      <c r="AA730" s="453"/>
    </row>
    <row r="731" spans="1:27" s="128" customFormat="1">
      <c r="A731" s="443">
        <v>47</v>
      </c>
      <c r="B731" s="444" t="s">
        <v>2577</v>
      </c>
      <c r="C731" s="445" t="s">
        <v>131</v>
      </c>
      <c r="D731" s="444" t="s">
        <v>2578</v>
      </c>
      <c r="E731" s="446">
        <v>6</v>
      </c>
      <c r="F731" s="447"/>
      <c r="G731" s="448">
        <f t="shared" si="30"/>
        <v>0</v>
      </c>
      <c r="H731" s="450"/>
      <c r="I731" s="444"/>
      <c r="J731" s="450"/>
      <c r="K731" s="444"/>
      <c r="L731" s="450"/>
      <c r="M731" s="444"/>
      <c r="N731" s="450"/>
      <c r="O731" s="450"/>
      <c r="P731" s="450"/>
      <c r="Q731" s="451" t="s">
        <v>374</v>
      </c>
      <c r="R731" s="451"/>
      <c r="S731" s="452"/>
      <c r="T731" s="452" t="s">
        <v>712</v>
      </c>
      <c r="U731" s="453"/>
      <c r="V731" s="454"/>
      <c r="W731" s="455" t="s">
        <v>406</v>
      </c>
      <c r="X731" s="455">
        <v>45565</v>
      </c>
      <c r="Y731" s="456" t="s">
        <v>377</v>
      </c>
      <c r="Z731" s="457"/>
      <c r="AA731" s="453"/>
    </row>
    <row r="732" spans="1:27" s="128" customFormat="1">
      <c r="A732" s="443">
        <v>48</v>
      </c>
      <c r="B732" s="444" t="s">
        <v>2579</v>
      </c>
      <c r="C732" s="445" t="s">
        <v>131</v>
      </c>
      <c r="D732" s="444" t="s">
        <v>2580</v>
      </c>
      <c r="E732" s="446">
        <v>2</v>
      </c>
      <c r="F732" s="447"/>
      <c r="G732" s="448">
        <f t="shared" si="30"/>
        <v>0</v>
      </c>
      <c r="H732" s="450"/>
      <c r="I732" s="444"/>
      <c r="J732" s="450"/>
      <c r="K732" s="444"/>
      <c r="L732" s="450"/>
      <c r="M732" s="444"/>
      <c r="N732" s="450"/>
      <c r="O732" s="450"/>
      <c r="P732" s="450"/>
      <c r="Q732" s="451" t="s">
        <v>374</v>
      </c>
      <c r="R732" s="451"/>
      <c r="S732" s="452"/>
      <c r="T732" s="452" t="s">
        <v>712</v>
      </c>
      <c r="U732" s="453"/>
      <c r="V732" s="454"/>
      <c r="W732" s="455" t="s">
        <v>406</v>
      </c>
      <c r="X732" s="455">
        <v>45565</v>
      </c>
      <c r="Y732" s="456" t="s">
        <v>377</v>
      </c>
      <c r="Z732" s="457"/>
      <c r="AA732" s="453"/>
    </row>
    <row r="733" spans="1:27" s="128" customFormat="1">
      <c r="A733" s="443">
        <v>49</v>
      </c>
      <c r="B733" s="444" t="s">
        <v>2585</v>
      </c>
      <c r="C733" s="445" t="s">
        <v>131</v>
      </c>
      <c r="D733" s="444" t="s">
        <v>2586</v>
      </c>
      <c r="E733" s="446">
        <v>2</v>
      </c>
      <c r="F733" s="447"/>
      <c r="G733" s="448">
        <f t="shared" si="30"/>
        <v>0</v>
      </c>
      <c r="H733" s="450"/>
      <c r="I733" s="444"/>
      <c r="J733" s="450"/>
      <c r="K733" s="444"/>
      <c r="L733" s="450"/>
      <c r="M733" s="444"/>
      <c r="N733" s="450"/>
      <c r="O733" s="450"/>
      <c r="P733" s="450"/>
      <c r="Q733" s="451" t="s">
        <v>374</v>
      </c>
      <c r="R733" s="451"/>
      <c r="S733" s="452"/>
      <c r="T733" s="452" t="s">
        <v>712</v>
      </c>
      <c r="U733" s="453"/>
      <c r="V733" s="454"/>
      <c r="W733" s="455" t="s">
        <v>406</v>
      </c>
      <c r="X733" s="455">
        <v>45565</v>
      </c>
      <c r="Y733" s="456" t="s">
        <v>377</v>
      </c>
      <c r="Z733" s="457"/>
      <c r="AA733" s="453"/>
    </row>
    <row r="734" spans="1:27" s="128" customFormat="1">
      <c r="A734" s="443">
        <v>50</v>
      </c>
      <c r="B734" s="444" t="s">
        <v>2593</v>
      </c>
      <c r="C734" s="445" t="s">
        <v>131</v>
      </c>
      <c r="D734" s="444" t="s">
        <v>2594</v>
      </c>
      <c r="E734" s="446">
        <v>2</v>
      </c>
      <c r="F734" s="447"/>
      <c r="G734" s="448">
        <f t="shared" si="30"/>
        <v>0</v>
      </c>
      <c r="H734" s="450"/>
      <c r="I734" s="444"/>
      <c r="J734" s="450"/>
      <c r="K734" s="444"/>
      <c r="L734" s="450"/>
      <c r="M734" s="444"/>
      <c r="N734" s="450"/>
      <c r="O734" s="450"/>
      <c r="P734" s="450"/>
      <c r="Q734" s="451" t="s">
        <v>374</v>
      </c>
      <c r="R734" s="451"/>
      <c r="S734" s="452"/>
      <c r="T734" s="452" t="s">
        <v>712</v>
      </c>
      <c r="U734" s="453"/>
      <c r="V734" s="454"/>
      <c r="W734" s="455" t="s">
        <v>406</v>
      </c>
      <c r="X734" s="455">
        <v>45565</v>
      </c>
      <c r="Y734" s="456" t="s">
        <v>377</v>
      </c>
      <c r="Z734" s="457"/>
      <c r="AA734" s="453"/>
    </row>
    <row r="735" spans="1:27" s="128" customFormat="1">
      <c r="A735" s="443">
        <v>51</v>
      </c>
      <c r="B735" s="444" t="s">
        <v>2577</v>
      </c>
      <c r="C735" s="445" t="s">
        <v>131</v>
      </c>
      <c r="D735" s="444" t="s">
        <v>2578</v>
      </c>
      <c r="E735" s="446">
        <v>6</v>
      </c>
      <c r="F735" s="447"/>
      <c r="G735" s="448">
        <f t="shared" si="30"/>
        <v>0</v>
      </c>
      <c r="H735" s="450"/>
      <c r="I735" s="444"/>
      <c r="J735" s="450"/>
      <c r="K735" s="444"/>
      <c r="L735" s="450"/>
      <c r="M735" s="444"/>
      <c r="N735" s="450"/>
      <c r="O735" s="450"/>
      <c r="P735" s="450"/>
      <c r="Q735" s="451" t="s">
        <v>374</v>
      </c>
      <c r="R735" s="451"/>
      <c r="S735" s="452"/>
      <c r="T735" s="452" t="s">
        <v>712</v>
      </c>
      <c r="U735" s="453"/>
      <c r="V735" s="454"/>
      <c r="W735" s="455" t="s">
        <v>406</v>
      </c>
      <c r="X735" s="455">
        <v>45565</v>
      </c>
      <c r="Y735" s="456" t="s">
        <v>377</v>
      </c>
      <c r="Z735" s="457"/>
      <c r="AA735" s="453"/>
    </row>
    <row r="736" spans="1:27" s="128" customFormat="1">
      <c r="A736" s="443">
        <v>52</v>
      </c>
      <c r="B736" s="444" t="s">
        <v>2579</v>
      </c>
      <c r="C736" s="445" t="s">
        <v>131</v>
      </c>
      <c r="D736" s="444" t="s">
        <v>2580</v>
      </c>
      <c r="E736" s="446">
        <v>2</v>
      </c>
      <c r="F736" s="447"/>
      <c r="G736" s="448">
        <f t="shared" si="30"/>
        <v>0</v>
      </c>
      <c r="H736" s="450"/>
      <c r="I736" s="444"/>
      <c r="J736" s="450"/>
      <c r="K736" s="444"/>
      <c r="L736" s="450"/>
      <c r="M736" s="444"/>
      <c r="N736" s="450"/>
      <c r="O736" s="450"/>
      <c r="P736" s="450"/>
      <c r="Q736" s="451" t="s">
        <v>374</v>
      </c>
      <c r="R736" s="451"/>
      <c r="S736" s="452"/>
      <c r="T736" s="452" t="s">
        <v>712</v>
      </c>
      <c r="U736" s="453"/>
      <c r="V736" s="454"/>
      <c r="W736" s="455" t="s">
        <v>406</v>
      </c>
      <c r="X736" s="455">
        <v>45565</v>
      </c>
      <c r="Y736" s="456" t="s">
        <v>377</v>
      </c>
      <c r="Z736" s="457"/>
      <c r="AA736" s="453"/>
    </row>
    <row r="737" spans="1:27" s="128" customFormat="1">
      <c r="A737" s="443">
        <v>53</v>
      </c>
      <c r="B737" s="444" t="s">
        <v>2585</v>
      </c>
      <c r="C737" s="445" t="s">
        <v>131</v>
      </c>
      <c r="D737" s="444" t="s">
        <v>2586</v>
      </c>
      <c r="E737" s="446">
        <v>2</v>
      </c>
      <c r="F737" s="447"/>
      <c r="G737" s="448">
        <f t="shared" si="30"/>
        <v>0</v>
      </c>
      <c r="H737" s="450"/>
      <c r="I737" s="444"/>
      <c r="J737" s="450"/>
      <c r="K737" s="444"/>
      <c r="L737" s="450"/>
      <c r="M737" s="444"/>
      <c r="N737" s="450"/>
      <c r="O737" s="450"/>
      <c r="P737" s="450"/>
      <c r="Q737" s="451" t="s">
        <v>374</v>
      </c>
      <c r="R737" s="451"/>
      <c r="S737" s="452"/>
      <c r="T737" s="452" t="s">
        <v>712</v>
      </c>
      <c r="U737" s="453"/>
      <c r="V737" s="454"/>
      <c r="W737" s="455" t="s">
        <v>406</v>
      </c>
      <c r="X737" s="455">
        <v>45565</v>
      </c>
      <c r="Y737" s="456" t="s">
        <v>377</v>
      </c>
      <c r="Z737" s="457"/>
      <c r="AA737" s="453"/>
    </row>
    <row r="738" spans="1:27" s="128" customFormat="1">
      <c r="A738" s="443">
        <v>54</v>
      </c>
      <c r="B738" s="444" t="s">
        <v>2593</v>
      </c>
      <c r="C738" s="445" t="s">
        <v>131</v>
      </c>
      <c r="D738" s="444" t="s">
        <v>2594</v>
      </c>
      <c r="E738" s="446">
        <v>2</v>
      </c>
      <c r="F738" s="447"/>
      <c r="G738" s="448">
        <f t="shared" si="30"/>
        <v>0</v>
      </c>
      <c r="H738" s="450"/>
      <c r="I738" s="444"/>
      <c r="J738" s="450"/>
      <c r="K738" s="444"/>
      <c r="L738" s="450"/>
      <c r="M738" s="444"/>
      <c r="N738" s="450"/>
      <c r="O738" s="450"/>
      <c r="P738" s="450"/>
      <c r="Q738" s="451" t="s">
        <v>374</v>
      </c>
      <c r="R738" s="451"/>
      <c r="S738" s="452"/>
      <c r="T738" s="452" t="s">
        <v>712</v>
      </c>
      <c r="U738" s="453"/>
      <c r="V738" s="454"/>
      <c r="W738" s="455" t="s">
        <v>406</v>
      </c>
      <c r="X738" s="455">
        <v>45565</v>
      </c>
      <c r="Y738" s="456" t="s">
        <v>377</v>
      </c>
      <c r="Z738" s="457"/>
      <c r="AA738" s="453"/>
    </row>
    <row r="739" spans="1:27" s="128" customFormat="1">
      <c r="A739" s="443">
        <v>55</v>
      </c>
      <c r="B739" s="444" t="s">
        <v>2868</v>
      </c>
      <c r="C739" s="445" t="s">
        <v>131</v>
      </c>
      <c r="D739" s="444" t="s">
        <v>2820</v>
      </c>
      <c r="E739" s="446">
        <v>1</v>
      </c>
      <c r="F739" s="447"/>
      <c r="G739" s="448">
        <f t="shared" si="30"/>
        <v>0</v>
      </c>
      <c r="H739" s="450"/>
      <c r="I739" s="444"/>
      <c r="J739" s="450"/>
      <c r="K739" s="444"/>
      <c r="L739" s="450"/>
      <c r="M739" s="444"/>
      <c r="N739" s="450"/>
      <c r="O739" s="450"/>
      <c r="P739" s="450"/>
      <c r="Q739" s="451" t="s">
        <v>374</v>
      </c>
      <c r="R739" s="451"/>
      <c r="S739" s="452"/>
      <c r="T739" s="452"/>
      <c r="U739" s="453"/>
      <c r="V739" s="454"/>
      <c r="W739" s="455" t="s">
        <v>406</v>
      </c>
      <c r="X739" s="455">
        <v>45565</v>
      </c>
      <c r="Y739" s="456" t="s">
        <v>377</v>
      </c>
      <c r="Z739" s="457"/>
      <c r="AA739" s="453"/>
    </row>
    <row r="740" spans="1:27" s="128" customFormat="1" ht="37.5">
      <c r="A740" s="443">
        <v>56</v>
      </c>
      <c r="B740" s="444" t="s">
        <v>2645</v>
      </c>
      <c r="C740" s="445" t="s">
        <v>131</v>
      </c>
      <c r="D740" s="444" t="s">
        <v>2646</v>
      </c>
      <c r="E740" s="446">
        <v>1</v>
      </c>
      <c r="F740" s="447"/>
      <c r="G740" s="448">
        <f t="shared" si="30"/>
        <v>0</v>
      </c>
      <c r="H740" s="450"/>
      <c r="I740" s="444"/>
      <c r="J740" s="450"/>
      <c r="K740" s="444" t="s">
        <v>2890</v>
      </c>
      <c r="L740" s="450" t="s">
        <v>979</v>
      </c>
      <c r="M740" s="444" t="s">
        <v>2893</v>
      </c>
      <c r="N740" s="450"/>
      <c r="O740" s="450"/>
      <c r="P740" s="450" t="s">
        <v>1890</v>
      </c>
      <c r="Q740" s="451" t="s">
        <v>374</v>
      </c>
      <c r="R740" s="451" t="s">
        <v>269</v>
      </c>
      <c r="S740" s="452" t="s">
        <v>2736</v>
      </c>
      <c r="T740" s="452">
        <v>45581</v>
      </c>
      <c r="U740" s="453"/>
      <c r="V740" s="454"/>
      <c r="W740" s="455" t="s">
        <v>406</v>
      </c>
      <c r="X740" s="455">
        <v>45576</v>
      </c>
      <c r="Y740" s="456" t="s">
        <v>377</v>
      </c>
      <c r="Z740" s="457"/>
      <c r="AA740" s="453"/>
    </row>
    <row r="741" spans="1:27" s="128" customFormat="1" ht="37.5">
      <c r="A741" s="443">
        <v>57</v>
      </c>
      <c r="B741" s="444" t="s">
        <v>2817</v>
      </c>
      <c r="C741" s="445" t="s">
        <v>131</v>
      </c>
      <c r="D741" s="444" t="s">
        <v>2818</v>
      </c>
      <c r="E741" s="446">
        <v>1</v>
      </c>
      <c r="F741" s="447"/>
      <c r="G741" s="448">
        <f t="shared" si="30"/>
        <v>0</v>
      </c>
      <c r="H741" s="450"/>
      <c r="I741" s="444"/>
      <c r="J741" s="450"/>
      <c r="K741" s="444" t="s">
        <v>2890</v>
      </c>
      <c r="L741" s="450" t="s">
        <v>979</v>
      </c>
      <c r="M741" s="444" t="s">
        <v>2893</v>
      </c>
      <c r="N741" s="450"/>
      <c r="O741" s="450"/>
      <c r="P741" s="450" t="s">
        <v>1890</v>
      </c>
      <c r="Q741" s="451" t="s">
        <v>374</v>
      </c>
      <c r="R741" s="451" t="s">
        <v>269</v>
      </c>
      <c r="S741" s="452" t="s">
        <v>2736</v>
      </c>
      <c r="T741" s="452"/>
      <c r="U741" s="453"/>
      <c r="V741" s="454"/>
      <c r="W741" s="455" t="s">
        <v>406</v>
      </c>
      <c r="X741" s="455">
        <v>45581</v>
      </c>
      <c r="Y741" s="456" t="s">
        <v>377</v>
      </c>
      <c r="Z741" s="457"/>
      <c r="AA741" s="453"/>
    </row>
    <row r="742" spans="1:27" s="128" customFormat="1" ht="37.5">
      <c r="A742" s="443">
        <v>58</v>
      </c>
      <c r="B742" s="444" t="s">
        <v>2645</v>
      </c>
      <c r="C742" s="445" t="s">
        <v>131</v>
      </c>
      <c r="D742" s="444" t="s">
        <v>2646</v>
      </c>
      <c r="E742" s="446">
        <v>2</v>
      </c>
      <c r="F742" s="447"/>
      <c r="G742" s="448">
        <f t="shared" si="30"/>
        <v>0</v>
      </c>
      <c r="H742" s="450"/>
      <c r="I742" s="444"/>
      <c r="J742" s="450"/>
      <c r="K742" s="444" t="s">
        <v>2890</v>
      </c>
      <c r="L742" s="450" t="s">
        <v>979</v>
      </c>
      <c r="M742" s="444" t="s">
        <v>2893</v>
      </c>
      <c r="N742" s="450"/>
      <c r="O742" s="450"/>
      <c r="P742" s="450" t="s">
        <v>1890</v>
      </c>
      <c r="Q742" s="451" t="s">
        <v>374</v>
      </c>
      <c r="R742" s="451" t="s">
        <v>269</v>
      </c>
      <c r="S742" s="452" t="s">
        <v>2736</v>
      </c>
      <c r="T742" s="452"/>
      <c r="U742" s="453"/>
      <c r="V742" s="454"/>
      <c r="W742" s="455" t="s">
        <v>406</v>
      </c>
      <c r="X742" s="455">
        <v>45576</v>
      </c>
      <c r="Y742" s="456" t="s">
        <v>377</v>
      </c>
      <c r="Z742" s="457"/>
      <c r="AA742" s="453"/>
    </row>
    <row r="743" spans="1:27" s="128" customFormat="1">
      <c r="A743" s="443">
        <v>59</v>
      </c>
      <c r="B743" s="444" t="s">
        <v>2602</v>
      </c>
      <c r="C743" s="445" t="s">
        <v>131</v>
      </c>
      <c r="D743" s="444" t="s">
        <v>2603</v>
      </c>
      <c r="E743" s="446">
        <v>1</v>
      </c>
      <c r="F743" s="447"/>
      <c r="G743" s="448">
        <f t="shared" si="30"/>
        <v>0</v>
      </c>
      <c r="H743" s="450"/>
      <c r="I743" s="444"/>
      <c r="J743" s="450"/>
      <c r="K743" s="444"/>
      <c r="L743" s="450"/>
      <c r="M743" s="444"/>
      <c r="N743" s="450"/>
      <c r="O743" s="450"/>
      <c r="P743" s="450"/>
      <c r="Q743" s="451" t="s">
        <v>374</v>
      </c>
      <c r="R743" s="451"/>
      <c r="S743" s="452"/>
      <c r="T743" s="452"/>
      <c r="U743" s="453"/>
      <c r="V743" s="454"/>
      <c r="W743" s="455" t="s">
        <v>406</v>
      </c>
      <c r="X743" s="455">
        <v>45565</v>
      </c>
      <c r="Y743" s="456" t="s">
        <v>377</v>
      </c>
      <c r="Z743" s="457"/>
      <c r="AA743" s="453"/>
    </row>
    <row r="744" spans="1:27" s="128" customFormat="1" ht="37.5">
      <c r="A744" s="443">
        <v>60</v>
      </c>
      <c r="B744" s="444" t="s">
        <v>2599</v>
      </c>
      <c r="C744" s="445" t="s">
        <v>131</v>
      </c>
      <c r="D744" s="444" t="s">
        <v>2600</v>
      </c>
      <c r="E744" s="446">
        <v>1</v>
      </c>
      <c r="F744" s="447"/>
      <c r="G744" s="448">
        <f t="shared" si="30"/>
        <v>0</v>
      </c>
      <c r="H744" s="450"/>
      <c r="I744" s="444"/>
      <c r="J744" s="450"/>
      <c r="K744" s="444" t="s">
        <v>2890</v>
      </c>
      <c r="L744" s="450" t="s">
        <v>979</v>
      </c>
      <c r="M744" s="444" t="s">
        <v>2894</v>
      </c>
      <c r="N744" s="450"/>
      <c r="O744" s="450"/>
      <c r="P744" s="450" t="s">
        <v>1890</v>
      </c>
      <c r="Q744" s="451" t="s">
        <v>374</v>
      </c>
      <c r="R744" s="451" t="s">
        <v>247</v>
      </c>
      <c r="S744" s="452" t="s">
        <v>2736</v>
      </c>
      <c r="T744" s="452"/>
      <c r="U744" s="453"/>
      <c r="V744" s="454"/>
      <c r="W744" s="455" t="s">
        <v>406</v>
      </c>
      <c r="X744" s="455">
        <v>45576</v>
      </c>
      <c r="Y744" s="456" t="s">
        <v>377</v>
      </c>
      <c r="Z744" s="457"/>
      <c r="AA744" s="453"/>
    </row>
    <row r="745" spans="1:27" s="128" customFormat="1">
      <c r="A745" s="443">
        <v>61</v>
      </c>
      <c r="B745" s="444" t="s">
        <v>1356</v>
      </c>
      <c r="C745" s="445" t="s">
        <v>131</v>
      </c>
      <c r="D745" s="444" t="s">
        <v>1357</v>
      </c>
      <c r="E745" s="446">
        <v>1</v>
      </c>
      <c r="F745" s="447"/>
      <c r="G745" s="448">
        <f t="shared" si="30"/>
        <v>0</v>
      </c>
      <c r="H745" s="450"/>
      <c r="I745" s="444"/>
      <c r="J745" s="450"/>
      <c r="K745" s="444"/>
      <c r="L745" s="450"/>
      <c r="M745" s="444"/>
      <c r="N745" s="450"/>
      <c r="O745" s="450"/>
      <c r="P745" s="450"/>
      <c r="Q745" s="451" t="s">
        <v>374</v>
      </c>
      <c r="R745" s="451"/>
      <c r="S745" s="452"/>
      <c r="T745" s="452" t="s">
        <v>712</v>
      </c>
      <c r="U745" s="453"/>
      <c r="V745" s="454"/>
      <c r="W745" s="455" t="s">
        <v>406</v>
      </c>
      <c r="X745" s="455">
        <v>45575</v>
      </c>
      <c r="Y745" s="456" t="s">
        <v>377</v>
      </c>
      <c r="Z745" s="457"/>
      <c r="AA745" s="453"/>
    </row>
    <row r="746" spans="1:27" s="128" customFormat="1">
      <c r="A746" s="443">
        <v>62</v>
      </c>
      <c r="B746" s="444" t="s">
        <v>2604</v>
      </c>
      <c r="C746" s="445" t="s">
        <v>131</v>
      </c>
      <c r="D746" s="444" t="s">
        <v>2605</v>
      </c>
      <c r="E746" s="446">
        <v>4</v>
      </c>
      <c r="F746" s="447"/>
      <c r="G746" s="448">
        <f t="shared" si="30"/>
        <v>0</v>
      </c>
      <c r="H746" s="450"/>
      <c r="I746" s="444"/>
      <c r="J746" s="450"/>
      <c r="K746" s="444"/>
      <c r="L746" s="450"/>
      <c r="M746" s="444"/>
      <c r="N746" s="450"/>
      <c r="O746" s="450"/>
      <c r="P746" s="450"/>
      <c r="Q746" s="451" t="s">
        <v>374</v>
      </c>
      <c r="R746" s="451"/>
      <c r="S746" s="452"/>
      <c r="T746" s="452" t="s">
        <v>712</v>
      </c>
      <c r="U746" s="453"/>
      <c r="V746" s="454"/>
      <c r="W746" s="455" t="s">
        <v>406</v>
      </c>
      <c r="X746" s="455">
        <v>45565</v>
      </c>
      <c r="Y746" s="456" t="s">
        <v>377</v>
      </c>
      <c r="Z746" s="457"/>
      <c r="AA746" s="453"/>
    </row>
    <row r="747" spans="1:27" s="128" customFormat="1">
      <c r="A747" s="443">
        <v>63</v>
      </c>
      <c r="B747" s="444" t="s">
        <v>2608</v>
      </c>
      <c r="C747" s="445" t="s">
        <v>131</v>
      </c>
      <c r="D747" s="444" t="s">
        <v>2609</v>
      </c>
      <c r="E747" s="446">
        <v>2</v>
      </c>
      <c r="F747" s="447"/>
      <c r="G747" s="448">
        <f t="shared" si="30"/>
        <v>0</v>
      </c>
      <c r="H747" s="450"/>
      <c r="I747" s="444"/>
      <c r="J747" s="450"/>
      <c r="K747" s="444"/>
      <c r="L747" s="450"/>
      <c r="M747" s="444"/>
      <c r="N747" s="450"/>
      <c r="O747" s="450"/>
      <c r="P747" s="450"/>
      <c r="Q747" s="451" t="s">
        <v>374</v>
      </c>
      <c r="R747" s="451"/>
      <c r="S747" s="452"/>
      <c r="T747" s="452" t="s">
        <v>712</v>
      </c>
      <c r="U747" s="453"/>
      <c r="V747" s="454"/>
      <c r="W747" s="455" t="s">
        <v>406</v>
      </c>
      <c r="X747" s="455">
        <v>45565</v>
      </c>
      <c r="Y747" s="456" t="s">
        <v>377</v>
      </c>
      <c r="Z747" s="457"/>
      <c r="AA747" s="453"/>
    </row>
    <row r="748" spans="1:27" s="128" customFormat="1" ht="37.5">
      <c r="A748" s="443">
        <v>64</v>
      </c>
      <c r="B748" s="444" t="s">
        <v>2834</v>
      </c>
      <c r="C748" s="445" t="s">
        <v>131</v>
      </c>
      <c r="D748" s="444" t="s">
        <v>2835</v>
      </c>
      <c r="E748" s="446">
        <v>1</v>
      </c>
      <c r="F748" s="447"/>
      <c r="G748" s="448">
        <f t="shared" si="30"/>
        <v>0</v>
      </c>
      <c r="H748" s="450"/>
      <c r="I748" s="444"/>
      <c r="J748" s="450"/>
      <c r="K748" s="444" t="s">
        <v>2890</v>
      </c>
      <c r="L748" s="450" t="s">
        <v>979</v>
      </c>
      <c r="M748" s="444" t="s">
        <v>2891</v>
      </c>
      <c r="N748" s="450"/>
      <c r="O748" s="450"/>
      <c r="P748" s="450" t="s">
        <v>1890</v>
      </c>
      <c r="Q748" s="451" t="s">
        <v>374</v>
      </c>
      <c r="R748" s="451" t="s">
        <v>2723</v>
      </c>
      <c r="S748" s="452" t="s">
        <v>2736</v>
      </c>
      <c r="T748" s="452"/>
      <c r="U748" s="453"/>
      <c r="V748" s="454"/>
      <c r="W748" s="455" t="s">
        <v>406</v>
      </c>
      <c r="X748" s="455">
        <v>45580</v>
      </c>
      <c r="Y748" s="456" t="s">
        <v>377</v>
      </c>
      <c r="Z748" s="457"/>
      <c r="AA748" s="453"/>
    </row>
    <row r="749" spans="1:27">
      <c r="A749" s="389"/>
      <c r="B749" s="390" t="s">
        <v>2895</v>
      </c>
      <c r="C749" s="391"/>
      <c r="D749" s="392"/>
      <c r="E749" s="393"/>
      <c r="F749" s="394"/>
      <c r="G749" s="395">
        <f t="shared" si="25"/>
        <v>0</v>
      </c>
      <c r="H749" s="420"/>
      <c r="I749" s="392"/>
      <c r="J749" s="420"/>
      <c r="K749" s="392"/>
      <c r="L749" s="397"/>
      <c r="M749" s="392"/>
      <c r="N749" s="397"/>
      <c r="O749" s="397"/>
      <c r="P749" s="397"/>
      <c r="Q749" s="398"/>
      <c r="R749" s="398"/>
      <c r="S749" s="399"/>
      <c r="T749" s="399"/>
      <c r="U749" s="400"/>
      <c r="V749" s="401"/>
      <c r="W749" s="402"/>
      <c r="X749" s="402"/>
      <c r="Y749" s="403"/>
      <c r="Z749" s="404"/>
      <c r="AA749" s="493"/>
    </row>
    <row r="750" spans="1:27" ht="19.5" customHeight="1"/>
    <row r="756" spans="24:24">
      <c r="X756" s="92" t="e">
        <f>+C756:X753BA753:X756</f>
        <v>#NAME?</v>
      </c>
    </row>
  </sheetData>
  <sheetProtection algorithmName="SHA-512" hashValue="rcL+WnYd/NDRvuqJBeDeXL/AZ6nbc/8NMWGvDg4S6Vt2TNA6lss0klP8iP1C0aLl5L0/rsmFq05UAnutw9CXcQ==" saltValue="mezKsk+xVKHSg9punYZ2/Q==" spinCount="100000" sheet="1" objects="1" scenarios="1" formatColumns="0" autoFilter="0"/>
  <protectedRanges>
    <protectedRange sqref="B16" name="Range1"/>
    <protectedRange sqref="D16" name="Range1_1"/>
    <protectedRange sqref="D532 D536 D540 D629 D622" name="Range1_2"/>
    <protectedRange sqref="D54" name="Range1_3"/>
    <protectedRange sqref="B54" name="Range1_4"/>
  </protectedRanges>
  <mergeCells count="2">
    <mergeCell ref="A1:B1"/>
    <mergeCell ref="A2:B2"/>
  </mergeCells>
  <pageMargins left="0.70866141732283472" right="0.70866141732283472" top="0.74803149606299213" bottom="0.74803149606299213" header="0.31496062992125984" footer="0.31496062992125984"/>
  <pageSetup paperSize="9" scale="42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EParts_Button1_Click">
                <anchor>
                  <from>
                    <xdr:col>1</xdr:col>
                    <xdr:colOff>781050</xdr:colOff>
                    <xdr:row>1</xdr:row>
                    <xdr:rowOff>19050</xdr:rowOff>
                  </from>
                  <to>
                    <xdr:col>1</xdr:col>
                    <xdr:colOff>2209800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6"/>
  <sheetViews>
    <sheetView zoomScale="50" zoomScaleNormal="50" workbookViewId="0">
      <selection activeCell="Q52" sqref="Q52"/>
    </sheetView>
  </sheetViews>
  <sheetFormatPr defaultRowHeight="15"/>
  <sheetData>
    <row r="1" spans="1:1" ht="18">
      <c r="A1" s="130" t="s">
        <v>0</v>
      </c>
    </row>
    <row r="2" spans="1:1" ht="18">
      <c r="A2" s="130" t="s">
        <v>1</v>
      </c>
    </row>
    <row r="3" spans="1:1" ht="18">
      <c r="A3" s="130" t="s">
        <v>135</v>
      </c>
    </row>
    <row r="4" spans="1:1" ht="18">
      <c r="A4" s="130" t="s">
        <v>3</v>
      </c>
    </row>
    <row r="5" spans="1:1" ht="18">
      <c r="A5" s="130" t="s">
        <v>4</v>
      </c>
    </row>
    <row r="6" spans="1:1" ht="18">
      <c r="A6" s="130" t="s">
        <v>313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T77"/>
  <sheetViews>
    <sheetView zoomScale="90" zoomScaleNormal="90" workbookViewId="0">
      <selection activeCell="A3" sqref="A3"/>
    </sheetView>
  </sheetViews>
  <sheetFormatPr defaultColWidth="9" defaultRowHeight="12.75"/>
  <cols>
    <col min="1" max="1" width="3" style="271" customWidth="1"/>
    <col min="2" max="2" width="38.7109375" style="271" customWidth="1"/>
    <col min="3" max="3" width="16.28515625" style="272" customWidth="1"/>
    <col min="4" max="4" width="14.7109375" style="273" customWidth="1"/>
    <col min="5" max="14" width="4.5703125" style="272" customWidth="1"/>
    <col min="15" max="15" width="4" style="272" customWidth="1"/>
    <col min="16" max="16" width="5.5703125" style="272" customWidth="1"/>
    <col min="17" max="17" width="5" style="272" customWidth="1"/>
    <col min="18" max="18" width="4.85546875" style="272" customWidth="1"/>
    <col min="19" max="26" width="4.5703125" style="272" customWidth="1"/>
    <col min="27" max="27" width="5.5703125" style="272" customWidth="1"/>
    <col min="28" max="34" width="4.5703125" style="272" customWidth="1"/>
    <col min="35" max="35" width="5.28515625" style="272" bestFit="1" customWidth="1"/>
    <col min="36" max="38" width="4.5703125" style="272" customWidth="1"/>
    <col min="39" max="39" width="6" style="272" bestFit="1" customWidth="1"/>
    <col min="40" max="41" width="4.5703125" style="272" customWidth="1"/>
    <col min="42" max="42" width="6" style="272" bestFit="1" customWidth="1"/>
    <col min="43" max="45" width="4.5703125" style="272" customWidth="1"/>
    <col min="46" max="46" width="6" style="272" customWidth="1"/>
    <col min="47" max="48" width="4.5703125" style="272" customWidth="1"/>
    <col min="49" max="50" width="5" style="272" customWidth="1"/>
    <col min="51" max="52" width="4.5703125" style="272" customWidth="1"/>
    <col min="53" max="53" width="6.5703125" style="272" customWidth="1"/>
    <col min="54" max="98" width="4.5703125" style="272" customWidth="1"/>
    <col min="99" max="118" width="9" style="271" customWidth="1"/>
    <col min="119" max="16384" width="9" style="271"/>
  </cols>
  <sheetData>
    <row r="1" spans="1:98">
      <c r="A1" s="330" t="s">
        <v>0</v>
      </c>
    </row>
    <row r="2" spans="1:98">
      <c r="A2" s="330" t="s">
        <v>1</v>
      </c>
    </row>
    <row r="3" spans="1:98">
      <c r="A3" s="330" t="s">
        <v>135</v>
      </c>
    </row>
    <row r="4" spans="1:98">
      <c r="A4" s="330" t="s">
        <v>3</v>
      </c>
    </row>
    <row r="5" spans="1:98">
      <c r="A5" s="330" t="s">
        <v>4</v>
      </c>
    </row>
    <row r="6" spans="1:98">
      <c r="A6" s="330" t="s">
        <v>313</v>
      </c>
    </row>
    <row r="7" spans="1:98">
      <c r="E7" s="274"/>
      <c r="F7" s="272" t="s">
        <v>136</v>
      </c>
      <c r="I7" s="275"/>
      <c r="J7" s="276" t="s">
        <v>314</v>
      </c>
      <c r="O7" s="277"/>
      <c r="P7" s="276" t="s">
        <v>315</v>
      </c>
      <c r="T7" s="278"/>
      <c r="U7" s="276" t="s">
        <v>316</v>
      </c>
      <c r="Y7" s="276"/>
      <c r="AC7" s="279"/>
      <c r="AD7" s="276" t="s">
        <v>317</v>
      </c>
    </row>
    <row r="8" spans="1:98">
      <c r="E8" s="271"/>
      <c r="F8" s="271"/>
      <c r="G8" s="271"/>
      <c r="H8" s="271"/>
      <c r="I8" s="271"/>
      <c r="J8" s="271"/>
      <c r="K8" s="271"/>
      <c r="L8" s="271"/>
    </row>
    <row r="10" spans="1:98" ht="22.5" customHeight="1">
      <c r="E10" s="554">
        <v>44197</v>
      </c>
      <c r="F10" s="555"/>
      <c r="G10" s="555"/>
      <c r="H10" s="555"/>
      <c r="I10" s="556"/>
      <c r="J10" s="557">
        <v>44228</v>
      </c>
      <c r="K10" s="555"/>
      <c r="L10" s="555"/>
      <c r="M10" s="555"/>
      <c r="N10" s="555"/>
      <c r="O10" s="555"/>
      <c r="P10" s="555"/>
      <c r="Q10" s="555"/>
      <c r="R10" s="555"/>
      <c r="S10" s="555"/>
      <c r="T10" s="555"/>
      <c r="U10" s="555"/>
      <c r="V10" s="555"/>
      <c r="W10" s="555"/>
      <c r="X10" s="555"/>
      <c r="Y10" s="555"/>
      <c r="Z10" s="555"/>
      <c r="AA10" s="555"/>
      <c r="AB10" s="555"/>
      <c r="AC10" s="555"/>
      <c r="AD10" s="555"/>
      <c r="AE10" s="555"/>
      <c r="AF10" s="555"/>
      <c r="AG10" s="555"/>
      <c r="AH10" s="555"/>
      <c r="AI10" s="555"/>
      <c r="AJ10" s="555"/>
      <c r="AK10" s="555"/>
      <c r="AL10" s="554">
        <v>44256</v>
      </c>
      <c r="AM10" s="555"/>
      <c r="AN10" s="555"/>
      <c r="AO10" s="555"/>
      <c r="AP10" s="555"/>
      <c r="AQ10" s="555"/>
      <c r="AR10" s="555"/>
      <c r="AS10" s="555"/>
      <c r="AT10" s="555"/>
      <c r="AU10" s="555"/>
      <c r="AV10" s="555"/>
      <c r="AW10" s="555"/>
      <c r="AX10" s="555"/>
      <c r="AY10" s="555"/>
      <c r="AZ10" s="555"/>
      <c r="BA10" s="555"/>
      <c r="BB10" s="555"/>
      <c r="BC10" s="555"/>
      <c r="BD10" s="555"/>
      <c r="BE10" s="555"/>
      <c r="BF10" s="555"/>
      <c r="BG10" s="555"/>
      <c r="BH10" s="555"/>
      <c r="BI10" s="555"/>
      <c r="BJ10" s="555"/>
      <c r="BK10" s="555"/>
      <c r="BL10" s="555"/>
      <c r="BM10" s="555"/>
      <c r="BN10" s="555"/>
      <c r="BO10" s="555"/>
      <c r="BP10" s="556"/>
      <c r="BQ10" s="554">
        <v>44287</v>
      </c>
      <c r="BR10" s="557"/>
      <c r="BS10" s="557"/>
      <c r="BT10" s="557"/>
      <c r="BU10" s="557"/>
      <c r="BV10" s="557"/>
      <c r="BW10" s="557"/>
      <c r="BX10" s="557"/>
      <c r="BY10" s="557"/>
      <c r="BZ10" s="557"/>
      <c r="CA10" s="557"/>
      <c r="CB10" s="557"/>
      <c r="CC10" s="557"/>
      <c r="CD10" s="557"/>
      <c r="CE10" s="557"/>
      <c r="CF10" s="557"/>
      <c r="CG10" s="557"/>
      <c r="CH10" s="557"/>
      <c r="CI10" s="557"/>
      <c r="CJ10" s="557"/>
      <c r="CK10" s="557"/>
      <c r="CL10" s="557"/>
      <c r="CM10" s="557"/>
      <c r="CN10" s="557"/>
      <c r="CO10" s="557"/>
      <c r="CP10" s="557"/>
      <c r="CQ10" s="557"/>
      <c r="CR10" s="557"/>
      <c r="CS10" s="557"/>
      <c r="CT10" s="558"/>
    </row>
    <row r="11" spans="1:98" s="286" customFormat="1" ht="24" customHeight="1">
      <c r="B11" s="280" t="s">
        <v>318</v>
      </c>
      <c r="C11" s="280" t="s">
        <v>319</v>
      </c>
      <c r="D11" s="280" t="s">
        <v>320</v>
      </c>
      <c r="E11" s="281">
        <v>27</v>
      </c>
      <c r="F11" s="282">
        <v>28</v>
      </c>
      <c r="G11" s="282">
        <v>29</v>
      </c>
      <c r="H11" s="282">
        <v>30</v>
      </c>
      <c r="I11" s="283">
        <v>31</v>
      </c>
      <c r="J11" s="284">
        <v>1</v>
      </c>
      <c r="K11" s="282">
        <v>2</v>
      </c>
      <c r="L11" s="282">
        <v>3</v>
      </c>
      <c r="M11" s="282">
        <v>4</v>
      </c>
      <c r="N11" s="282">
        <v>5</v>
      </c>
      <c r="O11" s="282">
        <v>6</v>
      </c>
      <c r="P11" s="282">
        <v>7</v>
      </c>
      <c r="Q11" s="282">
        <v>8</v>
      </c>
      <c r="R11" s="282">
        <v>9</v>
      </c>
      <c r="S11" s="282">
        <v>10</v>
      </c>
      <c r="T11" s="282">
        <v>11</v>
      </c>
      <c r="U11" s="282">
        <v>12</v>
      </c>
      <c r="V11" s="282">
        <v>13</v>
      </c>
      <c r="W11" s="282">
        <v>14</v>
      </c>
      <c r="X11" s="282">
        <v>15</v>
      </c>
      <c r="Y11" s="282">
        <v>16</v>
      </c>
      <c r="Z11" s="282">
        <v>17</v>
      </c>
      <c r="AA11" s="282">
        <v>18</v>
      </c>
      <c r="AB11" s="282">
        <v>19</v>
      </c>
      <c r="AC11" s="282">
        <v>20</v>
      </c>
      <c r="AD11" s="282">
        <v>21</v>
      </c>
      <c r="AE11" s="282">
        <v>22</v>
      </c>
      <c r="AF11" s="282">
        <v>23</v>
      </c>
      <c r="AG11" s="282">
        <v>24</v>
      </c>
      <c r="AH11" s="282">
        <v>25</v>
      </c>
      <c r="AI11" s="282">
        <v>26</v>
      </c>
      <c r="AJ11" s="282">
        <v>27</v>
      </c>
      <c r="AK11" s="285">
        <v>28</v>
      </c>
      <c r="AL11" s="281">
        <v>1</v>
      </c>
      <c r="AM11" s="282">
        <v>2</v>
      </c>
      <c r="AN11" s="282">
        <v>3</v>
      </c>
      <c r="AO11" s="282">
        <v>4</v>
      </c>
      <c r="AP11" s="282">
        <v>5</v>
      </c>
      <c r="AQ11" s="282">
        <v>6</v>
      </c>
      <c r="AR11" s="282">
        <v>7</v>
      </c>
      <c r="AS11" s="282">
        <v>8</v>
      </c>
      <c r="AT11" s="282">
        <v>9</v>
      </c>
      <c r="AU11" s="282">
        <v>10</v>
      </c>
      <c r="AV11" s="282">
        <v>11</v>
      </c>
      <c r="AW11" s="282">
        <v>12</v>
      </c>
      <c r="AX11" s="282">
        <v>13</v>
      </c>
      <c r="AY11" s="282">
        <v>14</v>
      </c>
      <c r="AZ11" s="282">
        <v>15</v>
      </c>
      <c r="BA11" s="282">
        <v>16</v>
      </c>
      <c r="BB11" s="282">
        <v>17</v>
      </c>
      <c r="BC11" s="282">
        <v>18</v>
      </c>
      <c r="BD11" s="282">
        <v>19</v>
      </c>
      <c r="BE11" s="282">
        <v>20</v>
      </c>
      <c r="BF11" s="282">
        <v>21</v>
      </c>
      <c r="BG11" s="282">
        <v>22</v>
      </c>
      <c r="BH11" s="282">
        <v>23</v>
      </c>
      <c r="BI11" s="282">
        <v>24</v>
      </c>
      <c r="BJ11" s="282">
        <v>25</v>
      </c>
      <c r="BK11" s="282">
        <v>26</v>
      </c>
      <c r="BL11" s="282">
        <v>27</v>
      </c>
      <c r="BM11" s="282">
        <v>28</v>
      </c>
      <c r="BN11" s="282">
        <v>29</v>
      </c>
      <c r="BO11" s="282">
        <v>30</v>
      </c>
      <c r="BP11" s="283">
        <v>31</v>
      </c>
      <c r="BQ11" s="281">
        <v>1</v>
      </c>
      <c r="BR11" s="282">
        <v>2</v>
      </c>
      <c r="BS11" s="282">
        <v>3</v>
      </c>
      <c r="BT11" s="282">
        <v>4</v>
      </c>
      <c r="BU11" s="282">
        <v>5</v>
      </c>
      <c r="BV11" s="282">
        <v>6</v>
      </c>
      <c r="BW11" s="282">
        <v>7</v>
      </c>
      <c r="BX11" s="282">
        <v>8</v>
      </c>
      <c r="BY11" s="282">
        <v>9</v>
      </c>
      <c r="BZ11" s="282">
        <v>10</v>
      </c>
      <c r="CA11" s="282">
        <v>11</v>
      </c>
      <c r="CB11" s="282">
        <v>12</v>
      </c>
      <c r="CC11" s="282">
        <v>13</v>
      </c>
      <c r="CD11" s="282">
        <v>14</v>
      </c>
      <c r="CE11" s="282">
        <v>15</v>
      </c>
      <c r="CF11" s="282">
        <v>16</v>
      </c>
      <c r="CG11" s="282">
        <v>17</v>
      </c>
      <c r="CH11" s="282">
        <v>18</v>
      </c>
      <c r="CI11" s="282">
        <v>19</v>
      </c>
      <c r="CJ11" s="282">
        <v>20</v>
      </c>
      <c r="CK11" s="282">
        <v>21</v>
      </c>
      <c r="CL11" s="282">
        <v>22</v>
      </c>
      <c r="CM11" s="282">
        <v>23</v>
      </c>
      <c r="CN11" s="282">
        <v>24</v>
      </c>
      <c r="CO11" s="282">
        <v>25</v>
      </c>
      <c r="CP11" s="282">
        <v>26</v>
      </c>
      <c r="CQ11" s="282">
        <v>27</v>
      </c>
      <c r="CR11" s="282">
        <v>28</v>
      </c>
      <c r="CS11" s="282">
        <v>29</v>
      </c>
      <c r="CT11" s="283">
        <v>30</v>
      </c>
    </row>
    <row r="12" spans="1:98" ht="22.5" customHeight="1">
      <c r="B12" s="349"/>
      <c r="C12" s="350"/>
      <c r="D12" s="351"/>
      <c r="E12" s="331"/>
      <c r="F12" s="332"/>
      <c r="G12" s="332"/>
      <c r="H12" s="332"/>
      <c r="I12" s="333"/>
      <c r="J12" s="334"/>
      <c r="K12" s="332"/>
      <c r="L12" s="332"/>
      <c r="M12" s="332"/>
      <c r="N12" s="332"/>
      <c r="O12" s="332"/>
      <c r="P12" s="332"/>
      <c r="Q12" s="332"/>
      <c r="R12" s="332"/>
      <c r="S12" s="332"/>
      <c r="T12" s="332"/>
      <c r="U12" s="332"/>
      <c r="V12" s="332"/>
      <c r="W12" s="332"/>
      <c r="X12" s="332"/>
      <c r="Y12" s="332"/>
      <c r="Z12" s="332"/>
      <c r="AA12" s="332"/>
      <c r="AB12" s="332"/>
      <c r="AC12" s="332"/>
      <c r="AD12" s="332"/>
      <c r="AE12" s="332"/>
      <c r="AF12" s="332"/>
      <c r="AG12" s="332"/>
      <c r="AH12" s="332"/>
      <c r="AI12" s="332"/>
      <c r="AJ12" s="332"/>
      <c r="AK12" s="335"/>
      <c r="AL12" s="331"/>
      <c r="AM12" s="332"/>
      <c r="AN12" s="332"/>
      <c r="AO12" s="332"/>
      <c r="AP12" s="332"/>
      <c r="AQ12" s="332"/>
      <c r="AR12" s="332"/>
      <c r="AS12" s="332"/>
      <c r="AT12" s="332"/>
      <c r="AU12" s="332"/>
      <c r="AV12" s="332"/>
      <c r="AW12" s="332"/>
      <c r="AX12" s="332"/>
      <c r="AY12" s="332"/>
      <c r="AZ12" s="332"/>
      <c r="BA12" s="332"/>
      <c r="BB12" s="332"/>
      <c r="BC12" s="332"/>
      <c r="BD12" s="332"/>
      <c r="BE12" s="332"/>
      <c r="BF12" s="332"/>
      <c r="BG12" s="332"/>
      <c r="BH12" s="332"/>
      <c r="BI12" s="332"/>
      <c r="BJ12" s="332"/>
      <c r="BK12" s="332"/>
      <c r="BL12" s="332"/>
      <c r="BM12" s="332"/>
      <c r="BN12" s="332"/>
      <c r="BO12" s="332"/>
      <c r="BP12" s="333"/>
      <c r="BQ12" s="331"/>
      <c r="BR12" s="332"/>
      <c r="BS12" s="332"/>
      <c r="BT12" s="332"/>
      <c r="BU12" s="332"/>
      <c r="BV12" s="332"/>
      <c r="BW12" s="332"/>
      <c r="BX12" s="332"/>
      <c r="BY12" s="332"/>
      <c r="BZ12" s="332"/>
      <c r="CA12" s="332"/>
      <c r="CB12" s="332"/>
      <c r="CC12" s="332"/>
      <c r="CD12" s="332"/>
      <c r="CE12" s="332"/>
      <c r="CF12" s="332"/>
      <c r="CG12" s="332"/>
      <c r="CH12" s="332"/>
      <c r="CI12" s="332"/>
      <c r="CJ12" s="332"/>
      <c r="CK12" s="332"/>
      <c r="CL12" s="332"/>
      <c r="CM12" s="332"/>
      <c r="CN12" s="332"/>
      <c r="CO12" s="332"/>
      <c r="CP12" s="332"/>
      <c r="CQ12" s="332"/>
      <c r="CR12" s="332"/>
      <c r="CS12" s="332"/>
      <c r="CT12" s="333"/>
    </row>
    <row r="13" spans="1:98" ht="18" customHeight="1">
      <c r="B13" s="352"/>
      <c r="C13" s="353"/>
      <c r="D13" s="354"/>
      <c r="E13" s="287"/>
      <c r="F13" s="298"/>
      <c r="G13" s="298"/>
      <c r="H13" s="298"/>
      <c r="I13" s="336"/>
      <c r="J13" s="337"/>
      <c r="K13" s="298"/>
      <c r="L13" s="298"/>
      <c r="M13" s="298"/>
      <c r="N13" s="298"/>
      <c r="O13" s="298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B13" s="298"/>
      <c r="AC13" s="298"/>
      <c r="AD13" s="298"/>
      <c r="AE13" s="298"/>
      <c r="AF13" s="298"/>
      <c r="AG13" s="298"/>
      <c r="AH13" s="298"/>
      <c r="AI13" s="298"/>
      <c r="AJ13" s="298"/>
      <c r="AK13" s="338"/>
      <c r="AL13" s="287"/>
      <c r="AM13" s="298"/>
      <c r="AN13" s="298"/>
      <c r="AO13" s="298"/>
      <c r="AP13" s="298"/>
      <c r="AQ13" s="298"/>
      <c r="AR13" s="298"/>
      <c r="AS13" s="298"/>
      <c r="AT13" s="298"/>
      <c r="AU13" s="298"/>
      <c r="AV13" s="298"/>
      <c r="AW13" s="298"/>
      <c r="AX13" s="298"/>
      <c r="AY13" s="298"/>
      <c r="AZ13" s="298"/>
      <c r="BA13" s="298"/>
      <c r="BB13" s="298"/>
      <c r="BC13" s="298"/>
      <c r="BD13" s="298"/>
      <c r="BE13" s="298"/>
      <c r="BF13" s="298"/>
      <c r="BG13" s="298"/>
      <c r="BH13" s="298"/>
      <c r="BI13" s="298"/>
      <c r="BJ13" s="298"/>
      <c r="BK13" s="298"/>
      <c r="BL13" s="298"/>
      <c r="BM13" s="298"/>
      <c r="BN13" s="298"/>
      <c r="BO13" s="298"/>
      <c r="BP13" s="336"/>
      <c r="BQ13" s="287"/>
      <c r="BR13" s="298"/>
      <c r="BS13" s="298"/>
      <c r="BT13" s="298"/>
      <c r="BU13" s="298"/>
      <c r="BV13" s="298"/>
      <c r="BW13" s="298"/>
      <c r="BX13" s="298"/>
      <c r="BY13" s="298"/>
      <c r="BZ13" s="298"/>
      <c r="CA13" s="298"/>
      <c r="CB13" s="298"/>
      <c r="CC13" s="298"/>
      <c r="CD13" s="298"/>
      <c r="CE13" s="298"/>
      <c r="CF13" s="298"/>
      <c r="CG13" s="298"/>
      <c r="CH13" s="298"/>
      <c r="CI13" s="298"/>
      <c r="CJ13" s="298"/>
      <c r="CK13" s="298"/>
      <c r="CL13" s="298"/>
      <c r="CM13" s="298"/>
      <c r="CN13" s="298"/>
      <c r="CO13" s="298"/>
      <c r="CP13" s="298"/>
      <c r="CQ13" s="298"/>
      <c r="CR13" s="298"/>
      <c r="CS13" s="298"/>
      <c r="CT13" s="336"/>
    </row>
    <row r="14" spans="1:98" ht="18" customHeight="1">
      <c r="B14" s="355"/>
      <c r="C14" s="356"/>
      <c r="D14" s="357"/>
      <c r="E14" s="288"/>
      <c r="F14" s="309"/>
      <c r="G14" s="309"/>
      <c r="H14" s="309"/>
      <c r="I14" s="339"/>
      <c r="J14" s="340"/>
      <c r="K14" s="309"/>
      <c r="L14" s="309"/>
      <c r="M14" s="309"/>
      <c r="N14" s="309"/>
      <c r="O14" s="309"/>
      <c r="P14" s="341"/>
      <c r="Q14" s="332"/>
      <c r="R14" s="332"/>
      <c r="S14" s="332"/>
      <c r="T14" s="340"/>
      <c r="U14" s="309"/>
      <c r="V14" s="309"/>
      <c r="W14" s="309"/>
      <c r="X14" s="309"/>
      <c r="Y14" s="309"/>
      <c r="Z14" s="309"/>
      <c r="AA14" s="309"/>
      <c r="AB14" s="309"/>
      <c r="AC14" s="309"/>
      <c r="AD14" s="309"/>
      <c r="AE14" s="309"/>
      <c r="AF14" s="309"/>
      <c r="AG14" s="309"/>
      <c r="AH14" s="309"/>
      <c r="AI14" s="309"/>
      <c r="AJ14" s="309"/>
      <c r="AK14" s="341"/>
      <c r="AL14" s="288"/>
      <c r="AM14" s="309"/>
      <c r="AN14" s="309"/>
      <c r="AO14" s="309"/>
      <c r="AP14" s="309"/>
      <c r="AQ14" s="309"/>
      <c r="AR14" s="309"/>
      <c r="AS14" s="309"/>
      <c r="AT14" s="309"/>
      <c r="AU14" s="309"/>
      <c r="AV14" s="309"/>
      <c r="AW14" s="309"/>
      <c r="AX14" s="309"/>
      <c r="AY14" s="309"/>
      <c r="AZ14" s="309"/>
      <c r="BA14" s="309"/>
      <c r="BB14" s="309"/>
      <c r="BC14" s="309"/>
      <c r="BD14" s="309"/>
      <c r="BE14" s="309"/>
      <c r="BF14" s="309"/>
      <c r="BG14" s="309"/>
      <c r="BH14" s="309"/>
      <c r="BI14" s="309"/>
      <c r="BJ14" s="309"/>
      <c r="BK14" s="309"/>
      <c r="BL14" s="309"/>
      <c r="BM14" s="309"/>
      <c r="BN14" s="309"/>
      <c r="BO14" s="309"/>
      <c r="BP14" s="339"/>
      <c r="BQ14" s="288"/>
      <c r="BR14" s="309"/>
      <c r="BS14" s="309"/>
      <c r="BT14" s="309"/>
      <c r="BU14" s="309"/>
      <c r="BV14" s="309"/>
      <c r="BW14" s="309"/>
      <c r="BX14" s="309"/>
      <c r="BY14" s="309"/>
      <c r="BZ14" s="309"/>
      <c r="CA14" s="309"/>
      <c r="CB14" s="309"/>
      <c r="CC14" s="309"/>
      <c r="CD14" s="309"/>
      <c r="CE14" s="309"/>
      <c r="CF14" s="309"/>
      <c r="CG14" s="309"/>
      <c r="CH14" s="309"/>
      <c r="CI14" s="309"/>
      <c r="CJ14" s="309"/>
      <c r="CK14" s="309"/>
      <c r="CL14" s="309"/>
      <c r="CM14" s="309"/>
      <c r="CN14" s="309"/>
      <c r="CO14" s="309"/>
      <c r="CP14" s="309"/>
      <c r="CQ14" s="309"/>
      <c r="CR14" s="309"/>
      <c r="CS14" s="309"/>
      <c r="CT14" s="339"/>
    </row>
    <row r="15" spans="1:98" ht="18" customHeight="1">
      <c r="B15" s="358"/>
      <c r="C15" s="359"/>
      <c r="D15" s="360"/>
      <c r="E15" s="301"/>
      <c r="F15" s="299"/>
      <c r="G15" s="299"/>
      <c r="H15" s="299"/>
      <c r="I15" s="342"/>
      <c r="J15" s="343"/>
      <c r="K15" s="299"/>
      <c r="L15" s="299"/>
      <c r="M15" s="299"/>
      <c r="N15" s="299"/>
      <c r="O15" s="299"/>
      <c r="P15" s="300"/>
      <c r="Q15" s="307"/>
      <c r="R15" s="307"/>
      <c r="S15" s="305"/>
      <c r="T15" s="343"/>
      <c r="U15" s="299"/>
      <c r="V15" s="299"/>
      <c r="W15" s="299"/>
      <c r="X15" s="299"/>
      <c r="Y15" s="299"/>
      <c r="Z15" s="299"/>
      <c r="AA15" s="299"/>
      <c r="AB15" s="299"/>
      <c r="AC15" s="299"/>
      <c r="AD15" s="299"/>
      <c r="AE15" s="299"/>
      <c r="AF15" s="316"/>
      <c r="AG15" s="299"/>
      <c r="AH15" s="299"/>
      <c r="AI15" s="316"/>
      <c r="AJ15" s="299"/>
      <c r="AK15" s="300"/>
      <c r="AL15" s="301"/>
      <c r="AM15" s="318"/>
      <c r="AN15" s="299"/>
      <c r="AO15" s="299"/>
      <c r="AP15" s="318"/>
      <c r="AQ15" s="299"/>
      <c r="AR15" s="299"/>
      <c r="AS15" s="299"/>
      <c r="AT15" s="299"/>
      <c r="AU15" s="299"/>
      <c r="AV15" s="299"/>
      <c r="AW15" s="299"/>
      <c r="AX15" s="299"/>
      <c r="AY15" s="299"/>
      <c r="AZ15" s="299"/>
      <c r="BA15" s="299"/>
      <c r="BB15" s="299"/>
      <c r="BC15" s="299"/>
      <c r="BD15" s="299"/>
      <c r="BE15" s="299"/>
      <c r="BF15" s="299"/>
      <c r="BG15" s="299"/>
      <c r="BH15" s="299"/>
      <c r="BI15" s="299"/>
      <c r="BJ15" s="299"/>
      <c r="BK15" s="299"/>
      <c r="BL15" s="299"/>
      <c r="BM15" s="299"/>
      <c r="BN15" s="299"/>
      <c r="BO15" s="299"/>
      <c r="BP15" s="342"/>
      <c r="BQ15" s="301"/>
      <c r="BR15" s="299"/>
      <c r="BS15" s="299"/>
      <c r="BT15" s="299"/>
      <c r="BU15" s="299"/>
      <c r="BV15" s="299"/>
      <c r="BW15" s="299"/>
      <c r="BX15" s="299"/>
      <c r="BY15" s="299"/>
      <c r="BZ15" s="299"/>
      <c r="CA15" s="299"/>
      <c r="CB15" s="299"/>
      <c r="CC15" s="299"/>
      <c r="CD15" s="299"/>
      <c r="CE15" s="299"/>
      <c r="CF15" s="299"/>
      <c r="CG15" s="299"/>
      <c r="CH15" s="299"/>
      <c r="CI15" s="299"/>
      <c r="CJ15" s="299"/>
      <c r="CK15" s="299"/>
      <c r="CL15" s="299"/>
      <c r="CM15" s="299"/>
      <c r="CN15" s="299"/>
      <c r="CO15" s="299"/>
      <c r="CP15" s="299"/>
      <c r="CQ15" s="299"/>
      <c r="CR15" s="299"/>
      <c r="CS15" s="299"/>
      <c r="CT15" s="342"/>
    </row>
    <row r="16" spans="1:98" ht="18" customHeight="1">
      <c r="B16" s="358"/>
      <c r="C16" s="359"/>
      <c r="D16" s="360"/>
      <c r="E16" s="301"/>
      <c r="F16" s="299"/>
      <c r="G16" s="299"/>
      <c r="H16" s="299"/>
      <c r="I16" s="342"/>
      <c r="J16" s="343"/>
      <c r="K16" s="299"/>
      <c r="L16" s="299"/>
      <c r="M16" s="299"/>
      <c r="N16" s="299"/>
      <c r="O16" s="299"/>
      <c r="P16" s="300"/>
      <c r="Q16" s="305"/>
      <c r="R16" s="305"/>
      <c r="S16" s="305"/>
      <c r="T16" s="343"/>
      <c r="U16" s="299"/>
      <c r="V16" s="299"/>
      <c r="W16" s="299"/>
      <c r="X16" s="299"/>
      <c r="Y16" s="299"/>
      <c r="Z16" s="299"/>
      <c r="AA16" s="299"/>
      <c r="AB16" s="299"/>
      <c r="AC16" s="299"/>
      <c r="AD16" s="299"/>
      <c r="AE16" s="299"/>
      <c r="AF16" s="299"/>
      <c r="AG16" s="299"/>
      <c r="AH16" s="299"/>
      <c r="AI16" s="299"/>
      <c r="AJ16" s="299"/>
      <c r="AK16" s="300"/>
      <c r="AL16" s="301"/>
      <c r="AM16" s="299"/>
      <c r="AN16" s="299"/>
      <c r="AO16" s="299"/>
      <c r="AP16" s="316"/>
      <c r="AQ16" s="299"/>
      <c r="AR16" s="299"/>
      <c r="AS16" s="299"/>
      <c r="AT16" s="318"/>
      <c r="AU16" s="299"/>
      <c r="AV16" s="299"/>
      <c r="AW16" s="318"/>
      <c r="AX16" s="299"/>
      <c r="AY16" s="299"/>
      <c r="AZ16" s="299"/>
      <c r="BA16" s="299"/>
      <c r="BB16" s="299"/>
      <c r="BC16" s="299"/>
      <c r="BD16" s="299"/>
      <c r="BE16" s="299"/>
      <c r="BF16" s="299"/>
      <c r="BG16" s="299"/>
      <c r="BH16" s="299"/>
      <c r="BI16" s="299"/>
      <c r="BJ16" s="299"/>
      <c r="BK16" s="299"/>
      <c r="BL16" s="299"/>
      <c r="BM16" s="299"/>
      <c r="BN16" s="299"/>
      <c r="BO16" s="299"/>
      <c r="BP16" s="342"/>
      <c r="BQ16" s="301"/>
      <c r="BR16" s="299"/>
      <c r="BS16" s="299"/>
      <c r="BT16" s="299"/>
      <c r="BU16" s="299"/>
      <c r="BV16" s="299"/>
      <c r="BW16" s="299"/>
      <c r="BX16" s="299"/>
      <c r="BY16" s="299"/>
      <c r="BZ16" s="299"/>
      <c r="CA16" s="299"/>
      <c r="CB16" s="299"/>
      <c r="CC16" s="299"/>
      <c r="CD16" s="299"/>
      <c r="CE16" s="299"/>
      <c r="CF16" s="299"/>
      <c r="CG16" s="299"/>
      <c r="CH16" s="299"/>
      <c r="CI16" s="299"/>
      <c r="CJ16" s="299"/>
      <c r="CK16" s="299"/>
      <c r="CL16" s="299"/>
      <c r="CM16" s="299"/>
      <c r="CN16" s="299"/>
      <c r="CO16" s="299"/>
      <c r="CP16" s="299"/>
      <c r="CQ16" s="299"/>
      <c r="CR16" s="299"/>
      <c r="CS16" s="299"/>
      <c r="CT16" s="342"/>
    </row>
    <row r="17" spans="2:98" ht="18" customHeight="1">
      <c r="B17" s="358"/>
      <c r="C17" s="359"/>
      <c r="D17" s="360"/>
      <c r="E17" s="301"/>
      <c r="F17" s="299"/>
      <c r="G17" s="299"/>
      <c r="H17" s="299"/>
      <c r="I17" s="342"/>
      <c r="J17" s="343"/>
      <c r="K17" s="299"/>
      <c r="L17" s="299"/>
      <c r="M17" s="299"/>
      <c r="N17" s="299"/>
      <c r="O17" s="299"/>
      <c r="P17" s="300"/>
      <c r="Q17" s="316"/>
      <c r="R17" s="316"/>
      <c r="S17" s="299"/>
      <c r="T17" s="343"/>
      <c r="U17" s="299"/>
      <c r="V17" s="299"/>
      <c r="W17" s="299"/>
      <c r="X17" s="299"/>
      <c r="Y17" s="299"/>
      <c r="Z17" s="299"/>
      <c r="AA17" s="299"/>
      <c r="AB17" s="299"/>
      <c r="AC17" s="299"/>
      <c r="AD17" s="299"/>
      <c r="AE17" s="299"/>
      <c r="AF17" s="316"/>
      <c r="AG17" s="299"/>
      <c r="AH17" s="299"/>
      <c r="AI17" s="316"/>
      <c r="AJ17" s="299"/>
      <c r="AK17" s="300"/>
      <c r="AL17" s="301"/>
      <c r="AM17" s="318"/>
      <c r="AN17" s="299"/>
      <c r="AO17" s="299"/>
      <c r="AP17" s="318"/>
      <c r="AQ17" s="299"/>
      <c r="AR17" s="299"/>
      <c r="AS17" s="299"/>
      <c r="AT17" s="299"/>
      <c r="AU17" s="299"/>
      <c r="AV17" s="299"/>
      <c r="AW17" s="299"/>
      <c r="AX17" s="299"/>
      <c r="AY17" s="299"/>
      <c r="AZ17" s="299"/>
      <c r="BA17" s="299"/>
      <c r="BB17" s="299"/>
      <c r="BC17" s="299"/>
      <c r="BD17" s="299"/>
      <c r="BE17" s="299"/>
      <c r="BF17" s="299"/>
      <c r="BG17" s="299"/>
      <c r="BH17" s="299"/>
      <c r="BI17" s="299"/>
      <c r="BJ17" s="299"/>
      <c r="BK17" s="299"/>
      <c r="BL17" s="299"/>
      <c r="BM17" s="299"/>
      <c r="BN17" s="299"/>
      <c r="BO17" s="299"/>
      <c r="BP17" s="342"/>
      <c r="BQ17" s="301"/>
      <c r="BR17" s="299"/>
      <c r="BS17" s="299"/>
      <c r="BT17" s="299"/>
      <c r="BU17" s="299"/>
      <c r="BV17" s="299"/>
      <c r="BW17" s="299"/>
      <c r="BX17" s="299"/>
      <c r="BY17" s="299"/>
      <c r="BZ17" s="299"/>
      <c r="CA17" s="299"/>
      <c r="CB17" s="299"/>
      <c r="CC17" s="299"/>
      <c r="CD17" s="299"/>
      <c r="CE17" s="299"/>
      <c r="CF17" s="299"/>
      <c r="CG17" s="299"/>
      <c r="CH17" s="299"/>
      <c r="CI17" s="299"/>
      <c r="CJ17" s="299"/>
      <c r="CK17" s="299"/>
      <c r="CL17" s="299"/>
      <c r="CM17" s="299"/>
      <c r="CN17" s="299"/>
      <c r="CO17" s="299"/>
      <c r="CP17" s="299"/>
      <c r="CQ17" s="299"/>
      <c r="CR17" s="299"/>
      <c r="CS17" s="299"/>
      <c r="CT17" s="342"/>
    </row>
    <row r="18" spans="2:98" ht="18" customHeight="1">
      <c r="B18" s="358"/>
      <c r="C18" s="359"/>
      <c r="D18" s="360"/>
      <c r="E18" s="306"/>
      <c r="F18" s="305"/>
      <c r="G18" s="305"/>
      <c r="H18" s="305"/>
      <c r="I18" s="311"/>
      <c r="J18" s="343"/>
      <c r="K18" s="299"/>
      <c r="L18" s="299"/>
      <c r="M18" s="299"/>
      <c r="N18" s="299"/>
      <c r="O18" s="299"/>
      <c r="P18" s="299"/>
      <c r="Q18" s="309"/>
      <c r="R18" s="309"/>
      <c r="S18" s="309"/>
      <c r="T18" s="299"/>
      <c r="U18" s="299"/>
      <c r="V18" s="299"/>
      <c r="W18" s="299"/>
      <c r="X18" s="299"/>
      <c r="Y18" s="299"/>
      <c r="Z18" s="299"/>
      <c r="AA18" s="299"/>
      <c r="AB18" s="299"/>
      <c r="AC18" s="299"/>
      <c r="AD18" s="299"/>
      <c r="AE18" s="299"/>
      <c r="AF18" s="299"/>
      <c r="AG18" s="299"/>
      <c r="AH18" s="299"/>
      <c r="AI18" s="299"/>
      <c r="AJ18" s="299"/>
      <c r="AK18" s="300"/>
      <c r="AL18" s="301"/>
      <c r="AM18" s="299"/>
      <c r="AN18" s="299"/>
      <c r="AO18" s="299"/>
      <c r="AP18" s="316"/>
      <c r="AQ18" s="299"/>
      <c r="AR18" s="299"/>
      <c r="AS18" s="299"/>
      <c r="AT18" s="318"/>
      <c r="AU18" s="299"/>
      <c r="AV18" s="299"/>
      <c r="AW18" s="318"/>
      <c r="AX18" s="299"/>
      <c r="AY18" s="299"/>
      <c r="AZ18" s="299"/>
      <c r="BA18" s="299"/>
      <c r="BB18" s="299"/>
      <c r="BC18" s="299"/>
      <c r="BD18" s="299"/>
      <c r="BE18" s="299"/>
      <c r="BF18" s="299"/>
      <c r="BG18" s="299"/>
      <c r="BH18" s="299"/>
      <c r="BI18" s="299"/>
      <c r="BJ18" s="299"/>
      <c r="BK18" s="299"/>
      <c r="BL18" s="299"/>
      <c r="BM18" s="299"/>
      <c r="BN18" s="299"/>
      <c r="BO18" s="299"/>
      <c r="BP18" s="342"/>
      <c r="BQ18" s="301"/>
      <c r="BR18" s="299"/>
      <c r="BS18" s="299"/>
      <c r="BT18" s="299"/>
      <c r="BU18" s="299"/>
      <c r="BV18" s="299"/>
      <c r="BW18" s="299"/>
      <c r="BX18" s="299"/>
      <c r="BY18" s="299"/>
      <c r="BZ18" s="299"/>
      <c r="CA18" s="299"/>
      <c r="CB18" s="299"/>
      <c r="CC18" s="299"/>
      <c r="CD18" s="299"/>
      <c r="CE18" s="299"/>
      <c r="CF18" s="299"/>
      <c r="CG18" s="299"/>
      <c r="CH18" s="299"/>
      <c r="CI18" s="299"/>
      <c r="CJ18" s="299"/>
      <c r="CK18" s="299"/>
      <c r="CL18" s="299"/>
      <c r="CM18" s="299"/>
      <c r="CN18" s="299"/>
      <c r="CO18" s="299"/>
      <c r="CP18" s="299"/>
      <c r="CQ18" s="299"/>
      <c r="CR18" s="299"/>
      <c r="CS18" s="299"/>
      <c r="CT18" s="342"/>
    </row>
    <row r="19" spans="2:98" ht="18" customHeight="1">
      <c r="B19" s="302"/>
      <c r="C19" s="303"/>
      <c r="D19" s="361"/>
      <c r="E19" s="306"/>
      <c r="F19" s="305"/>
      <c r="G19" s="305"/>
      <c r="H19" s="305"/>
      <c r="I19" s="311"/>
      <c r="J19" s="312"/>
      <c r="K19" s="305"/>
      <c r="L19" s="305"/>
      <c r="M19" s="305"/>
      <c r="N19" s="305"/>
      <c r="O19" s="305"/>
      <c r="P19" s="305"/>
      <c r="Q19" s="332"/>
      <c r="R19" s="332"/>
      <c r="S19" s="332"/>
      <c r="T19" s="305"/>
      <c r="U19" s="305"/>
      <c r="V19" s="305"/>
      <c r="W19" s="305"/>
      <c r="X19" s="305"/>
      <c r="Y19" s="305"/>
      <c r="Z19" s="305"/>
      <c r="AA19" s="305"/>
      <c r="AB19" s="305"/>
      <c r="AC19" s="305"/>
      <c r="AD19" s="305"/>
      <c r="AE19" s="305"/>
      <c r="AF19" s="305"/>
      <c r="AG19" s="305"/>
      <c r="AH19" s="305"/>
      <c r="AI19" s="305"/>
      <c r="AJ19" s="305"/>
      <c r="AK19" s="313"/>
      <c r="AL19" s="306"/>
      <c r="AM19" s="305"/>
      <c r="AN19" s="305"/>
      <c r="AO19" s="305"/>
      <c r="AP19" s="316"/>
      <c r="AQ19" s="305"/>
      <c r="AR19" s="305"/>
      <c r="AS19" s="305"/>
      <c r="AT19" s="344"/>
      <c r="AU19" s="305"/>
      <c r="AV19" s="305"/>
      <c r="AW19" s="305"/>
      <c r="AX19" s="305"/>
      <c r="AY19" s="305"/>
      <c r="AZ19" s="305"/>
      <c r="BA19" s="305"/>
      <c r="BB19" s="305"/>
      <c r="BC19" s="305"/>
      <c r="BD19" s="305"/>
      <c r="BE19" s="305"/>
      <c r="BF19" s="305"/>
      <c r="BG19" s="305"/>
      <c r="BH19" s="305"/>
      <c r="BI19" s="305"/>
      <c r="BJ19" s="305"/>
      <c r="BK19" s="305"/>
      <c r="BL19" s="305"/>
      <c r="BM19" s="305"/>
      <c r="BN19" s="305"/>
      <c r="BO19" s="305"/>
      <c r="BP19" s="311"/>
      <c r="BQ19" s="306"/>
      <c r="BR19" s="305"/>
      <c r="BS19" s="305"/>
      <c r="BT19" s="305"/>
      <c r="BU19" s="305"/>
      <c r="BV19" s="305"/>
      <c r="BW19" s="305"/>
      <c r="BX19" s="305"/>
      <c r="BY19" s="305"/>
      <c r="BZ19" s="305"/>
      <c r="CA19" s="305"/>
      <c r="CB19" s="305"/>
      <c r="CC19" s="305"/>
      <c r="CD19" s="305"/>
      <c r="CE19" s="305"/>
      <c r="CF19" s="305"/>
      <c r="CG19" s="305"/>
      <c r="CH19" s="305"/>
      <c r="CI19" s="305"/>
      <c r="CJ19" s="305"/>
      <c r="CK19" s="305"/>
      <c r="CL19" s="305"/>
      <c r="CM19" s="305"/>
      <c r="CN19" s="305"/>
      <c r="CO19" s="305"/>
      <c r="CP19" s="305"/>
      <c r="CQ19" s="305"/>
      <c r="CR19" s="305"/>
      <c r="CS19" s="305"/>
      <c r="CT19" s="311"/>
    </row>
    <row r="20" spans="2:98" ht="18" customHeight="1">
      <c r="B20" s="289"/>
      <c r="C20" s="290"/>
      <c r="D20" s="291"/>
      <c r="E20" s="292"/>
      <c r="F20" s="293"/>
      <c r="G20" s="293"/>
      <c r="H20" s="293"/>
      <c r="I20" s="294"/>
      <c r="J20" s="295"/>
      <c r="K20" s="293"/>
      <c r="L20" s="293"/>
      <c r="M20" s="293"/>
      <c r="N20" s="293"/>
      <c r="O20" s="293"/>
      <c r="P20" s="293"/>
      <c r="Q20" s="293"/>
      <c r="R20" s="293"/>
      <c r="S20" s="293"/>
      <c r="T20" s="293"/>
      <c r="U20" s="293"/>
      <c r="V20" s="293"/>
      <c r="W20" s="293"/>
      <c r="X20" s="293"/>
      <c r="Y20" s="293"/>
      <c r="Z20" s="293"/>
      <c r="AA20" s="293"/>
      <c r="AB20" s="293"/>
      <c r="AC20" s="293"/>
      <c r="AD20" s="293"/>
      <c r="AE20" s="293"/>
      <c r="AF20" s="293"/>
      <c r="AG20" s="293"/>
      <c r="AH20" s="293"/>
      <c r="AI20" s="293"/>
      <c r="AJ20" s="293"/>
      <c r="AK20" s="296"/>
      <c r="AL20" s="292"/>
      <c r="AM20" s="293"/>
      <c r="AN20" s="293"/>
      <c r="AO20" s="293"/>
      <c r="AP20" s="293"/>
      <c r="AQ20" s="293"/>
      <c r="AR20" s="293"/>
      <c r="AS20" s="293"/>
      <c r="AT20" s="293"/>
      <c r="AU20" s="293"/>
      <c r="AV20" s="293"/>
      <c r="AW20" s="293"/>
      <c r="AX20" s="293"/>
      <c r="AY20" s="293"/>
      <c r="AZ20" s="293"/>
      <c r="BA20" s="293"/>
      <c r="BB20" s="293"/>
      <c r="BC20" s="293"/>
      <c r="BD20" s="297"/>
      <c r="BE20" s="293"/>
      <c r="BF20" s="293"/>
      <c r="BG20" s="293"/>
      <c r="BH20" s="297"/>
      <c r="BI20" s="293"/>
      <c r="BJ20" s="293"/>
      <c r="BK20" s="297"/>
      <c r="BL20" s="293"/>
      <c r="BM20" s="293"/>
      <c r="BN20" s="293"/>
      <c r="BO20" s="297"/>
      <c r="BP20" s="294"/>
      <c r="BQ20" s="292"/>
      <c r="BR20" s="297"/>
      <c r="BS20" s="293"/>
      <c r="BT20" s="293"/>
      <c r="BU20" s="293"/>
      <c r="BV20" s="297"/>
      <c r="BW20" s="293"/>
      <c r="BX20" s="293"/>
      <c r="BY20" s="293"/>
      <c r="BZ20" s="293"/>
      <c r="CA20" s="293"/>
      <c r="CB20" s="293"/>
      <c r="CC20" s="293"/>
      <c r="CD20" s="293"/>
      <c r="CE20" s="293"/>
      <c r="CF20" s="293"/>
      <c r="CG20" s="293"/>
      <c r="CH20" s="293"/>
      <c r="CI20" s="293"/>
      <c r="CJ20" s="293"/>
      <c r="CK20" s="293"/>
      <c r="CL20" s="293"/>
      <c r="CM20" s="293"/>
      <c r="CN20" s="293"/>
      <c r="CO20" s="293"/>
      <c r="CP20" s="293"/>
      <c r="CQ20" s="293"/>
      <c r="CR20" s="293"/>
      <c r="CS20" s="293"/>
      <c r="CT20" s="294"/>
    </row>
    <row r="21" spans="2:98" ht="18" customHeight="1">
      <c r="B21" s="352"/>
      <c r="C21" s="353"/>
      <c r="D21" s="362"/>
      <c r="E21" s="298"/>
      <c r="F21" s="298"/>
      <c r="G21" s="298"/>
      <c r="H21" s="298"/>
      <c r="I21" s="336"/>
      <c r="J21" s="337"/>
      <c r="K21" s="298"/>
      <c r="L21" s="298"/>
      <c r="M21" s="298"/>
      <c r="N21" s="298"/>
      <c r="O21" s="298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  <c r="AI21" s="298"/>
      <c r="AJ21" s="298"/>
      <c r="AK21" s="338"/>
      <c r="AL21" s="287"/>
      <c r="AM21" s="298"/>
      <c r="AN21" s="298"/>
      <c r="AO21" s="298"/>
      <c r="AP21" s="298"/>
      <c r="AQ21" s="298"/>
      <c r="AR21" s="298"/>
      <c r="AS21" s="298"/>
      <c r="AT21" s="298"/>
      <c r="AU21" s="298"/>
      <c r="AV21" s="298"/>
      <c r="AW21" s="298"/>
      <c r="AX21" s="298"/>
      <c r="AY21" s="298"/>
      <c r="AZ21" s="298"/>
      <c r="BA21" s="298"/>
      <c r="BB21" s="298"/>
      <c r="BC21" s="298"/>
      <c r="BD21" s="298"/>
      <c r="BE21" s="298"/>
      <c r="BF21" s="298"/>
      <c r="BG21" s="298"/>
      <c r="BH21" s="298"/>
      <c r="BI21" s="298"/>
      <c r="BJ21" s="298"/>
      <c r="BK21" s="298"/>
      <c r="BL21" s="298"/>
      <c r="BM21" s="298"/>
      <c r="BN21" s="298"/>
      <c r="BO21" s="298"/>
      <c r="BP21" s="336"/>
      <c r="BQ21" s="287"/>
      <c r="BR21" s="298"/>
      <c r="BS21" s="298"/>
      <c r="BT21" s="298"/>
      <c r="BU21" s="298"/>
      <c r="BV21" s="298"/>
      <c r="BW21" s="298"/>
      <c r="BX21" s="298"/>
      <c r="BY21" s="298"/>
      <c r="BZ21" s="298"/>
      <c r="CA21" s="298"/>
      <c r="CB21" s="298"/>
      <c r="CC21" s="298"/>
      <c r="CD21" s="298"/>
      <c r="CE21" s="298"/>
      <c r="CF21" s="298"/>
      <c r="CG21" s="298"/>
      <c r="CH21" s="298"/>
      <c r="CI21" s="298"/>
      <c r="CJ21" s="298"/>
      <c r="CK21" s="298"/>
      <c r="CL21" s="298"/>
      <c r="CM21" s="298"/>
      <c r="CN21" s="298"/>
      <c r="CO21" s="298"/>
      <c r="CP21" s="298"/>
      <c r="CQ21" s="298"/>
      <c r="CR21" s="298"/>
      <c r="CS21" s="298"/>
      <c r="CT21" s="336"/>
    </row>
    <row r="22" spans="2:98" ht="18" customHeight="1">
      <c r="B22" s="302"/>
      <c r="C22" s="303"/>
      <c r="D22" s="310"/>
      <c r="E22" s="305"/>
      <c r="F22" s="305"/>
      <c r="G22" s="305"/>
      <c r="H22" s="305"/>
      <c r="I22" s="311"/>
      <c r="J22" s="312"/>
      <c r="K22" s="305"/>
      <c r="L22" s="305"/>
      <c r="M22" s="305"/>
      <c r="N22" s="305"/>
      <c r="O22" s="305"/>
      <c r="P22" s="305"/>
      <c r="Q22" s="307"/>
      <c r="R22" s="307"/>
      <c r="S22" s="305"/>
      <c r="T22" s="305"/>
      <c r="U22" s="305"/>
      <c r="V22" s="305"/>
      <c r="W22" s="305"/>
      <c r="X22" s="305"/>
      <c r="Y22" s="305"/>
      <c r="Z22" s="305"/>
      <c r="AA22" s="305"/>
      <c r="AB22" s="305"/>
      <c r="AC22" s="305"/>
      <c r="AD22" s="305"/>
      <c r="AE22" s="305"/>
      <c r="AF22" s="307"/>
      <c r="AG22" s="305"/>
      <c r="AH22" s="305"/>
      <c r="AI22" s="307"/>
      <c r="AJ22" s="305"/>
      <c r="AK22" s="313"/>
      <c r="AL22" s="306"/>
      <c r="AM22" s="307"/>
      <c r="AN22" s="305"/>
      <c r="AO22" s="305"/>
      <c r="AP22" s="307"/>
      <c r="AQ22" s="305"/>
      <c r="AR22" s="305"/>
      <c r="AS22" s="305"/>
      <c r="AT22" s="344"/>
      <c r="AU22" s="305"/>
      <c r="AV22" s="305"/>
      <c r="AW22" s="305"/>
      <c r="AX22" s="305"/>
      <c r="AY22" s="305"/>
      <c r="AZ22" s="305"/>
      <c r="BA22" s="305"/>
      <c r="BB22" s="305"/>
      <c r="BC22" s="305"/>
      <c r="BD22" s="305"/>
      <c r="BE22" s="305"/>
      <c r="BF22" s="305"/>
      <c r="BG22" s="305"/>
      <c r="BH22" s="305"/>
      <c r="BI22" s="305"/>
      <c r="BJ22" s="305"/>
      <c r="BK22" s="305"/>
      <c r="BL22" s="305"/>
      <c r="BM22" s="305"/>
      <c r="BN22" s="305"/>
      <c r="BO22" s="305"/>
      <c r="BP22" s="311"/>
      <c r="BQ22" s="306"/>
      <c r="BR22" s="305"/>
      <c r="BS22" s="305"/>
      <c r="BT22" s="305"/>
      <c r="BU22" s="305"/>
      <c r="BV22" s="305"/>
      <c r="BW22" s="305"/>
      <c r="BX22" s="305"/>
      <c r="BY22" s="305"/>
      <c r="BZ22" s="305"/>
      <c r="CA22" s="305"/>
      <c r="CB22" s="305"/>
      <c r="CC22" s="305"/>
      <c r="CD22" s="305"/>
      <c r="CE22" s="305"/>
      <c r="CF22" s="305"/>
      <c r="CG22" s="305"/>
      <c r="CH22" s="305"/>
      <c r="CI22" s="305"/>
      <c r="CJ22" s="305"/>
      <c r="CK22" s="305"/>
      <c r="CL22" s="305"/>
      <c r="CM22" s="305"/>
      <c r="CN22" s="305"/>
      <c r="CO22" s="305"/>
      <c r="CP22" s="305"/>
      <c r="CQ22" s="305"/>
      <c r="CR22" s="305"/>
      <c r="CS22" s="305"/>
      <c r="CT22" s="311"/>
    </row>
    <row r="23" spans="2:98" ht="18" customHeight="1">
      <c r="B23" s="302"/>
      <c r="C23" s="303"/>
      <c r="D23" s="310"/>
      <c r="E23" s="305"/>
      <c r="F23" s="305"/>
      <c r="G23" s="305"/>
      <c r="H23" s="305"/>
      <c r="I23" s="311"/>
      <c r="J23" s="312"/>
      <c r="K23" s="305"/>
      <c r="L23" s="305"/>
      <c r="M23" s="305"/>
      <c r="N23" s="305"/>
      <c r="O23" s="305"/>
      <c r="P23" s="305"/>
      <c r="Q23" s="305"/>
      <c r="R23" s="305"/>
      <c r="S23" s="305"/>
      <c r="T23" s="305"/>
      <c r="U23" s="305"/>
      <c r="V23" s="305"/>
      <c r="W23" s="305"/>
      <c r="X23" s="305"/>
      <c r="Y23" s="305"/>
      <c r="Z23" s="305"/>
      <c r="AA23" s="305"/>
      <c r="AB23" s="305"/>
      <c r="AC23" s="305"/>
      <c r="AD23" s="305"/>
      <c r="AE23" s="305"/>
      <c r="AF23" s="305"/>
      <c r="AG23" s="305"/>
      <c r="AH23" s="305"/>
      <c r="AI23" s="305"/>
      <c r="AJ23" s="305"/>
      <c r="AK23" s="313"/>
      <c r="AL23" s="306"/>
      <c r="AM23" s="305"/>
      <c r="AN23" s="305"/>
      <c r="AO23" s="305"/>
      <c r="AP23" s="307"/>
      <c r="AQ23" s="305"/>
      <c r="AR23" s="305"/>
      <c r="AS23" s="305"/>
      <c r="AT23" s="307"/>
      <c r="AU23" s="305"/>
      <c r="AV23" s="305"/>
      <c r="AW23" s="307"/>
      <c r="AX23" s="305"/>
      <c r="AY23" s="305"/>
      <c r="AZ23" s="305"/>
      <c r="BA23" s="307"/>
      <c r="BB23" s="305"/>
      <c r="BC23" s="305"/>
      <c r="BD23" s="307"/>
      <c r="BE23" s="305"/>
      <c r="BF23" s="305"/>
      <c r="BG23" s="305"/>
      <c r="BH23" s="307"/>
      <c r="BI23" s="305"/>
      <c r="BJ23" s="305"/>
      <c r="BK23" s="307"/>
      <c r="BL23" s="305"/>
      <c r="BM23" s="305"/>
      <c r="BN23" s="305"/>
      <c r="BO23" s="344"/>
      <c r="BP23" s="311"/>
      <c r="BQ23" s="306"/>
      <c r="BR23" s="305"/>
      <c r="BS23" s="305"/>
      <c r="BT23" s="305"/>
      <c r="BU23" s="305"/>
      <c r="BV23" s="305"/>
      <c r="BW23" s="305"/>
      <c r="BX23" s="305"/>
      <c r="BY23" s="305"/>
      <c r="BZ23" s="305"/>
      <c r="CA23" s="305"/>
      <c r="CB23" s="305"/>
      <c r="CC23" s="305"/>
      <c r="CD23" s="305"/>
      <c r="CE23" s="305"/>
      <c r="CF23" s="305"/>
      <c r="CG23" s="305"/>
      <c r="CH23" s="305"/>
      <c r="CI23" s="305"/>
      <c r="CJ23" s="305"/>
      <c r="CK23" s="305"/>
      <c r="CL23" s="305"/>
      <c r="CM23" s="305"/>
      <c r="CN23" s="305"/>
      <c r="CO23" s="305"/>
      <c r="CP23" s="305"/>
      <c r="CQ23" s="305"/>
      <c r="CR23" s="305"/>
      <c r="CS23" s="305"/>
      <c r="CT23" s="311"/>
    </row>
    <row r="24" spans="2:98" ht="18" customHeight="1">
      <c r="B24" s="358"/>
      <c r="C24" s="303"/>
      <c r="D24" s="317"/>
      <c r="E24" s="299"/>
      <c r="F24" s="299"/>
      <c r="G24" s="299"/>
      <c r="H24" s="299"/>
      <c r="I24" s="342"/>
      <c r="J24" s="343"/>
      <c r="K24" s="299"/>
      <c r="L24" s="299"/>
      <c r="M24" s="299"/>
      <c r="N24" s="299"/>
      <c r="O24" s="299"/>
      <c r="P24" s="299"/>
      <c r="Q24" s="299"/>
      <c r="R24" s="299"/>
      <c r="S24" s="299"/>
      <c r="T24" s="299"/>
      <c r="U24" s="299"/>
      <c r="V24" s="299"/>
      <c r="W24" s="299"/>
      <c r="X24" s="299"/>
      <c r="Y24" s="299"/>
      <c r="Z24" s="299"/>
      <c r="AA24" s="299"/>
      <c r="AB24" s="299"/>
      <c r="AC24" s="299"/>
      <c r="AD24" s="299"/>
      <c r="AE24" s="299"/>
      <c r="AF24" s="299"/>
      <c r="AG24" s="299"/>
      <c r="AH24" s="299"/>
      <c r="AI24" s="316"/>
      <c r="AJ24" s="299"/>
      <c r="AK24" s="300"/>
      <c r="AL24" s="301"/>
      <c r="AM24" s="299"/>
      <c r="AN24" s="299"/>
      <c r="AO24" s="299"/>
      <c r="AP24" s="299"/>
      <c r="AQ24" s="299"/>
      <c r="AR24" s="299"/>
      <c r="AS24" s="299"/>
      <c r="AT24" s="299"/>
      <c r="AU24" s="299"/>
      <c r="AV24" s="299"/>
      <c r="AW24" s="299"/>
      <c r="AX24" s="299"/>
      <c r="AY24" s="299"/>
      <c r="AZ24" s="299"/>
      <c r="BA24" s="299"/>
      <c r="BB24" s="299"/>
      <c r="BC24" s="299"/>
      <c r="BD24" s="299"/>
      <c r="BE24" s="299"/>
      <c r="BF24" s="299"/>
      <c r="BG24" s="299"/>
      <c r="BH24" s="299"/>
      <c r="BI24" s="299"/>
      <c r="BJ24" s="299"/>
      <c r="BK24" s="299"/>
      <c r="BL24" s="299"/>
      <c r="BM24" s="299"/>
      <c r="BN24" s="299"/>
      <c r="BO24" s="299"/>
      <c r="BP24" s="342"/>
      <c r="BQ24" s="301"/>
      <c r="BR24" s="299"/>
      <c r="BS24" s="299"/>
      <c r="BT24" s="299"/>
      <c r="BU24" s="299"/>
      <c r="BV24" s="299"/>
      <c r="BW24" s="299"/>
      <c r="BX24" s="299"/>
      <c r="BY24" s="299"/>
      <c r="BZ24" s="299"/>
      <c r="CA24" s="299"/>
      <c r="CB24" s="299"/>
      <c r="CC24" s="299"/>
      <c r="CD24" s="299"/>
      <c r="CE24" s="299"/>
      <c r="CF24" s="299"/>
      <c r="CG24" s="299"/>
      <c r="CH24" s="299"/>
      <c r="CI24" s="299"/>
      <c r="CJ24" s="299"/>
      <c r="CK24" s="299"/>
      <c r="CL24" s="299"/>
      <c r="CM24" s="299"/>
      <c r="CN24" s="299"/>
      <c r="CO24" s="299"/>
      <c r="CP24" s="299"/>
      <c r="CQ24" s="299"/>
      <c r="CR24" s="299"/>
      <c r="CS24" s="299"/>
      <c r="CT24" s="342"/>
    </row>
    <row r="25" spans="2:98" ht="18" customHeight="1">
      <c r="B25" s="302"/>
      <c r="C25" s="303"/>
      <c r="D25" s="310"/>
      <c r="E25" s="305"/>
      <c r="F25" s="305"/>
      <c r="G25" s="305"/>
      <c r="H25" s="305"/>
      <c r="I25" s="311"/>
      <c r="J25" s="312"/>
      <c r="K25" s="305"/>
      <c r="L25" s="305"/>
      <c r="M25" s="305"/>
      <c r="N25" s="305"/>
      <c r="O25" s="305"/>
      <c r="P25" s="305"/>
      <c r="Q25" s="305"/>
      <c r="R25" s="305"/>
      <c r="S25" s="305"/>
      <c r="T25" s="305"/>
      <c r="U25" s="305"/>
      <c r="V25" s="305"/>
      <c r="W25" s="305"/>
      <c r="X25" s="305"/>
      <c r="Y25" s="305"/>
      <c r="Z25" s="305"/>
      <c r="AA25" s="305"/>
      <c r="AB25" s="305"/>
      <c r="AC25" s="305"/>
      <c r="AD25" s="305"/>
      <c r="AE25" s="305"/>
      <c r="AF25" s="305"/>
      <c r="AG25" s="305"/>
      <c r="AH25" s="305"/>
      <c r="AI25" s="305"/>
      <c r="AJ25" s="305"/>
      <c r="AK25" s="313"/>
      <c r="AL25" s="306"/>
      <c r="AM25" s="305"/>
      <c r="AN25" s="305"/>
      <c r="AO25" s="305"/>
      <c r="AP25" s="307"/>
      <c r="AQ25" s="305"/>
      <c r="AR25" s="305"/>
      <c r="AS25" s="305"/>
      <c r="AT25" s="345"/>
      <c r="AU25" s="305"/>
      <c r="AV25" s="305"/>
      <c r="AW25" s="345"/>
      <c r="AX25" s="305"/>
      <c r="AY25" s="305"/>
      <c r="AZ25" s="305"/>
      <c r="BA25" s="307"/>
      <c r="BB25" s="305"/>
      <c r="BC25" s="305"/>
      <c r="BD25" s="307"/>
      <c r="BE25" s="305"/>
      <c r="BF25" s="305"/>
      <c r="BG25" s="305"/>
      <c r="BH25" s="307"/>
      <c r="BI25" s="305"/>
      <c r="BJ25" s="305"/>
      <c r="BK25" s="344"/>
      <c r="BL25" s="305"/>
      <c r="BM25" s="305"/>
      <c r="BN25" s="305"/>
      <c r="BO25" s="305"/>
      <c r="BP25" s="311"/>
      <c r="BQ25" s="306"/>
      <c r="BR25" s="305"/>
      <c r="BS25" s="305"/>
      <c r="BT25" s="305"/>
      <c r="BU25" s="305"/>
      <c r="BV25" s="305"/>
      <c r="BW25" s="305"/>
      <c r="BX25" s="305"/>
      <c r="BY25" s="305"/>
      <c r="BZ25" s="305"/>
      <c r="CA25" s="305"/>
      <c r="CB25" s="305"/>
      <c r="CC25" s="305"/>
      <c r="CD25" s="305"/>
      <c r="CE25" s="305"/>
      <c r="CF25" s="305"/>
      <c r="CG25" s="305"/>
      <c r="CH25" s="305"/>
      <c r="CI25" s="305"/>
      <c r="CJ25" s="305"/>
      <c r="CK25" s="305"/>
      <c r="CL25" s="305"/>
      <c r="CM25" s="305"/>
      <c r="CN25" s="305"/>
      <c r="CO25" s="305"/>
      <c r="CP25" s="305"/>
      <c r="CQ25" s="305"/>
      <c r="CR25" s="305"/>
      <c r="CS25" s="305"/>
      <c r="CT25" s="311"/>
    </row>
    <row r="26" spans="2:98" ht="18" customHeight="1">
      <c r="B26" s="302"/>
      <c r="C26" s="303"/>
      <c r="D26" s="304"/>
      <c r="E26" s="305"/>
      <c r="F26" s="305"/>
      <c r="G26" s="305"/>
      <c r="H26" s="305"/>
      <c r="I26" s="311"/>
      <c r="J26" s="312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305"/>
      <c r="X26" s="305"/>
      <c r="Y26" s="305"/>
      <c r="Z26" s="305"/>
      <c r="AA26" s="305"/>
      <c r="AB26" s="305"/>
      <c r="AC26" s="305"/>
      <c r="AD26" s="305"/>
      <c r="AE26" s="305"/>
      <c r="AF26" s="305"/>
      <c r="AG26" s="305"/>
      <c r="AH26" s="305"/>
      <c r="AI26" s="305"/>
      <c r="AJ26" s="305"/>
      <c r="AK26" s="313"/>
      <c r="AL26" s="306"/>
      <c r="AM26" s="305"/>
      <c r="AN26" s="305"/>
      <c r="AO26" s="305"/>
      <c r="AP26" s="305"/>
      <c r="AQ26" s="305"/>
      <c r="AR26" s="305"/>
      <c r="AS26" s="305"/>
      <c r="AT26" s="305"/>
      <c r="AU26" s="305"/>
      <c r="AV26" s="305"/>
      <c r="AW26" s="305"/>
      <c r="AX26" s="305"/>
      <c r="AY26" s="305"/>
      <c r="AZ26" s="305"/>
      <c r="BA26" s="305"/>
      <c r="BB26" s="305"/>
      <c r="BC26" s="305"/>
      <c r="BD26" s="305"/>
      <c r="BE26" s="305"/>
      <c r="BF26" s="305"/>
      <c r="BG26" s="305"/>
      <c r="BH26" s="305"/>
      <c r="BI26" s="305"/>
      <c r="BJ26" s="305"/>
      <c r="BK26" s="305"/>
      <c r="BL26" s="305"/>
      <c r="BM26" s="305"/>
      <c r="BN26" s="305"/>
      <c r="BO26" s="307"/>
      <c r="BP26" s="311"/>
      <c r="BQ26" s="306"/>
      <c r="BR26" s="307"/>
      <c r="BS26" s="305"/>
      <c r="BT26" s="305"/>
      <c r="BU26" s="305"/>
      <c r="BV26" s="307"/>
      <c r="BW26" s="305"/>
      <c r="BX26" s="305"/>
      <c r="BY26" s="305"/>
      <c r="BZ26" s="305"/>
      <c r="CA26" s="305"/>
      <c r="CB26" s="305"/>
      <c r="CC26" s="305"/>
      <c r="CD26" s="305"/>
      <c r="CE26" s="305"/>
      <c r="CF26" s="305"/>
      <c r="CG26" s="305"/>
      <c r="CH26" s="305"/>
      <c r="CI26" s="305"/>
      <c r="CJ26" s="305"/>
      <c r="CK26" s="305"/>
      <c r="CL26" s="305"/>
      <c r="CM26" s="305"/>
      <c r="CN26" s="305"/>
      <c r="CO26" s="305"/>
      <c r="CP26" s="305"/>
      <c r="CQ26" s="305"/>
      <c r="CR26" s="305"/>
      <c r="CS26" s="305"/>
      <c r="CT26" s="311"/>
    </row>
    <row r="27" spans="2:98" ht="18" customHeight="1">
      <c r="B27" s="289"/>
      <c r="C27" s="290"/>
      <c r="D27" s="308"/>
      <c r="E27" s="293"/>
      <c r="F27" s="293"/>
      <c r="G27" s="293"/>
      <c r="H27" s="293"/>
      <c r="I27" s="294"/>
      <c r="J27" s="295"/>
      <c r="K27" s="293"/>
      <c r="L27" s="293"/>
      <c r="M27" s="293"/>
      <c r="N27" s="293"/>
      <c r="O27" s="293"/>
      <c r="P27" s="293"/>
      <c r="Q27" s="293"/>
      <c r="R27" s="293"/>
      <c r="S27" s="293"/>
      <c r="T27" s="293"/>
      <c r="U27" s="293"/>
      <c r="V27" s="293"/>
      <c r="W27" s="293"/>
      <c r="X27" s="293"/>
      <c r="Y27" s="293"/>
      <c r="Z27" s="293"/>
      <c r="AA27" s="293"/>
      <c r="AB27" s="293"/>
      <c r="AC27" s="293"/>
      <c r="AD27" s="293"/>
      <c r="AE27" s="293"/>
      <c r="AF27" s="293"/>
      <c r="AG27" s="293"/>
      <c r="AH27" s="293"/>
      <c r="AI27" s="293"/>
      <c r="AJ27" s="293"/>
      <c r="AK27" s="296"/>
      <c r="AL27" s="292"/>
      <c r="AM27" s="293"/>
      <c r="AN27" s="293"/>
      <c r="AO27" s="293"/>
      <c r="AP27" s="293"/>
      <c r="AQ27" s="293"/>
      <c r="AR27" s="293"/>
      <c r="AS27" s="293"/>
      <c r="AT27" s="293"/>
      <c r="AU27" s="293"/>
      <c r="AV27" s="293"/>
      <c r="AW27" s="293"/>
      <c r="AX27" s="293"/>
      <c r="AY27" s="293"/>
      <c r="AZ27" s="293"/>
      <c r="BA27" s="293"/>
      <c r="BB27" s="293"/>
      <c r="BC27" s="293"/>
      <c r="BD27" s="293"/>
      <c r="BE27" s="293"/>
      <c r="BF27" s="293"/>
      <c r="BG27" s="293"/>
      <c r="BH27" s="293"/>
      <c r="BI27" s="293"/>
      <c r="BJ27" s="293"/>
      <c r="BK27" s="293"/>
      <c r="BL27" s="293"/>
      <c r="BM27" s="293"/>
      <c r="BN27" s="293"/>
      <c r="BO27" s="293"/>
      <c r="BP27" s="294"/>
      <c r="BQ27" s="292"/>
      <c r="BR27" s="297"/>
      <c r="BS27" s="293"/>
      <c r="BT27" s="293"/>
      <c r="BU27" s="293"/>
      <c r="BV27" s="297"/>
      <c r="BW27" s="293"/>
      <c r="BX27" s="293"/>
      <c r="BY27" s="293"/>
      <c r="BZ27" s="293"/>
      <c r="CA27" s="293"/>
      <c r="CB27" s="293"/>
      <c r="CC27" s="293"/>
      <c r="CD27" s="293"/>
      <c r="CE27" s="293"/>
      <c r="CF27" s="293"/>
      <c r="CG27" s="293"/>
      <c r="CH27" s="293"/>
      <c r="CI27" s="293"/>
      <c r="CJ27" s="293"/>
      <c r="CK27" s="293"/>
      <c r="CL27" s="293"/>
      <c r="CM27" s="293"/>
      <c r="CN27" s="293"/>
      <c r="CO27" s="293"/>
      <c r="CP27" s="293"/>
      <c r="CQ27" s="293"/>
      <c r="CR27" s="293"/>
      <c r="CS27" s="293"/>
      <c r="CT27" s="294"/>
    </row>
    <row r="28" spans="2:98" ht="18" customHeight="1">
      <c r="B28" s="363"/>
      <c r="C28" s="364"/>
      <c r="D28" s="365"/>
      <c r="E28" s="309"/>
      <c r="F28" s="309"/>
      <c r="G28" s="309"/>
      <c r="H28" s="309"/>
      <c r="I28" s="339"/>
      <c r="J28" s="340"/>
      <c r="K28" s="309"/>
      <c r="L28" s="309"/>
      <c r="M28" s="309"/>
      <c r="N28" s="309"/>
      <c r="O28" s="309"/>
      <c r="P28" s="309"/>
      <c r="Q28" s="309"/>
      <c r="R28" s="309"/>
      <c r="S28" s="309"/>
      <c r="T28" s="309"/>
      <c r="U28" s="309"/>
      <c r="V28" s="309"/>
      <c r="W28" s="309"/>
      <c r="X28" s="309"/>
      <c r="Y28" s="309"/>
      <c r="Z28" s="309"/>
      <c r="AA28" s="309"/>
      <c r="AB28" s="309"/>
      <c r="AC28" s="309"/>
      <c r="AD28" s="309"/>
      <c r="AE28" s="309"/>
      <c r="AF28" s="309"/>
      <c r="AG28" s="309"/>
      <c r="AH28" s="309"/>
      <c r="AI28" s="309"/>
      <c r="AJ28" s="309"/>
      <c r="AK28" s="341"/>
      <c r="AL28" s="288"/>
      <c r="AM28" s="309"/>
      <c r="AN28" s="309"/>
      <c r="AO28" s="309"/>
      <c r="AP28" s="309"/>
      <c r="AQ28" s="309"/>
      <c r="AR28" s="309"/>
      <c r="AS28" s="309"/>
      <c r="AT28" s="309"/>
      <c r="AU28" s="309"/>
      <c r="AV28" s="309"/>
      <c r="AW28" s="309"/>
      <c r="AX28" s="309"/>
      <c r="AY28" s="309"/>
      <c r="AZ28" s="309"/>
      <c r="BA28" s="309"/>
      <c r="BB28" s="309"/>
      <c r="BC28" s="309"/>
      <c r="BD28" s="309"/>
      <c r="BE28" s="309"/>
      <c r="BF28" s="309"/>
      <c r="BG28" s="309"/>
      <c r="BH28" s="309"/>
      <c r="BI28" s="309"/>
      <c r="BJ28" s="309"/>
      <c r="BK28" s="309"/>
      <c r="BL28" s="309"/>
      <c r="BM28" s="309"/>
      <c r="BN28" s="309"/>
      <c r="BO28" s="309"/>
      <c r="BP28" s="339"/>
      <c r="BQ28" s="288"/>
      <c r="BR28" s="309"/>
      <c r="BS28" s="309"/>
      <c r="BT28" s="309"/>
      <c r="BU28" s="309"/>
      <c r="BV28" s="309"/>
      <c r="BW28" s="309"/>
      <c r="BX28" s="309"/>
      <c r="BY28" s="309"/>
      <c r="BZ28" s="309"/>
      <c r="CA28" s="309"/>
      <c r="CB28" s="309"/>
      <c r="CC28" s="309"/>
      <c r="CD28" s="309"/>
      <c r="CE28" s="309"/>
      <c r="CF28" s="309"/>
      <c r="CG28" s="309"/>
      <c r="CH28" s="309"/>
      <c r="CI28" s="309"/>
      <c r="CJ28" s="309"/>
      <c r="CK28" s="309"/>
      <c r="CL28" s="309"/>
      <c r="CM28" s="309"/>
      <c r="CN28" s="309"/>
      <c r="CO28" s="309"/>
      <c r="CP28" s="309"/>
      <c r="CQ28" s="309"/>
      <c r="CR28" s="309"/>
      <c r="CS28" s="309"/>
      <c r="CT28" s="339"/>
    </row>
    <row r="29" spans="2:98" ht="18" customHeight="1">
      <c r="B29" s="358"/>
      <c r="C29" s="356"/>
      <c r="D29" s="366"/>
      <c r="E29" s="309"/>
      <c r="F29" s="309"/>
      <c r="G29" s="309"/>
      <c r="H29" s="309"/>
      <c r="I29" s="339"/>
      <c r="J29" s="340"/>
      <c r="K29" s="309"/>
      <c r="L29" s="309"/>
      <c r="M29" s="309"/>
      <c r="N29" s="309"/>
      <c r="O29" s="309"/>
      <c r="P29" s="309"/>
      <c r="Q29" s="309"/>
      <c r="R29" s="309"/>
      <c r="S29" s="309"/>
      <c r="T29" s="309"/>
      <c r="U29" s="309"/>
      <c r="V29" s="309"/>
      <c r="W29" s="309"/>
      <c r="X29" s="309"/>
      <c r="Y29" s="309"/>
      <c r="Z29" s="309"/>
      <c r="AA29" s="309"/>
      <c r="AB29" s="309"/>
      <c r="AC29" s="309"/>
      <c r="AD29" s="309"/>
      <c r="AE29" s="309"/>
      <c r="AF29" s="309"/>
      <c r="AG29" s="309"/>
      <c r="AH29" s="309"/>
      <c r="AI29" s="309"/>
      <c r="AJ29" s="309"/>
      <c r="AK29" s="341"/>
      <c r="AL29" s="288"/>
      <c r="AM29" s="309"/>
      <c r="AN29" s="309"/>
      <c r="AO29" s="309"/>
      <c r="AP29" s="309"/>
      <c r="AQ29" s="309"/>
      <c r="AR29" s="309"/>
      <c r="AS29" s="309"/>
      <c r="AT29" s="309"/>
      <c r="AU29" s="309"/>
      <c r="AV29" s="309"/>
      <c r="AW29" s="309"/>
      <c r="AX29" s="309"/>
      <c r="AY29" s="309"/>
      <c r="AZ29" s="309"/>
      <c r="BA29" s="309"/>
      <c r="BB29" s="309"/>
      <c r="BC29" s="309"/>
      <c r="BD29" s="309"/>
      <c r="BE29" s="309"/>
      <c r="BF29" s="309"/>
      <c r="BG29" s="309"/>
      <c r="BH29" s="309"/>
      <c r="BI29" s="309"/>
      <c r="BJ29" s="309"/>
      <c r="BK29" s="309"/>
      <c r="BL29" s="309"/>
      <c r="BM29" s="309"/>
      <c r="BN29" s="309"/>
      <c r="BO29" s="309"/>
      <c r="BP29" s="339"/>
      <c r="BQ29" s="288"/>
      <c r="BR29" s="309"/>
      <c r="BS29" s="309"/>
      <c r="BT29" s="309"/>
      <c r="BU29" s="309"/>
      <c r="BV29" s="309"/>
      <c r="BW29" s="309"/>
      <c r="BX29" s="309"/>
      <c r="BY29" s="309"/>
      <c r="BZ29" s="309"/>
      <c r="CA29" s="309"/>
      <c r="CB29" s="309"/>
      <c r="CC29" s="309"/>
      <c r="CD29" s="309"/>
      <c r="CE29" s="309"/>
      <c r="CF29" s="309"/>
      <c r="CG29" s="309"/>
      <c r="CH29" s="309"/>
      <c r="CI29" s="309"/>
      <c r="CJ29" s="309"/>
      <c r="CK29" s="309"/>
      <c r="CL29" s="309"/>
      <c r="CM29" s="309"/>
      <c r="CN29" s="309"/>
      <c r="CO29" s="309"/>
      <c r="CP29" s="309"/>
      <c r="CQ29" s="309"/>
      <c r="CR29" s="309"/>
      <c r="CS29" s="309"/>
      <c r="CT29" s="339"/>
    </row>
    <row r="30" spans="2:98" ht="18" customHeight="1">
      <c r="B30" s="358"/>
      <c r="C30" s="359"/>
      <c r="D30" s="317"/>
      <c r="E30" s="299"/>
      <c r="F30" s="299"/>
      <c r="G30" s="299"/>
      <c r="H30" s="299"/>
      <c r="I30" s="342"/>
      <c r="J30" s="343"/>
      <c r="K30" s="299"/>
      <c r="L30" s="299"/>
      <c r="M30" s="299"/>
      <c r="N30" s="299"/>
      <c r="O30" s="299"/>
      <c r="P30" s="299"/>
      <c r="Q30" s="316"/>
      <c r="R30" s="316"/>
      <c r="S30" s="299"/>
      <c r="T30" s="299"/>
      <c r="U30" s="299"/>
      <c r="V30" s="299"/>
      <c r="W30" s="299"/>
      <c r="X30" s="299"/>
      <c r="Y30" s="316"/>
      <c r="Z30" s="299"/>
      <c r="AA30" s="299"/>
      <c r="AB30" s="299"/>
      <c r="AC30" s="299"/>
      <c r="AD30" s="299"/>
      <c r="AE30" s="299"/>
      <c r="AF30" s="316"/>
      <c r="AG30" s="299"/>
      <c r="AH30" s="299"/>
      <c r="AI30" s="316"/>
      <c r="AJ30" s="299"/>
      <c r="AK30" s="300"/>
      <c r="AL30" s="301"/>
      <c r="AM30" s="316"/>
      <c r="AN30" s="299"/>
      <c r="AO30" s="299"/>
      <c r="AP30" s="316"/>
      <c r="AQ30" s="299"/>
      <c r="AR30" s="299"/>
      <c r="AS30" s="299"/>
      <c r="AT30" s="316"/>
      <c r="AU30" s="299"/>
      <c r="AV30" s="299"/>
      <c r="AW30" s="316"/>
      <c r="AX30" s="299"/>
      <c r="AY30" s="299"/>
      <c r="AZ30" s="299"/>
      <c r="BA30" s="316"/>
      <c r="BB30" s="299"/>
      <c r="BC30" s="299"/>
      <c r="BD30" s="316"/>
      <c r="BE30" s="299"/>
      <c r="BF30" s="299"/>
      <c r="BG30" s="299"/>
      <c r="BH30" s="316"/>
      <c r="BI30" s="299"/>
      <c r="BJ30" s="299"/>
      <c r="BK30" s="316"/>
      <c r="BL30" s="299"/>
      <c r="BM30" s="299"/>
      <c r="BN30" s="299"/>
      <c r="BO30" s="316"/>
      <c r="BP30" s="342"/>
      <c r="BQ30" s="301"/>
      <c r="BR30" s="316"/>
      <c r="BS30" s="299"/>
      <c r="BT30" s="299"/>
      <c r="BU30" s="299"/>
      <c r="BV30" s="318"/>
      <c r="BW30" s="299"/>
      <c r="BX30" s="299"/>
      <c r="BY30" s="299"/>
      <c r="BZ30" s="299"/>
      <c r="CA30" s="299"/>
      <c r="CB30" s="299"/>
      <c r="CC30" s="299"/>
      <c r="CD30" s="299"/>
      <c r="CE30" s="299"/>
      <c r="CF30" s="299"/>
      <c r="CG30" s="299"/>
      <c r="CH30" s="299"/>
      <c r="CI30" s="299"/>
      <c r="CJ30" s="299"/>
      <c r="CK30" s="299"/>
      <c r="CL30" s="299"/>
      <c r="CM30" s="299"/>
      <c r="CN30" s="299"/>
      <c r="CO30" s="299"/>
      <c r="CP30" s="299"/>
      <c r="CQ30" s="299"/>
      <c r="CR30" s="299"/>
      <c r="CS30" s="299"/>
      <c r="CT30" s="342"/>
    </row>
    <row r="31" spans="2:98" ht="18" customHeight="1">
      <c r="B31" s="358"/>
      <c r="C31" s="359"/>
      <c r="D31" s="317"/>
      <c r="E31" s="299"/>
      <c r="F31" s="299"/>
      <c r="G31" s="299"/>
      <c r="H31" s="299"/>
      <c r="I31" s="342"/>
      <c r="J31" s="343"/>
      <c r="K31" s="299"/>
      <c r="L31" s="299"/>
      <c r="M31" s="299"/>
      <c r="N31" s="299"/>
      <c r="O31" s="299"/>
      <c r="P31" s="299"/>
      <c r="Q31" s="299"/>
      <c r="R31" s="299"/>
      <c r="S31" s="299"/>
      <c r="T31" s="299"/>
      <c r="U31" s="299"/>
      <c r="V31" s="299"/>
      <c r="W31" s="299"/>
      <c r="X31" s="299"/>
      <c r="Y31" s="299"/>
      <c r="Z31" s="299"/>
      <c r="AA31" s="299"/>
      <c r="AB31" s="299"/>
      <c r="AC31" s="299"/>
      <c r="AD31" s="299"/>
      <c r="AE31" s="299"/>
      <c r="AF31" s="299"/>
      <c r="AG31" s="299"/>
      <c r="AH31" s="299"/>
      <c r="AI31" s="299"/>
      <c r="AJ31" s="299"/>
      <c r="AK31" s="300"/>
      <c r="AL31" s="301"/>
      <c r="AM31" s="299"/>
      <c r="AN31" s="299"/>
      <c r="AO31" s="299"/>
      <c r="AP31" s="299"/>
      <c r="AQ31" s="299"/>
      <c r="AR31" s="299"/>
      <c r="AS31" s="299"/>
      <c r="AT31" s="299"/>
      <c r="AU31" s="299"/>
      <c r="AV31" s="299"/>
      <c r="AW31" s="299"/>
      <c r="AX31" s="299"/>
      <c r="AY31" s="299"/>
      <c r="AZ31" s="299"/>
      <c r="BA31" s="299"/>
      <c r="BB31" s="299"/>
      <c r="BC31" s="299"/>
      <c r="BD31" s="299"/>
      <c r="BE31" s="299"/>
      <c r="BF31" s="299"/>
      <c r="BG31" s="299"/>
      <c r="BH31" s="299"/>
      <c r="BI31" s="299"/>
      <c r="BJ31" s="299"/>
      <c r="BK31" s="299"/>
      <c r="BL31" s="299"/>
      <c r="BM31" s="299"/>
      <c r="BN31" s="299"/>
      <c r="BO31" s="299"/>
      <c r="BP31" s="342"/>
      <c r="BQ31" s="301"/>
      <c r="BR31" s="299"/>
      <c r="BS31" s="299"/>
      <c r="BT31" s="299"/>
      <c r="BU31" s="299"/>
      <c r="BV31" s="299"/>
      <c r="BW31" s="299"/>
      <c r="BX31" s="299"/>
      <c r="BY31" s="299"/>
      <c r="BZ31" s="299"/>
      <c r="CA31" s="299"/>
      <c r="CB31" s="299"/>
      <c r="CC31" s="299"/>
      <c r="CD31" s="299"/>
      <c r="CE31" s="299"/>
      <c r="CF31" s="299"/>
      <c r="CG31" s="299"/>
      <c r="CH31" s="299"/>
      <c r="CI31" s="299"/>
      <c r="CJ31" s="299"/>
      <c r="CK31" s="299"/>
      <c r="CL31" s="299"/>
      <c r="CM31" s="299"/>
      <c r="CN31" s="299"/>
      <c r="CO31" s="299"/>
      <c r="CP31" s="299"/>
      <c r="CQ31" s="299"/>
      <c r="CR31" s="299"/>
      <c r="CS31" s="299"/>
      <c r="CT31" s="342"/>
    </row>
    <row r="32" spans="2:98" ht="18" customHeight="1">
      <c r="B32" s="358"/>
      <c r="C32" s="359"/>
      <c r="D32" s="317"/>
      <c r="E32" s="299"/>
      <c r="F32" s="299"/>
      <c r="G32" s="299"/>
      <c r="H32" s="299"/>
      <c r="I32" s="342"/>
      <c r="J32" s="343"/>
      <c r="K32" s="299"/>
      <c r="L32" s="299"/>
      <c r="M32" s="299"/>
      <c r="N32" s="299"/>
      <c r="O32" s="299"/>
      <c r="P32" s="299"/>
      <c r="Q32" s="316"/>
      <c r="R32" s="316"/>
      <c r="S32" s="299"/>
      <c r="T32" s="299"/>
      <c r="U32" s="299"/>
      <c r="V32" s="299"/>
      <c r="W32" s="299"/>
      <c r="X32" s="299"/>
      <c r="Y32" s="316"/>
      <c r="Z32" s="299"/>
      <c r="AA32" s="299"/>
      <c r="AB32" s="299"/>
      <c r="AC32" s="299"/>
      <c r="AD32" s="299"/>
      <c r="AE32" s="299"/>
      <c r="AF32" s="316"/>
      <c r="AG32" s="299"/>
      <c r="AH32" s="299"/>
      <c r="AI32" s="316"/>
      <c r="AJ32" s="299"/>
      <c r="AK32" s="300"/>
      <c r="AL32" s="301"/>
      <c r="AM32" s="316"/>
      <c r="AN32" s="299"/>
      <c r="AO32" s="299"/>
      <c r="AP32" s="316"/>
      <c r="AQ32" s="299"/>
      <c r="AR32" s="299"/>
      <c r="AS32" s="299"/>
      <c r="AT32" s="316"/>
      <c r="AU32" s="299"/>
      <c r="AV32" s="299"/>
      <c r="AW32" s="316"/>
      <c r="AX32" s="299"/>
      <c r="AY32" s="299"/>
      <c r="AZ32" s="299"/>
      <c r="BA32" s="316"/>
      <c r="BB32" s="299"/>
      <c r="BC32" s="299"/>
      <c r="BD32" s="316"/>
      <c r="BE32" s="299"/>
      <c r="BF32" s="299"/>
      <c r="BG32" s="299"/>
      <c r="BH32" s="316"/>
      <c r="BI32" s="299"/>
      <c r="BJ32" s="299"/>
      <c r="BK32" s="316"/>
      <c r="BL32" s="299"/>
      <c r="BM32" s="299"/>
      <c r="BN32" s="299"/>
      <c r="BO32" s="316"/>
      <c r="BP32" s="342"/>
      <c r="BQ32" s="301"/>
      <c r="BR32" s="316"/>
      <c r="BS32" s="299"/>
      <c r="BT32" s="299"/>
      <c r="BU32" s="299"/>
      <c r="BV32" s="316"/>
      <c r="BW32" s="299"/>
      <c r="BX32" s="299"/>
      <c r="BY32" s="316"/>
      <c r="BZ32" s="299"/>
      <c r="CA32" s="299"/>
      <c r="CB32" s="299"/>
      <c r="CC32" s="299"/>
      <c r="CD32" s="299"/>
      <c r="CE32" s="299"/>
      <c r="CF32" s="299"/>
      <c r="CG32" s="299"/>
      <c r="CH32" s="299"/>
      <c r="CI32" s="299"/>
      <c r="CJ32" s="299"/>
      <c r="CK32" s="299"/>
      <c r="CL32" s="299"/>
      <c r="CM32" s="299"/>
      <c r="CN32" s="299"/>
      <c r="CO32" s="299"/>
      <c r="CP32" s="299"/>
      <c r="CQ32" s="299"/>
      <c r="CR32" s="299"/>
      <c r="CS32" s="299"/>
      <c r="CT32" s="342"/>
    </row>
    <row r="33" spans="2:98" ht="18" customHeight="1">
      <c r="B33" s="302"/>
      <c r="C33" s="303"/>
      <c r="D33" s="310"/>
      <c r="E33" s="305"/>
      <c r="F33" s="305"/>
      <c r="G33" s="305"/>
      <c r="H33" s="305"/>
      <c r="I33" s="311"/>
      <c r="J33" s="312"/>
      <c r="K33" s="305"/>
      <c r="L33" s="305"/>
      <c r="M33" s="305"/>
      <c r="N33" s="305"/>
      <c r="O33" s="305"/>
      <c r="P33" s="305"/>
      <c r="Q33" s="305"/>
      <c r="R33" s="305"/>
      <c r="S33" s="305"/>
      <c r="T33" s="305"/>
      <c r="U33" s="305"/>
      <c r="V33" s="305"/>
      <c r="W33" s="305"/>
      <c r="X33" s="305"/>
      <c r="Y33" s="305"/>
      <c r="Z33" s="305"/>
      <c r="AA33" s="305"/>
      <c r="AB33" s="305"/>
      <c r="AC33" s="305"/>
      <c r="AD33" s="305"/>
      <c r="AE33" s="305"/>
      <c r="AF33" s="307"/>
      <c r="AG33" s="305"/>
      <c r="AH33" s="305"/>
      <c r="AI33" s="307"/>
      <c r="AJ33" s="305"/>
      <c r="AK33" s="313"/>
      <c r="AL33" s="306"/>
      <c r="AM33" s="307"/>
      <c r="AN33" s="305"/>
      <c r="AO33" s="305"/>
      <c r="AP33" s="307"/>
      <c r="AQ33" s="305"/>
      <c r="AR33" s="305"/>
      <c r="AS33" s="305"/>
      <c r="AT33" s="307"/>
      <c r="AU33" s="305"/>
      <c r="AV33" s="305"/>
      <c r="AW33" s="307"/>
      <c r="AX33" s="305"/>
      <c r="AY33" s="305"/>
      <c r="AZ33" s="305"/>
      <c r="BA33" s="307"/>
      <c r="BB33" s="305"/>
      <c r="BC33" s="305"/>
      <c r="BD33" s="307"/>
      <c r="BE33" s="305"/>
      <c r="BF33" s="305"/>
      <c r="BG33" s="305"/>
      <c r="BH33" s="307"/>
      <c r="BI33" s="305"/>
      <c r="BJ33" s="305"/>
      <c r="BK33" s="307"/>
      <c r="BL33" s="305"/>
      <c r="BM33" s="305"/>
      <c r="BN33" s="305"/>
      <c r="BO33" s="307"/>
      <c r="BP33" s="311"/>
      <c r="BQ33" s="306"/>
      <c r="BR33" s="307"/>
      <c r="BS33" s="305"/>
      <c r="BT33" s="305"/>
      <c r="BU33" s="305"/>
      <c r="BV33" s="307"/>
      <c r="BW33" s="305"/>
      <c r="BX33" s="305"/>
      <c r="BY33" s="307"/>
      <c r="BZ33" s="305"/>
      <c r="CA33" s="305"/>
      <c r="CB33" s="305"/>
      <c r="CC33" s="305"/>
      <c r="CD33" s="305"/>
      <c r="CE33" s="305"/>
      <c r="CF33" s="305"/>
      <c r="CG33" s="305"/>
      <c r="CH33" s="305"/>
      <c r="CI33" s="305"/>
      <c r="CJ33" s="305"/>
      <c r="CK33" s="305"/>
      <c r="CL33" s="305"/>
      <c r="CM33" s="305"/>
      <c r="CN33" s="305"/>
      <c r="CO33" s="305"/>
      <c r="CP33" s="305"/>
      <c r="CQ33" s="305"/>
      <c r="CR33" s="305"/>
      <c r="CS33" s="305"/>
      <c r="CT33" s="311"/>
    </row>
    <row r="34" spans="2:98" ht="18" customHeight="1">
      <c r="B34" s="302"/>
      <c r="C34" s="303"/>
      <c r="D34" s="304"/>
      <c r="E34" s="305"/>
      <c r="F34" s="305"/>
      <c r="G34" s="305"/>
      <c r="H34" s="305"/>
      <c r="I34" s="311"/>
      <c r="J34" s="312"/>
      <c r="K34" s="305"/>
      <c r="L34" s="305"/>
      <c r="M34" s="305"/>
      <c r="N34" s="305"/>
      <c r="O34" s="305"/>
      <c r="P34" s="305"/>
      <c r="Q34" s="305"/>
      <c r="R34" s="305"/>
      <c r="S34" s="305"/>
      <c r="T34" s="305"/>
      <c r="U34" s="305"/>
      <c r="V34" s="305"/>
      <c r="W34" s="305"/>
      <c r="X34" s="305"/>
      <c r="Y34" s="305"/>
      <c r="Z34" s="305"/>
      <c r="AA34" s="305"/>
      <c r="AB34" s="305"/>
      <c r="AC34" s="305"/>
      <c r="AD34" s="305"/>
      <c r="AE34" s="305"/>
      <c r="AF34" s="305"/>
      <c r="AG34" s="305"/>
      <c r="AH34" s="305"/>
      <c r="AI34" s="305"/>
      <c r="AJ34" s="305"/>
      <c r="AK34" s="313"/>
      <c r="AL34" s="306"/>
      <c r="AM34" s="305"/>
      <c r="AN34" s="305"/>
      <c r="AO34" s="305"/>
      <c r="AP34" s="305"/>
      <c r="AQ34" s="305"/>
      <c r="AR34" s="305"/>
      <c r="AS34" s="305"/>
      <c r="AT34" s="305"/>
      <c r="AU34" s="305"/>
      <c r="AV34" s="305"/>
      <c r="AW34" s="305"/>
      <c r="AX34" s="305"/>
      <c r="AY34" s="305"/>
      <c r="AZ34" s="305"/>
      <c r="BA34" s="305"/>
      <c r="BB34" s="305"/>
      <c r="BC34" s="305"/>
      <c r="BD34" s="305"/>
      <c r="BE34" s="305"/>
      <c r="BF34" s="305"/>
      <c r="BG34" s="305"/>
      <c r="BH34" s="305"/>
      <c r="BI34" s="305"/>
      <c r="BJ34" s="305"/>
      <c r="BK34" s="305"/>
      <c r="BL34" s="305"/>
      <c r="BM34" s="305"/>
      <c r="BN34" s="305"/>
      <c r="BO34" s="305"/>
      <c r="BP34" s="311"/>
      <c r="BQ34" s="306"/>
      <c r="BR34" s="305"/>
      <c r="BS34" s="305"/>
      <c r="BT34" s="305"/>
      <c r="BU34" s="305"/>
      <c r="BV34" s="305"/>
      <c r="BW34" s="305"/>
      <c r="BX34" s="305"/>
      <c r="BY34" s="305"/>
      <c r="BZ34" s="305"/>
      <c r="CA34" s="305"/>
      <c r="CB34" s="305"/>
      <c r="CC34" s="305"/>
      <c r="CD34" s="305"/>
      <c r="CE34" s="305"/>
      <c r="CF34" s="305"/>
      <c r="CG34" s="305"/>
      <c r="CH34" s="305"/>
      <c r="CI34" s="305"/>
      <c r="CJ34" s="305"/>
      <c r="CK34" s="305"/>
      <c r="CL34" s="305"/>
      <c r="CM34" s="305"/>
      <c r="CN34" s="305"/>
      <c r="CO34" s="305"/>
      <c r="CP34" s="305"/>
      <c r="CQ34" s="305"/>
      <c r="CR34" s="305"/>
      <c r="CS34" s="305"/>
      <c r="CT34" s="311"/>
    </row>
    <row r="35" spans="2:98" ht="18" customHeight="1">
      <c r="B35" s="352"/>
      <c r="C35" s="353"/>
      <c r="D35" s="362"/>
      <c r="E35" s="298"/>
      <c r="F35" s="298"/>
      <c r="G35" s="298"/>
      <c r="H35" s="298"/>
      <c r="I35" s="336"/>
      <c r="J35" s="337"/>
      <c r="K35" s="298"/>
      <c r="L35" s="298"/>
      <c r="M35" s="298"/>
      <c r="N35" s="298"/>
      <c r="O35" s="298"/>
      <c r="P35" s="298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298"/>
      <c r="AB35" s="298"/>
      <c r="AC35" s="298"/>
      <c r="AD35" s="298"/>
      <c r="AE35" s="298"/>
      <c r="AF35" s="298"/>
      <c r="AG35" s="298"/>
      <c r="AH35" s="298"/>
      <c r="AI35" s="298"/>
      <c r="AJ35" s="298"/>
      <c r="AK35" s="338"/>
      <c r="AL35" s="287"/>
      <c r="AM35" s="298"/>
      <c r="AN35" s="298"/>
      <c r="AO35" s="298"/>
      <c r="AP35" s="298"/>
      <c r="AQ35" s="298"/>
      <c r="AR35" s="298"/>
      <c r="AS35" s="298"/>
      <c r="AT35" s="298"/>
      <c r="AU35" s="298"/>
      <c r="AV35" s="298"/>
      <c r="AW35" s="298"/>
      <c r="AX35" s="298"/>
      <c r="AY35" s="298"/>
      <c r="AZ35" s="298"/>
      <c r="BA35" s="298"/>
      <c r="BB35" s="298"/>
      <c r="BC35" s="298"/>
      <c r="BD35" s="298"/>
      <c r="BE35" s="298"/>
      <c r="BF35" s="298"/>
      <c r="BG35" s="298"/>
      <c r="BH35" s="298"/>
      <c r="BI35" s="298"/>
      <c r="BJ35" s="298"/>
      <c r="BK35" s="298"/>
      <c r="BL35" s="298"/>
      <c r="BM35" s="298"/>
      <c r="BN35" s="298"/>
      <c r="BO35" s="298"/>
      <c r="BP35" s="336"/>
      <c r="BQ35" s="287"/>
      <c r="BR35" s="298"/>
      <c r="BS35" s="298"/>
      <c r="BT35" s="298"/>
      <c r="BU35" s="298"/>
      <c r="BV35" s="298"/>
      <c r="BW35" s="298"/>
      <c r="BX35" s="298"/>
      <c r="BY35" s="298"/>
      <c r="BZ35" s="298"/>
      <c r="CA35" s="298"/>
      <c r="CB35" s="298"/>
      <c r="CC35" s="298"/>
      <c r="CD35" s="298"/>
      <c r="CE35" s="298"/>
      <c r="CF35" s="298"/>
      <c r="CG35" s="298"/>
      <c r="CH35" s="298"/>
      <c r="CI35" s="298"/>
      <c r="CJ35" s="298"/>
      <c r="CK35" s="298"/>
      <c r="CL35" s="298"/>
      <c r="CM35" s="298"/>
      <c r="CN35" s="298"/>
      <c r="CO35" s="298"/>
      <c r="CP35" s="298"/>
      <c r="CQ35" s="298"/>
      <c r="CR35" s="298"/>
      <c r="CS35" s="298"/>
      <c r="CT35" s="336"/>
    </row>
    <row r="36" spans="2:98" ht="18" customHeight="1">
      <c r="B36" s="358"/>
      <c r="C36" s="303"/>
      <c r="D36" s="317"/>
      <c r="E36" s="299"/>
      <c r="F36" s="299"/>
      <c r="G36" s="299"/>
      <c r="H36" s="299"/>
      <c r="I36" s="342"/>
      <c r="J36" s="343"/>
      <c r="K36" s="299"/>
      <c r="L36" s="299"/>
      <c r="M36" s="299"/>
      <c r="N36" s="299"/>
      <c r="O36" s="299"/>
      <c r="P36" s="299"/>
      <c r="Q36" s="299"/>
      <c r="R36" s="299"/>
      <c r="S36" s="299"/>
      <c r="T36" s="299"/>
      <c r="U36" s="299"/>
      <c r="V36" s="299"/>
      <c r="W36" s="299"/>
      <c r="X36" s="299"/>
      <c r="Y36" s="316"/>
      <c r="Z36" s="299"/>
      <c r="AA36" s="299"/>
      <c r="AB36" s="316"/>
      <c r="AC36" s="299"/>
      <c r="AD36" s="299"/>
      <c r="AE36" s="299"/>
      <c r="AF36" s="316"/>
      <c r="AG36" s="299"/>
      <c r="AH36" s="299"/>
      <c r="AI36" s="316"/>
      <c r="AJ36" s="299"/>
      <c r="AK36" s="300"/>
      <c r="AL36" s="301"/>
      <c r="AM36" s="316"/>
      <c r="AN36" s="299"/>
      <c r="AO36" s="299"/>
      <c r="AP36" s="316"/>
      <c r="AQ36" s="299"/>
      <c r="AR36" s="299"/>
      <c r="AS36" s="299"/>
      <c r="AT36" s="316"/>
      <c r="AU36" s="299"/>
      <c r="AV36" s="299"/>
      <c r="AW36" s="318"/>
      <c r="AX36" s="299"/>
      <c r="AY36" s="299"/>
      <c r="AZ36" s="299"/>
      <c r="BA36" s="299"/>
      <c r="BB36" s="299"/>
      <c r="BC36" s="299"/>
      <c r="BD36" s="299"/>
      <c r="BE36" s="299"/>
      <c r="BF36" s="299"/>
      <c r="BG36" s="299"/>
      <c r="BH36" s="299"/>
      <c r="BI36" s="299"/>
      <c r="BJ36" s="299"/>
      <c r="BK36" s="299"/>
      <c r="BL36" s="299"/>
      <c r="BM36" s="299"/>
      <c r="BN36" s="299"/>
      <c r="BO36" s="299"/>
      <c r="BP36" s="342"/>
      <c r="BQ36" s="301"/>
      <c r="BR36" s="299"/>
      <c r="BS36" s="299"/>
      <c r="BT36" s="299"/>
      <c r="BU36" s="299"/>
      <c r="BV36" s="299"/>
      <c r="BW36" s="299"/>
      <c r="BX36" s="299"/>
      <c r="BY36" s="299"/>
      <c r="BZ36" s="299"/>
      <c r="CA36" s="299"/>
      <c r="CB36" s="299"/>
      <c r="CC36" s="299"/>
      <c r="CD36" s="299"/>
      <c r="CE36" s="299"/>
      <c r="CF36" s="299"/>
      <c r="CG36" s="299"/>
      <c r="CH36" s="299"/>
      <c r="CI36" s="299"/>
      <c r="CJ36" s="299"/>
      <c r="CK36" s="299"/>
      <c r="CL36" s="299"/>
      <c r="CM36" s="299"/>
      <c r="CN36" s="299"/>
      <c r="CO36" s="299"/>
      <c r="CP36" s="299"/>
      <c r="CQ36" s="299"/>
      <c r="CR36" s="299"/>
      <c r="CS36" s="299"/>
      <c r="CT36" s="342"/>
    </row>
    <row r="37" spans="2:98" ht="18" customHeight="1">
      <c r="B37" s="358"/>
      <c r="C37" s="359"/>
      <c r="D37" s="317"/>
      <c r="E37" s="299"/>
      <c r="F37" s="299"/>
      <c r="G37" s="299"/>
      <c r="H37" s="299"/>
      <c r="I37" s="342"/>
      <c r="J37" s="343"/>
      <c r="K37" s="299"/>
      <c r="L37" s="299"/>
      <c r="M37" s="299"/>
      <c r="N37" s="299"/>
      <c r="O37" s="299"/>
      <c r="P37" s="299"/>
      <c r="Q37" s="316"/>
      <c r="R37" s="316"/>
      <c r="S37" s="299"/>
      <c r="T37" s="299"/>
      <c r="U37" s="299"/>
      <c r="V37" s="299"/>
      <c r="W37" s="299"/>
      <c r="X37" s="299"/>
      <c r="Y37" s="316"/>
      <c r="Z37" s="299"/>
      <c r="AA37" s="299"/>
      <c r="AB37" s="316"/>
      <c r="AC37" s="299"/>
      <c r="AD37" s="299"/>
      <c r="AE37" s="299"/>
      <c r="AF37" s="316"/>
      <c r="AG37" s="299"/>
      <c r="AH37" s="299"/>
      <c r="AI37" s="316"/>
      <c r="AJ37" s="299"/>
      <c r="AK37" s="300"/>
      <c r="AL37" s="301"/>
      <c r="AM37" s="316"/>
      <c r="AN37" s="299"/>
      <c r="AO37" s="299"/>
      <c r="AP37" s="318"/>
      <c r="AQ37" s="299"/>
      <c r="AR37" s="299"/>
      <c r="AS37" s="299"/>
      <c r="AT37" s="299"/>
      <c r="AU37" s="299"/>
      <c r="AV37" s="299"/>
      <c r="AW37" s="299"/>
      <c r="AX37" s="299"/>
      <c r="AY37" s="299"/>
      <c r="AZ37" s="299"/>
      <c r="BA37" s="299"/>
      <c r="BB37" s="299"/>
      <c r="BC37" s="299"/>
      <c r="BD37" s="299"/>
      <c r="BE37" s="299"/>
      <c r="BF37" s="299"/>
      <c r="BG37" s="299"/>
      <c r="BH37" s="299"/>
      <c r="BI37" s="299"/>
      <c r="BJ37" s="299"/>
      <c r="BK37" s="299"/>
      <c r="BL37" s="299"/>
      <c r="BM37" s="299"/>
      <c r="BN37" s="299"/>
      <c r="BO37" s="299"/>
      <c r="BP37" s="342"/>
      <c r="BQ37" s="301"/>
      <c r="BR37" s="299"/>
      <c r="BS37" s="299"/>
      <c r="BT37" s="299"/>
      <c r="BU37" s="299"/>
      <c r="BV37" s="299"/>
      <c r="BW37" s="299"/>
      <c r="BX37" s="299"/>
      <c r="BY37" s="299"/>
      <c r="BZ37" s="299"/>
      <c r="CA37" s="299"/>
      <c r="CB37" s="299"/>
      <c r="CC37" s="299"/>
      <c r="CD37" s="299"/>
      <c r="CE37" s="299"/>
      <c r="CF37" s="299"/>
      <c r="CG37" s="299"/>
      <c r="CH37" s="299"/>
      <c r="CI37" s="299"/>
      <c r="CJ37" s="299"/>
      <c r="CK37" s="299"/>
      <c r="CL37" s="299"/>
      <c r="CM37" s="299"/>
      <c r="CN37" s="299"/>
      <c r="CO37" s="299"/>
      <c r="CP37" s="299"/>
      <c r="CQ37" s="299"/>
      <c r="CR37" s="299"/>
      <c r="CS37" s="299"/>
      <c r="CT37" s="342"/>
    </row>
    <row r="38" spans="2:98" ht="18" customHeight="1">
      <c r="B38" s="358"/>
      <c r="C38" s="303"/>
      <c r="D38" s="317"/>
      <c r="E38" s="299"/>
      <c r="F38" s="299"/>
      <c r="G38" s="299"/>
      <c r="H38" s="299"/>
      <c r="I38" s="342"/>
      <c r="J38" s="343"/>
      <c r="K38" s="299"/>
      <c r="L38" s="299"/>
      <c r="M38" s="299"/>
      <c r="N38" s="299"/>
      <c r="O38" s="299"/>
      <c r="P38" s="299"/>
      <c r="Q38" s="299"/>
      <c r="R38" s="299"/>
      <c r="S38" s="299"/>
      <c r="T38" s="299"/>
      <c r="U38" s="299"/>
      <c r="V38" s="299"/>
      <c r="W38" s="299"/>
      <c r="X38" s="299"/>
      <c r="Y38" s="318"/>
      <c r="Z38" s="299"/>
      <c r="AA38" s="299"/>
      <c r="AB38" s="299"/>
      <c r="AC38" s="299"/>
      <c r="AD38" s="299"/>
      <c r="AE38" s="299"/>
      <c r="AF38" s="299"/>
      <c r="AG38" s="299"/>
      <c r="AH38" s="299"/>
      <c r="AI38" s="299"/>
      <c r="AJ38" s="299"/>
      <c r="AK38" s="300"/>
      <c r="AL38" s="301"/>
      <c r="AM38" s="299"/>
      <c r="AN38" s="299"/>
      <c r="AO38" s="299"/>
      <c r="AP38" s="299"/>
      <c r="AQ38" s="299"/>
      <c r="AR38" s="299"/>
      <c r="AS38" s="299"/>
      <c r="AT38" s="299"/>
      <c r="AU38" s="299"/>
      <c r="AV38" s="299"/>
      <c r="AW38" s="299"/>
      <c r="AX38" s="299"/>
      <c r="AY38" s="299"/>
      <c r="AZ38" s="299"/>
      <c r="BA38" s="299"/>
      <c r="BB38" s="299"/>
      <c r="BC38" s="299"/>
      <c r="BD38" s="299"/>
      <c r="BE38" s="299"/>
      <c r="BF38" s="299"/>
      <c r="BG38" s="299"/>
      <c r="BH38" s="299"/>
      <c r="BI38" s="299"/>
      <c r="BJ38" s="299"/>
      <c r="BK38" s="299"/>
      <c r="BL38" s="299"/>
      <c r="BM38" s="299"/>
      <c r="BN38" s="299"/>
      <c r="BO38" s="299"/>
      <c r="BP38" s="342"/>
      <c r="BQ38" s="301"/>
      <c r="BR38" s="299"/>
      <c r="BS38" s="299"/>
      <c r="BT38" s="299"/>
      <c r="BU38" s="299"/>
      <c r="BV38" s="299"/>
      <c r="BW38" s="299"/>
      <c r="BX38" s="299"/>
      <c r="BY38" s="299"/>
      <c r="BZ38" s="299"/>
      <c r="CA38" s="299"/>
      <c r="CB38" s="299"/>
      <c r="CC38" s="299"/>
      <c r="CD38" s="299"/>
      <c r="CE38" s="299"/>
      <c r="CF38" s="299"/>
      <c r="CG38" s="299"/>
      <c r="CH38" s="299"/>
      <c r="CI38" s="299"/>
      <c r="CJ38" s="299"/>
      <c r="CK38" s="299"/>
      <c r="CL38" s="299"/>
      <c r="CM38" s="299"/>
      <c r="CN38" s="299"/>
      <c r="CO38" s="299"/>
      <c r="CP38" s="299"/>
      <c r="CQ38" s="299"/>
      <c r="CR38" s="299"/>
      <c r="CS38" s="299"/>
      <c r="CT38" s="342"/>
    </row>
    <row r="39" spans="2:98" ht="18" customHeight="1">
      <c r="B39" s="358"/>
      <c r="C39" s="359"/>
      <c r="D39" s="317"/>
      <c r="E39" s="299"/>
      <c r="F39" s="299"/>
      <c r="G39" s="299"/>
      <c r="H39" s="299"/>
      <c r="I39" s="342"/>
      <c r="J39" s="343"/>
      <c r="K39" s="299"/>
      <c r="L39" s="299"/>
      <c r="M39" s="299"/>
      <c r="N39" s="299"/>
      <c r="O39" s="299"/>
      <c r="P39" s="299"/>
      <c r="Q39" s="316"/>
      <c r="R39" s="316"/>
      <c r="S39" s="299"/>
      <c r="T39" s="299"/>
      <c r="U39" s="299"/>
      <c r="V39" s="299"/>
      <c r="W39" s="299"/>
      <c r="X39" s="299"/>
      <c r="Y39" s="316"/>
      <c r="Z39" s="299"/>
      <c r="AA39" s="299"/>
      <c r="AB39" s="316"/>
      <c r="AC39" s="299"/>
      <c r="AD39" s="299"/>
      <c r="AE39" s="299"/>
      <c r="AF39" s="316"/>
      <c r="AG39" s="299"/>
      <c r="AH39" s="299"/>
      <c r="AI39" s="316"/>
      <c r="AJ39" s="299"/>
      <c r="AK39" s="300"/>
      <c r="AL39" s="301"/>
      <c r="AM39" s="316"/>
      <c r="AN39" s="299"/>
      <c r="AO39" s="299"/>
      <c r="AP39" s="318"/>
      <c r="AQ39" s="299"/>
      <c r="AR39" s="299"/>
      <c r="AS39" s="299"/>
      <c r="AT39" s="299"/>
      <c r="AU39" s="299"/>
      <c r="AV39" s="299"/>
      <c r="AW39" s="299"/>
      <c r="AX39" s="299"/>
      <c r="AY39" s="299"/>
      <c r="AZ39" s="299"/>
      <c r="BA39" s="299"/>
      <c r="BB39" s="299"/>
      <c r="BC39" s="299"/>
      <c r="BD39" s="299"/>
      <c r="BE39" s="299"/>
      <c r="BF39" s="299"/>
      <c r="BG39" s="299"/>
      <c r="BH39" s="299"/>
      <c r="BI39" s="299"/>
      <c r="BJ39" s="299"/>
      <c r="BK39" s="299"/>
      <c r="BL39" s="299"/>
      <c r="BM39" s="299"/>
      <c r="BN39" s="299"/>
      <c r="BO39" s="299"/>
      <c r="BP39" s="342"/>
      <c r="BQ39" s="301"/>
      <c r="BR39" s="299"/>
      <c r="BS39" s="299"/>
      <c r="BT39" s="299"/>
      <c r="BU39" s="299"/>
      <c r="BV39" s="299"/>
      <c r="BW39" s="299"/>
      <c r="BX39" s="299"/>
      <c r="BY39" s="299"/>
      <c r="BZ39" s="299"/>
      <c r="CA39" s="299"/>
      <c r="CB39" s="299"/>
      <c r="CC39" s="299"/>
      <c r="CD39" s="299"/>
      <c r="CE39" s="299"/>
      <c r="CF39" s="299"/>
      <c r="CG39" s="299"/>
      <c r="CH39" s="299"/>
      <c r="CI39" s="299"/>
      <c r="CJ39" s="299"/>
      <c r="CK39" s="299"/>
      <c r="CL39" s="299"/>
      <c r="CM39" s="299"/>
      <c r="CN39" s="299"/>
      <c r="CO39" s="299"/>
      <c r="CP39" s="299"/>
      <c r="CQ39" s="299"/>
      <c r="CR39" s="299"/>
      <c r="CS39" s="299"/>
      <c r="CT39" s="342"/>
    </row>
    <row r="40" spans="2:98" ht="18" customHeight="1">
      <c r="B40" s="358"/>
      <c r="C40" s="303"/>
      <c r="D40" s="317"/>
      <c r="E40" s="299"/>
      <c r="F40" s="299"/>
      <c r="G40" s="299"/>
      <c r="H40" s="299"/>
      <c r="I40" s="342"/>
      <c r="J40" s="343"/>
      <c r="K40" s="299"/>
      <c r="L40" s="299"/>
      <c r="M40" s="299"/>
      <c r="N40" s="299"/>
      <c r="O40" s="299"/>
      <c r="P40" s="299"/>
      <c r="Q40" s="299"/>
      <c r="R40" s="299"/>
      <c r="S40" s="299"/>
      <c r="T40" s="299"/>
      <c r="U40" s="299"/>
      <c r="V40" s="299"/>
      <c r="W40" s="299"/>
      <c r="X40" s="299"/>
      <c r="Y40" s="299"/>
      <c r="Z40" s="299"/>
      <c r="AA40" s="299"/>
      <c r="AB40" s="299"/>
      <c r="AC40" s="299"/>
      <c r="AD40" s="299"/>
      <c r="AE40" s="299"/>
      <c r="AF40" s="318"/>
      <c r="AG40" s="299"/>
      <c r="AH40" s="299"/>
      <c r="AI40" s="316"/>
      <c r="AJ40" s="299"/>
      <c r="AK40" s="300"/>
      <c r="AL40" s="301"/>
      <c r="AM40" s="316"/>
      <c r="AN40" s="299"/>
      <c r="AO40" s="299"/>
      <c r="AP40" s="318"/>
      <c r="AQ40" s="299"/>
      <c r="AR40" s="299"/>
      <c r="AS40" s="299"/>
      <c r="AT40" s="299"/>
      <c r="AU40" s="299"/>
      <c r="AV40" s="299"/>
      <c r="AW40" s="299"/>
      <c r="AX40" s="299"/>
      <c r="AY40" s="299"/>
      <c r="AZ40" s="299"/>
      <c r="BA40" s="299"/>
      <c r="BB40" s="299"/>
      <c r="BC40" s="299"/>
      <c r="BD40" s="299"/>
      <c r="BE40" s="299"/>
      <c r="BF40" s="299"/>
      <c r="BG40" s="299"/>
      <c r="BH40" s="299"/>
      <c r="BI40" s="299"/>
      <c r="BJ40" s="299"/>
      <c r="BK40" s="299"/>
      <c r="BL40" s="299"/>
      <c r="BM40" s="299"/>
      <c r="BN40" s="299"/>
      <c r="BO40" s="299"/>
      <c r="BP40" s="342"/>
      <c r="BQ40" s="301"/>
      <c r="BR40" s="299"/>
      <c r="BS40" s="299"/>
      <c r="BT40" s="299"/>
      <c r="BU40" s="299"/>
      <c r="BV40" s="299"/>
      <c r="BW40" s="299"/>
      <c r="BX40" s="299"/>
      <c r="BY40" s="299"/>
      <c r="BZ40" s="299"/>
      <c r="CA40" s="299"/>
      <c r="CB40" s="299"/>
      <c r="CC40" s="299"/>
      <c r="CD40" s="299"/>
      <c r="CE40" s="299"/>
      <c r="CF40" s="299"/>
      <c r="CG40" s="299"/>
      <c r="CH40" s="299"/>
      <c r="CI40" s="299"/>
      <c r="CJ40" s="299"/>
      <c r="CK40" s="299"/>
      <c r="CL40" s="299"/>
      <c r="CM40" s="299"/>
      <c r="CN40" s="299"/>
      <c r="CO40" s="299"/>
      <c r="CP40" s="299"/>
      <c r="CQ40" s="299"/>
      <c r="CR40" s="299"/>
      <c r="CS40" s="299"/>
      <c r="CT40" s="342"/>
    </row>
    <row r="41" spans="2:98" ht="18" customHeight="1">
      <c r="B41" s="358"/>
      <c r="C41" s="359"/>
      <c r="D41" s="317"/>
      <c r="E41" s="299"/>
      <c r="F41" s="299"/>
      <c r="G41" s="299"/>
      <c r="H41" s="299"/>
      <c r="I41" s="342"/>
      <c r="J41" s="343"/>
      <c r="K41" s="299"/>
      <c r="L41" s="299"/>
      <c r="M41" s="299"/>
      <c r="N41" s="299"/>
      <c r="O41" s="299"/>
      <c r="P41" s="299"/>
      <c r="Q41" s="299"/>
      <c r="R41" s="299"/>
      <c r="S41" s="299"/>
      <c r="T41" s="299"/>
      <c r="U41" s="299"/>
      <c r="V41" s="299"/>
      <c r="W41" s="299"/>
      <c r="X41" s="299"/>
      <c r="Y41" s="299"/>
      <c r="Z41" s="299"/>
      <c r="AA41" s="299"/>
      <c r="AB41" s="299"/>
      <c r="AC41" s="299"/>
      <c r="AD41" s="299"/>
      <c r="AE41" s="299"/>
      <c r="AF41" s="299"/>
      <c r="AG41" s="299"/>
      <c r="AH41" s="299"/>
      <c r="AI41" s="299"/>
      <c r="AJ41" s="299"/>
      <c r="AK41" s="300"/>
      <c r="AL41" s="301"/>
      <c r="AM41" s="299"/>
      <c r="AN41" s="299"/>
      <c r="AO41" s="299"/>
      <c r="AP41" s="299"/>
      <c r="AQ41" s="299"/>
      <c r="AR41" s="299"/>
      <c r="AS41" s="299"/>
      <c r="AT41" s="299"/>
      <c r="AU41" s="299"/>
      <c r="AV41" s="299"/>
      <c r="AW41" s="299"/>
      <c r="AX41" s="299"/>
      <c r="AY41" s="299"/>
      <c r="AZ41" s="299"/>
      <c r="BA41" s="299"/>
      <c r="BB41" s="299"/>
      <c r="BC41" s="299"/>
      <c r="BD41" s="299"/>
      <c r="BE41" s="299"/>
      <c r="BF41" s="299"/>
      <c r="BG41" s="299"/>
      <c r="BH41" s="299"/>
      <c r="BI41" s="299"/>
      <c r="BJ41" s="299"/>
      <c r="BK41" s="299"/>
      <c r="BL41" s="299"/>
      <c r="BM41" s="299"/>
      <c r="BN41" s="299"/>
      <c r="BO41" s="299"/>
      <c r="BP41" s="342"/>
      <c r="BQ41" s="301"/>
      <c r="BR41" s="299"/>
      <c r="BS41" s="299"/>
      <c r="BT41" s="299"/>
      <c r="BU41" s="299"/>
      <c r="BV41" s="299"/>
      <c r="BW41" s="299"/>
      <c r="BX41" s="299"/>
      <c r="BY41" s="299"/>
      <c r="BZ41" s="299"/>
      <c r="CA41" s="299"/>
      <c r="CB41" s="299"/>
      <c r="CC41" s="299"/>
      <c r="CD41" s="299"/>
      <c r="CE41" s="299"/>
      <c r="CF41" s="299"/>
      <c r="CG41" s="299"/>
      <c r="CH41" s="299"/>
      <c r="CI41" s="299"/>
      <c r="CJ41" s="299"/>
      <c r="CK41" s="299"/>
      <c r="CL41" s="299"/>
      <c r="CM41" s="299"/>
      <c r="CN41" s="299"/>
      <c r="CO41" s="299"/>
      <c r="CP41" s="299"/>
      <c r="CQ41" s="299"/>
      <c r="CR41" s="299"/>
      <c r="CS41" s="299"/>
      <c r="CT41" s="342"/>
    </row>
    <row r="42" spans="2:98" ht="18" customHeight="1">
      <c r="B42" s="358"/>
      <c r="C42" s="359"/>
      <c r="D42" s="317"/>
      <c r="E42" s="299"/>
      <c r="F42" s="299"/>
      <c r="G42" s="299"/>
      <c r="H42" s="299"/>
      <c r="I42" s="342"/>
      <c r="J42" s="343"/>
      <c r="K42" s="299"/>
      <c r="L42" s="299"/>
      <c r="M42" s="299"/>
      <c r="N42" s="299"/>
      <c r="O42" s="299"/>
      <c r="P42" s="316"/>
      <c r="Q42" s="299"/>
      <c r="R42" s="299"/>
      <c r="S42" s="299"/>
      <c r="T42" s="299"/>
      <c r="U42" s="299"/>
      <c r="V42" s="299"/>
      <c r="W42" s="299"/>
      <c r="X42" s="299"/>
      <c r="Y42" s="316"/>
      <c r="Z42" s="299"/>
      <c r="AA42" s="299"/>
      <c r="AB42" s="299"/>
      <c r="AC42" s="299"/>
      <c r="AD42" s="299"/>
      <c r="AE42" s="299"/>
      <c r="AF42" s="316"/>
      <c r="AG42" s="299"/>
      <c r="AH42" s="299"/>
      <c r="AI42" s="316"/>
      <c r="AJ42" s="299"/>
      <c r="AK42" s="300"/>
      <c r="AL42" s="301"/>
      <c r="AM42" s="316"/>
      <c r="AN42" s="299"/>
      <c r="AO42" s="299"/>
      <c r="AP42" s="316"/>
      <c r="AQ42" s="299"/>
      <c r="AR42" s="299"/>
      <c r="AS42" s="299"/>
      <c r="AT42" s="316"/>
      <c r="AU42" s="299"/>
      <c r="AV42" s="299"/>
      <c r="AW42" s="316"/>
      <c r="AX42" s="299"/>
      <c r="AY42" s="299"/>
      <c r="AZ42" s="299"/>
      <c r="BA42" s="316"/>
      <c r="BB42" s="299"/>
      <c r="BC42" s="299"/>
      <c r="BD42" s="316"/>
      <c r="BE42" s="299"/>
      <c r="BF42" s="299"/>
      <c r="BG42" s="299"/>
      <c r="BH42" s="299"/>
      <c r="BI42" s="299"/>
      <c r="BJ42" s="299"/>
      <c r="BK42" s="316"/>
      <c r="BL42" s="299"/>
      <c r="BM42" s="299"/>
      <c r="BN42" s="299"/>
      <c r="BO42" s="316"/>
      <c r="BP42" s="342"/>
      <c r="BQ42" s="301"/>
      <c r="BR42" s="316"/>
      <c r="BS42" s="299"/>
      <c r="BT42" s="299"/>
      <c r="BU42" s="299"/>
      <c r="BV42" s="346"/>
      <c r="BW42" s="299"/>
      <c r="BX42" s="299"/>
      <c r="BY42" s="299"/>
      <c r="BZ42" s="299"/>
      <c r="CA42" s="299"/>
      <c r="CB42" s="299"/>
      <c r="CC42" s="299"/>
      <c r="CD42" s="299"/>
      <c r="CE42" s="299"/>
      <c r="CF42" s="299"/>
      <c r="CG42" s="299"/>
      <c r="CH42" s="299"/>
      <c r="CI42" s="299"/>
      <c r="CJ42" s="299"/>
      <c r="CK42" s="299"/>
      <c r="CL42" s="299"/>
      <c r="CM42" s="299"/>
      <c r="CN42" s="299"/>
      <c r="CO42" s="299"/>
      <c r="CP42" s="299"/>
      <c r="CQ42" s="299"/>
      <c r="CR42" s="299"/>
      <c r="CS42" s="299"/>
      <c r="CT42" s="342"/>
    </row>
    <row r="43" spans="2:98" ht="18" customHeight="1">
      <c r="B43" s="358"/>
      <c r="C43" s="303"/>
      <c r="D43" s="310"/>
      <c r="E43" s="305"/>
      <c r="F43" s="305"/>
      <c r="G43" s="305"/>
      <c r="H43" s="305"/>
      <c r="I43" s="311"/>
      <c r="J43" s="312"/>
      <c r="K43" s="305"/>
      <c r="L43" s="305"/>
      <c r="M43" s="305"/>
      <c r="N43" s="305"/>
      <c r="O43" s="305"/>
      <c r="P43" s="305"/>
      <c r="Q43" s="305"/>
      <c r="R43" s="305"/>
      <c r="S43" s="305"/>
      <c r="T43" s="305"/>
      <c r="U43" s="305"/>
      <c r="V43" s="305"/>
      <c r="W43" s="305"/>
      <c r="X43" s="305"/>
      <c r="Y43" s="307"/>
      <c r="Z43" s="305"/>
      <c r="AA43" s="307"/>
      <c r="AB43" s="307"/>
      <c r="AC43" s="305"/>
      <c r="AD43" s="305"/>
      <c r="AE43" s="305"/>
      <c r="AF43" s="307"/>
      <c r="AG43" s="305"/>
      <c r="AH43" s="305"/>
      <c r="AI43" s="307"/>
      <c r="AJ43" s="305"/>
      <c r="AK43" s="313"/>
      <c r="AL43" s="306"/>
      <c r="AM43" s="307"/>
      <c r="AN43" s="305"/>
      <c r="AO43" s="305"/>
      <c r="AP43" s="307"/>
      <c r="AQ43" s="305"/>
      <c r="AR43" s="305"/>
      <c r="AS43" s="305"/>
      <c r="AT43" s="307"/>
      <c r="AU43" s="305"/>
      <c r="AV43" s="305"/>
      <c r="AW43" s="307"/>
      <c r="AX43" s="305"/>
      <c r="AY43" s="305"/>
      <c r="AZ43" s="305"/>
      <c r="BA43" s="307"/>
      <c r="BB43" s="305"/>
      <c r="BC43" s="305"/>
      <c r="BD43" s="307"/>
      <c r="BE43" s="305"/>
      <c r="BF43" s="305"/>
      <c r="BG43" s="305"/>
      <c r="BH43" s="344"/>
      <c r="BI43" s="305"/>
      <c r="BJ43" s="305"/>
      <c r="BK43" s="305"/>
      <c r="BL43" s="305"/>
      <c r="BM43" s="305"/>
      <c r="BN43" s="305"/>
      <c r="BO43" s="305"/>
      <c r="BP43" s="311"/>
      <c r="BQ43" s="306"/>
      <c r="BR43" s="305"/>
      <c r="BS43" s="305"/>
      <c r="BT43" s="305"/>
      <c r="BU43" s="305"/>
      <c r="BV43" s="305"/>
      <c r="BW43" s="305"/>
      <c r="BX43" s="305"/>
      <c r="BY43" s="305"/>
      <c r="BZ43" s="305"/>
      <c r="CA43" s="305"/>
      <c r="CB43" s="305"/>
      <c r="CC43" s="305"/>
      <c r="CD43" s="305"/>
      <c r="CE43" s="305"/>
      <c r="CF43" s="305"/>
      <c r="CG43" s="305"/>
      <c r="CH43" s="305"/>
      <c r="CI43" s="305"/>
      <c r="CJ43" s="305"/>
      <c r="CK43" s="305"/>
      <c r="CL43" s="305"/>
      <c r="CM43" s="305"/>
      <c r="CN43" s="305"/>
      <c r="CO43" s="305"/>
      <c r="CP43" s="305"/>
      <c r="CQ43" s="305"/>
      <c r="CR43" s="305"/>
      <c r="CS43" s="305"/>
      <c r="CT43" s="311"/>
    </row>
    <row r="44" spans="2:98" ht="18" customHeight="1">
      <c r="B44" s="367"/>
      <c r="C44" s="368"/>
      <c r="D44" s="304"/>
      <c r="E44" s="305"/>
      <c r="F44" s="305"/>
      <c r="G44" s="305"/>
      <c r="H44" s="305"/>
      <c r="I44" s="311"/>
      <c r="J44" s="312"/>
      <c r="K44" s="305"/>
      <c r="L44" s="305"/>
      <c r="M44" s="305"/>
      <c r="N44" s="305"/>
      <c r="O44" s="305"/>
      <c r="P44" s="305"/>
      <c r="Q44" s="305"/>
      <c r="R44" s="305"/>
      <c r="S44" s="305"/>
      <c r="T44" s="305"/>
      <c r="U44" s="305"/>
      <c r="V44" s="305"/>
      <c r="W44" s="305"/>
      <c r="X44" s="305"/>
      <c r="Y44" s="305"/>
      <c r="Z44" s="305"/>
      <c r="AA44" s="305"/>
      <c r="AB44" s="305"/>
      <c r="AC44" s="305"/>
      <c r="AD44" s="305"/>
      <c r="AE44" s="305"/>
      <c r="AF44" s="307"/>
      <c r="AG44" s="305"/>
      <c r="AH44" s="305"/>
      <c r="AI44" s="307"/>
      <c r="AJ44" s="305"/>
      <c r="AK44" s="313"/>
      <c r="AL44" s="306"/>
      <c r="AM44" s="307"/>
      <c r="AN44" s="305"/>
      <c r="AO44" s="305"/>
      <c r="AP44" s="307"/>
      <c r="AQ44" s="305"/>
      <c r="AR44" s="305"/>
      <c r="AS44" s="305"/>
      <c r="AT44" s="307"/>
      <c r="AU44" s="305"/>
      <c r="AV44" s="305"/>
      <c r="AW44" s="307"/>
      <c r="AX44" s="305"/>
      <c r="AY44" s="305"/>
      <c r="AZ44" s="305"/>
      <c r="BA44" s="307"/>
      <c r="BB44" s="305"/>
      <c r="BC44" s="305"/>
      <c r="BD44" s="344"/>
      <c r="BE44" s="305"/>
      <c r="BF44" s="305"/>
      <c r="BG44" s="305"/>
      <c r="BH44" s="305"/>
      <c r="BI44" s="305"/>
      <c r="BJ44" s="305"/>
      <c r="BK44" s="305"/>
      <c r="BL44" s="305"/>
      <c r="BM44" s="305"/>
      <c r="BN44" s="305"/>
      <c r="BO44" s="305"/>
      <c r="BP44" s="311"/>
      <c r="BQ44" s="306"/>
      <c r="BR44" s="305"/>
      <c r="BS44" s="305"/>
      <c r="BT44" s="305"/>
      <c r="BU44" s="305"/>
      <c r="BV44" s="305"/>
      <c r="BW44" s="305"/>
      <c r="BX44" s="305"/>
      <c r="BY44" s="305"/>
      <c r="BZ44" s="305"/>
      <c r="CA44" s="305"/>
      <c r="CB44" s="305"/>
      <c r="CC44" s="305"/>
      <c r="CD44" s="305"/>
      <c r="CE44" s="305"/>
      <c r="CF44" s="305"/>
      <c r="CG44" s="305"/>
      <c r="CH44" s="305"/>
      <c r="CI44" s="305"/>
      <c r="CJ44" s="305"/>
      <c r="CK44" s="305"/>
      <c r="CL44" s="305"/>
      <c r="CM44" s="305"/>
      <c r="CN44" s="305"/>
      <c r="CO44" s="305"/>
      <c r="CP44" s="305"/>
      <c r="CQ44" s="305"/>
      <c r="CR44" s="305"/>
      <c r="CS44" s="305"/>
      <c r="CT44" s="311"/>
    </row>
    <row r="45" spans="2:98" ht="18" customHeight="1">
      <c r="B45" s="314"/>
      <c r="C45" s="315"/>
      <c r="D45" s="308"/>
      <c r="E45" s="293"/>
      <c r="F45" s="293"/>
      <c r="G45" s="293"/>
      <c r="H45" s="293"/>
      <c r="I45" s="294"/>
      <c r="J45" s="295"/>
      <c r="K45" s="293"/>
      <c r="L45" s="293"/>
      <c r="M45" s="293"/>
      <c r="N45" s="293"/>
      <c r="O45" s="293"/>
      <c r="P45" s="293"/>
      <c r="Q45" s="293"/>
      <c r="R45" s="293"/>
      <c r="S45" s="293"/>
      <c r="T45" s="293"/>
      <c r="U45" s="293"/>
      <c r="V45" s="293"/>
      <c r="W45" s="293"/>
      <c r="X45" s="293"/>
      <c r="Y45" s="293"/>
      <c r="Z45" s="293"/>
      <c r="AA45" s="293"/>
      <c r="AB45" s="293"/>
      <c r="AC45" s="293"/>
      <c r="AD45" s="293"/>
      <c r="AE45" s="293"/>
      <c r="AF45" s="293"/>
      <c r="AG45" s="293"/>
      <c r="AH45" s="293"/>
      <c r="AI45" s="293"/>
      <c r="AJ45" s="293"/>
      <c r="AK45" s="296"/>
      <c r="AL45" s="292"/>
      <c r="AM45" s="293"/>
      <c r="AN45" s="293"/>
      <c r="AO45" s="293"/>
      <c r="AP45" s="293"/>
      <c r="AQ45" s="293"/>
      <c r="AR45" s="293"/>
      <c r="AS45" s="293"/>
      <c r="AT45" s="297"/>
      <c r="AU45" s="293"/>
      <c r="AV45" s="293"/>
      <c r="AW45" s="297"/>
      <c r="AX45" s="293"/>
      <c r="AY45" s="293"/>
      <c r="AZ45" s="293"/>
      <c r="BA45" s="297"/>
      <c r="BB45" s="293"/>
      <c r="BC45" s="293"/>
      <c r="BD45" s="297"/>
      <c r="BE45" s="293"/>
      <c r="BF45" s="293"/>
      <c r="BG45" s="293"/>
      <c r="BH45" s="297"/>
      <c r="BI45" s="293"/>
      <c r="BJ45" s="293"/>
      <c r="BK45" s="297"/>
      <c r="BL45" s="293"/>
      <c r="BM45" s="293"/>
      <c r="BN45" s="293"/>
      <c r="BO45" s="297"/>
      <c r="BP45" s="294"/>
      <c r="BQ45" s="292"/>
      <c r="BR45" s="297"/>
      <c r="BS45" s="293"/>
      <c r="BT45" s="293"/>
      <c r="BU45" s="293"/>
      <c r="BV45" s="297"/>
      <c r="BW45" s="293"/>
      <c r="BX45" s="293"/>
      <c r="BY45" s="293"/>
      <c r="BZ45" s="293"/>
      <c r="CA45" s="293"/>
      <c r="CB45" s="293"/>
      <c r="CC45" s="293"/>
      <c r="CD45" s="293"/>
      <c r="CE45" s="293"/>
      <c r="CF45" s="293"/>
      <c r="CG45" s="293"/>
      <c r="CH45" s="293"/>
      <c r="CI45" s="293"/>
      <c r="CJ45" s="293"/>
      <c r="CK45" s="293"/>
      <c r="CL45" s="293"/>
      <c r="CM45" s="293"/>
      <c r="CN45" s="293"/>
      <c r="CO45" s="293"/>
      <c r="CP45" s="293"/>
      <c r="CQ45" s="293"/>
      <c r="CR45" s="293"/>
      <c r="CS45" s="293"/>
      <c r="CT45" s="294"/>
    </row>
    <row r="46" spans="2:98" ht="18" customHeight="1">
      <c r="B46" s="363"/>
      <c r="C46" s="364"/>
      <c r="D46" s="365"/>
      <c r="E46" s="309"/>
      <c r="F46" s="309"/>
      <c r="G46" s="309"/>
      <c r="H46" s="309"/>
      <c r="I46" s="339"/>
      <c r="J46" s="340"/>
      <c r="K46" s="309"/>
      <c r="L46" s="309"/>
      <c r="M46" s="309"/>
      <c r="N46" s="309"/>
      <c r="O46" s="309"/>
      <c r="P46" s="309"/>
      <c r="Q46" s="309"/>
      <c r="R46" s="309"/>
      <c r="S46" s="309"/>
      <c r="T46" s="309"/>
      <c r="U46" s="309"/>
      <c r="V46" s="309"/>
      <c r="W46" s="309"/>
      <c r="X46" s="309"/>
      <c r="Y46" s="316"/>
      <c r="Z46" s="309"/>
      <c r="AA46" s="309"/>
      <c r="AB46" s="309"/>
      <c r="AC46" s="309"/>
      <c r="AD46" s="309"/>
      <c r="AE46" s="309"/>
      <c r="AF46" s="309"/>
      <c r="AG46" s="309"/>
      <c r="AH46" s="309"/>
      <c r="AI46" s="309"/>
      <c r="AJ46" s="309"/>
      <c r="AK46" s="341"/>
      <c r="AL46" s="288"/>
      <c r="AM46" s="309"/>
      <c r="AN46" s="309"/>
      <c r="AO46" s="309"/>
      <c r="AP46" s="309"/>
      <c r="AQ46" s="309"/>
      <c r="AR46" s="309"/>
      <c r="AS46" s="309"/>
      <c r="AT46" s="309"/>
      <c r="AU46" s="309"/>
      <c r="AV46" s="309"/>
      <c r="AW46" s="309"/>
      <c r="AX46" s="309"/>
      <c r="AY46" s="309"/>
      <c r="AZ46" s="309"/>
      <c r="BA46" s="309"/>
      <c r="BB46" s="309"/>
      <c r="BC46" s="309"/>
      <c r="BD46" s="309"/>
      <c r="BE46" s="309"/>
      <c r="BF46" s="309"/>
      <c r="BG46" s="309"/>
      <c r="BH46" s="309"/>
      <c r="BI46" s="309"/>
      <c r="BJ46" s="309"/>
      <c r="BK46" s="309"/>
      <c r="BL46" s="309"/>
      <c r="BM46" s="309"/>
      <c r="BN46" s="309"/>
      <c r="BO46" s="309"/>
      <c r="BP46" s="339"/>
      <c r="BQ46" s="288"/>
      <c r="BR46" s="309"/>
      <c r="BS46" s="309"/>
      <c r="BT46" s="309"/>
      <c r="BU46" s="309"/>
      <c r="BV46" s="309"/>
      <c r="BW46" s="309"/>
      <c r="BX46" s="309"/>
      <c r="BY46" s="309"/>
      <c r="BZ46" s="309"/>
      <c r="CA46" s="309"/>
      <c r="CB46" s="309"/>
      <c r="CC46" s="309"/>
      <c r="CD46" s="309"/>
      <c r="CE46" s="309"/>
      <c r="CF46" s="309"/>
      <c r="CG46" s="309"/>
      <c r="CH46" s="309"/>
      <c r="CI46" s="309"/>
      <c r="CJ46" s="309"/>
      <c r="CK46" s="309"/>
      <c r="CL46" s="309"/>
      <c r="CM46" s="309"/>
      <c r="CN46" s="309"/>
      <c r="CO46" s="309"/>
      <c r="CP46" s="309"/>
      <c r="CQ46" s="309"/>
      <c r="CR46" s="309"/>
      <c r="CS46" s="309"/>
      <c r="CT46" s="339"/>
    </row>
    <row r="47" spans="2:98" ht="18" customHeight="1">
      <c r="B47" s="358"/>
      <c r="C47" s="359"/>
      <c r="D47" s="317"/>
      <c r="E47" s="299"/>
      <c r="F47" s="299"/>
      <c r="G47" s="299"/>
      <c r="H47" s="299"/>
      <c r="I47" s="342"/>
      <c r="J47" s="343"/>
      <c r="K47" s="299"/>
      <c r="L47" s="299"/>
      <c r="M47" s="299"/>
      <c r="N47" s="299"/>
      <c r="O47" s="299"/>
      <c r="P47" s="299"/>
      <c r="Q47" s="299"/>
      <c r="R47" s="299"/>
      <c r="S47" s="299"/>
      <c r="T47" s="299"/>
      <c r="U47" s="299"/>
      <c r="V47" s="299"/>
      <c r="W47" s="299"/>
      <c r="X47" s="299"/>
      <c r="Y47" s="347"/>
      <c r="Z47" s="299"/>
      <c r="AA47" s="299"/>
      <c r="AB47" s="316"/>
      <c r="AC47" s="299"/>
      <c r="AD47" s="299"/>
      <c r="AE47" s="299"/>
      <c r="AF47" s="316"/>
      <c r="AG47" s="299"/>
      <c r="AH47" s="299"/>
      <c r="AI47" s="316"/>
      <c r="AJ47" s="299"/>
      <c r="AK47" s="300"/>
      <c r="AL47" s="301"/>
      <c r="AM47" s="318"/>
      <c r="AN47" s="299"/>
      <c r="AO47" s="299"/>
      <c r="AP47" s="318"/>
      <c r="AQ47" s="299"/>
      <c r="AR47" s="299"/>
      <c r="AS47" s="299"/>
      <c r="AT47" s="299"/>
      <c r="AU47" s="299"/>
      <c r="AV47" s="299"/>
      <c r="AW47" s="299"/>
      <c r="AX47" s="299"/>
      <c r="AY47" s="299"/>
      <c r="AZ47" s="299"/>
      <c r="BA47" s="299"/>
      <c r="BB47" s="299"/>
      <c r="BC47" s="299"/>
      <c r="BD47" s="299"/>
      <c r="BE47" s="299"/>
      <c r="BF47" s="299"/>
      <c r="BG47" s="299"/>
      <c r="BH47" s="299"/>
      <c r="BI47" s="299"/>
      <c r="BJ47" s="299"/>
      <c r="BK47" s="299"/>
      <c r="BL47" s="299"/>
      <c r="BM47" s="299"/>
      <c r="BN47" s="299"/>
      <c r="BO47" s="299"/>
      <c r="BP47" s="342"/>
      <c r="BQ47" s="301"/>
      <c r="BR47" s="299"/>
      <c r="BS47" s="299"/>
      <c r="BT47" s="299"/>
      <c r="BU47" s="299"/>
      <c r="BV47" s="299"/>
      <c r="BW47" s="299"/>
      <c r="BX47" s="299"/>
      <c r="BY47" s="299"/>
      <c r="BZ47" s="299"/>
      <c r="CA47" s="299"/>
      <c r="CB47" s="299"/>
      <c r="CC47" s="299"/>
      <c r="CD47" s="299"/>
      <c r="CE47" s="299"/>
      <c r="CF47" s="299"/>
      <c r="CG47" s="299"/>
      <c r="CH47" s="299"/>
      <c r="CI47" s="299"/>
      <c r="CJ47" s="299"/>
      <c r="CK47" s="299"/>
      <c r="CL47" s="299"/>
      <c r="CM47" s="299"/>
      <c r="CN47" s="299"/>
      <c r="CO47" s="299"/>
      <c r="CP47" s="299"/>
      <c r="CQ47" s="299"/>
      <c r="CR47" s="299"/>
      <c r="CS47" s="299"/>
      <c r="CT47" s="342"/>
    </row>
    <row r="48" spans="2:98" ht="18" customHeight="1">
      <c r="B48" s="358"/>
      <c r="C48" s="359"/>
      <c r="D48" s="317"/>
      <c r="E48" s="299"/>
      <c r="F48" s="299"/>
      <c r="G48" s="299"/>
      <c r="H48" s="299"/>
      <c r="I48" s="342"/>
      <c r="J48" s="343"/>
      <c r="K48" s="299"/>
      <c r="L48" s="299"/>
      <c r="M48" s="299"/>
      <c r="N48" s="299"/>
      <c r="O48" s="299"/>
      <c r="P48" s="299"/>
      <c r="Q48" s="316"/>
      <c r="R48" s="316"/>
      <c r="S48" s="299"/>
      <c r="T48" s="299"/>
      <c r="U48" s="299"/>
      <c r="V48" s="299"/>
      <c r="W48" s="299"/>
      <c r="X48" s="299"/>
      <c r="Y48" s="316"/>
      <c r="Z48" s="299"/>
      <c r="AA48" s="299"/>
      <c r="AB48" s="316"/>
      <c r="AC48" s="299"/>
      <c r="AD48" s="299"/>
      <c r="AE48" s="299"/>
      <c r="AF48" s="316"/>
      <c r="AG48" s="299"/>
      <c r="AH48" s="299"/>
      <c r="AI48" s="316"/>
      <c r="AJ48" s="299"/>
      <c r="AK48" s="300"/>
      <c r="AL48" s="301"/>
      <c r="AM48" s="316"/>
      <c r="AN48" s="299"/>
      <c r="AO48" s="299"/>
      <c r="AP48" s="316"/>
      <c r="AQ48" s="299"/>
      <c r="AR48" s="299"/>
      <c r="AS48" s="299"/>
      <c r="AT48" s="318"/>
      <c r="AU48" s="299"/>
      <c r="AV48" s="299"/>
      <c r="AW48" s="316"/>
      <c r="AX48" s="299"/>
      <c r="AY48" s="299"/>
      <c r="AZ48" s="299"/>
      <c r="BA48" s="316"/>
      <c r="BB48" s="299"/>
      <c r="BC48" s="299"/>
      <c r="BD48" s="316"/>
      <c r="BE48" s="299"/>
      <c r="BF48" s="299"/>
      <c r="BG48" s="299"/>
      <c r="BH48" s="316"/>
      <c r="BI48" s="299"/>
      <c r="BJ48" s="299"/>
      <c r="BK48" s="316"/>
      <c r="BL48" s="299"/>
      <c r="BM48" s="299"/>
      <c r="BN48" s="299"/>
      <c r="BO48" s="316"/>
      <c r="BP48" s="342"/>
      <c r="BQ48" s="301"/>
      <c r="BR48" s="346"/>
      <c r="BS48" s="299"/>
      <c r="BT48" s="299"/>
      <c r="BU48" s="299"/>
      <c r="BV48" s="299"/>
      <c r="BW48" s="299"/>
      <c r="BX48" s="299"/>
      <c r="BY48" s="299"/>
      <c r="BZ48" s="299"/>
      <c r="CA48" s="299"/>
      <c r="CB48" s="299"/>
      <c r="CC48" s="299"/>
      <c r="CD48" s="299"/>
      <c r="CE48" s="299"/>
      <c r="CF48" s="299"/>
      <c r="CG48" s="299"/>
      <c r="CH48" s="299"/>
      <c r="CI48" s="299"/>
      <c r="CJ48" s="299"/>
      <c r="CK48" s="299"/>
      <c r="CL48" s="299"/>
      <c r="CM48" s="299"/>
      <c r="CN48" s="299"/>
      <c r="CO48" s="299"/>
      <c r="CP48" s="299"/>
      <c r="CQ48" s="299"/>
      <c r="CR48" s="299"/>
      <c r="CS48" s="299"/>
      <c r="CT48" s="342"/>
    </row>
    <row r="49" spans="2:98" ht="18" customHeight="1">
      <c r="B49" s="358"/>
      <c r="C49" s="359"/>
      <c r="D49" s="317"/>
      <c r="E49" s="299"/>
      <c r="F49" s="299"/>
      <c r="G49" s="299"/>
      <c r="H49" s="299"/>
      <c r="I49" s="342"/>
      <c r="J49" s="343"/>
      <c r="K49" s="299"/>
      <c r="L49" s="299"/>
      <c r="M49" s="299"/>
      <c r="N49" s="299"/>
      <c r="O49" s="299"/>
      <c r="P49" s="299"/>
      <c r="Q49" s="316"/>
      <c r="R49" s="316"/>
      <c r="S49" s="299"/>
      <c r="T49" s="299"/>
      <c r="U49" s="299"/>
      <c r="V49" s="299"/>
      <c r="W49" s="299"/>
      <c r="X49" s="299"/>
      <c r="Y49" s="316"/>
      <c r="Z49" s="299"/>
      <c r="AA49" s="299"/>
      <c r="AB49" s="316"/>
      <c r="AC49" s="299"/>
      <c r="AD49" s="299"/>
      <c r="AE49" s="299"/>
      <c r="AF49" s="316"/>
      <c r="AG49" s="299"/>
      <c r="AH49" s="299"/>
      <c r="AI49" s="316"/>
      <c r="AJ49" s="299"/>
      <c r="AK49" s="300"/>
      <c r="AL49" s="301"/>
      <c r="AM49" s="316"/>
      <c r="AN49" s="299"/>
      <c r="AO49" s="299"/>
      <c r="AP49" s="316"/>
      <c r="AQ49" s="299"/>
      <c r="AR49" s="299"/>
      <c r="AS49" s="299"/>
      <c r="AT49" s="316"/>
      <c r="AU49" s="299"/>
      <c r="AV49" s="299"/>
      <c r="AW49" s="316"/>
      <c r="AX49" s="299"/>
      <c r="AY49" s="299"/>
      <c r="AZ49" s="299"/>
      <c r="BA49" s="316"/>
      <c r="BB49" s="299"/>
      <c r="BC49" s="299"/>
      <c r="BD49" s="346"/>
      <c r="BE49" s="299"/>
      <c r="BF49" s="299"/>
      <c r="BG49" s="299"/>
      <c r="BH49" s="299"/>
      <c r="BI49" s="299"/>
      <c r="BJ49" s="299"/>
      <c r="BK49" s="299"/>
      <c r="BL49" s="299"/>
      <c r="BM49" s="299"/>
      <c r="BN49" s="299"/>
      <c r="BO49" s="299"/>
      <c r="BP49" s="342"/>
      <c r="BQ49" s="301"/>
      <c r="BR49" s="299"/>
      <c r="BS49" s="299"/>
      <c r="BT49" s="299"/>
      <c r="BU49" s="299"/>
      <c r="BV49" s="299"/>
      <c r="BW49" s="299"/>
      <c r="BX49" s="299"/>
      <c r="BY49" s="299"/>
      <c r="BZ49" s="299"/>
      <c r="CA49" s="299"/>
      <c r="CB49" s="299"/>
      <c r="CC49" s="299"/>
      <c r="CD49" s="299"/>
      <c r="CE49" s="299"/>
      <c r="CF49" s="299"/>
      <c r="CG49" s="299"/>
      <c r="CH49" s="299"/>
      <c r="CI49" s="299"/>
      <c r="CJ49" s="299"/>
      <c r="CK49" s="299"/>
      <c r="CL49" s="299"/>
      <c r="CM49" s="299"/>
      <c r="CN49" s="299"/>
      <c r="CO49" s="299"/>
      <c r="CP49" s="299"/>
      <c r="CQ49" s="299"/>
      <c r="CR49" s="299"/>
      <c r="CS49" s="299"/>
      <c r="CT49" s="342"/>
    </row>
    <row r="50" spans="2:98" ht="18" customHeight="1">
      <c r="B50" s="358"/>
      <c r="C50" s="359"/>
      <c r="D50" s="317"/>
      <c r="E50" s="299"/>
      <c r="F50" s="299"/>
      <c r="G50" s="299"/>
      <c r="H50" s="299"/>
      <c r="I50" s="342"/>
      <c r="J50" s="343"/>
      <c r="K50" s="299"/>
      <c r="L50" s="299"/>
      <c r="M50" s="299"/>
      <c r="N50" s="299"/>
      <c r="O50" s="299"/>
      <c r="P50" s="299"/>
      <c r="Q50" s="316"/>
      <c r="R50" s="316"/>
      <c r="S50" s="299"/>
      <c r="T50" s="299"/>
      <c r="U50" s="299"/>
      <c r="V50" s="299"/>
      <c r="W50" s="299"/>
      <c r="X50" s="299"/>
      <c r="Y50" s="316"/>
      <c r="Z50" s="299"/>
      <c r="AA50" s="299"/>
      <c r="AB50" s="316"/>
      <c r="AC50" s="299"/>
      <c r="AD50" s="299"/>
      <c r="AE50" s="299"/>
      <c r="AF50" s="316"/>
      <c r="AG50" s="299"/>
      <c r="AH50" s="299"/>
      <c r="AI50" s="316"/>
      <c r="AJ50" s="299"/>
      <c r="AK50" s="300"/>
      <c r="AL50" s="301"/>
      <c r="AM50" s="316"/>
      <c r="AN50" s="299"/>
      <c r="AO50" s="299"/>
      <c r="AP50" s="316"/>
      <c r="AQ50" s="299"/>
      <c r="AR50" s="299"/>
      <c r="AS50" s="299"/>
      <c r="AT50" s="316"/>
      <c r="AU50" s="299"/>
      <c r="AV50" s="299"/>
      <c r="AW50" s="316"/>
      <c r="AX50" s="299"/>
      <c r="AY50" s="299"/>
      <c r="AZ50" s="299"/>
      <c r="BA50" s="316"/>
      <c r="BB50" s="299"/>
      <c r="BC50" s="299"/>
      <c r="BD50" s="316"/>
      <c r="BE50" s="299"/>
      <c r="BF50" s="299"/>
      <c r="BG50" s="299"/>
      <c r="BH50" s="316"/>
      <c r="BI50" s="299"/>
      <c r="BJ50" s="299"/>
      <c r="BK50" s="316"/>
      <c r="BL50" s="299"/>
      <c r="BM50" s="299"/>
      <c r="BN50" s="299"/>
      <c r="BO50" s="316"/>
      <c r="BP50" s="342"/>
      <c r="BQ50" s="301"/>
      <c r="BR50" s="316"/>
      <c r="BS50" s="299"/>
      <c r="BT50" s="299"/>
      <c r="BU50" s="299"/>
      <c r="BV50" s="316"/>
      <c r="BW50" s="299"/>
      <c r="BX50" s="299"/>
      <c r="BY50" s="299"/>
      <c r="BZ50" s="299"/>
      <c r="CA50" s="299"/>
      <c r="CB50" s="299"/>
      <c r="CC50" s="299"/>
      <c r="CD50" s="299"/>
      <c r="CE50" s="299"/>
      <c r="CF50" s="299"/>
      <c r="CG50" s="299"/>
      <c r="CH50" s="299"/>
      <c r="CI50" s="299"/>
      <c r="CJ50" s="299"/>
      <c r="CK50" s="299"/>
      <c r="CL50" s="299"/>
      <c r="CM50" s="299"/>
      <c r="CN50" s="299"/>
      <c r="CO50" s="299"/>
      <c r="CP50" s="299"/>
      <c r="CQ50" s="299"/>
      <c r="CR50" s="299"/>
      <c r="CS50" s="299"/>
      <c r="CT50" s="342"/>
    </row>
    <row r="51" spans="2:98" ht="18" customHeight="1">
      <c r="B51" s="358"/>
      <c r="C51" s="359"/>
      <c r="D51" s="317"/>
      <c r="E51" s="299"/>
      <c r="F51" s="299"/>
      <c r="G51" s="299"/>
      <c r="H51" s="299"/>
      <c r="I51" s="342"/>
      <c r="J51" s="343"/>
      <c r="K51" s="299"/>
      <c r="L51" s="299"/>
      <c r="M51" s="299"/>
      <c r="N51" s="299"/>
      <c r="O51" s="299"/>
      <c r="P51" s="299"/>
      <c r="Q51" s="299"/>
      <c r="R51" s="299"/>
      <c r="S51" s="299"/>
      <c r="T51" s="299"/>
      <c r="U51" s="299"/>
      <c r="V51" s="299"/>
      <c r="W51" s="299"/>
      <c r="X51" s="299"/>
      <c r="Y51" s="299"/>
      <c r="Z51" s="299"/>
      <c r="AA51" s="299"/>
      <c r="AB51" s="299"/>
      <c r="AC51" s="299"/>
      <c r="AD51" s="299"/>
      <c r="AE51" s="299"/>
      <c r="AF51" s="316"/>
      <c r="AG51" s="299"/>
      <c r="AH51" s="299"/>
      <c r="AI51" s="316"/>
      <c r="AJ51" s="299"/>
      <c r="AK51" s="300"/>
      <c r="AL51" s="301"/>
      <c r="AM51" s="316"/>
      <c r="AN51" s="299"/>
      <c r="AO51" s="299"/>
      <c r="AP51" s="316"/>
      <c r="AQ51" s="299"/>
      <c r="AR51" s="299"/>
      <c r="AS51" s="299"/>
      <c r="AT51" s="316"/>
      <c r="AU51" s="299"/>
      <c r="AV51" s="299"/>
      <c r="AW51" s="316"/>
      <c r="AX51" s="299"/>
      <c r="AY51" s="299"/>
      <c r="AZ51" s="299"/>
      <c r="BA51" s="316"/>
      <c r="BB51" s="299"/>
      <c r="BC51" s="299"/>
      <c r="BD51" s="316"/>
      <c r="BE51" s="299"/>
      <c r="BF51" s="299"/>
      <c r="BG51" s="299"/>
      <c r="BH51" s="316"/>
      <c r="BI51" s="299"/>
      <c r="BJ51" s="299"/>
      <c r="BK51" s="316"/>
      <c r="BL51" s="299"/>
      <c r="BM51" s="299"/>
      <c r="BN51" s="299"/>
      <c r="BO51" s="316"/>
      <c r="BP51" s="342"/>
      <c r="BQ51" s="301"/>
      <c r="BR51" s="316"/>
      <c r="BS51" s="299"/>
      <c r="BT51" s="299"/>
      <c r="BU51" s="299"/>
      <c r="BV51" s="316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299"/>
      <c r="CL51" s="299"/>
      <c r="CM51" s="299"/>
      <c r="CN51" s="299"/>
      <c r="CO51" s="299"/>
      <c r="CP51" s="299"/>
      <c r="CQ51" s="299"/>
      <c r="CR51" s="299"/>
      <c r="CS51" s="299"/>
      <c r="CT51" s="342"/>
    </row>
    <row r="52" spans="2:98" ht="18" customHeight="1">
      <c r="B52" s="358"/>
      <c r="C52" s="359"/>
      <c r="D52" s="317"/>
      <c r="E52" s="299"/>
      <c r="F52" s="299"/>
      <c r="G52" s="299"/>
      <c r="H52" s="299"/>
      <c r="I52" s="342"/>
      <c r="J52" s="343"/>
      <c r="K52" s="299"/>
      <c r="L52" s="299"/>
      <c r="M52" s="299"/>
      <c r="N52" s="299"/>
      <c r="O52" s="299"/>
      <c r="P52" s="299"/>
      <c r="Q52" s="299"/>
      <c r="R52" s="299"/>
      <c r="S52" s="299"/>
      <c r="T52" s="299"/>
      <c r="U52" s="299"/>
      <c r="V52" s="299"/>
      <c r="W52" s="299"/>
      <c r="X52" s="299"/>
      <c r="Y52" s="316"/>
      <c r="Z52" s="299"/>
      <c r="AA52" s="299"/>
      <c r="AB52" s="316"/>
      <c r="AC52" s="299"/>
      <c r="AD52" s="299"/>
      <c r="AE52" s="299"/>
      <c r="AF52" s="316"/>
      <c r="AG52" s="299"/>
      <c r="AH52" s="299"/>
      <c r="AI52" s="316"/>
      <c r="AJ52" s="299"/>
      <c r="AK52" s="300"/>
      <c r="AL52" s="301"/>
      <c r="AM52" s="316"/>
      <c r="AN52" s="299"/>
      <c r="AO52" s="299"/>
      <c r="AP52" s="316"/>
      <c r="AQ52" s="299"/>
      <c r="AR52" s="299"/>
      <c r="AS52" s="299"/>
      <c r="AT52" s="316"/>
      <c r="AU52" s="299"/>
      <c r="AV52" s="299"/>
      <c r="AW52" s="316"/>
      <c r="AX52" s="299"/>
      <c r="AY52" s="299"/>
      <c r="AZ52" s="299"/>
      <c r="BA52" s="316"/>
      <c r="BB52" s="299"/>
      <c r="BC52" s="299"/>
      <c r="BD52" s="316"/>
      <c r="BE52" s="299"/>
      <c r="BF52" s="299"/>
      <c r="BG52" s="299"/>
      <c r="BH52" s="316"/>
      <c r="BI52" s="299"/>
      <c r="BJ52" s="299"/>
      <c r="BK52" s="346"/>
      <c r="BL52" s="299"/>
      <c r="BM52" s="299"/>
      <c r="BN52" s="299"/>
      <c r="BO52" s="299"/>
      <c r="BP52" s="342"/>
      <c r="BQ52" s="301"/>
      <c r="BR52" s="299"/>
      <c r="BS52" s="299"/>
      <c r="BT52" s="299"/>
      <c r="BU52" s="299"/>
      <c r="BV52" s="299"/>
      <c r="BW52" s="299"/>
      <c r="BX52" s="299"/>
      <c r="BY52" s="299"/>
      <c r="BZ52" s="299"/>
      <c r="CA52" s="299"/>
      <c r="CB52" s="299"/>
      <c r="CC52" s="299"/>
      <c r="CD52" s="299"/>
      <c r="CE52" s="299"/>
      <c r="CF52" s="299"/>
      <c r="CG52" s="299"/>
      <c r="CH52" s="299"/>
      <c r="CI52" s="299"/>
      <c r="CJ52" s="299"/>
      <c r="CK52" s="299"/>
      <c r="CL52" s="299"/>
      <c r="CM52" s="299"/>
      <c r="CN52" s="299"/>
      <c r="CO52" s="299"/>
      <c r="CP52" s="299"/>
      <c r="CQ52" s="299"/>
      <c r="CR52" s="299"/>
      <c r="CS52" s="299"/>
      <c r="CT52" s="342"/>
    </row>
    <row r="53" spans="2:98" ht="18" customHeight="1">
      <c r="B53" s="358"/>
      <c r="C53" s="359"/>
      <c r="D53" s="317"/>
      <c r="E53" s="299"/>
      <c r="F53" s="299"/>
      <c r="G53" s="299"/>
      <c r="H53" s="299"/>
      <c r="I53" s="342"/>
      <c r="J53" s="343"/>
      <c r="K53" s="299"/>
      <c r="L53" s="299"/>
      <c r="M53" s="299"/>
      <c r="N53" s="299"/>
      <c r="O53" s="299"/>
      <c r="P53" s="299"/>
      <c r="Q53" s="299"/>
      <c r="R53" s="299"/>
      <c r="S53" s="299"/>
      <c r="T53" s="299"/>
      <c r="U53" s="299"/>
      <c r="V53" s="299"/>
      <c r="W53" s="299"/>
      <c r="X53" s="299"/>
      <c r="Y53" s="299"/>
      <c r="Z53" s="299"/>
      <c r="AA53" s="299"/>
      <c r="AB53" s="299"/>
      <c r="AC53" s="299"/>
      <c r="AD53" s="299"/>
      <c r="AE53" s="299"/>
      <c r="AF53" s="299"/>
      <c r="AG53" s="299"/>
      <c r="AH53" s="299"/>
      <c r="AI53" s="299"/>
      <c r="AJ53" s="299"/>
      <c r="AK53" s="300"/>
      <c r="AL53" s="301"/>
      <c r="AM53" s="299"/>
      <c r="AN53" s="299"/>
      <c r="AO53" s="299"/>
      <c r="AP53" s="299"/>
      <c r="AQ53" s="299"/>
      <c r="AR53" s="299"/>
      <c r="AS53" s="299"/>
      <c r="AT53" s="299"/>
      <c r="AU53" s="299"/>
      <c r="AV53" s="299"/>
      <c r="AW53" s="299"/>
      <c r="AX53" s="299"/>
      <c r="AY53" s="299"/>
      <c r="AZ53" s="299"/>
      <c r="BA53" s="299"/>
      <c r="BB53" s="299"/>
      <c r="BC53" s="299"/>
      <c r="BD53" s="299"/>
      <c r="BE53" s="299"/>
      <c r="BF53" s="299"/>
      <c r="BG53" s="299"/>
      <c r="BH53" s="299"/>
      <c r="BI53" s="299"/>
      <c r="BJ53" s="299"/>
      <c r="BK53" s="299"/>
      <c r="BL53" s="299"/>
      <c r="BM53" s="299"/>
      <c r="BN53" s="299"/>
      <c r="BO53" s="299"/>
      <c r="BP53" s="342"/>
      <c r="BQ53" s="301"/>
      <c r="BR53" s="299"/>
      <c r="BS53" s="299"/>
      <c r="BT53" s="299"/>
      <c r="BU53" s="299"/>
      <c r="BV53" s="299"/>
      <c r="BW53" s="299"/>
      <c r="BX53" s="299"/>
      <c r="BY53" s="299"/>
      <c r="BZ53" s="299"/>
      <c r="CA53" s="299"/>
      <c r="CB53" s="299"/>
      <c r="CC53" s="299"/>
      <c r="CD53" s="299"/>
      <c r="CE53" s="299"/>
      <c r="CF53" s="299"/>
      <c r="CG53" s="299"/>
      <c r="CH53" s="299"/>
      <c r="CI53" s="299"/>
      <c r="CJ53" s="299"/>
      <c r="CK53" s="299"/>
      <c r="CL53" s="299"/>
      <c r="CM53" s="299"/>
      <c r="CN53" s="299"/>
      <c r="CO53" s="299"/>
      <c r="CP53" s="299"/>
      <c r="CQ53" s="299"/>
      <c r="CR53" s="299"/>
      <c r="CS53" s="299"/>
      <c r="CT53" s="342"/>
    </row>
    <row r="54" spans="2:98" ht="18" customHeight="1">
      <c r="B54" s="358"/>
      <c r="C54" s="359"/>
      <c r="D54" s="317"/>
      <c r="E54" s="299"/>
      <c r="F54" s="299"/>
      <c r="G54" s="299"/>
      <c r="H54" s="299"/>
      <c r="I54" s="342"/>
      <c r="J54" s="343"/>
      <c r="K54" s="299"/>
      <c r="L54" s="299"/>
      <c r="M54" s="299"/>
      <c r="N54" s="299"/>
      <c r="O54" s="299"/>
      <c r="P54" s="299"/>
      <c r="Q54" s="299"/>
      <c r="R54" s="299"/>
      <c r="S54" s="299"/>
      <c r="T54" s="299"/>
      <c r="U54" s="299"/>
      <c r="V54" s="299"/>
      <c r="W54" s="299"/>
      <c r="X54" s="299"/>
      <c r="Y54" s="299"/>
      <c r="Z54" s="299"/>
      <c r="AA54" s="299"/>
      <c r="AB54" s="299"/>
      <c r="AC54" s="299"/>
      <c r="AD54" s="299"/>
      <c r="AE54" s="299"/>
      <c r="AF54" s="299"/>
      <c r="AG54" s="299"/>
      <c r="AH54" s="299"/>
      <c r="AI54" s="316"/>
      <c r="AJ54" s="299"/>
      <c r="AK54" s="300"/>
      <c r="AL54" s="301"/>
      <c r="AM54" s="318"/>
      <c r="AN54" s="299"/>
      <c r="AO54" s="299"/>
      <c r="AP54" s="318"/>
      <c r="AQ54" s="299"/>
      <c r="AR54" s="299"/>
      <c r="AS54" s="299"/>
      <c r="AT54" s="318"/>
      <c r="AU54" s="299"/>
      <c r="AV54" s="299"/>
      <c r="AW54" s="318"/>
      <c r="AX54" s="299"/>
      <c r="AY54" s="299"/>
      <c r="AZ54" s="299"/>
      <c r="BA54" s="318"/>
      <c r="BB54" s="299"/>
      <c r="BC54" s="299"/>
      <c r="BD54" s="299"/>
      <c r="BE54" s="299"/>
      <c r="BF54" s="299"/>
      <c r="BG54" s="299"/>
      <c r="BH54" s="299"/>
      <c r="BI54" s="299"/>
      <c r="BJ54" s="299"/>
      <c r="BK54" s="299"/>
      <c r="BL54" s="299"/>
      <c r="BM54" s="299"/>
      <c r="BN54" s="299"/>
      <c r="BO54" s="299"/>
      <c r="BP54" s="342"/>
      <c r="BQ54" s="301"/>
      <c r="BR54" s="299"/>
      <c r="BS54" s="299"/>
      <c r="BT54" s="299"/>
      <c r="BU54" s="299"/>
      <c r="BV54" s="299"/>
      <c r="BW54" s="299"/>
      <c r="BX54" s="299"/>
      <c r="BY54" s="299"/>
      <c r="BZ54" s="299"/>
      <c r="CA54" s="299"/>
      <c r="CB54" s="299"/>
      <c r="CC54" s="299"/>
      <c r="CD54" s="299"/>
      <c r="CE54" s="299"/>
      <c r="CF54" s="299"/>
      <c r="CG54" s="299"/>
      <c r="CH54" s="299"/>
      <c r="CI54" s="299"/>
      <c r="CJ54" s="299"/>
      <c r="CK54" s="299"/>
      <c r="CL54" s="299"/>
      <c r="CM54" s="299"/>
      <c r="CN54" s="299"/>
      <c r="CO54" s="299"/>
      <c r="CP54" s="299"/>
      <c r="CQ54" s="299"/>
      <c r="CR54" s="299"/>
      <c r="CS54" s="299"/>
      <c r="CT54" s="342"/>
    </row>
    <row r="55" spans="2:98" ht="18" customHeight="1">
      <c r="B55" s="358"/>
      <c r="C55" s="359"/>
      <c r="D55" s="317"/>
      <c r="E55" s="299"/>
      <c r="F55" s="299"/>
      <c r="G55" s="299"/>
      <c r="H55" s="299"/>
      <c r="I55" s="342"/>
      <c r="J55" s="343"/>
      <c r="K55" s="299"/>
      <c r="L55" s="299"/>
      <c r="M55" s="299"/>
      <c r="N55" s="299"/>
      <c r="O55" s="299"/>
      <c r="P55" s="299"/>
      <c r="Q55" s="299"/>
      <c r="R55" s="299"/>
      <c r="S55" s="299"/>
      <c r="T55" s="299"/>
      <c r="U55" s="299"/>
      <c r="V55" s="299"/>
      <c r="W55" s="299"/>
      <c r="X55" s="299"/>
      <c r="Y55" s="299"/>
      <c r="Z55" s="299"/>
      <c r="AA55" s="299"/>
      <c r="AB55" s="299"/>
      <c r="AC55" s="299"/>
      <c r="AD55" s="299"/>
      <c r="AE55" s="299"/>
      <c r="AF55" s="299"/>
      <c r="AG55" s="299"/>
      <c r="AH55" s="299"/>
      <c r="AI55" s="316"/>
      <c r="AJ55" s="299"/>
      <c r="AK55" s="300"/>
      <c r="AL55" s="301"/>
      <c r="AM55" s="316"/>
      <c r="AN55" s="299"/>
      <c r="AO55" s="299"/>
      <c r="AP55" s="316"/>
      <c r="AQ55" s="299"/>
      <c r="AR55" s="299"/>
      <c r="AS55" s="299"/>
      <c r="AT55" s="316"/>
      <c r="AU55" s="299"/>
      <c r="AV55" s="299"/>
      <c r="AW55" s="316"/>
      <c r="AX55" s="299"/>
      <c r="AY55" s="299"/>
      <c r="AZ55" s="299"/>
      <c r="BA55" s="316"/>
      <c r="BB55" s="299"/>
      <c r="BC55" s="299"/>
      <c r="BD55" s="346"/>
      <c r="BE55" s="299"/>
      <c r="BF55" s="299"/>
      <c r="BG55" s="299"/>
      <c r="BH55" s="299"/>
      <c r="BI55" s="299"/>
      <c r="BJ55" s="299"/>
      <c r="BK55" s="299"/>
      <c r="BL55" s="299"/>
      <c r="BM55" s="299"/>
      <c r="BN55" s="299"/>
      <c r="BO55" s="299"/>
      <c r="BP55" s="342"/>
      <c r="BQ55" s="301"/>
      <c r="BR55" s="299"/>
      <c r="BS55" s="299"/>
      <c r="BT55" s="299"/>
      <c r="BU55" s="299"/>
      <c r="BV55" s="299"/>
      <c r="BW55" s="299"/>
      <c r="BX55" s="299"/>
      <c r="BY55" s="299"/>
      <c r="BZ55" s="299"/>
      <c r="CA55" s="299"/>
      <c r="CB55" s="299"/>
      <c r="CC55" s="299"/>
      <c r="CD55" s="299"/>
      <c r="CE55" s="299"/>
      <c r="CF55" s="299"/>
      <c r="CG55" s="299"/>
      <c r="CH55" s="299"/>
      <c r="CI55" s="299"/>
      <c r="CJ55" s="299"/>
      <c r="CK55" s="299"/>
      <c r="CL55" s="299"/>
      <c r="CM55" s="299"/>
      <c r="CN55" s="299"/>
      <c r="CO55" s="299"/>
      <c r="CP55" s="299"/>
      <c r="CQ55" s="299"/>
      <c r="CR55" s="299"/>
      <c r="CS55" s="299"/>
      <c r="CT55" s="342"/>
    </row>
    <row r="56" spans="2:98" ht="18" customHeight="1">
      <c r="B56" s="302"/>
      <c r="C56" s="303"/>
      <c r="D56" s="310"/>
      <c r="E56" s="305"/>
      <c r="F56" s="305"/>
      <c r="G56" s="305"/>
      <c r="H56" s="305"/>
      <c r="I56" s="311"/>
      <c r="J56" s="312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305"/>
      <c r="Y56" s="305"/>
      <c r="Z56" s="305"/>
      <c r="AA56" s="305"/>
      <c r="AB56" s="305"/>
      <c r="AC56" s="305"/>
      <c r="AD56" s="305"/>
      <c r="AE56" s="305"/>
      <c r="AF56" s="307"/>
      <c r="AG56" s="305"/>
      <c r="AH56" s="305"/>
      <c r="AI56" s="307"/>
      <c r="AJ56" s="305"/>
      <c r="AK56" s="313"/>
      <c r="AL56" s="306"/>
      <c r="AM56" s="307"/>
      <c r="AN56" s="305"/>
      <c r="AO56" s="305"/>
      <c r="AP56" s="307"/>
      <c r="AQ56" s="305"/>
      <c r="AR56" s="305"/>
      <c r="AS56" s="305"/>
      <c r="AT56" s="307"/>
      <c r="AU56" s="305"/>
      <c r="AV56" s="305"/>
      <c r="AW56" s="307"/>
      <c r="AX56" s="305"/>
      <c r="AY56" s="305"/>
      <c r="AZ56" s="305"/>
      <c r="BA56" s="307"/>
      <c r="BB56" s="305"/>
      <c r="BC56" s="305"/>
      <c r="BD56" s="307"/>
      <c r="BE56" s="305"/>
      <c r="BF56" s="305"/>
      <c r="BG56" s="305"/>
      <c r="BH56" s="307"/>
      <c r="BI56" s="305"/>
      <c r="BJ56" s="305"/>
      <c r="BK56" s="307"/>
      <c r="BL56" s="305"/>
      <c r="BM56" s="305"/>
      <c r="BN56" s="305"/>
      <c r="BO56" s="307"/>
      <c r="BP56" s="311"/>
      <c r="BQ56" s="306"/>
      <c r="BR56" s="307"/>
      <c r="BS56" s="305"/>
      <c r="BT56" s="305"/>
      <c r="BU56" s="305"/>
      <c r="BV56" s="345"/>
      <c r="BW56" s="305"/>
      <c r="BX56" s="305"/>
      <c r="BY56" s="305"/>
      <c r="BZ56" s="305"/>
      <c r="CA56" s="305"/>
      <c r="CB56" s="305"/>
      <c r="CC56" s="305"/>
      <c r="CD56" s="305"/>
      <c r="CE56" s="305"/>
      <c r="CF56" s="305"/>
      <c r="CG56" s="305"/>
      <c r="CH56" s="305"/>
      <c r="CI56" s="305"/>
      <c r="CJ56" s="305"/>
      <c r="CK56" s="305"/>
      <c r="CL56" s="305"/>
      <c r="CM56" s="305"/>
      <c r="CN56" s="305"/>
      <c r="CO56" s="305"/>
      <c r="CP56" s="305"/>
      <c r="CQ56" s="305"/>
      <c r="CR56" s="305"/>
      <c r="CS56" s="305"/>
      <c r="CT56" s="311"/>
    </row>
    <row r="57" spans="2:98" ht="18" customHeight="1">
      <c r="B57" s="302"/>
      <c r="C57" s="303"/>
      <c r="D57" s="304"/>
      <c r="E57" s="305"/>
      <c r="F57" s="305"/>
      <c r="G57" s="305"/>
      <c r="H57" s="305"/>
      <c r="I57" s="311"/>
      <c r="J57" s="312"/>
      <c r="K57" s="305"/>
      <c r="L57" s="305"/>
      <c r="M57" s="305"/>
      <c r="N57" s="305"/>
      <c r="O57" s="305"/>
      <c r="P57" s="305"/>
      <c r="Q57" s="305"/>
      <c r="R57" s="305"/>
      <c r="S57" s="305"/>
      <c r="T57" s="305"/>
      <c r="U57" s="305"/>
      <c r="V57" s="305"/>
      <c r="W57" s="305"/>
      <c r="X57" s="305"/>
      <c r="Y57" s="305"/>
      <c r="Z57" s="305"/>
      <c r="AA57" s="305"/>
      <c r="AB57" s="305"/>
      <c r="AC57" s="305"/>
      <c r="AD57" s="305"/>
      <c r="AE57" s="305"/>
      <c r="AF57" s="305"/>
      <c r="AG57" s="305"/>
      <c r="AH57" s="305"/>
      <c r="AI57" s="305"/>
      <c r="AJ57" s="305"/>
      <c r="AK57" s="313"/>
      <c r="AL57" s="306"/>
      <c r="AM57" s="305"/>
      <c r="AN57" s="305"/>
      <c r="AO57" s="305"/>
      <c r="AP57" s="305"/>
      <c r="AQ57" s="305"/>
      <c r="AR57" s="305"/>
      <c r="AS57" s="305"/>
      <c r="AT57" s="305"/>
      <c r="AU57" s="305"/>
      <c r="AV57" s="305"/>
      <c r="AW57" s="305"/>
      <c r="AX57" s="305"/>
      <c r="AY57" s="305"/>
      <c r="AZ57" s="305"/>
      <c r="BA57" s="307"/>
      <c r="BB57" s="305"/>
      <c r="BC57" s="305"/>
      <c r="BD57" s="307"/>
      <c r="BE57" s="305"/>
      <c r="BF57" s="305"/>
      <c r="BG57" s="305"/>
      <c r="BH57" s="307"/>
      <c r="BI57" s="305"/>
      <c r="BJ57" s="305"/>
      <c r="BK57" s="307"/>
      <c r="BL57" s="305"/>
      <c r="BM57" s="305"/>
      <c r="BN57" s="305"/>
      <c r="BO57" s="307"/>
      <c r="BP57" s="311"/>
      <c r="BQ57" s="306"/>
      <c r="BR57" s="307"/>
      <c r="BS57" s="305"/>
      <c r="BT57" s="305"/>
      <c r="BU57" s="305"/>
      <c r="BV57" s="345"/>
      <c r="BW57" s="305"/>
      <c r="BX57" s="305"/>
      <c r="BY57" s="305"/>
      <c r="BZ57" s="305"/>
      <c r="CA57" s="305"/>
      <c r="CB57" s="305"/>
      <c r="CC57" s="305"/>
      <c r="CD57" s="305"/>
      <c r="CE57" s="305"/>
      <c r="CF57" s="305"/>
      <c r="CG57" s="305"/>
      <c r="CH57" s="305"/>
      <c r="CI57" s="305"/>
      <c r="CJ57" s="305"/>
      <c r="CK57" s="305"/>
      <c r="CL57" s="305"/>
      <c r="CM57" s="305"/>
      <c r="CN57" s="305"/>
      <c r="CO57" s="305"/>
      <c r="CP57" s="305"/>
      <c r="CQ57" s="305"/>
      <c r="CR57" s="305"/>
      <c r="CS57" s="305"/>
      <c r="CT57" s="311"/>
    </row>
    <row r="58" spans="2:98" ht="18" customHeight="1">
      <c r="B58" s="302"/>
      <c r="C58" s="303"/>
      <c r="D58" s="304"/>
      <c r="E58" s="305"/>
      <c r="F58" s="305"/>
      <c r="G58" s="305"/>
      <c r="H58" s="305"/>
      <c r="I58" s="311"/>
      <c r="J58" s="312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305"/>
      <c r="Y58" s="305"/>
      <c r="Z58" s="305"/>
      <c r="AA58" s="305"/>
      <c r="AB58" s="305"/>
      <c r="AC58" s="305"/>
      <c r="AD58" s="305"/>
      <c r="AE58" s="305"/>
      <c r="AF58" s="305"/>
      <c r="AG58" s="305"/>
      <c r="AH58" s="305"/>
      <c r="AI58" s="305"/>
      <c r="AJ58" s="305"/>
      <c r="AK58" s="313"/>
      <c r="AL58" s="306"/>
      <c r="AM58" s="305"/>
      <c r="AN58" s="305"/>
      <c r="AO58" s="305"/>
      <c r="AP58" s="305"/>
      <c r="AQ58" s="305"/>
      <c r="AR58" s="305"/>
      <c r="AS58" s="305"/>
      <c r="AT58" s="305"/>
      <c r="AU58" s="305"/>
      <c r="AV58" s="305"/>
      <c r="AW58" s="305"/>
      <c r="AX58" s="305"/>
      <c r="AY58" s="305"/>
      <c r="AZ58" s="305"/>
      <c r="BA58" s="305"/>
      <c r="BB58" s="305"/>
      <c r="BC58" s="305"/>
      <c r="BD58" s="305"/>
      <c r="BE58" s="305"/>
      <c r="BF58" s="305"/>
      <c r="BG58" s="305"/>
      <c r="BH58" s="305"/>
      <c r="BI58" s="305"/>
      <c r="BJ58" s="305"/>
      <c r="BK58" s="305"/>
      <c r="BL58" s="305"/>
      <c r="BM58" s="305"/>
      <c r="BN58" s="305"/>
      <c r="BO58" s="307"/>
      <c r="BP58" s="311"/>
      <c r="BQ58" s="306"/>
      <c r="BR58" s="307"/>
      <c r="BS58" s="305"/>
      <c r="BT58" s="305"/>
      <c r="BU58" s="305"/>
      <c r="BV58" s="307"/>
      <c r="BW58" s="305"/>
      <c r="BX58" s="305"/>
      <c r="BY58" s="305"/>
      <c r="BZ58" s="305"/>
      <c r="CA58" s="305"/>
      <c r="CB58" s="305"/>
      <c r="CC58" s="305"/>
      <c r="CD58" s="305"/>
      <c r="CE58" s="305"/>
      <c r="CF58" s="305"/>
      <c r="CG58" s="305"/>
      <c r="CH58" s="305"/>
      <c r="CI58" s="305"/>
      <c r="CJ58" s="305"/>
      <c r="CK58" s="305"/>
      <c r="CL58" s="305"/>
      <c r="CM58" s="305"/>
      <c r="CN58" s="305"/>
      <c r="CO58" s="305"/>
      <c r="CP58" s="305"/>
      <c r="CQ58" s="305"/>
      <c r="CR58" s="305"/>
      <c r="CS58" s="305"/>
      <c r="CT58" s="311"/>
    </row>
    <row r="59" spans="2:98" ht="18" customHeight="1">
      <c r="B59" s="352"/>
      <c r="C59" s="353"/>
      <c r="D59" s="362"/>
      <c r="E59" s="298"/>
      <c r="F59" s="298"/>
      <c r="G59" s="298"/>
      <c r="H59" s="298"/>
      <c r="I59" s="336"/>
      <c r="J59" s="337"/>
      <c r="K59" s="298"/>
      <c r="L59" s="298"/>
      <c r="M59" s="298"/>
      <c r="N59" s="298"/>
      <c r="O59" s="298"/>
      <c r="P59" s="298"/>
      <c r="Q59" s="298"/>
      <c r="R59" s="298"/>
      <c r="S59" s="298"/>
      <c r="T59" s="298"/>
      <c r="U59" s="298"/>
      <c r="V59" s="298"/>
      <c r="W59" s="298"/>
      <c r="X59" s="298"/>
      <c r="Y59" s="298"/>
      <c r="Z59" s="298"/>
      <c r="AA59" s="298"/>
      <c r="AB59" s="298"/>
      <c r="AC59" s="298"/>
      <c r="AD59" s="298"/>
      <c r="AE59" s="298"/>
      <c r="AF59" s="298"/>
      <c r="AG59" s="298"/>
      <c r="AH59" s="298"/>
      <c r="AI59" s="298"/>
      <c r="AJ59" s="298"/>
      <c r="AK59" s="338"/>
      <c r="AL59" s="287"/>
      <c r="AM59" s="298"/>
      <c r="AN59" s="298"/>
      <c r="AO59" s="298"/>
      <c r="AP59" s="298"/>
      <c r="AQ59" s="298"/>
      <c r="AR59" s="298"/>
      <c r="AS59" s="298"/>
      <c r="AT59" s="298"/>
      <c r="AU59" s="298"/>
      <c r="AV59" s="298"/>
      <c r="AW59" s="298"/>
      <c r="AX59" s="298"/>
      <c r="AY59" s="298"/>
      <c r="AZ59" s="298"/>
      <c r="BA59" s="298"/>
      <c r="BB59" s="298"/>
      <c r="BC59" s="298"/>
      <c r="BD59" s="298"/>
      <c r="BE59" s="298"/>
      <c r="BF59" s="298"/>
      <c r="BG59" s="298"/>
      <c r="BH59" s="298"/>
      <c r="BI59" s="298"/>
      <c r="BJ59" s="298"/>
      <c r="BK59" s="298"/>
      <c r="BL59" s="298"/>
      <c r="BM59" s="298"/>
      <c r="BN59" s="298"/>
      <c r="BO59" s="298"/>
      <c r="BP59" s="336"/>
      <c r="BQ59" s="287"/>
      <c r="BR59" s="298"/>
      <c r="BS59" s="298"/>
      <c r="BT59" s="298"/>
      <c r="BU59" s="298"/>
      <c r="BV59" s="298"/>
      <c r="BW59" s="298"/>
      <c r="BX59" s="298"/>
      <c r="BY59" s="298"/>
      <c r="BZ59" s="298"/>
      <c r="CA59" s="298"/>
      <c r="CB59" s="298"/>
      <c r="CC59" s="298"/>
      <c r="CD59" s="298"/>
      <c r="CE59" s="298"/>
      <c r="CF59" s="298"/>
      <c r="CG59" s="298"/>
      <c r="CH59" s="298"/>
      <c r="CI59" s="298"/>
      <c r="CJ59" s="298"/>
      <c r="CK59" s="298"/>
      <c r="CL59" s="298"/>
      <c r="CM59" s="298"/>
      <c r="CN59" s="298"/>
      <c r="CO59" s="298"/>
      <c r="CP59" s="298"/>
      <c r="CQ59" s="298"/>
      <c r="CR59" s="298"/>
      <c r="CS59" s="298"/>
      <c r="CT59" s="336"/>
    </row>
    <row r="60" spans="2:98" ht="18" customHeight="1">
      <c r="B60" s="355"/>
      <c r="C60" s="364"/>
      <c r="D60" s="366"/>
      <c r="E60" s="309"/>
      <c r="F60" s="309"/>
      <c r="G60" s="309"/>
      <c r="H60" s="309"/>
      <c r="I60" s="339"/>
      <c r="J60" s="340"/>
      <c r="K60" s="309"/>
      <c r="L60" s="309"/>
      <c r="M60" s="309"/>
      <c r="N60" s="309"/>
      <c r="O60" s="309"/>
      <c r="P60" s="309"/>
      <c r="Q60" s="309"/>
      <c r="R60" s="309"/>
      <c r="S60" s="309"/>
      <c r="T60" s="309"/>
      <c r="U60" s="309"/>
      <c r="V60" s="309"/>
      <c r="W60" s="309"/>
      <c r="X60" s="309"/>
      <c r="Y60" s="309"/>
      <c r="Z60" s="309"/>
      <c r="AA60" s="309"/>
      <c r="AB60" s="309"/>
      <c r="AC60" s="309"/>
      <c r="AD60" s="309"/>
      <c r="AE60" s="309"/>
      <c r="AF60" s="309"/>
      <c r="AG60" s="309"/>
      <c r="AH60" s="309"/>
      <c r="AI60" s="309"/>
      <c r="AJ60" s="309"/>
      <c r="AK60" s="341"/>
      <c r="AL60" s="288"/>
      <c r="AM60" s="309"/>
      <c r="AN60" s="309"/>
      <c r="AO60" s="309"/>
      <c r="AP60" s="309"/>
      <c r="AQ60" s="309"/>
      <c r="AR60" s="309"/>
      <c r="AS60" s="309"/>
      <c r="AT60" s="309"/>
      <c r="AU60" s="309"/>
      <c r="AV60" s="309"/>
      <c r="AW60" s="309"/>
      <c r="AX60" s="309"/>
      <c r="AY60" s="309"/>
      <c r="AZ60" s="309"/>
      <c r="BA60" s="309"/>
      <c r="BB60" s="309"/>
      <c r="BC60" s="309"/>
      <c r="BD60" s="309"/>
      <c r="BE60" s="309"/>
      <c r="BF60" s="309"/>
      <c r="BG60" s="309"/>
      <c r="BH60" s="309"/>
      <c r="BI60" s="309"/>
      <c r="BJ60" s="309"/>
      <c r="BK60" s="348"/>
      <c r="BL60" s="309"/>
      <c r="BM60" s="309"/>
      <c r="BN60" s="309"/>
      <c r="BO60" s="348"/>
      <c r="BP60" s="339"/>
      <c r="BQ60" s="288"/>
      <c r="BR60" s="348"/>
      <c r="BS60" s="309"/>
      <c r="BT60" s="309"/>
      <c r="BU60" s="309"/>
      <c r="BV60" s="348"/>
      <c r="BW60" s="309"/>
      <c r="BX60" s="309"/>
      <c r="BY60" s="309"/>
      <c r="BZ60" s="309"/>
      <c r="CA60" s="309"/>
      <c r="CB60" s="309"/>
      <c r="CC60" s="309"/>
      <c r="CD60" s="309"/>
      <c r="CE60" s="309"/>
      <c r="CF60" s="309"/>
      <c r="CG60" s="309"/>
      <c r="CH60" s="309"/>
      <c r="CI60" s="309"/>
      <c r="CJ60" s="309"/>
      <c r="CK60" s="309"/>
      <c r="CL60" s="309"/>
      <c r="CM60" s="309"/>
      <c r="CN60" s="309"/>
      <c r="CO60" s="309"/>
      <c r="CP60" s="309"/>
      <c r="CQ60" s="309"/>
      <c r="CR60" s="309"/>
      <c r="CS60" s="309"/>
      <c r="CT60" s="339"/>
    </row>
    <row r="61" spans="2:98" ht="18" customHeight="1">
      <c r="B61" s="358"/>
      <c r="C61" s="359"/>
      <c r="D61" s="317"/>
      <c r="E61" s="299"/>
      <c r="F61" s="299"/>
      <c r="G61" s="299"/>
      <c r="H61" s="299"/>
      <c r="I61" s="342"/>
      <c r="J61" s="343"/>
      <c r="K61" s="299"/>
      <c r="L61" s="299"/>
      <c r="M61" s="299"/>
      <c r="N61" s="299"/>
      <c r="O61" s="299"/>
      <c r="P61" s="299"/>
      <c r="Q61" s="299"/>
      <c r="R61" s="299"/>
      <c r="S61" s="299"/>
      <c r="T61" s="299"/>
      <c r="U61" s="299"/>
      <c r="V61" s="299"/>
      <c r="W61" s="299"/>
      <c r="X61" s="299"/>
      <c r="Y61" s="299"/>
      <c r="Z61" s="299"/>
      <c r="AA61" s="299"/>
      <c r="AB61" s="299"/>
      <c r="AC61" s="299"/>
      <c r="AD61" s="299"/>
      <c r="AE61" s="299"/>
      <c r="AF61" s="316"/>
      <c r="AG61" s="299"/>
      <c r="AH61" s="299"/>
      <c r="AI61" s="316"/>
      <c r="AJ61" s="299"/>
      <c r="AK61" s="300"/>
      <c r="AL61" s="301"/>
      <c r="AM61" s="316"/>
      <c r="AN61" s="299"/>
      <c r="AO61" s="299"/>
      <c r="AP61" s="316"/>
      <c r="AQ61" s="299"/>
      <c r="AR61" s="299"/>
      <c r="AS61" s="299"/>
      <c r="AT61" s="316"/>
      <c r="AU61" s="299"/>
      <c r="AV61" s="299"/>
      <c r="AW61" s="316"/>
      <c r="AX61" s="299"/>
      <c r="AY61" s="299"/>
      <c r="AZ61" s="299"/>
      <c r="BA61" s="316"/>
      <c r="BB61" s="299"/>
      <c r="BC61" s="299"/>
      <c r="BD61" s="316"/>
      <c r="BE61" s="299"/>
      <c r="BF61" s="299"/>
      <c r="BG61" s="299"/>
      <c r="BH61" s="316"/>
      <c r="BI61" s="299"/>
      <c r="BJ61" s="299"/>
      <c r="BK61" s="316"/>
      <c r="BL61" s="299"/>
      <c r="BM61" s="299"/>
      <c r="BN61" s="299"/>
      <c r="BO61" s="316"/>
      <c r="BP61" s="342"/>
      <c r="BQ61" s="301"/>
      <c r="BR61" s="316"/>
      <c r="BS61" s="299"/>
      <c r="BT61" s="299"/>
      <c r="BU61" s="299"/>
      <c r="BV61" s="316"/>
      <c r="BW61" s="299"/>
      <c r="BX61" s="299"/>
      <c r="BY61" s="299"/>
      <c r="BZ61" s="299"/>
      <c r="CA61" s="299"/>
      <c r="CB61" s="299"/>
      <c r="CC61" s="299"/>
      <c r="CD61" s="299"/>
      <c r="CE61" s="299"/>
      <c r="CF61" s="299"/>
      <c r="CG61" s="299"/>
      <c r="CH61" s="299"/>
      <c r="CI61" s="299"/>
      <c r="CJ61" s="299"/>
      <c r="CK61" s="299"/>
      <c r="CL61" s="299"/>
      <c r="CM61" s="299"/>
      <c r="CN61" s="299"/>
      <c r="CO61" s="299"/>
      <c r="CP61" s="299"/>
      <c r="CQ61" s="299"/>
      <c r="CR61" s="299"/>
      <c r="CS61" s="299"/>
      <c r="CT61" s="342"/>
    </row>
    <row r="62" spans="2:98" ht="18" customHeight="1">
      <c r="B62" s="358"/>
      <c r="C62" s="303"/>
      <c r="D62" s="310"/>
      <c r="E62" s="305"/>
      <c r="F62" s="305"/>
      <c r="G62" s="305"/>
      <c r="H62" s="305"/>
      <c r="I62" s="311"/>
      <c r="J62" s="312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05"/>
      <c r="X62" s="305"/>
      <c r="Y62" s="305"/>
      <c r="Z62" s="305"/>
      <c r="AA62" s="305"/>
      <c r="AB62" s="305"/>
      <c r="AC62" s="305"/>
      <c r="AD62" s="305"/>
      <c r="AE62" s="305"/>
      <c r="AF62" s="316"/>
      <c r="AG62" s="305"/>
      <c r="AH62" s="305"/>
      <c r="AI62" s="305"/>
      <c r="AJ62" s="305"/>
      <c r="AK62" s="313"/>
      <c r="AL62" s="306"/>
      <c r="AM62" s="305"/>
      <c r="AN62" s="305"/>
      <c r="AO62" s="305"/>
      <c r="AP62" s="305"/>
      <c r="AQ62" s="305"/>
      <c r="AR62" s="305"/>
      <c r="AS62" s="305"/>
      <c r="AT62" s="305"/>
      <c r="AU62" s="305"/>
      <c r="AV62" s="305"/>
      <c r="AW62" s="305"/>
      <c r="AX62" s="305"/>
      <c r="AY62" s="305"/>
      <c r="AZ62" s="305"/>
      <c r="BA62" s="305"/>
      <c r="BB62" s="305"/>
      <c r="BC62" s="305"/>
      <c r="BD62" s="305"/>
      <c r="BE62" s="305"/>
      <c r="BF62" s="305"/>
      <c r="BG62" s="305"/>
      <c r="BH62" s="305"/>
      <c r="BI62" s="305"/>
      <c r="BJ62" s="305"/>
      <c r="BK62" s="305"/>
      <c r="BL62" s="305"/>
      <c r="BM62" s="305"/>
      <c r="BN62" s="305"/>
      <c r="BO62" s="305"/>
      <c r="BP62" s="311"/>
      <c r="BQ62" s="306"/>
      <c r="BR62" s="305"/>
      <c r="BS62" s="305"/>
      <c r="BT62" s="305"/>
      <c r="BU62" s="305"/>
      <c r="BV62" s="307"/>
      <c r="BW62" s="305"/>
      <c r="BX62" s="305"/>
      <c r="BY62" s="307"/>
      <c r="BZ62" s="305"/>
      <c r="CA62" s="305"/>
      <c r="CB62" s="305"/>
      <c r="CC62" s="305"/>
      <c r="CD62" s="305"/>
      <c r="CE62" s="305"/>
      <c r="CF62" s="305"/>
      <c r="CG62" s="305"/>
      <c r="CH62" s="305"/>
      <c r="CI62" s="305"/>
      <c r="CJ62" s="305"/>
      <c r="CK62" s="305"/>
      <c r="CL62" s="305"/>
      <c r="CM62" s="305"/>
      <c r="CN62" s="305"/>
      <c r="CO62" s="305"/>
      <c r="CP62" s="305"/>
      <c r="CQ62" s="305"/>
      <c r="CR62" s="305"/>
      <c r="CS62" s="305"/>
      <c r="CT62" s="311"/>
    </row>
    <row r="63" spans="2:98" ht="18" customHeight="1">
      <c r="B63" s="302"/>
      <c r="C63" s="303"/>
      <c r="D63" s="310"/>
      <c r="E63" s="305"/>
      <c r="F63" s="305"/>
      <c r="G63" s="305"/>
      <c r="H63" s="305"/>
      <c r="I63" s="311"/>
      <c r="J63" s="312"/>
      <c r="K63" s="305"/>
      <c r="L63" s="305"/>
      <c r="M63" s="305"/>
      <c r="N63" s="305"/>
      <c r="O63" s="305"/>
      <c r="P63" s="305"/>
      <c r="Q63" s="305"/>
      <c r="R63" s="305"/>
      <c r="S63" s="305"/>
      <c r="T63" s="305"/>
      <c r="U63" s="305"/>
      <c r="V63" s="305"/>
      <c r="W63" s="305"/>
      <c r="X63" s="305"/>
      <c r="Y63" s="305"/>
      <c r="Z63" s="305"/>
      <c r="AA63" s="305"/>
      <c r="AB63" s="305"/>
      <c r="AC63" s="305"/>
      <c r="AD63" s="305"/>
      <c r="AE63" s="305"/>
      <c r="AF63" s="316"/>
      <c r="AG63" s="305"/>
      <c r="AH63" s="305"/>
      <c r="AI63" s="305"/>
      <c r="AJ63" s="305"/>
      <c r="AK63" s="313"/>
      <c r="AL63" s="306"/>
      <c r="AM63" s="307"/>
      <c r="AN63" s="305"/>
      <c r="AO63" s="305"/>
      <c r="AP63" s="307"/>
      <c r="AQ63" s="305"/>
      <c r="AR63" s="305"/>
      <c r="AS63" s="305"/>
      <c r="AT63" s="307"/>
      <c r="AU63" s="305"/>
      <c r="AV63" s="305"/>
      <c r="AW63" s="307"/>
      <c r="AX63" s="305"/>
      <c r="AY63" s="305"/>
      <c r="AZ63" s="305"/>
      <c r="BA63" s="307"/>
      <c r="BB63" s="305"/>
      <c r="BC63" s="305"/>
      <c r="BD63" s="307"/>
      <c r="BE63" s="305"/>
      <c r="BF63" s="305"/>
      <c r="BG63" s="305"/>
      <c r="BH63" s="307"/>
      <c r="BI63" s="305"/>
      <c r="BJ63" s="305"/>
      <c r="BK63" s="307"/>
      <c r="BL63" s="305"/>
      <c r="BM63" s="305"/>
      <c r="BN63" s="305"/>
      <c r="BO63" s="307"/>
      <c r="BP63" s="311"/>
      <c r="BQ63" s="306"/>
      <c r="BR63" s="344"/>
      <c r="BS63" s="305"/>
      <c r="BT63" s="305"/>
      <c r="BU63" s="305"/>
      <c r="BV63" s="305"/>
      <c r="BW63" s="305"/>
      <c r="BX63" s="305"/>
      <c r="BY63" s="305"/>
      <c r="BZ63" s="305"/>
      <c r="CA63" s="305"/>
      <c r="CB63" s="305"/>
      <c r="CC63" s="305"/>
      <c r="CD63" s="305"/>
      <c r="CE63" s="305"/>
      <c r="CF63" s="305"/>
      <c r="CG63" s="305"/>
      <c r="CH63" s="305"/>
      <c r="CI63" s="305"/>
      <c r="CJ63" s="305"/>
      <c r="CK63" s="305"/>
      <c r="CL63" s="305"/>
      <c r="CM63" s="305"/>
      <c r="CN63" s="305"/>
      <c r="CO63" s="305"/>
      <c r="CP63" s="305"/>
      <c r="CQ63" s="305"/>
      <c r="CR63" s="305"/>
      <c r="CS63" s="305"/>
      <c r="CT63" s="311"/>
    </row>
    <row r="64" spans="2:98" ht="18" customHeight="1">
      <c r="B64" s="302"/>
      <c r="C64" s="303"/>
      <c r="D64" s="310"/>
      <c r="E64" s="305"/>
      <c r="F64" s="305"/>
      <c r="G64" s="305"/>
      <c r="H64" s="305"/>
      <c r="I64" s="311"/>
      <c r="J64" s="312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05"/>
      <c r="X64" s="305"/>
      <c r="Y64" s="305"/>
      <c r="Z64" s="305"/>
      <c r="AA64" s="305"/>
      <c r="AB64" s="305"/>
      <c r="AC64" s="305"/>
      <c r="AD64" s="305"/>
      <c r="AE64" s="305"/>
      <c r="AF64" s="305"/>
      <c r="AG64" s="305"/>
      <c r="AH64" s="305"/>
      <c r="AI64" s="305"/>
      <c r="AJ64" s="305"/>
      <c r="AK64" s="313"/>
      <c r="AL64" s="306"/>
      <c r="AM64" s="305"/>
      <c r="AN64" s="305"/>
      <c r="AO64" s="305"/>
      <c r="AP64" s="305"/>
      <c r="AQ64" s="305"/>
      <c r="AR64" s="305"/>
      <c r="AS64" s="305"/>
      <c r="AT64" s="305"/>
      <c r="AU64" s="305"/>
      <c r="AV64" s="305"/>
      <c r="AW64" s="305"/>
      <c r="AX64" s="305"/>
      <c r="AY64" s="305"/>
      <c r="AZ64" s="305"/>
      <c r="BA64" s="305"/>
      <c r="BB64" s="305"/>
      <c r="BC64" s="305"/>
      <c r="BD64" s="305"/>
      <c r="BE64" s="305"/>
      <c r="BF64" s="305"/>
      <c r="BG64" s="305"/>
      <c r="BH64" s="305"/>
      <c r="BI64" s="305"/>
      <c r="BJ64" s="305"/>
      <c r="BK64" s="305"/>
      <c r="BL64" s="305"/>
      <c r="BM64" s="305"/>
      <c r="BN64" s="305"/>
      <c r="BO64" s="305"/>
      <c r="BP64" s="311"/>
      <c r="BQ64" s="306"/>
      <c r="BR64" s="344"/>
      <c r="BS64" s="305"/>
      <c r="BT64" s="305"/>
      <c r="BU64" s="305"/>
      <c r="BV64" s="305"/>
      <c r="BW64" s="305"/>
      <c r="BX64" s="305"/>
      <c r="BY64" s="305"/>
      <c r="BZ64" s="305"/>
      <c r="CA64" s="305"/>
      <c r="CB64" s="305"/>
      <c r="CC64" s="305"/>
      <c r="CD64" s="305"/>
      <c r="CE64" s="305"/>
      <c r="CF64" s="305"/>
      <c r="CG64" s="305"/>
      <c r="CH64" s="305"/>
      <c r="CI64" s="305"/>
      <c r="CJ64" s="305"/>
      <c r="CK64" s="305"/>
      <c r="CL64" s="305"/>
      <c r="CM64" s="305"/>
      <c r="CN64" s="305"/>
      <c r="CO64" s="305"/>
      <c r="CP64" s="305"/>
      <c r="CQ64" s="305"/>
      <c r="CR64" s="305"/>
      <c r="CS64" s="305"/>
      <c r="CT64" s="311"/>
    </row>
    <row r="65" spans="2:98" ht="18" customHeight="1">
      <c r="B65" s="302"/>
      <c r="C65" s="303"/>
      <c r="D65" s="310"/>
      <c r="E65" s="305"/>
      <c r="F65" s="305"/>
      <c r="G65" s="305"/>
      <c r="H65" s="305"/>
      <c r="I65" s="311"/>
      <c r="J65" s="312"/>
      <c r="K65" s="305"/>
      <c r="L65" s="305"/>
      <c r="M65" s="305"/>
      <c r="N65" s="305"/>
      <c r="O65" s="305"/>
      <c r="P65" s="305"/>
      <c r="Q65" s="305"/>
      <c r="R65" s="305"/>
      <c r="S65" s="305"/>
      <c r="T65" s="305"/>
      <c r="U65" s="305"/>
      <c r="V65" s="305"/>
      <c r="W65" s="305"/>
      <c r="X65" s="305"/>
      <c r="Y65" s="305"/>
      <c r="Z65" s="305"/>
      <c r="AA65" s="305"/>
      <c r="AB65" s="305"/>
      <c r="AC65" s="305"/>
      <c r="AD65" s="305"/>
      <c r="AE65" s="305"/>
      <c r="AF65" s="305"/>
      <c r="AG65" s="305"/>
      <c r="AH65" s="305"/>
      <c r="AI65" s="305"/>
      <c r="AJ65" s="305"/>
      <c r="AK65" s="313"/>
      <c r="AL65" s="306"/>
      <c r="AM65" s="305"/>
      <c r="AN65" s="305"/>
      <c r="AO65" s="305"/>
      <c r="AP65" s="305"/>
      <c r="AQ65" s="305"/>
      <c r="AR65" s="305"/>
      <c r="AS65" s="305"/>
      <c r="AT65" s="307"/>
      <c r="AU65" s="305"/>
      <c r="AV65" s="305"/>
      <c r="AW65" s="307"/>
      <c r="AX65" s="305"/>
      <c r="AY65" s="305"/>
      <c r="AZ65" s="305"/>
      <c r="BA65" s="307"/>
      <c r="BB65" s="305"/>
      <c r="BC65" s="305"/>
      <c r="BD65" s="307"/>
      <c r="BE65" s="305"/>
      <c r="BF65" s="305"/>
      <c r="BG65" s="305"/>
      <c r="BH65" s="307"/>
      <c r="BI65" s="305"/>
      <c r="BJ65" s="305"/>
      <c r="BK65" s="307"/>
      <c r="BL65" s="305"/>
      <c r="BM65" s="305"/>
      <c r="BN65" s="305"/>
      <c r="BO65" s="344"/>
      <c r="BP65" s="311"/>
      <c r="BQ65" s="306"/>
      <c r="BR65" s="305"/>
      <c r="BS65" s="305"/>
      <c r="BT65" s="305"/>
      <c r="BU65" s="305"/>
      <c r="BV65" s="305"/>
      <c r="BW65" s="305"/>
      <c r="BX65" s="305"/>
      <c r="BY65" s="305"/>
      <c r="BZ65" s="305"/>
      <c r="CA65" s="305"/>
      <c r="CB65" s="305"/>
      <c r="CC65" s="305"/>
      <c r="CD65" s="305"/>
      <c r="CE65" s="305"/>
      <c r="CF65" s="305"/>
      <c r="CG65" s="305"/>
      <c r="CH65" s="305"/>
      <c r="CI65" s="305"/>
      <c r="CJ65" s="305"/>
      <c r="CK65" s="305"/>
      <c r="CL65" s="305"/>
      <c r="CM65" s="305"/>
      <c r="CN65" s="305"/>
      <c r="CO65" s="305"/>
      <c r="CP65" s="305"/>
      <c r="CQ65" s="305"/>
      <c r="CR65" s="305"/>
      <c r="CS65" s="305"/>
      <c r="CT65" s="311"/>
    </row>
    <row r="66" spans="2:98" ht="18" customHeight="1">
      <c r="B66" s="302"/>
      <c r="C66" s="303"/>
      <c r="D66" s="304"/>
      <c r="E66" s="305"/>
      <c r="F66" s="305"/>
      <c r="G66" s="305"/>
      <c r="H66" s="305"/>
      <c r="I66" s="311"/>
      <c r="J66" s="312"/>
      <c r="K66" s="305"/>
      <c r="L66" s="305"/>
      <c r="M66" s="305"/>
      <c r="N66" s="305"/>
      <c r="O66" s="305"/>
      <c r="P66" s="305"/>
      <c r="Q66" s="305"/>
      <c r="R66" s="305"/>
      <c r="S66" s="305"/>
      <c r="T66" s="305"/>
      <c r="U66" s="305"/>
      <c r="V66" s="305"/>
      <c r="W66" s="305"/>
      <c r="X66" s="305"/>
      <c r="Y66" s="305"/>
      <c r="Z66" s="305"/>
      <c r="AA66" s="305"/>
      <c r="AB66" s="305"/>
      <c r="AC66" s="305"/>
      <c r="AD66" s="305"/>
      <c r="AE66" s="305"/>
      <c r="AF66" s="305"/>
      <c r="AG66" s="305"/>
      <c r="AH66" s="305"/>
      <c r="AI66" s="305"/>
      <c r="AJ66" s="305"/>
      <c r="AK66" s="313"/>
      <c r="AL66" s="306"/>
      <c r="AM66" s="305"/>
      <c r="AN66" s="305"/>
      <c r="AO66" s="305"/>
      <c r="AP66" s="305"/>
      <c r="AQ66" s="305"/>
      <c r="AR66" s="305"/>
      <c r="AS66" s="305"/>
      <c r="AT66" s="305"/>
      <c r="AU66" s="305"/>
      <c r="AV66" s="305"/>
      <c r="AW66" s="305"/>
      <c r="AX66" s="305"/>
      <c r="AY66" s="305"/>
      <c r="AZ66" s="305"/>
      <c r="BA66" s="305"/>
      <c r="BB66" s="305"/>
      <c r="BC66" s="305"/>
      <c r="BD66" s="305"/>
      <c r="BE66" s="305"/>
      <c r="BF66" s="305"/>
      <c r="BG66" s="305"/>
      <c r="BH66" s="305"/>
      <c r="BI66" s="305"/>
      <c r="BJ66" s="305"/>
      <c r="BK66" s="307"/>
      <c r="BL66" s="305"/>
      <c r="BM66" s="305"/>
      <c r="BN66" s="305"/>
      <c r="BO66" s="307"/>
      <c r="BP66" s="311"/>
      <c r="BQ66" s="306"/>
      <c r="BR66" s="307"/>
      <c r="BS66" s="305"/>
      <c r="BT66" s="305"/>
      <c r="BU66" s="305"/>
      <c r="BV66" s="307"/>
      <c r="BW66" s="305"/>
      <c r="BX66" s="305"/>
      <c r="BY66" s="305"/>
      <c r="BZ66" s="305"/>
      <c r="CA66" s="305"/>
      <c r="CB66" s="305"/>
      <c r="CC66" s="305"/>
      <c r="CD66" s="305"/>
      <c r="CE66" s="305"/>
      <c r="CF66" s="305"/>
      <c r="CG66" s="305"/>
      <c r="CH66" s="305"/>
      <c r="CI66" s="305"/>
      <c r="CJ66" s="305"/>
      <c r="CK66" s="305"/>
      <c r="CL66" s="305"/>
      <c r="CM66" s="305"/>
      <c r="CN66" s="305"/>
      <c r="CO66" s="305"/>
      <c r="CP66" s="305"/>
      <c r="CQ66" s="305"/>
      <c r="CR66" s="305"/>
      <c r="CS66" s="305"/>
      <c r="CT66" s="311"/>
    </row>
    <row r="67" spans="2:98" ht="18" customHeight="1">
      <c r="B67" s="289"/>
      <c r="C67" s="290"/>
      <c r="D67" s="308"/>
      <c r="E67" s="293"/>
      <c r="F67" s="293"/>
      <c r="G67" s="293"/>
      <c r="H67" s="293"/>
      <c r="I67" s="294"/>
      <c r="J67" s="295"/>
      <c r="K67" s="293"/>
      <c r="L67" s="293"/>
      <c r="M67" s="293"/>
      <c r="N67" s="293"/>
      <c r="O67" s="293"/>
      <c r="P67" s="293"/>
      <c r="Q67" s="293"/>
      <c r="R67" s="293"/>
      <c r="S67" s="293"/>
      <c r="T67" s="293"/>
      <c r="U67" s="293"/>
      <c r="V67" s="293"/>
      <c r="W67" s="293"/>
      <c r="X67" s="293"/>
      <c r="Y67" s="293"/>
      <c r="Z67" s="293"/>
      <c r="AA67" s="293"/>
      <c r="AB67" s="293"/>
      <c r="AC67" s="293"/>
      <c r="AD67" s="293"/>
      <c r="AE67" s="293"/>
      <c r="AF67" s="293"/>
      <c r="AG67" s="293"/>
      <c r="AH67" s="293"/>
      <c r="AI67" s="293"/>
      <c r="AJ67" s="293"/>
      <c r="AK67" s="296"/>
      <c r="AL67" s="292"/>
      <c r="AM67" s="293"/>
      <c r="AN67" s="293"/>
      <c r="AO67" s="293"/>
      <c r="AP67" s="293"/>
      <c r="AQ67" s="293"/>
      <c r="AR67" s="293"/>
      <c r="AS67" s="293"/>
      <c r="AT67" s="293"/>
      <c r="AU67" s="293"/>
      <c r="AV67" s="293"/>
      <c r="AW67" s="293"/>
      <c r="AX67" s="293"/>
      <c r="AY67" s="293"/>
      <c r="AZ67" s="293"/>
      <c r="BA67" s="293"/>
      <c r="BB67" s="293"/>
      <c r="BC67" s="293"/>
      <c r="BD67" s="293"/>
      <c r="BE67" s="293"/>
      <c r="BF67" s="293"/>
      <c r="BG67" s="293"/>
      <c r="BH67" s="293"/>
      <c r="BI67" s="293"/>
      <c r="BJ67" s="293"/>
      <c r="BK67" s="293"/>
      <c r="BL67" s="293"/>
      <c r="BM67" s="293"/>
      <c r="BN67" s="293"/>
      <c r="BO67" s="293"/>
      <c r="BP67" s="294"/>
      <c r="BQ67" s="292"/>
      <c r="BR67" s="297"/>
      <c r="BS67" s="293"/>
      <c r="BT67" s="293"/>
      <c r="BU67" s="293"/>
      <c r="BV67" s="297"/>
      <c r="BW67" s="293"/>
      <c r="BX67" s="293"/>
      <c r="BY67" s="293"/>
      <c r="BZ67" s="293"/>
      <c r="CA67" s="293"/>
      <c r="CB67" s="293"/>
      <c r="CC67" s="293"/>
      <c r="CD67" s="293"/>
      <c r="CE67" s="293"/>
      <c r="CF67" s="293"/>
      <c r="CG67" s="293"/>
      <c r="CH67" s="293"/>
      <c r="CI67" s="293"/>
      <c r="CJ67" s="293"/>
      <c r="CK67" s="293"/>
      <c r="CL67" s="293"/>
      <c r="CM67" s="293"/>
      <c r="CN67" s="293"/>
      <c r="CO67" s="293"/>
      <c r="CP67" s="293"/>
      <c r="CQ67" s="293"/>
      <c r="CR67" s="293"/>
      <c r="CS67" s="293"/>
      <c r="CT67" s="294"/>
    </row>
    <row r="68" spans="2:98" ht="18" customHeight="1">
      <c r="B68" s="363"/>
      <c r="C68" s="364"/>
      <c r="D68" s="365"/>
      <c r="E68" s="309"/>
      <c r="F68" s="309"/>
      <c r="G68" s="309"/>
      <c r="H68" s="309"/>
      <c r="I68" s="339"/>
      <c r="J68" s="340"/>
      <c r="K68" s="309"/>
      <c r="L68" s="309"/>
      <c r="M68" s="309"/>
      <c r="N68" s="309"/>
      <c r="O68" s="309"/>
      <c r="P68" s="309"/>
      <c r="Q68" s="309"/>
      <c r="R68" s="309"/>
      <c r="S68" s="309"/>
      <c r="T68" s="309"/>
      <c r="U68" s="309"/>
      <c r="V68" s="309"/>
      <c r="W68" s="309"/>
      <c r="X68" s="309"/>
      <c r="Y68" s="309"/>
      <c r="Z68" s="309"/>
      <c r="AA68" s="309"/>
      <c r="AB68" s="309"/>
      <c r="AC68" s="309"/>
      <c r="AD68" s="309"/>
      <c r="AE68" s="309"/>
      <c r="AF68" s="309"/>
      <c r="AG68" s="309"/>
      <c r="AH68" s="309"/>
      <c r="AI68" s="309"/>
      <c r="AJ68" s="309"/>
      <c r="AK68" s="341"/>
      <c r="AL68" s="288"/>
      <c r="AM68" s="309"/>
      <c r="AN68" s="309"/>
      <c r="AO68" s="309"/>
      <c r="AP68" s="309"/>
      <c r="AQ68" s="309"/>
      <c r="AR68" s="309"/>
      <c r="AS68" s="309"/>
      <c r="AT68" s="309"/>
      <c r="AU68" s="309"/>
      <c r="AV68" s="309"/>
      <c r="AW68" s="309"/>
      <c r="AX68" s="309"/>
      <c r="AY68" s="309"/>
      <c r="AZ68" s="309"/>
      <c r="BA68" s="309"/>
      <c r="BB68" s="309"/>
      <c r="BC68" s="309"/>
      <c r="BD68" s="309"/>
      <c r="BE68" s="309"/>
      <c r="BF68" s="309"/>
      <c r="BG68" s="309"/>
      <c r="BH68" s="309"/>
      <c r="BI68" s="309"/>
      <c r="BJ68" s="309"/>
      <c r="BK68" s="309"/>
      <c r="BL68" s="309"/>
      <c r="BM68" s="309"/>
      <c r="BN68" s="309"/>
      <c r="BO68" s="309"/>
      <c r="BP68" s="339"/>
      <c r="BQ68" s="288"/>
      <c r="BR68" s="309"/>
      <c r="BS68" s="309"/>
      <c r="BT68" s="309"/>
      <c r="BU68" s="309"/>
      <c r="BV68" s="309"/>
      <c r="BW68" s="309"/>
      <c r="BX68" s="309"/>
      <c r="BY68" s="309"/>
      <c r="BZ68" s="309"/>
      <c r="CA68" s="309"/>
      <c r="CB68" s="309"/>
      <c r="CC68" s="309"/>
      <c r="CD68" s="309"/>
      <c r="CE68" s="309"/>
      <c r="CF68" s="309"/>
      <c r="CG68" s="309"/>
      <c r="CH68" s="309"/>
      <c r="CI68" s="309"/>
      <c r="CJ68" s="309"/>
      <c r="CK68" s="309"/>
      <c r="CL68" s="309"/>
      <c r="CM68" s="309"/>
      <c r="CN68" s="309"/>
      <c r="CO68" s="309"/>
      <c r="CP68" s="309"/>
      <c r="CQ68" s="309"/>
      <c r="CR68" s="309"/>
      <c r="CS68" s="309"/>
      <c r="CT68" s="339"/>
    </row>
    <row r="69" spans="2:98" ht="18" customHeight="1">
      <c r="B69" s="302"/>
      <c r="C69" s="303"/>
      <c r="D69" s="310"/>
      <c r="E69" s="305"/>
      <c r="F69" s="305"/>
      <c r="G69" s="305"/>
      <c r="H69" s="305"/>
      <c r="I69" s="311"/>
      <c r="J69" s="312"/>
      <c r="K69" s="305"/>
      <c r="L69" s="305"/>
      <c r="M69" s="305"/>
      <c r="N69" s="305"/>
      <c r="O69" s="305"/>
      <c r="P69" s="305"/>
      <c r="Q69" s="305"/>
      <c r="R69" s="305"/>
      <c r="S69" s="305"/>
      <c r="T69" s="305"/>
      <c r="U69" s="305"/>
      <c r="V69" s="305"/>
      <c r="W69" s="305"/>
      <c r="X69" s="305"/>
      <c r="Y69" s="305"/>
      <c r="Z69" s="305"/>
      <c r="AA69" s="305"/>
      <c r="AB69" s="305"/>
      <c r="AC69" s="305"/>
      <c r="AD69" s="305"/>
      <c r="AE69" s="305"/>
      <c r="AF69" s="305"/>
      <c r="AG69" s="305"/>
      <c r="AH69" s="305"/>
      <c r="AI69" s="305"/>
      <c r="AJ69" s="305"/>
      <c r="AK69" s="313"/>
      <c r="AL69" s="306"/>
      <c r="AM69" s="305"/>
      <c r="AN69" s="305"/>
      <c r="AO69" s="305"/>
      <c r="AP69" s="305"/>
      <c r="AQ69" s="305"/>
      <c r="AR69" s="305"/>
      <c r="AS69" s="305"/>
      <c r="AT69" s="305"/>
      <c r="AU69" s="305"/>
      <c r="AV69" s="305"/>
      <c r="AW69" s="305"/>
      <c r="AX69" s="305"/>
      <c r="AY69" s="305"/>
      <c r="AZ69" s="305"/>
      <c r="BA69" s="305"/>
      <c r="BB69" s="305"/>
      <c r="BC69" s="305"/>
      <c r="BD69" s="305"/>
      <c r="BE69" s="305"/>
      <c r="BF69" s="305"/>
      <c r="BG69" s="305"/>
      <c r="BH69" s="305"/>
      <c r="BI69" s="305"/>
      <c r="BJ69" s="305"/>
      <c r="BK69" s="305"/>
      <c r="BL69" s="305"/>
      <c r="BM69" s="305"/>
      <c r="BN69" s="305"/>
      <c r="BO69" s="305"/>
      <c r="BP69" s="311"/>
      <c r="BQ69" s="306"/>
      <c r="BR69" s="305"/>
      <c r="BS69" s="305"/>
      <c r="BT69" s="305"/>
      <c r="BU69" s="305"/>
      <c r="BV69" s="305"/>
      <c r="BW69" s="305"/>
      <c r="BX69" s="305"/>
      <c r="BY69" s="305"/>
      <c r="BZ69" s="305"/>
      <c r="CA69" s="305"/>
      <c r="CB69" s="305"/>
      <c r="CC69" s="305"/>
      <c r="CD69" s="305"/>
      <c r="CE69" s="305"/>
      <c r="CF69" s="305"/>
      <c r="CG69" s="305"/>
      <c r="CH69" s="305"/>
      <c r="CI69" s="305"/>
      <c r="CJ69" s="305"/>
      <c r="CK69" s="305"/>
      <c r="CL69" s="305"/>
      <c r="CM69" s="305"/>
      <c r="CN69" s="305"/>
      <c r="CO69" s="305"/>
      <c r="CP69" s="305"/>
      <c r="CQ69" s="305"/>
      <c r="CR69" s="305"/>
      <c r="CS69" s="305"/>
      <c r="CT69" s="311"/>
    </row>
    <row r="70" spans="2:98" ht="18" customHeight="1">
      <c r="B70" s="352"/>
      <c r="C70" s="353"/>
      <c r="D70" s="362"/>
      <c r="E70" s="298"/>
      <c r="F70" s="298"/>
      <c r="G70" s="298"/>
      <c r="H70" s="298"/>
      <c r="I70" s="336"/>
      <c r="J70" s="337"/>
      <c r="K70" s="298"/>
      <c r="L70" s="298"/>
      <c r="M70" s="298"/>
      <c r="N70" s="298"/>
      <c r="O70" s="298"/>
      <c r="P70" s="298"/>
      <c r="Q70" s="298"/>
      <c r="R70" s="298"/>
      <c r="S70" s="298"/>
      <c r="T70" s="298"/>
      <c r="U70" s="298"/>
      <c r="V70" s="298"/>
      <c r="W70" s="298"/>
      <c r="X70" s="298"/>
      <c r="Y70" s="298"/>
      <c r="Z70" s="298"/>
      <c r="AA70" s="298"/>
      <c r="AB70" s="298"/>
      <c r="AC70" s="298"/>
      <c r="AD70" s="298"/>
      <c r="AE70" s="298"/>
      <c r="AF70" s="298"/>
      <c r="AG70" s="298"/>
      <c r="AH70" s="298"/>
      <c r="AI70" s="298"/>
      <c r="AJ70" s="298"/>
      <c r="AK70" s="338"/>
      <c r="AL70" s="287"/>
      <c r="AM70" s="298"/>
      <c r="AN70" s="298"/>
      <c r="AO70" s="298"/>
      <c r="AP70" s="298"/>
      <c r="AQ70" s="298"/>
      <c r="AR70" s="298"/>
      <c r="AS70" s="298"/>
      <c r="AT70" s="298"/>
      <c r="AU70" s="298"/>
      <c r="AV70" s="298"/>
      <c r="AW70" s="298"/>
      <c r="AX70" s="298"/>
      <c r="AY70" s="298"/>
      <c r="AZ70" s="298"/>
      <c r="BA70" s="298"/>
      <c r="BB70" s="298"/>
      <c r="BC70" s="298"/>
      <c r="BD70" s="298"/>
      <c r="BE70" s="298"/>
      <c r="BF70" s="298"/>
      <c r="BG70" s="298"/>
      <c r="BH70" s="298"/>
      <c r="BI70" s="298"/>
      <c r="BJ70" s="298"/>
      <c r="BK70" s="298"/>
      <c r="BL70" s="298"/>
      <c r="BM70" s="298"/>
      <c r="BN70" s="298"/>
      <c r="BO70" s="298"/>
      <c r="BP70" s="336"/>
      <c r="BQ70" s="287"/>
      <c r="BR70" s="298"/>
      <c r="BS70" s="298"/>
      <c r="BT70" s="298"/>
      <c r="BU70" s="298"/>
      <c r="BV70" s="298"/>
      <c r="BW70" s="298"/>
      <c r="BX70" s="298"/>
      <c r="BY70" s="298"/>
      <c r="BZ70" s="298"/>
      <c r="CA70" s="298"/>
      <c r="CB70" s="298"/>
      <c r="CC70" s="298"/>
      <c r="CD70" s="298"/>
      <c r="CE70" s="298"/>
      <c r="CF70" s="298"/>
      <c r="CG70" s="298"/>
      <c r="CH70" s="298"/>
      <c r="CI70" s="298"/>
      <c r="CJ70" s="298"/>
      <c r="CK70" s="298"/>
      <c r="CL70" s="298"/>
      <c r="CM70" s="298"/>
      <c r="CN70" s="298"/>
      <c r="CO70" s="298"/>
      <c r="CP70" s="298"/>
      <c r="CQ70" s="298"/>
      <c r="CR70" s="298"/>
      <c r="CS70" s="298"/>
      <c r="CT70" s="336"/>
    </row>
    <row r="71" spans="2:98" ht="18" customHeight="1">
      <c r="B71" s="289"/>
      <c r="C71" s="290"/>
      <c r="D71" s="369"/>
      <c r="E71" s="293"/>
      <c r="F71" s="293"/>
      <c r="G71" s="293"/>
      <c r="H71" s="293"/>
      <c r="I71" s="294"/>
      <c r="J71" s="295"/>
      <c r="K71" s="293"/>
      <c r="L71" s="293"/>
      <c r="M71" s="293"/>
      <c r="N71" s="293"/>
      <c r="O71" s="293"/>
      <c r="P71" s="293"/>
      <c r="Q71" s="293"/>
      <c r="R71" s="293"/>
      <c r="S71" s="293"/>
      <c r="T71" s="293"/>
      <c r="U71" s="293"/>
      <c r="V71" s="293"/>
      <c r="W71" s="293"/>
      <c r="X71" s="293"/>
      <c r="Y71" s="293"/>
      <c r="Z71" s="293"/>
      <c r="AA71" s="293"/>
      <c r="AB71" s="293"/>
      <c r="AC71" s="293"/>
      <c r="AD71" s="293"/>
      <c r="AE71" s="293"/>
      <c r="AF71" s="293"/>
      <c r="AG71" s="293"/>
      <c r="AH71" s="293"/>
      <c r="AI71" s="293"/>
      <c r="AJ71" s="293"/>
      <c r="AK71" s="296"/>
      <c r="AL71" s="292"/>
      <c r="AM71" s="293"/>
      <c r="AN71" s="293"/>
      <c r="AO71" s="293"/>
      <c r="AP71" s="293"/>
      <c r="AQ71" s="293"/>
      <c r="AR71" s="293"/>
      <c r="AS71" s="293"/>
      <c r="AT71" s="293"/>
      <c r="AU71" s="293"/>
      <c r="AV71" s="293"/>
      <c r="AW71" s="293"/>
      <c r="AX71" s="293"/>
      <c r="AY71" s="293"/>
      <c r="AZ71" s="293"/>
      <c r="BA71" s="293"/>
      <c r="BB71" s="293"/>
      <c r="BC71" s="293"/>
      <c r="BD71" s="293"/>
      <c r="BE71" s="293"/>
      <c r="BF71" s="293"/>
      <c r="BG71" s="293"/>
      <c r="BH71" s="293"/>
      <c r="BI71" s="293"/>
      <c r="BJ71" s="293"/>
      <c r="BK71" s="293"/>
      <c r="BL71" s="293"/>
      <c r="BM71" s="293"/>
      <c r="BN71" s="293"/>
      <c r="BO71" s="293"/>
      <c r="BP71" s="294"/>
      <c r="BQ71" s="292"/>
      <c r="BR71" s="293"/>
      <c r="BS71" s="293"/>
      <c r="BT71" s="293"/>
      <c r="BU71" s="293"/>
      <c r="BV71" s="293"/>
      <c r="BW71" s="293"/>
      <c r="BX71" s="293"/>
      <c r="BY71" s="293"/>
      <c r="BZ71" s="293"/>
      <c r="CA71" s="293"/>
      <c r="CB71" s="293"/>
      <c r="CC71" s="293"/>
      <c r="CD71" s="293"/>
      <c r="CE71" s="293"/>
      <c r="CF71" s="293"/>
      <c r="CG71" s="293"/>
      <c r="CH71" s="293"/>
      <c r="CI71" s="293"/>
      <c r="CJ71" s="293"/>
      <c r="CK71" s="293"/>
      <c r="CL71" s="293"/>
      <c r="CM71" s="293"/>
      <c r="CN71" s="293"/>
      <c r="CO71" s="293"/>
      <c r="CP71" s="293"/>
      <c r="CQ71" s="293"/>
      <c r="CR71" s="293"/>
      <c r="CS71" s="293"/>
      <c r="CT71" s="294"/>
    </row>
    <row r="75" spans="2:98">
      <c r="B75" s="319" t="s">
        <v>321</v>
      </c>
      <c r="C75" s="320"/>
    </row>
    <row r="77" spans="2:98">
      <c r="B77" s="319"/>
      <c r="C77" s="320"/>
    </row>
  </sheetData>
  <mergeCells count="4">
    <mergeCell ref="E10:I10"/>
    <mergeCell ref="J10:AK10"/>
    <mergeCell ref="AL10:BP10"/>
    <mergeCell ref="BQ10:CT10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V500"/>
  <sheetViews>
    <sheetView topLeftCell="A7" zoomScale="70" zoomScaleNormal="70" workbookViewId="0">
      <selection activeCell="J26" sqref="J26"/>
    </sheetView>
  </sheetViews>
  <sheetFormatPr defaultRowHeight="15"/>
  <cols>
    <col min="4" max="4" width="12.85546875" bestFit="1" customWidth="1"/>
    <col min="5" max="5" width="22" bestFit="1" customWidth="1"/>
    <col min="6" max="6" width="12.85546875" style="29" bestFit="1" customWidth="1"/>
    <col min="8" max="8" width="12.85546875" style="29" bestFit="1" customWidth="1"/>
    <col min="10" max="10" width="23.28515625" customWidth="1"/>
    <col min="11" max="11" width="15.85546875" style="29" bestFit="1" customWidth="1"/>
    <col min="17" max="17" width="12.85546875" style="29" bestFit="1" customWidth="1"/>
    <col min="18" max="18" width="47" style="29" customWidth="1"/>
  </cols>
  <sheetData>
    <row r="1" spans="2:22">
      <c r="D1" s="17"/>
      <c r="V1" s="17"/>
    </row>
    <row r="2" spans="2:22">
      <c r="D2" s="17"/>
      <c r="V2" s="17"/>
    </row>
    <row r="3" spans="2:22">
      <c r="D3" s="17"/>
      <c r="V3" s="17"/>
    </row>
    <row r="4" spans="2:22">
      <c r="D4" s="17"/>
      <c r="V4" s="17"/>
    </row>
    <row r="5" spans="2:22">
      <c r="D5" s="17"/>
      <c r="V5" s="17"/>
    </row>
    <row r="6" spans="2:22">
      <c r="D6" s="17"/>
      <c r="V6" s="17"/>
    </row>
    <row r="7" spans="2:22">
      <c r="D7" s="17"/>
      <c r="V7" s="17"/>
    </row>
    <row r="8" spans="2:22">
      <c r="B8" s="321"/>
      <c r="D8" s="17"/>
      <c r="V8" s="17"/>
    </row>
    <row r="9" spans="2:22">
      <c r="D9" s="17"/>
      <c r="V9" s="17"/>
    </row>
    <row r="10" spans="2:22">
      <c r="D10" s="17"/>
      <c r="V10" s="17"/>
    </row>
    <row r="11" spans="2:22">
      <c r="D11" s="17"/>
      <c r="V11" s="17"/>
    </row>
    <row r="12" spans="2:22">
      <c r="D12" s="17"/>
      <c r="V12" s="17"/>
    </row>
    <row r="13" spans="2:22">
      <c r="D13" s="17"/>
      <c r="E13" s="321"/>
      <c r="V13" s="17"/>
    </row>
    <row r="14" spans="2:22">
      <c r="D14" s="17"/>
      <c r="E14" s="321"/>
      <c r="V14" s="17"/>
    </row>
    <row r="15" spans="2:22">
      <c r="D15" s="17"/>
      <c r="E15" s="321"/>
      <c r="V15" s="17"/>
    </row>
    <row r="16" spans="2:22">
      <c r="D16" s="17"/>
      <c r="E16" s="321"/>
      <c r="V16" s="17"/>
    </row>
    <row r="17" spans="2:22">
      <c r="D17" s="17"/>
      <c r="E17" s="321"/>
      <c r="V17" s="17"/>
    </row>
    <row r="18" spans="2:22">
      <c r="D18" s="17"/>
      <c r="E18" s="321"/>
      <c r="V18" s="17"/>
    </row>
    <row r="19" spans="2:22">
      <c r="D19" s="17"/>
      <c r="E19" s="321"/>
      <c r="V19" s="17"/>
    </row>
    <row r="20" spans="2:22">
      <c r="D20" s="17"/>
      <c r="E20" s="321"/>
      <c r="V20" s="17"/>
    </row>
    <row r="21" spans="2:22">
      <c r="D21" s="17"/>
      <c r="E21" s="321"/>
      <c r="V21" s="17"/>
    </row>
    <row r="22" spans="2:22">
      <c r="B22" s="321"/>
      <c r="D22" s="17"/>
      <c r="E22" s="321"/>
      <c r="H22" s="127"/>
      <c r="V22" s="17"/>
    </row>
    <row r="23" spans="2:22">
      <c r="B23" s="321"/>
      <c r="D23" s="17"/>
      <c r="E23" s="321"/>
      <c r="H23" s="127"/>
      <c r="V23" s="17"/>
    </row>
    <row r="24" spans="2:22">
      <c r="B24" s="321"/>
      <c r="D24" s="17"/>
      <c r="E24" s="321"/>
      <c r="H24" s="127"/>
      <c r="V24" s="17"/>
    </row>
    <row r="25" spans="2:22">
      <c r="B25" s="321"/>
      <c r="D25" s="17"/>
      <c r="E25" s="321"/>
      <c r="H25" s="127"/>
      <c r="V25" s="17"/>
    </row>
    <row r="26" spans="2:22">
      <c r="B26" s="321"/>
      <c r="D26" s="17"/>
      <c r="E26" s="321"/>
      <c r="V26" s="17"/>
    </row>
    <row r="27" spans="2:22">
      <c r="B27" s="321"/>
      <c r="D27" s="17"/>
      <c r="E27" s="321"/>
      <c r="H27" s="127"/>
      <c r="V27" s="17"/>
    </row>
    <row r="28" spans="2:22">
      <c r="B28" s="321"/>
      <c r="D28" s="17"/>
      <c r="H28" s="127"/>
      <c r="V28" s="17"/>
    </row>
    <row r="29" spans="2:22">
      <c r="B29" s="321"/>
      <c r="D29" s="17"/>
      <c r="H29" s="127"/>
      <c r="V29" s="17"/>
    </row>
    <row r="30" spans="2:22">
      <c r="B30" s="321"/>
      <c r="D30" s="17"/>
      <c r="H30" s="127"/>
      <c r="V30" s="17"/>
    </row>
    <row r="31" spans="2:22">
      <c r="B31" s="321"/>
      <c r="D31" s="17"/>
      <c r="H31" s="127"/>
      <c r="V31" s="17"/>
    </row>
    <row r="32" spans="2:22">
      <c r="B32" s="321"/>
      <c r="D32" s="17"/>
      <c r="H32" s="127"/>
      <c r="V32" s="17"/>
    </row>
    <row r="33" spans="2:22">
      <c r="B33" s="321"/>
      <c r="D33" s="17"/>
      <c r="H33" s="127"/>
      <c r="V33" s="17"/>
    </row>
    <row r="34" spans="2:22">
      <c r="B34" s="321"/>
      <c r="D34" s="17"/>
      <c r="V34" s="17"/>
    </row>
    <row r="35" spans="2:22">
      <c r="B35" s="321"/>
      <c r="D35" s="17"/>
      <c r="V35" s="17"/>
    </row>
    <row r="36" spans="2:22">
      <c r="B36" s="321"/>
      <c r="D36" s="17"/>
      <c r="V36" s="17"/>
    </row>
    <row r="37" spans="2:22">
      <c r="B37" s="321"/>
      <c r="D37" s="17"/>
      <c r="V37" s="17"/>
    </row>
    <row r="38" spans="2:22">
      <c r="B38" s="321"/>
      <c r="D38" s="17"/>
      <c r="V38" s="17"/>
    </row>
    <row r="39" spans="2:22">
      <c r="B39" s="321"/>
      <c r="D39" s="17"/>
      <c r="V39" s="17"/>
    </row>
    <row r="40" spans="2:22">
      <c r="B40" s="321"/>
      <c r="D40" s="17"/>
      <c r="V40" s="17"/>
    </row>
    <row r="41" spans="2:22">
      <c r="B41" s="321"/>
      <c r="D41" s="17"/>
      <c r="V41" s="17"/>
    </row>
    <row r="42" spans="2:22">
      <c r="B42" s="321"/>
      <c r="D42" s="17"/>
      <c r="V42" s="17"/>
    </row>
    <row r="43" spans="2:22">
      <c r="B43" s="321"/>
      <c r="D43" s="17"/>
      <c r="V43" s="17"/>
    </row>
    <row r="44" spans="2:22">
      <c r="B44" s="321"/>
      <c r="D44" s="17"/>
      <c r="V44" s="17"/>
    </row>
    <row r="45" spans="2:22">
      <c r="B45" s="321"/>
      <c r="D45" s="17"/>
      <c r="V45" s="17"/>
    </row>
    <row r="46" spans="2:22">
      <c r="B46" s="321"/>
      <c r="D46" s="17"/>
      <c r="V46" s="17"/>
    </row>
    <row r="47" spans="2:22">
      <c r="B47" s="321"/>
      <c r="D47" s="17"/>
      <c r="V47" s="17"/>
    </row>
    <row r="48" spans="2:22">
      <c r="D48" s="17"/>
      <c r="V48" s="17"/>
    </row>
    <row r="49" spans="2:22">
      <c r="D49" s="17"/>
      <c r="V49" s="17"/>
    </row>
    <row r="50" spans="2:22">
      <c r="D50" s="17"/>
      <c r="V50" s="17"/>
    </row>
    <row r="51" spans="2:22">
      <c r="D51" s="17"/>
      <c r="V51" s="17"/>
    </row>
    <row r="52" spans="2:22">
      <c r="D52" s="17"/>
      <c r="V52" s="17"/>
    </row>
    <row r="53" spans="2:22">
      <c r="D53" s="17"/>
      <c r="V53" s="17"/>
    </row>
    <row r="54" spans="2:22">
      <c r="D54" s="17"/>
      <c r="V54" s="17"/>
    </row>
    <row r="55" spans="2:22">
      <c r="D55" s="17"/>
      <c r="V55" s="17"/>
    </row>
    <row r="56" spans="2:22">
      <c r="B56" s="321"/>
      <c r="D56" s="17"/>
      <c r="V56" s="17"/>
    </row>
    <row r="57" spans="2:22">
      <c r="D57" s="17"/>
      <c r="V57" s="17"/>
    </row>
    <row r="58" spans="2:22">
      <c r="D58" s="17"/>
      <c r="V58" s="17"/>
    </row>
    <row r="59" spans="2:22">
      <c r="D59" s="17"/>
      <c r="V59" s="17"/>
    </row>
    <row r="60" spans="2:22">
      <c r="D60" s="17"/>
      <c r="V60" s="17"/>
    </row>
    <row r="61" spans="2:22">
      <c r="D61" s="17"/>
      <c r="V61" s="17"/>
    </row>
    <row r="62" spans="2:22">
      <c r="D62" s="17"/>
      <c r="V62" s="17"/>
    </row>
    <row r="63" spans="2:22">
      <c r="D63" s="17"/>
      <c r="V63" s="17"/>
    </row>
    <row r="64" spans="2:22">
      <c r="D64" s="17"/>
      <c r="V64" s="17"/>
    </row>
    <row r="65" spans="2:22">
      <c r="D65" s="17"/>
      <c r="V65" s="17"/>
    </row>
    <row r="66" spans="2:22">
      <c r="D66" s="17"/>
      <c r="V66" s="17"/>
    </row>
    <row r="67" spans="2:22">
      <c r="D67" s="17"/>
      <c r="V67" s="17"/>
    </row>
    <row r="68" spans="2:22">
      <c r="D68" s="17"/>
      <c r="V68" s="17"/>
    </row>
    <row r="69" spans="2:22">
      <c r="D69" s="17"/>
      <c r="V69" s="17"/>
    </row>
    <row r="70" spans="2:22">
      <c r="D70" s="17"/>
      <c r="V70" s="17"/>
    </row>
    <row r="71" spans="2:22">
      <c r="D71" s="17"/>
      <c r="V71" s="17"/>
    </row>
    <row r="72" spans="2:22">
      <c r="B72" s="321"/>
      <c r="D72" s="17"/>
      <c r="V72" s="17"/>
    </row>
    <row r="73" spans="2:22">
      <c r="D73" s="17"/>
      <c r="V73" s="17"/>
    </row>
    <row r="74" spans="2:22">
      <c r="D74" s="17"/>
      <c r="V74" s="17"/>
    </row>
    <row r="75" spans="2:22">
      <c r="D75" s="17"/>
      <c r="V75" s="17"/>
    </row>
    <row r="76" spans="2:22">
      <c r="D76" s="17"/>
      <c r="V76" s="17"/>
    </row>
    <row r="77" spans="2:22">
      <c r="D77" s="17"/>
      <c r="V77" s="17"/>
    </row>
    <row r="78" spans="2:22">
      <c r="D78" s="17"/>
      <c r="V78" s="17"/>
    </row>
    <row r="79" spans="2:22">
      <c r="D79" s="17"/>
      <c r="V79" s="17"/>
    </row>
    <row r="80" spans="2:22">
      <c r="D80" s="17"/>
      <c r="V80" s="17"/>
    </row>
    <row r="81" spans="2:22">
      <c r="D81" s="17"/>
      <c r="V81" s="17"/>
    </row>
    <row r="82" spans="2:22">
      <c r="D82" s="17"/>
      <c r="V82" s="17"/>
    </row>
    <row r="83" spans="2:22">
      <c r="D83" s="17"/>
      <c r="V83" s="17"/>
    </row>
    <row r="84" spans="2:22">
      <c r="D84" s="17"/>
      <c r="V84" s="17"/>
    </row>
    <row r="85" spans="2:22">
      <c r="D85" s="17"/>
      <c r="V85" s="17"/>
    </row>
    <row r="86" spans="2:22">
      <c r="B86" s="321"/>
      <c r="D86" s="17"/>
      <c r="V86" s="17"/>
    </row>
    <row r="87" spans="2:22">
      <c r="D87" s="17"/>
      <c r="V87" s="17"/>
    </row>
    <row r="88" spans="2:22">
      <c r="B88" s="321"/>
      <c r="D88" s="17"/>
      <c r="V88" s="17"/>
    </row>
    <row r="89" spans="2:22">
      <c r="D89" s="17"/>
      <c r="V89" s="17"/>
    </row>
    <row r="90" spans="2:22">
      <c r="B90" s="321"/>
      <c r="D90" s="17"/>
      <c r="V90" s="17"/>
    </row>
    <row r="91" spans="2:22">
      <c r="D91" s="17"/>
      <c r="V91" s="17"/>
    </row>
    <row r="92" spans="2:22">
      <c r="D92" s="17"/>
      <c r="V92" s="17"/>
    </row>
    <row r="93" spans="2:22">
      <c r="D93" s="17"/>
      <c r="V93" s="17"/>
    </row>
    <row r="94" spans="2:22">
      <c r="D94" s="17"/>
      <c r="V94" s="17"/>
    </row>
    <row r="95" spans="2:22">
      <c r="B95" s="321"/>
      <c r="D95" s="17"/>
      <c r="H95" s="127"/>
      <c r="V95" s="17"/>
    </row>
    <row r="96" spans="2:22">
      <c r="D96" s="17"/>
      <c r="V96" s="17"/>
    </row>
    <row r="97" spans="2:22">
      <c r="B97" s="321"/>
      <c r="D97" s="17"/>
      <c r="H97" s="127"/>
      <c r="V97" s="17"/>
    </row>
    <row r="98" spans="2:22">
      <c r="B98" s="321"/>
      <c r="D98" s="17"/>
      <c r="V98" s="17"/>
    </row>
    <row r="99" spans="2:22">
      <c r="D99" s="17"/>
      <c r="V99" s="17"/>
    </row>
    <row r="100" spans="2:22">
      <c r="D100" s="17"/>
      <c r="V100" s="17"/>
    </row>
    <row r="101" spans="2:22">
      <c r="D101" s="17"/>
      <c r="V101" s="17"/>
    </row>
    <row r="102" spans="2:22">
      <c r="B102" s="321"/>
      <c r="D102" s="17"/>
      <c r="H102" s="127"/>
      <c r="V102" s="17"/>
    </row>
    <row r="103" spans="2:22">
      <c r="D103" s="17"/>
      <c r="V103" s="17"/>
    </row>
    <row r="104" spans="2:22">
      <c r="B104" s="321"/>
      <c r="D104" s="17"/>
      <c r="V104" s="17"/>
    </row>
    <row r="105" spans="2:22">
      <c r="D105" s="17"/>
      <c r="V105" s="17"/>
    </row>
    <row r="106" spans="2:22">
      <c r="D106" s="17"/>
      <c r="V106" s="17"/>
    </row>
    <row r="107" spans="2:22">
      <c r="D107" s="17"/>
      <c r="V107" s="17"/>
    </row>
    <row r="108" spans="2:22">
      <c r="D108" s="17"/>
      <c r="V108" s="17"/>
    </row>
    <row r="109" spans="2:22">
      <c r="D109" s="17"/>
      <c r="V109" s="17"/>
    </row>
    <row r="110" spans="2:22">
      <c r="D110" s="17"/>
      <c r="V110" s="17"/>
    </row>
    <row r="111" spans="2:22">
      <c r="D111" s="17"/>
      <c r="V111" s="17"/>
    </row>
    <row r="112" spans="2:22">
      <c r="D112" s="17"/>
      <c r="V112" s="17"/>
    </row>
    <row r="113" spans="2:22">
      <c r="D113" s="17"/>
      <c r="V113" s="17"/>
    </row>
    <row r="114" spans="2:22">
      <c r="D114" s="17"/>
      <c r="V114" s="17"/>
    </row>
    <row r="115" spans="2:22">
      <c r="D115" s="17"/>
      <c r="V115" s="17"/>
    </row>
    <row r="116" spans="2:22">
      <c r="D116" s="17"/>
      <c r="V116" s="17"/>
    </row>
    <row r="117" spans="2:22">
      <c r="D117" s="17"/>
      <c r="V117" s="17"/>
    </row>
    <row r="118" spans="2:22">
      <c r="D118" s="17"/>
      <c r="V118" s="17"/>
    </row>
    <row r="119" spans="2:22">
      <c r="D119" s="17"/>
      <c r="V119" s="17"/>
    </row>
    <row r="120" spans="2:22">
      <c r="B120" s="321"/>
      <c r="D120" s="17"/>
      <c r="V120" s="17"/>
    </row>
    <row r="121" spans="2:22">
      <c r="B121" s="321"/>
      <c r="D121" s="17"/>
      <c r="V121" s="17"/>
    </row>
    <row r="122" spans="2:22">
      <c r="B122" s="321"/>
      <c r="D122" s="17"/>
      <c r="V122" s="17"/>
    </row>
    <row r="123" spans="2:22">
      <c r="B123" s="321"/>
      <c r="D123" s="17"/>
      <c r="V123" s="17"/>
    </row>
    <row r="124" spans="2:22">
      <c r="B124" s="321"/>
      <c r="D124" s="17"/>
      <c r="V124" s="17"/>
    </row>
    <row r="125" spans="2:22">
      <c r="B125" s="321"/>
      <c r="D125" s="17"/>
      <c r="V125" s="17"/>
    </row>
    <row r="126" spans="2:22">
      <c r="B126" s="321"/>
      <c r="D126" s="17"/>
      <c r="V126" s="17"/>
    </row>
    <row r="127" spans="2:22">
      <c r="B127" s="321"/>
      <c r="D127" s="17"/>
      <c r="V127" s="17"/>
    </row>
    <row r="128" spans="2:22">
      <c r="B128" s="321"/>
      <c r="D128" s="17"/>
      <c r="V128" s="17"/>
    </row>
    <row r="129" spans="2:22">
      <c r="B129" s="321"/>
      <c r="D129" s="17"/>
      <c r="V129" s="17"/>
    </row>
    <row r="130" spans="2:22">
      <c r="B130" s="321"/>
      <c r="D130" s="17"/>
      <c r="V130" s="17"/>
    </row>
    <row r="131" spans="2:22">
      <c r="B131" s="321"/>
      <c r="D131" s="17"/>
      <c r="V131" s="17"/>
    </row>
    <row r="132" spans="2:22">
      <c r="B132" s="321"/>
      <c r="D132" s="17"/>
      <c r="V132" s="17"/>
    </row>
    <row r="133" spans="2:22">
      <c r="B133" s="321"/>
      <c r="D133" s="17"/>
      <c r="V133" s="17"/>
    </row>
    <row r="134" spans="2:22">
      <c r="B134" s="321"/>
      <c r="D134" s="17"/>
      <c r="V134" s="17"/>
    </row>
    <row r="135" spans="2:22">
      <c r="D135" s="17"/>
      <c r="V135" s="17"/>
    </row>
    <row r="136" spans="2:22">
      <c r="D136" s="17"/>
      <c r="V136" s="17"/>
    </row>
    <row r="137" spans="2:22">
      <c r="D137" s="17"/>
      <c r="V137" s="17"/>
    </row>
    <row r="138" spans="2:22">
      <c r="D138" s="17"/>
      <c r="V138" s="17"/>
    </row>
    <row r="139" spans="2:22">
      <c r="D139" s="17"/>
      <c r="V139" s="17"/>
    </row>
    <row r="140" spans="2:22">
      <c r="D140" s="17"/>
      <c r="V140" s="17"/>
    </row>
    <row r="141" spans="2:22">
      <c r="D141" s="17"/>
      <c r="V141" s="17"/>
    </row>
    <row r="142" spans="2:22">
      <c r="D142" s="17"/>
      <c r="V142" s="17"/>
    </row>
    <row r="143" spans="2:22">
      <c r="D143" s="17"/>
      <c r="V143" s="17"/>
    </row>
    <row r="144" spans="2:22">
      <c r="D144" s="17"/>
      <c r="V144" s="17"/>
    </row>
    <row r="145" spans="2:22">
      <c r="D145" s="17"/>
      <c r="V145" s="17"/>
    </row>
    <row r="146" spans="2:22">
      <c r="D146" s="17"/>
      <c r="V146" s="17"/>
    </row>
    <row r="147" spans="2:22">
      <c r="D147" s="17"/>
      <c r="V147" s="17"/>
    </row>
    <row r="148" spans="2:22">
      <c r="D148" s="17"/>
      <c r="V148" s="17"/>
    </row>
    <row r="149" spans="2:22">
      <c r="D149" s="17"/>
      <c r="V149" s="17"/>
    </row>
    <row r="150" spans="2:22">
      <c r="D150" s="17"/>
      <c r="V150" s="17"/>
    </row>
    <row r="151" spans="2:22">
      <c r="D151" s="17"/>
      <c r="V151" s="17"/>
    </row>
    <row r="152" spans="2:22">
      <c r="D152" s="17"/>
      <c r="V152" s="17"/>
    </row>
    <row r="153" spans="2:22">
      <c r="D153" s="17"/>
      <c r="V153" s="17"/>
    </row>
    <row r="154" spans="2:22">
      <c r="D154" s="17"/>
      <c r="V154" s="17"/>
    </row>
    <row r="155" spans="2:22">
      <c r="B155" s="321"/>
      <c r="D155" s="17"/>
      <c r="V155" s="17"/>
    </row>
    <row r="156" spans="2:22">
      <c r="D156" s="17"/>
      <c r="V156" s="17"/>
    </row>
    <row r="157" spans="2:22">
      <c r="B157" s="321"/>
      <c r="D157" s="17"/>
      <c r="V157" s="17"/>
    </row>
    <row r="158" spans="2:22">
      <c r="B158" s="321"/>
      <c r="D158" s="17"/>
      <c r="V158" s="17"/>
    </row>
    <row r="159" spans="2:22">
      <c r="B159" s="321"/>
      <c r="D159" s="17"/>
      <c r="V159" s="17"/>
    </row>
    <row r="160" spans="2:22">
      <c r="B160" s="321"/>
      <c r="D160" s="17"/>
      <c r="V160" s="17"/>
    </row>
    <row r="161" spans="2:22">
      <c r="B161" s="321"/>
      <c r="D161" s="17"/>
      <c r="V161" s="17"/>
    </row>
    <row r="162" spans="2:22">
      <c r="B162" s="321"/>
      <c r="D162" s="17"/>
      <c r="V162" s="17"/>
    </row>
    <row r="163" spans="2:22">
      <c r="B163" s="321"/>
      <c r="D163" s="17"/>
      <c r="V163" s="17"/>
    </row>
    <row r="164" spans="2:22">
      <c r="D164" s="17"/>
      <c r="V164" s="17"/>
    </row>
    <row r="165" spans="2:22">
      <c r="B165" s="321"/>
      <c r="D165" s="17"/>
      <c r="V165" s="17"/>
    </row>
    <row r="166" spans="2:22">
      <c r="B166" s="321"/>
      <c r="D166" s="17"/>
      <c r="V166" s="17"/>
    </row>
    <row r="167" spans="2:22">
      <c r="D167" s="17"/>
      <c r="V167" s="17"/>
    </row>
    <row r="168" spans="2:22">
      <c r="D168" s="17"/>
      <c r="V168" s="17"/>
    </row>
    <row r="169" spans="2:22">
      <c r="B169" s="321"/>
      <c r="D169" s="17"/>
      <c r="V169" s="17"/>
    </row>
    <row r="170" spans="2:22">
      <c r="D170" s="17"/>
      <c r="V170" s="17"/>
    </row>
    <row r="171" spans="2:22">
      <c r="D171" s="17"/>
      <c r="V171" s="17"/>
    </row>
    <row r="172" spans="2:22">
      <c r="D172" s="17"/>
      <c r="V172" s="17"/>
    </row>
    <row r="173" spans="2:22">
      <c r="D173" s="17"/>
      <c r="V173" s="17"/>
    </row>
    <row r="174" spans="2:22">
      <c r="D174" s="17"/>
      <c r="V174" s="17"/>
    </row>
    <row r="175" spans="2:22">
      <c r="D175" s="17"/>
      <c r="V175" s="17"/>
    </row>
    <row r="176" spans="2:22">
      <c r="D176" s="17"/>
      <c r="V176" s="17"/>
    </row>
    <row r="177" spans="2:22">
      <c r="D177" s="17"/>
      <c r="V177" s="17"/>
    </row>
    <row r="178" spans="2:22">
      <c r="D178" s="17"/>
      <c r="V178" s="17"/>
    </row>
    <row r="179" spans="2:22">
      <c r="D179" s="17"/>
      <c r="V179" s="17"/>
    </row>
    <row r="180" spans="2:22">
      <c r="D180" s="17"/>
      <c r="V180" s="17"/>
    </row>
    <row r="181" spans="2:22">
      <c r="D181" s="17"/>
      <c r="V181" s="17"/>
    </row>
    <row r="182" spans="2:22">
      <c r="D182" s="17"/>
      <c r="V182" s="17"/>
    </row>
    <row r="183" spans="2:22">
      <c r="D183" s="17"/>
      <c r="V183" s="17"/>
    </row>
    <row r="184" spans="2:22">
      <c r="B184" s="321"/>
      <c r="D184" s="17"/>
      <c r="V184" s="17"/>
    </row>
    <row r="185" spans="2:22">
      <c r="D185" s="17"/>
    </row>
    <row r="186" spans="2:22">
      <c r="D186" s="17"/>
    </row>
    <row r="205" spans="4:4">
      <c r="D205" s="17"/>
    </row>
    <row r="206" spans="4:4">
      <c r="D206" s="17"/>
    </row>
    <row r="207" spans="4:4">
      <c r="D207" s="17"/>
    </row>
    <row r="208" spans="4:4">
      <c r="D208" s="17"/>
    </row>
    <row r="209" spans="4:4">
      <c r="D209" s="17"/>
    </row>
    <row r="210" spans="4:4">
      <c r="D210" s="17"/>
    </row>
    <row r="211" spans="4:4">
      <c r="D211" s="17"/>
    </row>
    <row r="212" spans="4:4">
      <c r="D212" s="17"/>
    </row>
    <row r="213" spans="4:4">
      <c r="D213" s="17"/>
    </row>
    <row r="214" spans="4:4">
      <c r="D214" s="17"/>
    </row>
    <row r="215" spans="4:4">
      <c r="D215" s="17"/>
    </row>
    <row r="216" spans="4:4">
      <c r="D216" s="17"/>
    </row>
    <row r="217" spans="4:4">
      <c r="D217" s="17"/>
    </row>
    <row r="218" spans="4:4">
      <c r="D218" s="17"/>
    </row>
    <row r="219" spans="4:4">
      <c r="D219" s="17"/>
    </row>
    <row r="220" spans="4:4">
      <c r="D220" s="17"/>
    </row>
    <row r="221" spans="4:4">
      <c r="D221" s="17"/>
    </row>
    <row r="222" spans="4:4">
      <c r="D222" s="17"/>
    </row>
    <row r="223" spans="4:4">
      <c r="D223" s="17"/>
    </row>
    <row r="224" spans="4:4">
      <c r="D224" s="17"/>
    </row>
    <row r="390" spans="22:22">
      <c r="V390" s="17"/>
    </row>
    <row r="406" spans="22:22">
      <c r="V406" s="17"/>
    </row>
    <row r="422" spans="22:22">
      <c r="V422" s="17"/>
    </row>
    <row r="438" spans="22:22">
      <c r="V438" s="17"/>
    </row>
    <row r="454" spans="22:22">
      <c r="V454" s="17"/>
    </row>
    <row r="470" spans="22:22">
      <c r="V470" s="17"/>
    </row>
    <row r="486" spans="22:22">
      <c r="V486" s="17"/>
    </row>
    <row r="487" spans="22:22">
      <c r="V487" s="17"/>
    </row>
    <row r="488" spans="22:22">
      <c r="V488" s="17"/>
    </row>
    <row r="489" spans="22:22">
      <c r="V489" s="17"/>
    </row>
    <row r="490" spans="22:22">
      <c r="V490" s="17"/>
    </row>
    <row r="491" spans="22:22">
      <c r="V491" s="17"/>
    </row>
    <row r="492" spans="22:22">
      <c r="V492" s="17"/>
    </row>
    <row r="493" spans="22:22">
      <c r="V493" s="17"/>
    </row>
    <row r="494" spans="22:22">
      <c r="V494" s="17"/>
    </row>
    <row r="495" spans="22:22">
      <c r="V495" s="17"/>
    </row>
    <row r="496" spans="22:22">
      <c r="V496" s="17"/>
    </row>
    <row r="497" spans="22:22">
      <c r="V497" s="17"/>
    </row>
    <row r="498" spans="22:22">
      <c r="V498" s="17"/>
    </row>
    <row r="499" spans="22:22">
      <c r="V499" s="17"/>
    </row>
    <row r="500" spans="22:22">
      <c r="V500" s="17"/>
    </row>
  </sheetData>
  <sortState ref="A7:U11">
    <sortCondition ref="C7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C1:R551"/>
  <sheetViews>
    <sheetView workbookViewId="0">
      <selection activeCell="H15" sqref="H15"/>
    </sheetView>
  </sheetViews>
  <sheetFormatPr defaultRowHeight="15"/>
  <cols>
    <col min="2" max="2" width="31.85546875" customWidth="1"/>
    <col min="3" max="3" width="10.28515625" bestFit="1" customWidth="1"/>
    <col min="6" max="6" width="10.28515625" style="29" bestFit="1" customWidth="1"/>
    <col min="8" max="8" width="10.28515625" style="29" bestFit="1" customWidth="1"/>
    <col min="9" max="9" width="10.28515625" bestFit="1" customWidth="1"/>
    <col min="10" max="10" width="9" customWidth="1"/>
    <col min="11" max="11" width="9" style="29" customWidth="1"/>
    <col min="17" max="18" width="9" style="29" customWidth="1"/>
  </cols>
  <sheetData>
    <row r="1" spans="3:5">
      <c r="C1" s="17"/>
      <c r="E1" s="17"/>
    </row>
    <row r="2" spans="3:5">
      <c r="C2" s="17"/>
      <c r="E2" s="17"/>
    </row>
    <row r="3" spans="3:5">
      <c r="C3" s="17"/>
      <c r="E3" s="17"/>
    </row>
    <row r="4" spans="3:5">
      <c r="C4" s="17"/>
      <c r="E4" s="17"/>
    </row>
    <row r="5" spans="3:5">
      <c r="C5" s="17"/>
      <c r="E5" s="17"/>
    </row>
    <row r="6" spans="3:5">
      <c r="C6" s="17"/>
      <c r="E6" s="17"/>
    </row>
    <row r="7" spans="3:5">
      <c r="C7" s="17"/>
      <c r="E7" s="17"/>
    </row>
    <row r="8" spans="3:5">
      <c r="C8" s="17"/>
      <c r="E8" s="17"/>
    </row>
    <row r="9" spans="3:5">
      <c r="C9" s="17"/>
      <c r="E9" s="17"/>
    </row>
    <row r="10" spans="3:5">
      <c r="C10" s="17"/>
      <c r="E10" s="17"/>
    </row>
    <row r="11" spans="3:5">
      <c r="C11" s="17"/>
      <c r="E11" s="17"/>
    </row>
    <row r="12" spans="3:5">
      <c r="C12" s="17"/>
      <c r="E12" s="17"/>
    </row>
    <row r="13" spans="3:5">
      <c r="C13" s="17"/>
      <c r="E13" s="17"/>
    </row>
    <row r="14" spans="3:5">
      <c r="C14" s="17"/>
      <c r="E14" s="17"/>
    </row>
    <row r="15" spans="3:5">
      <c r="C15" s="17"/>
      <c r="E15" s="17"/>
    </row>
    <row r="16" spans="3:5">
      <c r="C16" s="17"/>
      <c r="E16" s="17"/>
    </row>
    <row r="17" spans="3:5">
      <c r="C17" s="17"/>
      <c r="E17" s="17"/>
    </row>
    <row r="18" spans="3:5">
      <c r="C18" s="17"/>
      <c r="E18" s="17"/>
    </row>
    <row r="19" spans="3:5">
      <c r="C19" s="17"/>
      <c r="E19" s="17"/>
    </row>
    <row r="20" spans="3:5">
      <c r="C20" s="17"/>
      <c r="E20" s="17"/>
    </row>
    <row r="21" spans="3:5">
      <c r="C21" s="17"/>
      <c r="E21" s="17"/>
    </row>
    <row r="22" spans="3:5">
      <c r="C22" s="17"/>
      <c r="E22" s="17"/>
    </row>
    <row r="23" spans="3:5">
      <c r="C23" s="17"/>
      <c r="E23" s="17"/>
    </row>
    <row r="24" spans="3:5">
      <c r="C24" s="17"/>
      <c r="E24" s="17"/>
    </row>
    <row r="25" spans="3:5">
      <c r="C25" s="17"/>
      <c r="E25" s="17"/>
    </row>
    <row r="26" spans="3:5">
      <c r="C26" s="17"/>
      <c r="E26" s="17"/>
    </row>
    <row r="27" spans="3:5">
      <c r="C27" s="17"/>
      <c r="E27" s="17"/>
    </row>
    <row r="28" spans="3:5">
      <c r="C28" s="17"/>
      <c r="E28" s="17"/>
    </row>
    <row r="29" spans="3:5">
      <c r="C29" s="17"/>
      <c r="E29" s="17"/>
    </row>
    <row r="30" spans="3:5">
      <c r="C30" s="17"/>
      <c r="E30" s="17"/>
    </row>
    <row r="31" spans="3:5">
      <c r="C31" s="17"/>
      <c r="E31" s="17"/>
    </row>
    <row r="32" spans="3:5">
      <c r="C32" s="17"/>
      <c r="E32" s="17"/>
    </row>
    <row r="33" spans="3:5">
      <c r="C33" s="17"/>
      <c r="E33" s="17"/>
    </row>
    <row r="34" spans="3:5">
      <c r="C34" s="17"/>
      <c r="E34" s="17"/>
    </row>
    <row r="35" spans="3:5">
      <c r="C35" s="17"/>
      <c r="E35" s="17"/>
    </row>
    <row r="36" spans="3:5">
      <c r="C36" s="17"/>
      <c r="E36" s="17"/>
    </row>
    <row r="37" spans="3:5">
      <c r="C37" s="17"/>
      <c r="E37" s="17"/>
    </row>
    <row r="38" spans="3:5">
      <c r="C38" s="17"/>
      <c r="E38" s="17"/>
    </row>
    <row r="39" spans="3:5">
      <c r="C39" s="17"/>
      <c r="E39" s="17"/>
    </row>
    <row r="40" spans="3:5">
      <c r="C40" s="17"/>
      <c r="E40" s="17"/>
    </row>
    <row r="41" spans="3:5">
      <c r="C41" s="17"/>
      <c r="E41" s="17"/>
    </row>
    <row r="42" spans="3:5">
      <c r="C42" s="17"/>
      <c r="E42" s="17"/>
    </row>
    <row r="43" spans="3:5">
      <c r="C43" s="17"/>
      <c r="E43" s="17"/>
    </row>
    <row r="44" spans="3:5">
      <c r="C44" s="17"/>
      <c r="E44" s="17"/>
    </row>
    <row r="45" spans="3:5">
      <c r="C45" s="17"/>
      <c r="E45" s="17"/>
    </row>
    <row r="46" spans="3:5">
      <c r="C46" s="17"/>
      <c r="E46" s="17"/>
    </row>
    <row r="47" spans="3:5">
      <c r="C47" s="17"/>
      <c r="E47" s="17"/>
    </row>
    <row r="48" spans="3:5">
      <c r="C48" s="17"/>
      <c r="E48" s="17"/>
    </row>
    <row r="49" spans="3:5">
      <c r="C49" s="17"/>
      <c r="E49" s="17"/>
    </row>
    <row r="50" spans="3:5">
      <c r="C50" s="17"/>
      <c r="E50" s="17"/>
    </row>
    <row r="51" spans="3:5">
      <c r="C51" s="17"/>
      <c r="E51" s="17"/>
    </row>
    <row r="52" spans="3:5">
      <c r="C52" s="17"/>
      <c r="E52" s="17"/>
    </row>
    <row r="53" spans="3:5">
      <c r="C53" s="17"/>
      <c r="E53" s="17"/>
    </row>
    <row r="54" spans="3:5">
      <c r="C54" s="17"/>
      <c r="E54" s="17"/>
    </row>
    <row r="55" spans="3:5">
      <c r="C55" s="17"/>
      <c r="E55" s="17"/>
    </row>
    <row r="56" spans="3:5">
      <c r="C56" s="17"/>
      <c r="E56" s="17"/>
    </row>
    <row r="57" spans="3:5">
      <c r="C57" s="17"/>
      <c r="E57" s="17"/>
    </row>
    <row r="58" spans="3:5">
      <c r="C58" s="17"/>
      <c r="E58" s="17"/>
    </row>
    <row r="59" spans="3:5">
      <c r="C59" s="17"/>
      <c r="E59" s="17"/>
    </row>
    <row r="60" spans="3:5">
      <c r="C60" s="17"/>
      <c r="E60" s="17"/>
    </row>
    <row r="61" spans="3:5">
      <c r="C61" s="17"/>
      <c r="E61" s="17"/>
    </row>
    <row r="62" spans="3:5">
      <c r="C62" s="17"/>
      <c r="E62" s="17"/>
    </row>
    <row r="63" spans="3:5">
      <c r="C63" s="17"/>
      <c r="E63" s="17"/>
    </row>
    <row r="64" spans="3:5">
      <c r="C64" s="17"/>
      <c r="E64" s="17"/>
    </row>
    <row r="65" spans="3:5">
      <c r="C65" s="17"/>
      <c r="E65" s="17"/>
    </row>
    <row r="66" spans="3:5">
      <c r="C66" s="17"/>
      <c r="E66" s="17"/>
    </row>
    <row r="67" spans="3:5">
      <c r="C67" s="17"/>
      <c r="E67" s="17"/>
    </row>
    <row r="68" spans="3:5">
      <c r="C68" s="17"/>
      <c r="E68" s="17"/>
    </row>
    <row r="69" spans="3:5">
      <c r="C69" s="17"/>
      <c r="E69" s="17"/>
    </row>
    <row r="70" spans="3:5">
      <c r="C70" s="17"/>
      <c r="E70" s="17"/>
    </row>
    <row r="71" spans="3:5">
      <c r="C71" s="17"/>
      <c r="E71" s="17"/>
    </row>
    <row r="72" spans="3:5">
      <c r="C72" s="17"/>
      <c r="E72" s="17"/>
    </row>
    <row r="73" spans="3:5">
      <c r="C73" s="17"/>
      <c r="E73" s="17"/>
    </row>
    <row r="74" spans="3:5">
      <c r="C74" s="17"/>
      <c r="E74" s="17"/>
    </row>
    <row r="75" spans="3:5">
      <c r="C75" s="17"/>
      <c r="E75" s="17"/>
    </row>
    <row r="76" spans="3:5">
      <c r="C76" s="17"/>
      <c r="E76" s="17"/>
    </row>
    <row r="77" spans="3:5">
      <c r="C77" s="17"/>
      <c r="E77" s="17"/>
    </row>
    <row r="78" spans="3:5">
      <c r="C78" s="17"/>
      <c r="E78" s="17"/>
    </row>
    <row r="79" spans="3:5">
      <c r="C79" s="17"/>
      <c r="E79" s="17"/>
    </row>
    <row r="80" spans="3:5">
      <c r="C80" s="17"/>
      <c r="E80" s="17"/>
    </row>
    <row r="81" spans="3:5">
      <c r="C81" s="17"/>
      <c r="E81" s="17"/>
    </row>
    <row r="82" spans="3:5">
      <c r="C82" s="17"/>
      <c r="E82" s="17"/>
    </row>
    <row r="83" spans="3:5">
      <c r="C83" s="17"/>
      <c r="E83" s="17"/>
    </row>
    <row r="84" spans="3:5">
      <c r="C84" s="17"/>
      <c r="E84" s="17"/>
    </row>
    <row r="85" spans="3:5">
      <c r="C85" s="17"/>
      <c r="E85" s="17"/>
    </row>
    <row r="86" spans="3:5">
      <c r="C86" s="17"/>
      <c r="E86" s="17"/>
    </row>
    <row r="87" spans="3:5">
      <c r="C87" s="17"/>
    </row>
    <row r="88" spans="3:5">
      <c r="C88" s="17"/>
      <c r="E88" s="17"/>
    </row>
    <row r="89" spans="3:5">
      <c r="C89" s="17"/>
      <c r="E89" s="17"/>
    </row>
    <row r="90" spans="3:5">
      <c r="C90" s="17"/>
      <c r="E90" s="17"/>
    </row>
    <row r="91" spans="3:5">
      <c r="C91" s="17"/>
      <c r="E91" s="17"/>
    </row>
    <row r="92" spans="3:5">
      <c r="C92" s="17"/>
      <c r="E92" s="17"/>
    </row>
    <row r="93" spans="3:5">
      <c r="C93" s="17"/>
      <c r="E93" s="17"/>
    </row>
    <row r="94" spans="3:5">
      <c r="C94" s="17"/>
      <c r="E94" s="17"/>
    </row>
    <row r="95" spans="3:5">
      <c r="C95" s="17"/>
      <c r="E95" s="17"/>
    </row>
    <row r="96" spans="3:5">
      <c r="C96" s="17"/>
      <c r="E96" s="17"/>
    </row>
    <row r="97" spans="3:5">
      <c r="C97" s="17"/>
      <c r="E97" s="17"/>
    </row>
    <row r="98" spans="3:5">
      <c r="C98" s="17"/>
      <c r="E98" s="17"/>
    </row>
    <row r="99" spans="3:5">
      <c r="C99" s="17"/>
      <c r="E99" s="17"/>
    </row>
    <row r="100" spans="3:5">
      <c r="C100" s="17"/>
      <c r="E100" s="17"/>
    </row>
    <row r="101" spans="3:5">
      <c r="C101" s="17"/>
      <c r="E101" s="17"/>
    </row>
    <row r="102" spans="3:5">
      <c r="C102" s="17"/>
      <c r="E102" s="17"/>
    </row>
    <row r="103" spans="3:5">
      <c r="C103" s="17"/>
      <c r="E103" s="17"/>
    </row>
    <row r="104" spans="3:5">
      <c r="C104" s="17"/>
      <c r="E104" s="17"/>
    </row>
    <row r="105" spans="3:5">
      <c r="C105" s="17"/>
      <c r="E105" s="17"/>
    </row>
    <row r="106" spans="3:5">
      <c r="C106" s="17"/>
      <c r="E106" s="17"/>
    </row>
    <row r="107" spans="3:5">
      <c r="C107" s="17"/>
      <c r="E107" s="17"/>
    </row>
    <row r="108" spans="3:5">
      <c r="C108" s="17"/>
      <c r="E108" s="17"/>
    </row>
    <row r="109" spans="3:5">
      <c r="C109" s="17"/>
      <c r="E109" s="17"/>
    </row>
    <row r="110" spans="3:5">
      <c r="C110" s="17"/>
      <c r="E110" s="17"/>
    </row>
    <row r="111" spans="3:5">
      <c r="C111" s="17"/>
      <c r="E111" s="17"/>
    </row>
    <row r="112" spans="3:5">
      <c r="C112" s="17"/>
      <c r="E112" s="17"/>
    </row>
    <row r="113" spans="3:5">
      <c r="C113" s="17"/>
    </row>
    <row r="114" spans="3:5">
      <c r="C114" s="17"/>
      <c r="E114" s="17"/>
    </row>
    <row r="115" spans="3:5">
      <c r="C115" s="17"/>
      <c r="E115" s="17"/>
    </row>
    <row r="116" spans="3:5">
      <c r="C116" s="17"/>
      <c r="E116" s="17"/>
    </row>
    <row r="117" spans="3:5">
      <c r="C117" s="17"/>
      <c r="E117" s="17"/>
    </row>
    <row r="118" spans="3:5">
      <c r="C118" s="17"/>
      <c r="E118" s="17"/>
    </row>
    <row r="119" spans="3:5">
      <c r="C119" s="17"/>
      <c r="E119" s="17"/>
    </row>
    <row r="120" spans="3:5">
      <c r="C120" s="17"/>
      <c r="E120" s="17"/>
    </row>
    <row r="121" spans="3:5">
      <c r="C121" s="17"/>
      <c r="E121" s="17"/>
    </row>
    <row r="122" spans="3:5">
      <c r="C122" s="17"/>
      <c r="E122" s="17"/>
    </row>
    <row r="123" spans="3:5">
      <c r="C123" s="17"/>
      <c r="E123" s="17"/>
    </row>
    <row r="124" spans="3:5">
      <c r="C124" s="17"/>
      <c r="E124" s="17"/>
    </row>
    <row r="125" spans="3:5">
      <c r="C125" s="17"/>
      <c r="E125" s="17"/>
    </row>
    <row r="126" spans="3:5">
      <c r="C126" s="17"/>
      <c r="E126" s="17"/>
    </row>
    <row r="127" spans="3:5">
      <c r="C127" s="17"/>
      <c r="E127" s="17"/>
    </row>
    <row r="128" spans="3:5">
      <c r="C128" s="17"/>
      <c r="E128" s="17"/>
    </row>
    <row r="129" spans="3:5">
      <c r="C129" s="17"/>
      <c r="E129" s="17"/>
    </row>
    <row r="130" spans="3:5">
      <c r="C130" s="17"/>
      <c r="E130" s="17"/>
    </row>
    <row r="131" spans="3:5">
      <c r="C131" s="17"/>
      <c r="E131" s="17"/>
    </row>
    <row r="132" spans="3:5">
      <c r="C132" s="17"/>
      <c r="E132" s="17"/>
    </row>
    <row r="133" spans="3:5">
      <c r="C133" s="17"/>
      <c r="E133" s="17"/>
    </row>
    <row r="134" spans="3:5">
      <c r="C134" s="17"/>
      <c r="E134" s="17"/>
    </row>
    <row r="135" spans="3:5">
      <c r="C135" s="17"/>
      <c r="E135" s="17"/>
    </row>
    <row r="136" spans="3:5">
      <c r="C136" s="17"/>
      <c r="E136" s="17"/>
    </row>
    <row r="137" spans="3:5">
      <c r="C137" s="17"/>
      <c r="E137" s="17"/>
    </row>
    <row r="138" spans="3:5">
      <c r="C138" s="17"/>
      <c r="E138" s="17"/>
    </row>
    <row r="139" spans="3:5">
      <c r="C139" s="17"/>
      <c r="E139" s="17"/>
    </row>
    <row r="140" spans="3:5">
      <c r="C140" s="17"/>
      <c r="E140" s="17"/>
    </row>
    <row r="141" spans="3:5">
      <c r="C141" s="17"/>
      <c r="E141" s="17"/>
    </row>
    <row r="142" spans="3:5">
      <c r="C142" s="17"/>
      <c r="E142" s="17"/>
    </row>
    <row r="143" spans="3:5">
      <c r="C143" s="17"/>
      <c r="E143" s="17"/>
    </row>
    <row r="144" spans="3:5">
      <c r="C144" s="17"/>
      <c r="E144" s="17"/>
    </row>
    <row r="145" spans="3:5">
      <c r="C145" s="17"/>
    </row>
    <row r="146" spans="3:5">
      <c r="C146" s="17"/>
      <c r="E146" s="17"/>
    </row>
    <row r="147" spans="3:5">
      <c r="C147" s="17"/>
      <c r="E147" s="17"/>
    </row>
    <row r="148" spans="3:5">
      <c r="C148" s="17"/>
      <c r="E148" s="17"/>
    </row>
    <row r="149" spans="3:5">
      <c r="C149" s="17"/>
      <c r="E149" s="17"/>
    </row>
    <row r="150" spans="3:5">
      <c r="C150" s="17"/>
      <c r="E150" s="17"/>
    </row>
    <row r="151" spans="3:5">
      <c r="C151" s="17"/>
      <c r="E151" s="17"/>
    </row>
    <row r="152" spans="3:5">
      <c r="C152" s="17"/>
      <c r="E152" s="17"/>
    </row>
    <row r="153" spans="3:5">
      <c r="C153" s="17"/>
      <c r="E153" s="17"/>
    </row>
    <row r="154" spans="3:5">
      <c r="C154" s="17"/>
      <c r="E154" s="17"/>
    </row>
    <row r="155" spans="3:5">
      <c r="C155" s="17"/>
      <c r="E155" s="17"/>
    </row>
    <row r="156" spans="3:5">
      <c r="C156" s="17"/>
      <c r="E156" s="17"/>
    </row>
    <row r="157" spans="3:5">
      <c r="C157" s="17"/>
      <c r="E157" s="17"/>
    </row>
    <row r="158" spans="3:5">
      <c r="C158" s="17"/>
      <c r="E158" s="17"/>
    </row>
    <row r="159" spans="3:5">
      <c r="C159" s="17"/>
      <c r="E159" s="17"/>
    </row>
    <row r="160" spans="3:5">
      <c r="C160" s="17"/>
      <c r="E160" s="17"/>
    </row>
    <row r="161" spans="3:5">
      <c r="C161" s="17"/>
      <c r="E161" s="17"/>
    </row>
    <row r="162" spans="3:5">
      <c r="C162" s="17"/>
      <c r="E162" s="17"/>
    </row>
    <row r="163" spans="3:5">
      <c r="C163" s="17"/>
      <c r="E163" s="17"/>
    </row>
    <row r="164" spans="3:5">
      <c r="C164" s="17"/>
      <c r="E164" s="17"/>
    </row>
    <row r="165" spans="3:5">
      <c r="C165" s="17"/>
      <c r="E165" s="17"/>
    </row>
    <row r="166" spans="3:5">
      <c r="C166" s="17"/>
      <c r="E166" s="17"/>
    </row>
    <row r="167" spans="3:5">
      <c r="C167" s="17"/>
      <c r="E167" s="17"/>
    </row>
    <row r="168" spans="3:5">
      <c r="C168" s="17"/>
      <c r="E168" s="17"/>
    </row>
    <row r="169" spans="3:5">
      <c r="C169" s="17"/>
      <c r="E169" s="17"/>
    </row>
    <row r="170" spans="3:5">
      <c r="C170" s="17"/>
      <c r="E170" s="17"/>
    </row>
    <row r="171" spans="3:5">
      <c r="C171" s="17"/>
      <c r="E171" s="17"/>
    </row>
    <row r="172" spans="3:5">
      <c r="C172" s="17"/>
      <c r="E172" s="17"/>
    </row>
    <row r="173" spans="3:5">
      <c r="C173" s="17"/>
      <c r="E173" s="17"/>
    </row>
    <row r="174" spans="3:5">
      <c r="C174" s="17"/>
      <c r="E174" s="17"/>
    </row>
    <row r="175" spans="3:5">
      <c r="C175" s="17"/>
      <c r="E175" s="17"/>
    </row>
    <row r="176" spans="3:5">
      <c r="C176" s="17"/>
      <c r="E176" s="17"/>
    </row>
    <row r="177" spans="3:5">
      <c r="C177" s="17"/>
      <c r="E177" s="17"/>
    </row>
    <row r="178" spans="3:5">
      <c r="C178" s="17"/>
      <c r="E178" s="17"/>
    </row>
    <row r="179" spans="3:5">
      <c r="C179" s="17"/>
      <c r="E179" s="17"/>
    </row>
    <row r="180" spans="3:5">
      <c r="C180" s="17"/>
      <c r="E180" s="17"/>
    </row>
    <row r="181" spans="3:5">
      <c r="C181" s="17"/>
      <c r="E181" s="17"/>
    </row>
    <row r="182" spans="3:5">
      <c r="C182" s="17"/>
      <c r="E182" s="17"/>
    </row>
    <row r="183" spans="3:5">
      <c r="C183" s="17"/>
    </row>
    <row r="184" spans="3:5">
      <c r="C184" s="17"/>
      <c r="E184" s="17"/>
    </row>
    <row r="185" spans="3:5">
      <c r="C185" s="17"/>
      <c r="E185" s="17"/>
    </row>
    <row r="186" spans="3:5">
      <c r="C186" s="17"/>
      <c r="E186" s="17"/>
    </row>
    <row r="187" spans="3:5">
      <c r="C187" s="17"/>
      <c r="E187" s="17"/>
    </row>
    <row r="188" spans="3:5">
      <c r="C188" s="17"/>
      <c r="E188" s="17"/>
    </row>
    <row r="189" spans="3:5">
      <c r="C189" s="17"/>
    </row>
    <row r="190" spans="3:5">
      <c r="C190" s="17"/>
      <c r="E190" s="17"/>
    </row>
    <row r="191" spans="3:5">
      <c r="C191" s="17"/>
      <c r="E191" s="17"/>
    </row>
    <row r="192" spans="3:5">
      <c r="C192" s="17"/>
      <c r="E192" s="17"/>
    </row>
    <row r="193" spans="3:5">
      <c r="C193" s="17"/>
      <c r="E193" s="17"/>
    </row>
    <row r="194" spans="3:5">
      <c r="C194" s="17"/>
      <c r="E194" s="17"/>
    </row>
    <row r="195" spans="3:5">
      <c r="C195" s="17"/>
      <c r="E195" s="17"/>
    </row>
    <row r="196" spans="3:5">
      <c r="C196" s="17"/>
      <c r="E196" s="17"/>
    </row>
    <row r="197" spans="3:5">
      <c r="C197" s="17"/>
      <c r="E197" s="17"/>
    </row>
    <row r="198" spans="3:5">
      <c r="C198" s="17"/>
      <c r="E198" s="17"/>
    </row>
    <row r="199" spans="3:5">
      <c r="C199" s="17"/>
      <c r="E199" s="17"/>
    </row>
    <row r="200" spans="3:5">
      <c r="C200" s="17"/>
      <c r="E200" s="17"/>
    </row>
    <row r="201" spans="3:5">
      <c r="C201" s="17"/>
      <c r="E201" s="17"/>
    </row>
    <row r="202" spans="3:5">
      <c r="C202" s="17"/>
      <c r="E202" s="17"/>
    </row>
    <row r="203" spans="3:5">
      <c r="C203" s="17"/>
      <c r="E203" s="17"/>
    </row>
    <row r="204" spans="3:5">
      <c r="C204" s="17"/>
      <c r="E204" s="17"/>
    </row>
    <row r="205" spans="3:5">
      <c r="C205" s="17"/>
      <c r="E205" s="17"/>
    </row>
    <row r="206" spans="3:5">
      <c r="C206" s="17"/>
      <c r="E206" s="17"/>
    </row>
    <row r="207" spans="3:5">
      <c r="C207" s="17"/>
      <c r="E207" s="17"/>
    </row>
    <row r="208" spans="3:5">
      <c r="C208" s="17"/>
      <c r="E208" s="17"/>
    </row>
    <row r="209" spans="3:5">
      <c r="C209" s="17"/>
      <c r="E209" s="17"/>
    </row>
    <row r="210" spans="3:5">
      <c r="C210" s="17"/>
      <c r="E210" s="17"/>
    </row>
    <row r="211" spans="3:5">
      <c r="C211" s="17"/>
      <c r="E211" s="17"/>
    </row>
    <row r="212" spans="3:5">
      <c r="C212" s="17"/>
      <c r="E212" s="17"/>
    </row>
    <row r="213" spans="3:5">
      <c r="C213" s="17"/>
      <c r="E213" s="17"/>
    </row>
    <row r="214" spans="3:5">
      <c r="C214" s="17"/>
      <c r="E214" s="17"/>
    </row>
    <row r="215" spans="3:5">
      <c r="C215" s="17"/>
      <c r="E215" s="17"/>
    </row>
    <row r="216" spans="3:5">
      <c r="C216" s="17"/>
      <c r="E216" s="17"/>
    </row>
    <row r="217" spans="3:5">
      <c r="C217" s="17"/>
      <c r="E217" s="17"/>
    </row>
    <row r="218" spans="3:5">
      <c r="C218" s="17"/>
      <c r="E218" s="17"/>
    </row>
    <row r="219" spans="3:5">
      <c r="C219" s="17"/>
      <c r="E219" s="17"/>
    </row>
    <row r="220" spans="3:5">
      <c r="C220" s="17"/>
      <c r="E220" s="17"/>
    </row>
    <row r="221" spans="3:5">
      <c r="C221" s="17"/>
      <c r="E221" s="17"/>
    </row>
    <row r="222" spans="3:5">
      <c r="C222" s="17"/>
      <c r="E222" s="17"/>
    </row>
    <row r="223" spans="3:5">
      <c r="C223" s="17"/>
      <c r="E223" s="17"/>
    </row>
    <row r="224" spans="3:5">
      <c r="C224" s="17"/>
      <c r="E224" s="17"/>
    </row>
    <row r="225" spans="3:5">
      <c r="C225" s="17"/>
      <c r="E225" s="17"/>
    </row>
    <row r="226" spans="3:5">
      <c r="C226" s="17"/>
      <c r="E226" s="17"/>
    </row>
    <row r="227" spans="3:5">
      <c r="C227" s="17"/>
      <c r="E227" s="17"/>
    </row>
    <row r="228" spans="3:5">
      <c r="C228" s="17"/>
      <c r="E228" s="17"/>
    </row>
    <row r="229" spans="3:5">
      <c r="C229" s="17"/>
      <c r="E229" s="17"/>
    </row>
    <row r="230" spans="3:5">
      <c r="C230" s="17"/>
      <c r="E230" s="17"/>
    </row>
    <row r="231" spans="3:5">
      <c r="C231" s="17"/>
      <c r="E231" s="17"/>
    </row>
    <row r="232" spans="3:5">
      <c r="C232" s="17"/>
      <c r="E232" s="17"/>
    </row>
    <row r="233" spans="3:5">
      <c r="C233" s="17"/>
      <c r="E233" s="17"/>
    </row>
    <row r="234" spans="3:5">
      <c r="C234" s="17"/>
      <c r="E234" s="17"/>
    </row>
    <row r="235" spans="3:5">
      <c r="C235" s="17"/>
      <c r="E235" s="17"/>
    </row>
    <row r="236" spans="3:5">
      <c r="C236" s="17"/>
      <c r="E236" s="17"/>
    </row>
    <row r="237" spans="3:5">
      <c r="C237" s="17"/>
      <c r="E237" s="17"/>
    </row>
    <row r="238" spans="3:5">
      <c r="C238" s="17"/>
      <c r="E238" s="17"/>
    </row>
    <row r="239" spans="3:5">
      <c r="C239" s="17"/>
      <c r="E239" s="17"/>
    </row>
    <row r="240" spans="3:5">
      <c r="C240" s="17"/>
      <c r="E240" s="17"/>
    </row>
    <row r="241" spans="3:5">
      <c r="C241" s="17"/>
      <c r="E241" s="17"/>
    </row>
    <row r="242" spans="3:5">
      <c r="C242" s="17"/>
      <c r="E242" s="17"/>
    </row>
    <row r="243" spans="3:5">
      <c r="C243" s="17"/>
      <c r="E243" s="17"/>
    </row>
    <row r="244" spans="3:5">
      <c r="C244" s="17"/>
      <c r="E244" s="17"/>
    </row>
    <row r="245" spans="3:5">
      <c r="C245" s="17"/>
      <c r="E245" s="17"/>
    </row>
    <row r="246" spans="3:5">
      <c r="C246" s="17"/>
      <c r="E246" s="17"/>
    </row>
    <row r="247" spans="3:5">
      <c r="C247" s="17"/>
      <c r="E247" s="17"/>
    </row>
    <row r="248" spans="3:5">
      <c r="C248" s="17"/>
    </row>
    <row r="249" spans="3:5">
      <c r="C249" s="17"/>
      <c r="E249" s="17"/>
    </row>
    <row r="250" spans="3:5">
      <c r="C250" s="17"/>
      <c r="E250" s="17"/>
    </row>
    <row r="251" spans="3:5">
      <c r="C251" s="17"/>
      <c r="E251" s="17"/>
    </row>
    <row r="252" spans="3:5">
      <c r="C252" s="17"/>
      <c r="E252" s="17"/>
    </row>
    <row r="253" spans="3:5">
      <c r="C253" s="17"/>
      <c r="E253" s="17"/>
    </row>
    <row r="254" spans="3:5">
      <c r="C254" s="17"/>
      <c r="E254" s="17"/>
    </row>
    <row r="255" spans="3:5">
      <c r="C255" s="17"/>
      <c r="E255" s="17"/>
    </row>
    <row r="256" spans="3:5">
      <c r="C256" s="17"/>
      <c r="E256" s="17"/>
    </row>
    <row r="257" spans="3:5">
      <c r="C257" s="17"/>
      <c r="E257" s="17"/>
    </row>
    <row r="258" spans="3:5">
      <c r="C258" s="17"/>
      <c r="E258" s="17"/>
    </row>
    <row r="259" spans="3:5">
      <c r="C259" s="17"/>
      <c r="E259" s="17"/>
    </row>
    <row r="260" spans="3:5">
      <c r="C260" s="17"/>
      <c r="E260" s="17"/>
    </row>
    <row r="261" spans="3:5">
      <c r="C261" s="17"/>
      <c r="E261" s="17"/>
    </row>
    <row r="262" spans="3:5">
      <c r="C262" s="17"/>
      <c r="E262" s="17"/>
    </row>
    <row r="263" spans="3:5">
      <c r="C263" s="17"/>
      <c r="E263" s="17"/>
    </row>
    <row r="264" spans="3:5">
      <c r="C264" s="17"/>
      <c r="E264" s="17"/>
    </row>
    <row r="265" spans="3:5">
      <c r="C265" s="17"/>
      <c r="E265" s="17"/>
    </row>
    <row r="266" spans="3:5">
      <c r="C266" s="17"/>
      <c r="E266" s="17"/>
    </row>
    <row r="267" spans="3:5">
      <c r="C267" s="17"/>
      <c r="E267" s="17"/>
    </row>
    <row r="268" spans="3:5">
      <c r="C268" s="17"/>
      <c r="E268" s="17"/>
    </row>
    <row r="269" spans="3:5">
      <c r="C269" s="17"/>
    </row>
    <row r="270" spans="3:5">
      <c r="C270" s="17"/>
      <c r="E270" s="17"/>
    </row>
    <row r="271" spans="3:5">
      <c r="C271" s="17"/>
      <c r="E271" s="17"/>
    </row>
    <row r="272" spans="3:5">
      <c r="C272" s="17"/>
      <c r="E272" s="17"/>
    </row>
    <row r="273" spans="3:5">
      <c r="C273" s="17"/>
      <c r="E273" s="17"/>
    </row>
    <row r="274" spans="3:5">
      <c r="C274" s="17"/>
      <c r="E274" s="17"/>
    </row>
    <row r="275" spans="3:5">
      <c r="C275" s="17"/>
      <c r="E275" s="17"/>
    </row>
    <row r="276" spans="3:5">
      <c r="C276" s="17"/>
      <c r="E276" s="17"/>
    </row>
    <row r="277" spans="3:5">
      <c r="C277" s="17"/>
    </row>
    <row r="278" spans="3:5">
      <c r="C278" s="17"/>
      <c r="E278" s="17"/>
    </row>
    <row r="279" spans="3:5">
      <c r="C279" s="17"/>
      <c r="E279" s="17"/>
    </row>
    <row r="280" spans="3:5">
      <c r="C280" s="17"/>
      <c r="E280" s="17"/>
    </row>
    <row r="281" spans="3:5">
      <c r="C281" s="17"/>
      <c r="E281" s="17"/>
    </row>
    <row r="282" spans="3:5">
      <c r="C282" s="17"/>
      <c r="E282" s="17"/>
    </row>
    <row r="283" spans="3:5">
      <c r="C283" s="17"/>
      <c r="E283" s="17"/>
    </row>
    <row r="284" spans="3:5">
      <c r="C284" s="17"/>
      <c r="E284" s="17"/>
    </row>
    <row r="285" spans="3:5">
      <c r="C285" s="17"/>
      <c r="E285" s="17"/>
    </row>
    <row r="286" spans="3:5">
      <c r="C286" s="17"/>
      <c r="E286" s="17"/>
    </row>
    <row r="287" spans="3:5">
      <c r="C287" s="17"/>
      <c r="E287" s="17"/>
    </row>
    <row r="288" spans="3:5">
      <c r="C288" s="17"/>
      <c r="E288" s="17"/>
    </row>
    <row r="289" spans="3:5">
      <c r="C289" s="17"/>
    </row>
    <row r="290" spans="3:5">
      <c r="C290" s="17"/>
      <c r="E290" s="17"/>
    </row>
    <row r="291" spans="3:5">
      <c r="C291" s="17"/>
      <c r="E291" s="17"/>
    </row>
    <row r="292" spans="3:5">
      <c r="C292" s="17"/>
      <c r="E292" s="17"/>
    </row>
    <row r="293" spans="3:5">
      <c r="C293" s="17"/>
      <c r="E293" s="17"/>
    </row>
    <row r="294" spans="3:5">
      <c r="C294" s="17"/>
      <c r="E294" s="17"/>
    </row>
    <row r="295" spans="3:5">
      <c r="C295" s="17"/>
    </row>
    <row r="296" spans="3:5">
      <c r="C296" s="17"/>
      <c r="E296" s="17"/>
    </row>
    <row r="297" spans="3:5">
      <c r="C297" s="17"/>
      <c r="E297" s="17"/>
    </row>
    <row r="298" spans="3:5">
      <c r="C298" s="17"/>
      <c r="E298" s="17"/>
    </row>
    <row r="299" spans="3:5">
      <c r="C299" s="17"/>
      <c r="E299" s="17"/>
    </row>
    <row r="300" spans="3:5">
      <c r="C300" s="17"/>
      <c r="E300" s="17"/>
    </row>
    <row r="301" spans="3:5">
      <c r="C301" s="17"/>
      <c r="E301" s="17"/>
    </row>
    <row r="302" spans="3:5">
      <c r="C302" s="17"/>
      <c r="E302" s="17"/>
    </row>
    <row r="303" spans="3:5">
      <c r="C303" s="17"/>
      <c r="E303" s="17"/>
    </row>
    <row r="304" spans="3:5">
      <c r="C304" s="17"/>
      <c r="E304" s="17"/>
    </row>
    <row r="305" spans="3:5">
      <c r="C305" s="17"/>
      <c r="E305" s="17"/>
    </row>
    <row r="306" spans="3:5">
      <c r="C306" s="17"/>
      <c r="E306" s="17"/>
    </row>
    <row r="307" spans="3:5">
      <c r="C307" s="17"/>
    </row>
    <row r="308" spans="3:5">
      <c r="C308" s="17"/>
      <c r="E308" s="17"/>
    </row>
    <row r="309" spans="3:5">
      <c r="C309" s="17"/>
      <c r="E309" s="17"/>
    </row>
    <row r="310" spans="3:5">
      <c r="C310" s="17"/>
      <c r="E310" s="17"/>
    </row>
    <row r="311" spans="3:5">
      <c r="C311" s="17"/>
    </row>
    <row r="312" spans="3:5">
      <c r="C312" s="17"/>
      <c r="E312" s="17"/>
    </row>
    <row r="313" spans="3:5">
      <c r="C313" s="17"/>
      <c r="E313" s="17"/>
    </row>
    <row r="314" spans="3:5">
      <c r="C314" s="17"/>
      <c r="E314" s="17"/>
    </row>
    <row r="315" spans="3:5">
      <c r="C315" s="17"/>
      <c r="E315" s="17"/>
    </row>
    <row r="316" spans="3:5">
      <c r="C316" s="17"/>
      <c r="E316" s="17"/>
    </row>
    <row r="317" spans="3:5">
      <c r="C317" s="17"/>
      <c r="E317" s="17"/>
    </row>
    <row r="318" spans="3:5">
      <c r="C318" s="17"/>
      <c r="E318" s="17"/>
    </row>
    <row r="319" spans="3:5">
      <c r="C319" s="17"/>
      <c r="E319" s="17"/>
    </row>
    <row r="320" spans="3:5">
      <c r="C320" s="17"/>
      <c r="E320" s="17"/>
    </row>
    <row r="321" spans="3:5">
      <c r="C321" s="17"/>
      <c r="E321" s="17"/>
    </row>
    <row r="322" spans="3:5">
      <c r="C322" s="17"/>
      <c r="E322" s="17"/>
    </row>
    <row r="323" spans="3:5">
      <c r="C323" s="17"/>
      <c r="E323" s="17"/>
    </row>
    <row r="324" spans="3:5">
      <c r="C324" s="17"/>
      <c r="E324" s="17"/>
    </row>
    <row r="325" spans="3:5">
      <c r="C325" s="17"/>
      <c r="E325" s="17"/>
    </row>
    <row r="326" spans="3:5">
      <c r="C326" s="17"/>
      <c r="E326" s="17"/>
    </row>
    <row r="327" spans="3:5">
      <c r="C327" s="17"/>
      <c r="E327" s="17"/>
    </row>
    <row r="328" spans="3:5">
      <c r="C328" s="17"/>
      <c r="E328" s="17"/>
    </row>
    <row r="329" spans="3:5">
      <c r="C329" s="17"/>
      <c r="E329" s="17"/>
    </row>
    <row r="330" spans="3:5">
      <c r="C330" s="17"/>
      <c r="E330" s="17"/>
    </row>
    <row r="331" spans="3:5">
      <c r="C331" s="17"/>
    </row>
    <row r="332" spans="3:5">
      <c r="C332" s="17"/>
      <c r="E332" s="17"/>
    </row>
    <row r="333" spans="3:5">
      <c r="C333" s="17"/>
      <c r="E333" s="17"/>
    </row>
    <row r="334" spans="3:5">
      <c r="C334" s="17"/>
      <c r="E334" s="17"/>
    </row>
    <row r="335" spans="3:5">
      <c r="C335" s="17"/>
      <c r="E335" s="17"/>
    </row>
    <row r="336" spans="3:5">
      <c r="C336" s="17"/>
      <c r="E336" s="17"/>
    </row>
    <row r="337" spans="3:5">
      <c r="C337" s="17"/>
      <c r="E337" s="17"/>
    </row>
    <row r="338" spans="3:5">
      <c r="C338" s="17"/>
      <c r="E338" s="17"/>
    </row>
    <row r="339" spans="3:5">
      <c r="C339" s="17"/>
      <c r="E339" s="17"/>
    </row>
    <row r="340" spans="3:5">
      <c r="C340" s="17"/>
      <c r="E340" s="17"/>
    </row>
    <row r="341" spans="3:5">
      <c r="C341" s="17"/>
      <c r="E341" s="17"/>
    </row>
    <row r="342" spans="3:5">
      <c r="C342" s="17"/>
      <c r="E342" s="17"/>
    </row>
    <row r="343" spans="3:5">
      <c r="C343" s="17"/>
      <c r="E343" s="17"/>
    </row>
    <row r="344" spans="3:5">
      <c r="C344" s="17"/>
      <c r="E344" s="17"/>
    </row>
    <row r="345" spans="3:5">
      <c r="C345" s="17"/>
    </row>
    <row r="346" spans="3:5">
      <c r="C346" s="17"/>
      <c r="E346" s="17"/>
    </row>
    <row r="347" spans="3:5">
      <c r="C347" s="17"/>
      <c r="E347" s="17"/>
    </row>
    <row r="348" spans="3:5">
      <c r="C348" s="17"/>
      <c r="E348" s="17"/>
    </row>
    <row r="349" spans="3:5">
      <c r="C349" s="17"/>
    </row>
    <row r="350" spans="3:5">
      <c r="C350" s="17"/>
      <c r="E350" s="17"/>
    </row>
    <row r="351" spans="3:5">
      <c r="C351" s="17"/>
      <c r="E351" s="17"/>
    </row>
    <row r="352" spans="3:5">
      <c r="C352" s="17"/>
      <c r="E352" s="17"/>
    </row>
    <row r="353" spans="3:5">
      <c r="C353" s="17"/>
      <c r="E353" s="17"/>
    </row>
    <row r="354" spans="3:5">
      <c r="C354" s="17"/>
      <c r="E354" s="17"/>
    </row>
    <row r="355" spans="3:5">
      <c r="C355" s="17"/>
      <c r="E355" s="17"/>
    </row>
    <row r="356" spans="3:5">
      <c r="C356" s="17"/>
    </row>
    <row r="357" spans="3:5">
      <c r="C357" s="17"/>
      <c r="E357" s="17"/>
    </row>
    <row r="358" spans="3:5">
      <c r="C358" s="17"/>
      <c r="E358" s="17"/>
    </row>
    <row r="359" spans="3:5">
      <c r="C359" s="17"/>
      <c r="E359" s="17"/>
    </row>
    <row r="360" spans="3:5">
      <c r="C360" s="17"/>
      <c r="E360" s="17"/>
    </row>
    <row r="361" spans="3:5">
      <c r="C361" s="17"/>
      <c r="E361" s="17"/>
    </row>
    <row r="362" spans="3:5">
      <c r="C362" s="17"/>
      <c r="E362" s="17"/>
    </row>
    <row r="363" spans="3:5">
      <c r="C363" s="17"/>
      <c r="E363" s="17"/>
    </row>
    <row r="364" spans="3:5">
      <c r="C364" s="17"/>
      <c r="E364" s="17"/>
    </row>
    <row r="365" spans="3:5">
      <c r="C365" s="17"/>
      <c r="E365" s="17"/>
    </row>
    <row r="366" spans="3:5">
      <c r="C366" s="17"/>
      <c r="E366" s="17"/>
    </row>
    <row r="367" spans="3:5">
      <c r="C367" s="17"/>
      <c r="E367" s="17"/>
    </row>
    <row r="368" spans="3:5">
      <c r="C368" s="17"/>
    </row>
    <row r="369" spans="3:5">
      <c r="C369" s="17"/>
      <c r="E369" s="17"/>
    </row>
    <row r="370" spans="3:5">
      <c r="C370" s="17"/>
      <c r="E370" s="17"/>
    </row>
    <row r="371" spans="3:5">
      <c r="C371" s="17"/>
    </row>
    <row r="372" spans="3:5">
      <c r="C372" s="17"/>
      <c r="E372" s="17"/>
    </row>
    <row r="373" spans="3:5">
      <c r="C373" s="17"/>
      <c r="E373" s="17"/>
    </row>
    <row r="374" spans="3:5">
      <c r="C374" s="17"/>
      <c r="E374" s="17"/>
    </row>
    <row r="375" spans="3:5">
      <c r="C375" s="17"/>
      <c r="E375" s="17"/>
    </row>
    <row r="376" spans="3:5">
      <c r="C376" s="17"/>
      <c r="E376" s="17"/>
    </row>
    <row r="377" spans="3:5">
      <c r="C377" s="17"/>
      <c r="E377" s="17"/>
    </row>
    <row r="378" spans="3:5">
      <c r="C378" s="17"/>
      <c r="E378" s="17"/>
    </row>
    <row r="379" spans="3:5">
      <c r="C379" s="17"/>
    </row>
    <row r="380" spans="3:5">
      <c r="C380" s="17"/>
    </row>
    <row r="381" spans="3:5">
      <c r="C381" s="17"/>
    </row>
    <row r="382" spans="3:5">
      <c r="C382" s="17"/>
      <c r="E382" s="17"/>
    </row>
    <row r="383" spans="3:5">
      <c r="C383" s="17"/>
    </row>
    <row r="384" spans="3:5">
      <c r="C384" s="17"/>
      <c r="E384" s="17"/>
    </row>
    <row r="385" spans="3:5">
      <c r="C385" s="17"/>
    </row>
    <row r="386" spans="3:5">
      <c r="C386" s="17"/>
    </row>
    <row r="387" spans="3:5">
      <c r="C387" s="17"/>
      <c r="E387" s="17"/>
    </row>
    <row r="388" spans="3:5">
      <c r="C388" s="17"/>
      <c r="E388" s="17"/>
    </row>
    <row r="389" spans="3:5">
      <c r="C389" s="17"/>
      <c r="E389" s="17"/>
    </row>
    <row r="390" spans="3:5">
      <c r="C390" s="17"/>
      <c r="E390" s="17"/>
    </row>
    <row r="391" spans="3:5">
      <c r="C391" s="17"/>
    </row>
    <row r="392" spans="3:5">
      <c r="C392" s="17"/>
    </row>
    <row r="393" spans="3:5">
      <c r="C393" s="17"/>
    </row>
    <row r="394" spans="3:5">
      <c r="C394" s="17"/>
      <c r="E394" s="17"/>
    </row>
    <row r="395" spans="3:5">
      <c r="C395" s="17"/>
      <c r="E395" s="17"/>
    </row>
    <row r="396" spans="3:5">
      <c r="C396" s="17"/>
      <c r="E396" s="17"/>
    </row>
    <row r="397" spans="3:5">
      <c r="C397" s="17"/>
      <c r="E397" s="17"/>
    </row>
    <row r="398" spans="3:5">
      <c r="C398" s="17"/>
      <c r="E398" s="17"/>
    </row>
    <row r="399" spans="3:5">
      <c r="C399" s="17"/>
      <c r="E399" s="17"/>
    </row>
    <row r="400" spans="3:5">
      <c r="C400" s="17"/>
      <c r="E400" s="17"/>
    </row>
    <row r="401" spans="3:5">
      <c r="C401" s="17"/>
    </row>
    <row r="402" spans="3:5">
      <c r="C402" s="17"/>
      <c r="E402" s="17"/>
    </row>
    <row r="403" spans="3:5">
      <c r="C403" s="17"/>
      <c r="E403" s="17"/>
    </row>
    <row r="404" spans="3:5">
      <c r="C404" s="17"/>
    </row>
    <row r="405" spans="3:5">
      <c r="C405" s="17"/>
      <c r="E405" s="17"/>
    </row>
    <row r="406" spans="3:5">
      <c r="C406" s="17"/>
      <c r="E406" s="17"/>
    </row>
    <row r="407" spans="3:5">
      <c r="C407" s="17"/>
      <c r="E407" s="17"/>
    </row>
    <row r="408" spans="3:5">
      <c r="C408" s="17"/>
      <c r="E408" s="17"/>
    </row>
    <row r="409" spans="3:5">
      <c r="C409" s="17"/>
      <c r="E409" s="17"/>
    </row>
    <row r="410" spans="3:5">
      <c r="C410" s="17"/>
      <c r="E410" s="17"/>
    </row>
    <row r="411" spans="3:5">
      <c r="C411" s="17"/>
      <c r="E411" s="17"/>
    </row>
    <row r="412" spans="3:5">
      <c r="C412" s="17"/>
      <c r="E412" s="17"/>
    </row>
    <row r="413" spans="3:5">
      <c r="C413" s="17"/>
      <c r="E413" s="17"/>
    </row>
    <row r="414" spans="3:5">
      <c r="C414" s="17"/>
      <c r="E414" s="17"/>
    </row>
    <row r="415" spans="3:5">
      <c r="C415" s="17"/>
      <c r="E415" s="17"/>
    </row>
    <row r="416" spans="3:5">
      <c r="C416" s="17"/>
      <c r="E416" s="17"/>
    </row>
    <row r="417" spans="3:5">
      <c r="C417" s="17"/>
      <c r="E417" s="17"/>
    </row>
    <row r="418" spans="3:5">
      <c r="C418" s="17"/>
      <c r="E418" s="17"/>
    </row>
    <row r="419" spans="3:5">
      <c r="C419" s="17"/>
      <c r="E419" s="17"/>
    </row>
    <row r="420" spans="3:5">
      <c r="C420" s="17"/>
      <c r="E420" s="17"/>
    </row>
    <row r="421" spans="3:5">
      <c r="C421" s="17"/>
      <c r="E421" s="17"/>
    </row>
    <row r="422" spans="3:5">
      <c r="C422" s="17"/>
      <c r="E422" s="17"/>
    </row>
    <row r="423" spans="3:5">
      <c r="C423" s="17"/>
      <c r="E423" s="17"/>
    </row>
    <row r="424" spans="3:5">
      <c r="C424" s="17"/>
      <c r="E424" s="17"/>
    </row>
    <row r="425" spans="3:5">
      <c r="C425" s="17"/>
      <c r="E425" s="17"/>
    </row>
    <row r="426" spans="3:5">
      <c r="C426" s="17"/>
      <c r="E426" s="17"/>
    </row>
    <row r="427" spans="3:5">
      <c r="C427" s="17"/>
      <c r="E427" s="17"/>
    </row>
    <row r="428" spans="3:5">
      <c r="C428" s="17"/>
      <c r="E428" s="17"/>
    </row>
    <row r="429" spans="3:5">
      <c r="C429" s="17"/>
      <c r="E429" s="17"/>
    </row>
    <row r="430" spans="3:5">
      <c r="C430" s="17"/>
      <c r="E430" s="17"/>
    </row>
    <row r="431" spans="3:5">
      <c r="C431" s="17"/>
      <c r="E431" s="17"/>
    </row>
    <row r="432" spans="3:5">
      <c r="C432" s="17"/>
      <c r="E432" s="17"/>
    </row>
    <row r="433" spans="3:5">
      <c r="C433" s="17"/>
      <c r="E433" s="17"/>
    </row>
    <row r="434" spans="3:5">
      <c r="C434" s="17"/>
      <c r="E434" s="17"/>
    </row>
    <row r="435" spans="3:5">
      <c r="C435" s="17"/>
      <c r="E435" s="17"/>
    </row>
    <row r="436" spans="3:5">
      <c r="C436" s="17"/>
      <c r="E436" s="17"/>
    </row>
    <row r="437" spans="3:5">
      <c r="C437" s="17"/>
      <c r="E437" s="17"/>
    </row>
    <row r="438" spans="3:5">
      <c r="C438" s="17"/>
      <c r="E438" s="17"/>
    </row>
    <row r="439" spans="3:5">
      <c r="C439" s="17"/>
      <c r="E439" s="17"/>
    </row>
    <row r="440" spans="3:5">
      <c r="C440" s="17"/>
      <c r="E440" s="17"/>
    </row>
    <row r="441" spans="3:5">
      <c r="C441" s="17"/>
      <c r="E441" s="17"/>
    </row>
    <row r="442" spans="3:5">
      <c r="C442" s="17"/>
      <c r="E442" s="17"/>
    </row>
    <row r="443" spans="3:5">
      <c r="C443" s="17"/>
      <c r="E443" s="17"/>
    </row>
    <row r="444" spans="3:5">
      <c r="C444" s="17"/>
      <c r="E444" s="17"/>
    </row>
    <row r="445" spans="3:5">
      <c r="C445" s="17"/>
      <c r="E445" s="17"/>
    </row>
    <row r="446" spans="3:5">
      <c r="C446" s="17"/>
      <c r="E446" s="17"/>
    </row>
    <row r="447" spans="3:5">
      <c r="C447" s="17"/>
      <c r="E447" s="17"/>
    </row>
    <row r="448" spans="3:5">
      <c r="C448" s="17"/>
      <c r="E448" s="17"/>
    </row>
    <row r="449" spans="3:5">
      <c r="C449" s="17"/>
      <c r="E449" s="17"/>
    </row>
    <row r="450" spans="3:5">
      <c r="C450" s="17"/>
    </row>
    <row r="451" spans="3:5">
      <c r="C451" s="17"/>
      <c r="E451" s="17"/>
    </row>
    <row r="452" spans="3:5">
      <c r="C452" s="17"/>
      <c r="E452" s="17"/>
    </row>
    <row r="453" spans="3:5">
      <c r="C453" s="17"/>
      <c r="E453" s="17"/>
    </row>
    <row r="454" spans="3:5">
      <c r="C454" s="17"/>
      <c r="E454" s="17"/>
    </row>
    <row r="455" spans="3:5">
      <c r="C455" s="17"/>
      <c r="E455" s="17"/>
    </row>
    <row r="456" spans="3:5">
      <c r="C456" s="17"/>
      <c r="E456" s="17"/>
    </row>
    <row r="457" spans="3:5">
      <c r="C457" s="17"/>
      <c r="E457" s="17"/>
    </row>
    <row r="458" spans="3:5">
      <c r="C458" s="17"/>
      <c r="E458" s="17"/>
    </row>
    <row r="459" spans="3:5">
      <c r="C459" s="17"/>
      <c r="E459" s="17"/>
    </row>
    <row r="460" spans="3:5">
      <c r="C460" s="17"/>
      <c r="E460" s="17"/>
    </row>
    <row r="461" spans="3:5">
      <c r="C461" s="17"/>
      <c r="E461" s="17"/>
    </row>
    <row r="462" spans="3:5">
      <c r="C462" s="17"/>
      <c r="E462" s="17"/>
    </row>
    <row r="463" spans="3:5">
      <c r="C463" s="17"/>
      <c r="E463" s="17"/>
    </row>
    <row r="464" spans="3:5">
      <c r="C464" s="17"/>
      <c r="E464" s="17"/>
    </row>
    <row r="465" spans="3:5">
      <c r="C465" s="17"/>
      <c r="E465" s="17"/>
    </row>
    <row r="466" spans="3:5">
      <c r="C466" s="17"/>
      <c r="E466" s="17"/>
    </row>
    <row r="467" spans="3:5">
      <c r="C467" s="17"/>
      <c r="E467" s="17"/>
    </row>
    <row r="468" spans="3:5">
      <c r="C468" s="17"/>
      <c r="E468" s="17"/>
    </row>
    <row r="469" spans="3:5">
      <c r="C469" s="17"/>
      <c r="E469" s="17"/>
    </row>
    <row r="470" spans="3:5">
      <c r="C470" s="17"/>
      <c r="E470" s="17"/>
    </row>
    <row r="471" spans="3:5">
      <c r="C471" s="17"/>
      <c r="E471" s="17"/>
    </row>
    <row r="472" spans="3:5">
      <c r="C472" s="17"/>
      <c r="E472" s="17"/>
    </row>
    <row r="473" spans="3:5">
      <c r="C473" s="17"/>
    </row>
    <row r="474" spans="3:5">
      <c r="C474" s="17"/>
      <c r="E474" s="17"/>
    </row>
    <row r="475" spans="3:5">
      <c r="C475" s="17"/>
      <c r="E475" s="17"/>
    </row>
    <row r="476" spans="3:5">
      <c r="C476" s="17"/>
      <c r="E476" s="17"/>
    </row>
    <row r="477" spans="3:5">
      <c r="C477" s="17"/>
      <c r="E477" s="17"/>
    </row>
    <row r="478" spans="3:5">
      <c r="C478" s="17"/>
      <c r="E478" s="17"/>
    </row>
    <row r="479" spans="3:5">
      <c r="C479" s="17"/>
      <c r="E479" s="17"/>
    </row>
    <row r="480" spans="3:5">
      <c r="C480" s="17"/>
      <c r="E480" s="17"/>
    </row>
    <row r="481" spans="3:5">
      <c r="C481" s="17"/>
      <c r="E481" s="17"/>
    </row>
    <row r="482" spans="3:5">
      <c r="C482" s="17"/>
      <c r="E482" s="17"/>
    </row>
    <row r="483" spans="3:5">
      <c r="C483" s="17"/>
      <c r="E483" s="17"/>
    </row>
    <row r="484" spans="3:5">
      <c r="C484" s="17"/>
      <c r="E484" s="17"/>
    </row>
    <row r="485" spans="3:5">
      <c r="C485" s="17"/>
      <c r="E485" s="17"/>
    </row>
    <row r="486" spans="3:5">
      <c r="C486" s="17"/>
      <c r="E486" s="17"/>
    </row>
    <row r="487" spans="3:5">
      <c r="C487" s="17"/>
      <c r="E487" s="17"/>
    </row>
    <row r="488" spans="3:5">
      <c r="C488" s="17"/>
      <c r="E488" s="17"/>
    </row>
    <row r="489" spans="3:5">
      <c r="C489" s="17"/>
      <c r="E489" s="17"/>
    </row>
    <row r="490" spans="3:5">
      <c r="C490" s="17"/>
      <c r="E490" s="17"/>
    </row>
    <row r="491" spans="3:5">
      <c r="C491" s="17"/>
      <c r="E491" s="17"/>
    </row>
    <row r="492" spans="3:5">
      <c r="C492" s="17"/>
      <c r="E492" s="17"/>
    </row>
    <row r="493" spans="3:5">
      <c r="C493" s="17"/>
      <c r="E493" s="17"/>
    </row>
    <row r="494" spans="3:5">
      <c r="C494" s="17"/>
    </row>
    <row r="495" spans="3:5">
      <c r="C495" s="17"/>
      <c r="E495" s="17"/>
    </row>
    <row r="496" spans="3:5">
      <c r="C496" s="17"/>
      <c r="E496" s="17"/>
    </row>
    <row r="497" spans="3:5">
      <c r="C497" s="17"/>
    </row>
    <row r="498" spans="3:5">
      <c r="C498" s="17"/>
    </row>
    <row r="499" spans="3:5">
      <c r="C499" s="17"/>
    </row>
    <row r="500" spans="3:5">
      <c r="C500" s="17"/>
      <c r="E500" s="17"/>
    </row>
    <row r="501" spans="3:5">
      <c r="C501" s="17"/>
    </row>
    <row r="502" spans="3:5">
      <c r="C502" s="17"/>
      <c r="E502" s="17"/>
    </row>
    <row r="503" spans="3:5">
      <c r="C503" s="17"/>
      <c r="E503" s="17"/>
    </row>
    <row r="504" spans="3:5">
      <c r="C504" s="17"/>
      <c r="E504" s="17"/>
    </row>
    <row r="505" spans="3:5">
      <c r="C505" s="17"/>
      <c r="E505" s="17"/>
    </row>
    <row r="506" spans="3:5">
      <c r="C506" s="17"/>
      <c r="E506" s="17"/>
    </row>
    <row r="507" spans="3:5">
      <c r="C507" s="17"/>
    </row>
    <row r="508" spans="3:5">
      <c r="C508" s="17"/>
      <c r="E508" s="17"/>
    </row>
    <row r="509" spans="3:5">
      <c r="C509" s="17"/>
      <c r="E509" s="17"/>
    </row>
    <row r="510" spans="3:5">
      <c r="C510" s="17"/>
      <c r="E510" s="17"/>
    </row>
    <row r="511" spans="3:5">
      <c r="C511" s="17"/>
      <c r="E511" s="17"/>
    </row>
    <row r="512" spans="3:5">
      <c r="C512" s="17"/>
      <c r="E512" s="17"/>
    </row>
    <row r="513" spans="3:5">
      <c r="C513" s="17"/>
      <c r="E513" s="17"/>
    </row>
    <row r="514" spans="3:5">
      <c r="C514" s="17"/>
    </row>
    <row r="515" spans="3:5">
      <c r="C515" s="17"/>
      <c r="E515" s="17"/>
    </row>
    <row r="516" spans="3:5">
      <c r="C516" s="17"/>
      <c r="E516" s="17"/>
    </row>
    <row r="517" spans="3:5">
      <c r="C517" s="17"/>
      <c r="E517" s="17"/>
    </row>
    <row r="518" spans="3:5">
      <c r="C518" s="17"/>
      <c r="E518" s="17"/>
    </row>
    <row r="519" spans="3:5">
      <c r="C519" s="17"/>
      <c r="E519" s="17"/>
    </row>
    <row r="520" spans="3:5">
      <c r="C520" s="17"/>
      <c r="E520" s="17"/>
    </row>
    <row r="521" spans="3:5">
      <c r="C521" s="17"/>
      <c r="E521" s="17"/>
    </row>
    <row r="522" spans="3:5">
      <c r="C522" s="17"/>
      <c r="E522" s="17"/>
    </row>
    <row r="523" spans="3:5">
      <c r="C523" s="17"/>
      <c r="E523" s="17"/>
    </row>
    <row r="524" spans="3:5">
      <c r="C524" s="17"/>
    </row>
    <row r="525" spans="3:5">
      <c r="C525" s="17"/>
      <c r="E525" s="17"/>
    </row>
    <row r="526" spans="3:5">
      <c r="C526" s="17"/>
      <c r="E526" s="17"/>
    </row>
    <row r="527" spans="3:5">
      <c r="C527" s="17"/>
      <c r="E527" s="17"/>
    </row>
    <row r="528" spans="3:5">
      <c r="C528" s="17"/>
      <c r="E528" s="17"/>
    </row>
    <row r="529" spans="3:5">
      <c r="C529" s="17"/>
      <c r="E529" s="17"/>
    </row>
    <row r="530" spans="3:5">
      <c r="C530" s="17"/>
      <c r="E530" s="17"/>
    </row>
    <row r="531" spans="3:5">
      <c r="C531" s="17"/>
      <c r="E531" s="17"/>
    </row>
    <row r="532" spans="3:5">
      <c r="C532" s="17"/>
      <c r="E532" s="17"/>
    </row>
    <row r="533" spans="3:5">
      <c r="C533" s="17"/>
    </row>
    <row r="534" spans="3:5">
      <c r="C534" s="17"/>
      <c r="E534" s="17"/>
    </row>
    <row r="535" spans="3:5">
      <c r="C535" s="17"/>
      <c r="E535" s="17"/>
    </row>
    <row r="536" spans="3:5">
      <c r="C536" s="17"/>
      <c r="E536" s="17"/>
    </row>
    <row r="537" spans="3:5">
      <c r="C537" s="17"/>
      <c r="E537" s="17"/>
    </row>
    <row r="538" spans="3:5">
      <c r="C538" s="17"/>
    </row>
    <row r="539" spans="3:5">
      <c r="C539" s="17"/>
      <c r="E539" s="17"/>
    </row>
    <row r="540" spans="3:5">
      <c r="C540" s="17"/>
      <c r="E540" s="17"/>
    </row>
    <row r="541" spans="3:5">
      <c r="C541" s="17"/>
    </row>
    <row r="542" spans="3:5">
      <c r="C542" s="17"/>
      <c r="E542" s="17"/>
    </row>
    <row r="543" spans="3:5">
      <c r="C543" s="17"/>
    </row>
    <row r="544" spans="3:5">
      <c r="C544" s="17"/>
    </row>
    <row r="545" spans="3:5">
      <c r="C545" s="17"/>
    </row>
    <row r="546" spans="3:5">
      <c r="C546" s="17"/>
    </row>
    <row r="547" spans="3:5">
      <c r="C547" s="17"/>
      <c r="E547" s="17"/>
    </row>
    <row r="548" spans="3:5">
      <c r="C548" s="17"/>
      <c r="E548" s="17"/>
    </row>
    <row r="549" spans="3:5">
      <c r="C549" s="17"/>
    </row>
    <row r="550" spans="3:5">
      <c r="C550" s="17"/>
      <c r="E550" s="17"/>
    </row>
    <row r="551" spans="3:5">
      <c r="C551" s="17"/>
      <c r="E551" s="17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82"/>
  <sheetViews>
    <sheetView workbookViewId="0">
      <selection activeCell="J19" sqref="J19"/>
    </sheetView>
  </sheetViews>
  <sheetFormatPr defaultColWidth="9" defaultRowHeight="15"/>
  <cols>
    <col min="1" max="1" width="4.5703125" customWidth="1"/>
    <col min="2" max="2" width="49.28515625" customWidth="1"/>
    <col min="3" max="3" width="28.7109375" style="10" customWidth="1"/>
    <col min="4" max="4" width="25.7109375" style="19" customWidth="1"/>
    <col min="5" max="5" width="9" customWidth="1"/>
  </cols>
  <sheetData>
    <row r="1" spans="1:4">
      <c r="A1" s="18" t="s">
        <v>216</v>
      </c>
    </row>
    <row r="2" spans="1:4" s="19" customFormat="1">
      <c r="A2" s="19" t="s">
        <v>217</v>
      </c>
      <c r="B2" s="19" t="s">
        <v>218</v>
      </c>
      <c r="C2" s="19" t="s">
        <v>219</v>
      </c>
      <c r="D2" s="19" t="s">
        <v>220</v>
      </c>
    </row>
    <row r="3" spans="1:4">
      <c r="A3" s="12">
        <v>1</v>
      </c>
      <c r="B3" s="18" t="s">
        <v>221</v>
      </c>
      <c r="C3" s="18" t="s">
        <v>222</v>
      </c>
    </row>
    <row r="4" spans="1:4">
      <c r="A4" s="12">
        <v>2</v>
      </c>
      <c r="B4" s="18" t="s">
        <v>223</v>
      </c>
      <c r="C4" s="18" t="s">
        <v>224</v>
      </c>
    </row>
    <row r="5" spans="1:4">
      <c r="A5" s="12">
        <v>3</v>
      </c>
      <c r="B5" s="18" t="s">
        <v>225</v>
      </c>
      <c r="C5" s="18" t="s">
        <v>226</v>
      </c>
    </row>
    <row r="6" spans="1:4">
      <c r="A6" s="12">
        <v>4</v>
      </c>
      <c r="B6" s="18" t="s">
        <v>227</v>
      </c>
      <c r="C6" s="18" t="s">
        <v>228</v>
      </c>
    </row>
    <row r="7" spans="1:4">
      <c r="A7" s="12">
        <v>5</v>
      </c>
      <c r="B7" s="18" t="s">
        <v>229</v>
      </c>
      <c r="C7" s="18" t="s">
        <v>230</v>
      </c>
    </row>
    <row r="8" spans="1:4">
      <c r="A8" s="12">
        <v>6</v>
      </c>
      <c r="B8" s="18" t="s">
        <v>231</v>
      </c>
      <c r="C8" s="18" t="s">
        <v>232</v>
      </c>
    </row>
    <row r="9" spans="1:4">
      <c r="A9" s="12">
        <v>7</v>
      </c>
      <c r="B9" s="18" t="s">
        <v>233</v>
      </c>
      <c r="C9" s="18" t="s">
        <v>234</v>
      </c>
    </row>
    <row r="10" spans="1:4">
      <c r="A10" s="12">
        <v>8</v>
      </c>
      <c r="B10" s="18" t="s">
        <v>235</v>
      </c>
      <c r="C10" s="18" t="s">
        <v>236</v>
      </c>
    </row>
    <row r="11" spans="1:4">
      <c r="A11" s="12">
        <v>9</v>
      </c>
      <c r="B11" s="18" t="s">
        <v>237</v>
      </c>
      <c r="C11" s="18" t="s">
        <v>238</v>
      </c>
    </row>
    <row r="12" spans="1:4">
      <c r="A12" s="12">
        <v>10</v>
      </c>
      <c r="B12" s="18" t="s">
        <v>239</v>
      </c>
      <c r="C12" s="18" t="s">
        <v>240</v>
      </c>
    </row>
    <row r="13" spans="1:4">
      <c r="A13" s="12">
        <v>11</v>
      </c>
      <c r="B13" s="18" t="s">
        <v>241</v>
      </c>
      <c r="C13" s="18" t="s">
        <v>242</v>
      </c>
    </row>
    <row r="14" spans="1:4">
      <c r="A14" s="12">
        <v>12</v>
      </c>
      <c r="B14" s="18" t="s">
        <v>243</v>
      </c>
      <c r="C14" s="18" t="s">
        <v>244</v>
      </c>
    </row>
    <row r="15" spans="1:4">
      <c r="A15" s="12">
        <v>13</v>
      </c>
      <c r="B15" s="18" t="s">
        <v>245</v>
      </c>
      <c r="C15" s="18" t="s">
        <v>246</v>
      </c>
    </row>
    <row r="16" spans="1:4">
      <c r="A16" s="12">
        <v>14</v>
      </c>
      <c r="B16" s="18" t="s">
        <v>247</v>
      </c>
      <c r="C16" s="18" t="s">
        <v>248</v>
      </c>
    </row>
    <row r="17" spans="1:3">
      <c r="A17" s="12">
        <v>15</v>
      </c>
      <c r="B17" s="18" t="s">
        <v>249</v>
      </c>
      <c r="C17" s="18" t="s">
        <v>250</v>
      </c>
    </row>
    <row r="18" spans="1:3">
      <c r="A18" s="12">
        <v>16</v>
      </c>
      <c r="B18" s="18" t="s">
        <v>251</v>
      </c>
      <c r="C18" s="18" t="s">
        <v>252</v>
      </c>
    </row>
    <row r="19" spans="1:3">
      <c r="A19" s="12">
        <v>17</v>
      </c>
      <c r="B19" s="18" t="s">
        <v>253</v>
      </c>
      <c r="C19" s="18" t="s">
        <v>254</v>
      </c>
    </row>
    <row r="20" spans="1:3">
      <c r="A20" s="12">
        <v>18</v>
      </c>
      <c r="B20" s="18" t="s">
        <v>255</v>
      </c>
      <c r="C20" s="18" t="s">
        <v>256</v>
      </c>
    </row>
    <row r="21" spans="1:3">
      <c r="A21" s="12">
        <v>19</v>
      </c>
      <c r="B21" s="18" t="s">
        <v>257</v>
      </c>
      <c r="C21" s="18" t="s">
        <v>258</v>
      </c>
    </row>
    <row r="22" spans="1:3">
      <c r="A22" s="12">
        <v>20</v>
      </c>
      <c r="B22" s="18" t="s">
        <v>259</v>
      </c>
      <c r="C22" s="18" t="s">
        <v>260</v>
      </c>
    </row>
    <row r="23" spans="1:3">
      <c r="A23" s="12">
        <v>21</v>
      </c>
      <c r="B23" s="18" t="s">
        <v>261</v>
      </c>
      <c r="C23" s="18" t="s">
        <v>262</v>
      </c>
    </row>
    <row r="24" spans="1:3">
      <c r="A24" s="12">
        <v>22</v>
      </c>
      <c r="B24" s="18" t="s">
        <v>263</v>
      </c>
      <c r="C24" s="18" t="s">
        <v>264</v>
      </c>
    </row>
    <row r="25" spans="1:3">
      <c r="A25" s="12">
        <v>23</v>
      </c>
      <c r="B25" s="18" t="s">
        <v>265</v>
      </c>
      <c r="C25" s="18" t="s">
        <v>266</v>
      </c>
    </row>
    <row r="26" spans="1:3">
      <c r="A26" s="12">
        <v>24</v>
      </c>
      <c r="B26" s="18" t="s">
        <v>267</v>
      </c>
      <c r="C26" s="18" t="s">
        <v>268</v>
      </c>
    </row>
    <row r="27" spans="1:3">
      <c r="A27" s="12">
        <v>25</v>
      </c>
      <c r="B27" s="18" t="s">
        <v>269</v>
      </c>
      <c r="C27" s="18" t="s">
        <v>270</v>
      </c>
    </row>
    <row r="28" spans="1:3">
      <c r="A28" s="12">
        <v>26</v>
      </c>
      <c r="B28" s="18" t="s">
        <v>271</v>
      </c>
      <c r="C28" s="18" t="s">
        <v>272</v>
      </c>
    </row>
    <row r="29" spans="1:3">
      <c r="A29" s="12">
        <v>27</v>
      </c>
      <c r="B29" s="18" t="s">
        <v>273</v>
      </c>
      <c r="C29" s="18" t="s">
        <v>274</v>
      </c>
    </row>
    <row r="30" spans="1:3">
      <c r="A30" s="12">
        <v>28</v>
      </c>
      <c r="B30" s="18" t="s">
        <v>275</v>
      </c>
      <c r="C30" s="18" t="s">
        <v>276</v>
      </c>
    </row>
    <row r="31" spans="1:3">
      <c r="A31" s="12">
        <v>29</v>
      </c>
      <c r="B31" s="18" t="s">
        <v>277</v>
      </c>
      <c r="C31" s="18" t="s">
        <v>278</v>
      </c>
    </row>
    <row r="32" spans="1:3">
      <c r="A32" s="12">
        <v>30</v>
      </c>
      <c r="B32" s="18" t="s">
        <v>279</v>
      </c>
      <c r="C32" s="18" t="s">
        <v>280</v>
      </c>
    </row>
    <row r="33" spans="1:3">
      <c r="A33" s="12">
        <v>31</v>
      </c>
      <c r="B33" s="18" t="s">
        <v>281</v>
      </c>
      <c r="C33" s="18" t="s">
        <v>282</v>
      </c>
    </row>
    <row r="34" spans="1:3">
      <c r="A34" s="12">
        <v>32</v>
      </c>
      <c r="B34" s="18" t="s">
        <v>283</v>
      </c>
      <c r="C34" s="18" t="s">
        <v>284</v>
      </c>
    </row>
    <row r="35" spans="1:3">
      <c r="A35" s="12">
        <v>33</v>
      </c>
      <c r="B35" s="18" t="s">
        <v>285</v>
      </c>
      <c r="C35" s="18" t="s">
        <v>286</v>
      </c>
    </row>
    <row r="36" spans="1:3">
      <c r="A36" s="12">
        <v>34</v>
      </c>
      <c r="B36" s="18" t="s">
        <v>287</v>
      </c>
      <c r="C36" s="18" t="s">
        <v>288</v>
      </c>
    </row>
    <row r="37" spans="1:3">
      <c r="A37" s="12">
        <v>35</v>
      </c>
      <c r="B37" s="18" t="s">
        <v>289</v>
      </c>
      <c r="C37" s="18" t="s">
        <v>290</v>
      </c>
    </row>
    <row r="38" spans="1:3">
      <c r="A38" s="12">
        <v>36</v>
      </c>
      <c r="B38" s="18" t="s">
        <v>291</v>
      </c>
      <c r="C38" s="18" t="s">
        <v>292</v>
      </c>
    </row>
    <row r="39" spans="1:3">
      <c r="A39" s="12">
        <v>37</v>
      </c>
      <c r="B39" s="18" t="s">
        <v>293</v>
      </c>
      <c r="C39" s="18" t="s">
        <v>294</v>
      </c>
    </row>
    <row r="40" spans="1:3">
      <c r="A40" s="12">
        <v>38</v>
      </c>
      <c r="B40" s="18" t="s">
        <v>295</v>
      </c>
      <c r="C40" s="18" t="s">
        <v>296</v>
      </c>
    </row>
    <row r="41" spans="1:3">
      <c r="A41" s="12">
        <v>39</v>
      </c>
      <c r="B41" s="18" t="s">
        <v>297</v>
      </c>
      <c r="C41" s="18" t="s">
        <v>298</v>
      </c>
    </row>
    <row r="42" spans="1:3">
      <c r="A42" s="12">
        <v>40</v>
      </c>
      <c r="B42" s="18" t="s">
        <v>299</v>
      </c>
      <c r="C42" s="18" t="s">
        <v>300</v>
      </c>
    </row>
    <row r="43" spans="1:3">
      <c r="A43" s="12">
        <v>41</v>
      </c>
      <c r="B43" s="18" t="s">
        <v>301</v>
      </c>
      <c r="C43" s="18" t="s">
        <v>302</v>
      </c>
    </row>
    <row r="44" spans="1:3">
      <c r="A44" s="12">
        <v>42</v>
      </c>
      <c r="B44" s="18" t="s">
        <v>303</v>
      </c>
      <c r="C44" s="18" t="s">
        <v>304</v>
      </c>
    </row>
    <row r="45" spans="1:3">
      <c r="A45" s="12">
        <v>43</v>
      </c>
      <c r="B45" s="18" t="s">
        <v>305</v>
      </c>
      <c r="C45" s="18" t="s">
        <v>306</v>
      </c>
    </row>
    <row r="46" spans="1:3">
      <c r="A46" s="12">
        <v>44</v>
      </c>
      <c r="B46" s="18" t="s">
        <v>307</v>
      </c>
      <c r="C46" s="18" t="s">
        <v>308</v>
      </c>
    </row>
    <row r="47" spans="1:3">
      <c r="A47" s="12">
        <v>45</v>
      </c>
      <c r="B47" s="18" t="s">
        <v>309</v>
      </c>
      <c r="C47" s="18" t="s">
        <v>310</v>
      </c>
    </row>
    <row r="48" spans="1:3">
      <c r="A48" s="12">
        <v>46</v>
      </c>
      <c r="B48" s="18" t="s">
        <v>311</v>
      </c>
      <c r="C48" s="18" t="s">
        <v>312</v>
      </c>
    </row>
    <row r="49" spans="1:1">
      <c r="A49" s="19"/>
    </row>
    <row r="50" spans="1:1">
      <c r="A50" s="19"/>
    </row>
    <row r="51" spans="1:1">
      <c r="A51" s="19"/>
    </row>
    <row r="52" spans="1:1">
      <c r="A52" s="19"/>
    </row>
    <row r="53" spans="1:1">
      <c r="A53" s="19"/>
    </row>
    <row r="54" spans="1:1">
      <c r="A54" s="19"/>
    </row>
    <row r="55" spans="1:1">
      <c r="A55" s="19"/>
    </row>
    <row r="56" spans="1:1">
      <c r="A56" s="19"/>
    </row>
    <row r="57" spans="1:1">
      <c r="A57" s="19"/>
    </row>
    <row r="58" spans="1:1">
      <c r="A58" s="19"/>
    </row>
    <row r="59" spans="1:1">
      <c r="A59" s="19"/>
    </row>
    <row r="60" spans="1:1">
      <c r="A60" s="19"/>
    </row>
    <row r="61" spans="1:1">
      <c r="A61" s="19"/>
    </row>
    <row r="62" spans="1:1">
      <c r="A62" s="19"/>
    </row>
    <row r="63" spans="1:1">
      <c r="A63" s="19"/>
    </row>
    <row r="64" spans="1:1">
      <c r="A64" s="19"/>
    </row>
    <row r="65" spans="1:1">
      <c r="A65" s="19"/>
    </row>
    <row r="66" spans="1:1">
      <c r="A66" s="19"/>
    </row>
    <row r="67" spans="1:1">
      <c r="A67" s="19"/>
    </row>
    <row r="68" spans="1:1">
      <c r="A68" s="19"/>
    </row>
    <row r="69" spans="1:1">
      <c r="A69" s="19"/>
    </row>
    <row r="70" spans="1:1">
      <c r="A70" s="19"/>
    </row>
    <row r="71" spans="1:1">
      <c r="A71" s="19"/>
    </row>
    <row r="72" spans="1:1">
      <c r="A72" s="19"/>
    </row>
    <row r="73" spans="1:1">
      <c r="A73" s="19"/>
    </row>
    <row r="74" spans="1:1">
      <c r="A74" s="19"/>
    </row>
    <row r="75" spans="1:1">
      <c r="A75" s="19"/>
    </row>
    <row r="76" spans="1:1">
      <c r="A76" s="19"/>
    </row>
    <row r="77" spans="1:1">
      <c r="A77" s="19"/>
    </row>
    <row r="78" spans="1:1">
      <c r="A78" s="19"/>
    </row>
    <row r="79" spans="1:1">
      <c r="A79" s="19"/>
    </row>
    <row r="80" spans="1:1">
      <c r="A80" s="19"/>
    </row>
    <row r="81" spans="1:1">
      <c r="A81" s="19"/>
    </row>
    <row r="82" spans="1:1">
      <c r="A82" s="19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D2:Q10"/>
  <sheetViews>
    <sheetView workbookViewId="0">
      <selection activeCell="H23" sqref="H23"/>
    </sheetView>
  </sheetViews>
  <sheetFormatPr defaultRowHeight="15"/>
  <sheetData>
    <row r="2" spans="4:17">
      <c r="D2" s="17"/>
      <c r="F2" s="17"/>
      <c r="H2" s="17"/>
      <c r="K2" s="17"/>
      <c r="Q2" s="17"/>
    </row>
    <row r="3" spans="4:17">
      <c r="D3" s="17"/>
      <c r="F3" s="17"/>
      <c r="H3" s="17"/>
      <c r="K3" s="17"/>
      <c r="Q3" s="17"/>
    </row>
    <row r="4" spans="4:17">
      <c r="D4" s="17"/>
      <c r="F4" s="17"/>
      <c r="H4" s="17"/>
      <c r="K4" s="17"/>
      <c r="Q4" s="17"/>
    </row>
    <row r="5" spans="4:17">
      <c r="D5" s="17"/>
      <c r="F5" s="17"/>
      <c r="H5" s="17"/>
      <c r="K5" s="17"/>
      <c r="Q5" s="17"/>
    </row>
    <row r="6" spans="4:17">
      <c r="D6" s="17"/>
      <c r="F6" s="17"/>
      <c r="H6" s="17"/>
      <c r="K6" s="17"/>
      <c r="Q6" s="17"/>
    </row>
    <row r="7" spans="4:17">
      <c r="D7" s="17"/>
      <c r="F7" s="17"/>
      <c r="H7" s="17"/>
      <c r="K7" s="17"/>
    </row>
    <row r="8" spans="4:17">
      <c r="D8" s="17"/>
      <c r="F8" s="17"/>
      <c r="H8" s="17"/>
      <c r="K8" s="17"/>
      <c r="Q8" s="17"/>
    </row>
    <row r="9" spans="4:17">
      <c r="D9" s="17"/>
      <c r="F9" s="17"/>
      <c r="H9" s="17"/>
      <c r="K9" s="17"/>
      <c r="Q9" s="17"/>
    </row>
    <row r="10" spans="4:17">
      <c r="D10" s="17"/>
      <c r="F10" s="17"/>
      <c r="H10" s="17"/>
      <c r="K10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</vt:i4>
      </vt:variant>
    </vt:vector>
  </HeadingPairs>
  <TitlesOfParts>
    <vt:vector size="18" baseType="lpstr">
      <vt:lpstr>Module List</vt:lpstr>
      <vt:lpstr>Part Tracking</vt:lpstr>
      <vt:lpstr>Gantt Chart</vt:lpstr>
      <vt:lpstr>Progress</vt:lpstr>
      <vt:lpstr>ETL</vt:lpstr>
      <vt:lpstr>Fab_Parts</vt:lpstr>
      <vt:lpstr>Std_Parts</vt:lpstr>
      <vt:lpstr>EE_Parts</vt:lpstr>
      <vt:lpstr>Layout</vt:lpstr>
      <vt:lpstr>DAILY- Progress</vt:lpstr>
      <vt:lpstr>Others</vt:lpstr>
      <vt:lpstr>On Time Delivery Report</vt:lpstr>
      <vt:lpstr>Supplier List</vt:lpstr>
      <vt:lpstr>Error_List</vt:lpstr>
      <vt:lpstr>EE_Parts!Print_Area</vt:lpstr>
      <vt:lpstr>Fab_Parts!Print_Area</vt:lpstr>
      <vt:lpstr>'Part Tracking'!Print_Area</vt:lpstr>
      <vt:lpstr>Std_Parts!Print_Area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Joanne Lim</dc:creator>
  <cp:lastModifiedBy>User</cp:lastModifiedBy>
  <cp:lastPrinted>2024-10-16T06:32:47Z</cp:lastPrinted>
  <dcterms:created xsi:type="dcterms:W3CDTF">2015-04-01T09:18:16Z</dcterms:created>
  <dcterms:modified xsi:type="dcterms:W3CDTF">2024-11-18T11:45:01Z</dcterms:modified>
</cp:coreProperties>
</file>